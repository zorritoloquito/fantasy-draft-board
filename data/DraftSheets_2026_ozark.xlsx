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" sheetId="1" r:id="rId4"/>
    <sheet state="visible" name="DraftSheet" sheetId="2" r:id="rId5"/>
    <sheet state="visible" name="Aggregate" sheetId="3" r:id="rId6"/>
    <sheet state="hidden" name="QB" sheetId="4" r:id="rId7"/>
    <sheet state="hidden" name="RB" sheetId="5" r:id="rId8"/>
    <sheet state="hidden" name="WR" sheetId="6" r:id="rId9"/>
    <sheet state="hidden" name="TE" sheetId="7" r:id="rId10"/>
    <sheet state="hidden" name="FLEX" sheetId="8" r:id="rId11"/>
    <sheet state="hidden" name="ECR" sheetId="9" r:id="rId12"/>
    <sheet state="hidden" name="RISK" sheetId="10" r:id="rId13"/>
    <sheet state="hidden" name="Rookies" sheetId="11" r:id="rId14"/>
  </sheets>
  <definedNames/>
  <calcPr/>
  <extLst>
    <ext uri="GoogleSheetsCustomDataVersion2">
      <go:sheetsCustomData xmlns:go="http://customooxmlschemas.google.com/" r:id="rId15" roundtripDataChecksum="Xlnep7+jUCp1cp0iTUPWCNdkaut31kmQsuWISSkruH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ID#AAACElJ2U8E
Unknown Author    (2026-07-31 20:47:31)
https://1drv.ms/x/c/51e1841f2161445f/EU_85uEzFv9Fuf7th7aQt4MBwIo5fQojs-6KpYJbxF0AoQ?e=ecU3iH</t>
      </text>
    </comment>
  </commentList>
  <extLst>
    <ext uri="GoogleSheetsCustomDataVersion2">
      <go:sheetsCustomData xmlns:go="http://customooxmlschemas.google.com/" r:id="rId1" roundtripDataSignature="AMtx7mjTUNB4hJWQgtv0fzLS5QVxnXaUvA=="/>
    </ext>
  </extLst>
</comments>
</file>

<file path=xl/sharedStrings.xml><?xml version="1.0" encoding="utf-8"?>
<sst xmlns="http://schemas.openxmlformats.org/spreadsheetml/2006/main" count="9727" uniqueCount="2019">
  <si>
    <t>Player</t>
  </si>
  <si>
    <t>Baseline:</t>
  </si>
  <si>
    <t>Team</t>
  </si>
  <si>
    <t>ATT</t>
  </si>
  <si>
    <t>CMP</t>
  </si>
  <si>
    <t>YDS</t>
  </si>
  <si>
    <t>TDS</t>
  </si>
  <si>
    <t>INTS</t>
  </si>
  <si>
    <t>FL</t>
  </si>
  <si>
    <t>FPTS</t>
  </si>
  <si>
    <t>Pa1D</t>
  </si>
  <si>
    <t>Ru1D</t>
  </si>
  <si>
    <t>LOW</t>
  </si>
  <si>
    <t>AVG</t>
  </si>
  <si>
    <t>HIGH</t>
  </si>
  <si>
    <t>LEAGUE SETTINGS &amp; SCORING INPUTS</t>
  </si>
  <si>
    <t>Â </t>
  </si>
  <si>
    <t>Josh Allen</t>
  </si>
  <si>
    <t>BUF</t>
  </si>
  <si>
    <t>PLAYER SEARCH</t>
  </si>
  <si>
    <t>INPUT YOUR LEAGUE SCORING HERE</t>
  </si>
  <si>
    <t>LEAGUE &amp; ROSTER SETTINGS</t>
  </si>
  <si>
    <t>Setting:</t>
  </si>
  <si>
    <t>Points:</t>
  </si>
  <si>
    <t>TYPE NAME HERE:</t>
  </si>
  <si>
    <t>DESCRIPTION</t>
  </si>
  <si>
    <t>#TEAMS:</t>
  </si>
  <si>
    <t>QB:</t>
  </si>
  <si>
    <t>RB:</t>
  </si>
  <si>
    <t>WR:</t>
  </si>
  <si>
    <t>TE:</t>
  </si>
  <si>
    <t>FLEX:</t>
  </si>
  <si>
    <t>QUARTERBACK</t>
  </si>
  <si>
    <t>BENCH:</t>
  </si>
  <si>
    <t>SUPERFLEX:</t>
  </si>
  <si>
    <t>RUNNING BACK</t>
  </si>
  <si>
    <t>WIDE RECEIVER</t>
  </si>
  <si>
    <t>PASSING</t>
  </si>
  <si>
    <t>Position:</t>
  </si>
  <si>
    <t>high</t>
  </si>
  <si>
    <t>PLAYER</t>
  </si>
  <si>
    <t>TIER</t>
  </si>
  <si>
    <t>Bye</t>
  </si>
  <si>
    <t>NAME</t>
  </si>
  <si>
    <t>Team/Bye</t>
  </si>
  <si>
    <t>TM/BYE</t>
  </si>
  <si>
    <t>PassINCMP</t>
  </si>
  <si>
    <t>PTS</t>
  </si>
  <si>
    <t>low</t>
  </si>
  <si>
    <t>VALUE</t>
  </si>
  <si>
    <t>Zscore Projection</t>
  </si>
  <si>
    <t>PS</t>
  </si>
  <si>
    <t>Points Per Pass Incompletion (Use a Negative, Default is 0)</t>
  </si>
  <si>
    <t>VBD</t>
  </si>
  <si>
    <t>ECR</t>
  </si>
  <si>
    <t>Auc</t>
  </si>
  <si>
    <t>DRAFT</t>
  </si>
  <si>
    <t>Tier</t>
  </si>
  <si>
    <t>Missed Games</t>
  </si>
  <si>
    <t>ADVANCED SETTINGS</t>
  </si>
  <si>
    <t>Lamar Jackson</t>
  </si>
  <si>
    <t>BAL</t>
  </si>
  <si>
    <t>Auction</t>
  </si>
  <si>
    <t>PassCMP</t>
  </si>
  <si>
    <t>Points Per Pass Completion (Default is 0)</t>
  </si>
  <si>
    <t>Snake/Auction</t>
  </si>
  <si>
    <t>Tier:</t>
  </si>
  <si>
    <t>ESTIMATED KEEPER SAVINGS</t>
  </si>
  <si>
    <t>V/R</t>
  </si>
  <si>
    <t>QBRank</t>
  </si>
  <si>
    <t>QBPts</t>
  </si>
  <si>
    <t>PassYDS</t>
  </si>
  <si>
    <t>QB</t>
  </si>
  <si>
    <t>QBTier</t>
  </si>
  <si>
    <t>Passing Yards Per 1 Point (Default is 25)</t>
  </si>
  <si>
    <t>RBRank</t>
  </si>
  <si>
    <t>RBPts</t>
  </si>
  <si>
    <t>RB</t>
  </si>
  <si>
    <t>Budget:</t>
  </si>
  <si>
    <t>RB Tier</t>
  </si>
  <si>
    <t>WRRank</t>
  </si>
  <si>
    <t>WRPts</t>
  </si>
  <si>
    <t>WR</t>
  </si>
  <si>
    <t>Est. Total Saved (Auction Keepers)</t>
  </si>
  <si>
    <t>WRTier</t>
  </si>
  <si>
    <t>TERank</t>
  </si>
  <si>
    <t>TEPts</t>
  </si>
  <si>
    <t>TE</t>
  </si>
  <si>
    <t>TETier</t>
  </si>
  <si>
    <t>QB1</t>
  </si>
  <si>
    <t>PassTDs</t>
  </si>
  <si>
    <t>Points Per Passing Touchdown (Default is 4)</t>
  </si>
  <si>
    <t>Points Per Interception (Use a Negative, Default is -2)</t>
  </si>
  <si>
    <t>Drake Maye</t>
  </si>
  <si>
    <t>NE</t>
  </si>
  <si>
    <t>SACKS</t>
  </si>
  <si>
    <t>Points Per Sack (Use a Negative, Default is 0)</t>
  </si>
  <si>
    <t>RUSHING</t>
  </si>
  <si>
    <t>RushATT</t>
  </si>
  <si>
    <t>Points Per Rush Attempt (Default is 0)</t>
  </si>
  <si>
    <t>RushYDS</t>
  </si>
  <si>
    <t>Rushing Yards Per 1 Point (Default is 10)</t>
  </si>
  <si>
    <t>RushTDS</t>
  </si>
  <si>
    <t>RB1</t>
  </si>
  <si>
    <t>Points Per Rushing Touchdown (Default is 6)</t>
  </si>
  <si>
    <t>Jayden Daniels</t>
  </si>
  <si>
    <t>WAS</t>
  </si>
  <si>
    <t>RECEIVING</t>
  </si>
  <si>
    <t>RB PPR</t>
  </si>
  <si>
    <t>RB Points Per Reception (Examples: 0 , .5 , 1)</t>
  </si>
  <si>
    <t>WR PPR</t>
  </si>
  <si>
    <t>WR Points Per Reception (Examples: 0 , .5 , 1)</t>
  </si>
  <si>
    <t>TE PPR</t>
  </si>
  <si>
    <t>TE Points Per Reception (Examples: 0 , .5 , 1)</t>
  </si>
  <si>
    <t>RecYDS</t>
  </si>
  <si>
    <t>Receiving Yards Per 1 Point (Default is 10)</t>
  </si>
  <si>
    <t>Jalen Hurts</t>
  </si>
  <si>
    <t>PHI</t>
  </si>
  <si>
    <t>WR1</t>
  </si>
  <si>
    <t>RecTDS</t>
  </si>
  <si>
    <t>Points Per Receiving Touchdown (Default is 6)</t>
  </si>
  <si>
    <t>OTHER:</t>
  </si>
  <si>
    <t>Name:</t>
  </si>
  <si>
    <t>Points Per Fumble Lost (Use a Negative, Default is -2)</t>
  </si>
  <si>
    <t>Pass1D</t>
  </si>
  <si>
    <t>Points Per Passing 1st Down (Default is 0)</t>
  </si>
  <si>
    <t>Joe Burrow</t>
  </si>
  <si>
    <t>CIN</t>
  </si>
  <si>
    <t>Rush1D</t>
  </si>
  <si>
    <t>Points Per Rushing 1st Down (Default is 0)</t>
  </si>
  <si>
    <t>TE1</t>
  </si>
  <si>
    <t>Rec1D</t>
  </si>
  <si>
    <t>Points Per Receiving 1st Down (Default is 0)</t>
  </si>
  <si>
    <t>Jaxson Dart</t>
  </si>
  <si>
    <t>NYG</t>
  </si>
  <si>
    <t>🔒  CALCULATED VALUES BELOW — DO NOT EDIT (used internally for VBD/Auction math)</t>
  </si>
  <si>
    <t>QBs:</t>
  </si>
  <si>
    <t>POINTS</t>
  </si>
  <si>
    <t>TM/BYE:</t>
  </si>
  <si>
    <t>Brock Purdy</t>
  </si>
  <si>
    <t>SF</t>
  </si>
  <si>
    <t>QB2</t>
  </si>
  <si>
    <t>RBs:</t>
  </si>
  <si>
    <t>PPR</t>
  </si>
  <si>
    <t>Trevor Lawrence</t>
  </si>
  <si>
    <t>JAC</t>
  </si>
  <si>
    <t>WRs:</t>
  </si>
  <si>
    <t>RB2</t>
  </si>
  <si>
    <t>TEs:</t>
  </si>
  <si>
    <t>Dak Prescott</t>
  </si>
  <si>
    <t>DAL</t>
  </si>
  <si>
    <t>PTS:</t>
  </si>
  <si>
    <t>WR2</t>
  </si>
  <si>
    <t>Baseline Calcs</t>
  </si>
  <si>
    <t>Patrick Mahomes II</t>
  </si>
  <si>
    <t>KC</t>
  </si>
  <si>
    <t>TE2</t>
  </si>
  <si>
    <t>Roster</t>
  </si>
  <si>
    <t>Caleb Williams</t>
  </si>
  <si>
    <t>CHI</t>
  </si>
  <si>
    <t>Flex:</t>
  </si>
  <si>
    <t>VALUE:</t>
  </si>
  <si>
    <t xml:space="preserve">Baselines: </t>
  </si>
  <si>
    <t>Justin Herbert</t>
  </si>
  <si>
    <t>LAC</t>
  </si>
  <si>
    <t>Total Dollars:</t>
  </si>
  <si>
    <t>QB3</t>
  </si>
  <si>
    <t>Total Roster:</t>
  </si>
  <si>
    <t>Premium:</t>
  </si>
  <si>
    <t>Bo Nix</t>
  </si>
  <si>
    <t>DEN</t>
  </si>
  <si>
    <t>Total VOR:</t>
  </si>
  <si>
    <t>RB3</t>
  </si>
  <si>
    <t>Premium/VOR:</t>
  </si>
  <si>
    <t>PS:</t>
  </si>
  <si>
    <t>Matthew Stafford</t>
  </si>
  <si>
    <t>LAR</t>
  </si>
  <si>
    <t>WR3</t>
  </si>
  <si>
    <t>Jared Goff</t>
  </si>
  <si>
    <t>DET</t>
  </si>
  <si>
    <t>TE3</t>
  </si>
  <si>
    <t>Tyler Shough</t>
  </si>
  <si>
    <t>NO</t>
  </si>
  <si>
    <t>ECR:</t>
  </si>
  <si>
    <t>QB4</t>
  </si>
  <si>
    <t>Baker Mayfield</t>
  </si>
  <si>
    <t>TB</t>
  </si>
  <si>
    <t>RB4</t>
  </si>
  <si>
    <t>Kyler Murray</t>
  </si>
  <si>
    <t>MIN</t>
  </si>
  <si>
    <t>Drafted?:</t>
  </si>
  <si>
    <t>WR4</t>
  </si>
  <si>
    <t>Daniel Jones</t>
  </si>
  <si>
    <t>IND</t>
  </si>
  <si>
    <t>TE4</t>
  </si>
  <si>
    <t>Malik Willis</t>
  </si>
  <si>
    <t>MIA</t>
  </si>
  <si>
    <t>QB5</t>
  </si>
  <si>
    <t>Jordan Love</t>
  </si>
  <si>
    <t>GB</t>
  </si>
  <si>
    <t>RB5</t>
  </si>
  <si>
    <t>Sam Darnold</t>
  </si>
  <si>
    <t>SEA</t>
  </si>
  <si>
    <t>WR5</t>
  </si>
  <si>
    <t>C.J. Stroud</t>
  </si>
  <si>
    <t>HOU</t>
  </si>
  <si>
    <t>TE5</t>
  </si>
  <si>
    <t>Bryce Young</t>
  </si>
  <si>
    <t>CAR</t>
  </si>
  <si>
    <t>Geno Smith</t>
  </si>
  <si>
    <t>NYJ</t>
  </si>
  <si>
    <t>QB6</t>
  </si>
  <si>
    <t>RB6</t>
  </si>
  <si>
    <t>Cam Ward</t>
  </si>
  <si>
    <t>TEN</t>
  </si>
  <si>
    <t>WR6</t>
  </si>
  <si>
    <t>Jacoby Brissett</t>
  </si>
  <si>
    <t>ARI</t>
  </si>
  <si>
    <t>TE6</t>
  </si>
  <si>
    <t>Aaron Rodgers</t>
  </si>
  <si>
    <t>PIT</t>
  </si>
  <si>
    <t>Fernando Mendoza</t>
  </si>
  <si>
    <t>LV</t>
  </si>
  <si>
    <t>QB7</t>
  </si>
  <si>
    <t>RB7</t>
  </si>
  <si>
    <t>Deshaun Watson</t>
  </si>
  <si>
    <t>CLE</t>
  </si>
  <si>
    <t>WR7</t>
  </si>
  <si>
    <t>Tua Tagovailoa</t>
  </si>
  <si>
    <t>ATL</t>
  </si>
  <si>
    <t>TE7</t>
  </si>
  <si>
    <t>Michael Penix Jr.</t>
  </si>
  <si>
    <t>Shedeur Sanders</t>
  </si>
  <si>
    <t>QB8</t>
  </si>
  <si>
    <t>Kirk Cousins</t>
  </si>
  <si>
    <t>RB8</t>
  </si>
  <si>
    <t>Ty Simpson</t>
  </si>
  <si>
    <t>WR8</t>
  </si>
  <si>
    <t>Carson Beck</t>
  </si>
  <si>
    <t>TE8</t>
  </si>
  <si>
    <t>J.J. McCarthy</t>
  </si>
  <si>
    <t>QB9</t>
  </si>
  <si>
    <t>Marcus Mariota</t>
  </si>
  <si>
    <t>RB9</t>
  </si>
  <si>
    <t>Riley Leonard</t>
  </si>
  <si>
    <t>WR9</t>
  </si>
  <si>
    <t>Justin Fields</t>
  </si>
  <si>
    <t>TE9</t>
  </si>
  <si>
    <t>Shane Buechele</t>
  </si>
  <si>
    <t>QB10</t>
  </si>
  <si>
    <t>Jameis Winston</t>
  </si>
  <si>
    <t>RB10</t>
  </si>
  <si>
    <t>Quinn Ewers</t>
  </si>
  <si>
    <t>WR10</t>
  </si>
  <si>
    <t>Tyson Bagent</t>
  </si>
  <si>
    <t>TE10</t>
  </si>
  <si>
    <t>Will Levis</t>
  </si>
  <si>
    <t>QB11</t>
  </si>
  <si>
    <t>Jake Browning</t>
  </si>
  <si>
    <t>RB11</t>
  </si>
  <si>
    <t>Jarrett Stidham</t>
  </si>
  <si>
    <t>WR11</t>
  </si>
  <si>
    <t>Davis Mills</t>
  </si>
  <si>
    <t>TE11</t>
  </si>
  <si>
    <t>Tyrod Taylor</t>
  </si>
  <si>
    <t>QB12</t>
  </si>
  <si>
    <t>Joshua Dobbs</t>
  </si>
  <si>
    <t>RB12</t>
  </si>
  <si>
    <t>Tommy DeVito</t>
  </si>
  <si>
    <t>WR12</t>
  </si>
  <si>
    <t>Tyler Huntley</t>
  </si>
  <si>
    <t>TE12</t>
  </si>
  <si>
    <t>Mac Jones</t>
  </si>
  <si>
    <t>Trey Lance</t>
  </si>
  <si>
    <t>QB13</t>
  </si>
  <si>
    <t>Anthony Richardson Sr.</t>
  </si>
  <si>
    <t>RB13</t>
  </si>
  <si>
    <t>WR13</t>
  </si>
  <si>
    <t>Joe Flacco</t>
  </si>
  <si>
    <t>TE13</t>
  </si>
  <si>
    <t>Tanner McKee</t>
  </si>
  <si>
    <t>Kenny Pickett</t>
  </si>
  <si>
    <t>QB14</t>
  </si>
  <si>
    <t>Spencer Rattler</t>
  </si>
  <si>
    <t>RB14</t>
  </si>
  <si>
    <t>Sam Howell</t>
  </si>
  <si>
    <t>WR14</t>
  </si>
  <si>
    <t>TE14</t>
  </si>
  <si>
    <t>Drew Lock</t>
  </si>
  <si>
    <t>Andy Dalton</t>
  </si>
  <si>
    <t>QB15</t>
  </si>
  <si>
    <t>Nick Mullens</t>
  </si>
  <si>
    <t>RB15</t>
  </si>
  <si>
    <t>Chris Oladokun</t>
  </si>
  <si>
    <t>WR15</t>
  </si>
  <si>
    <t>Gardner Minshew II</t>
  </si>
  <si>
    <t>TE15</t>
  </si>
  <si>
    <t>Behren Morton</t>
  </si>
  <si>
    <t>QB16</t>
  </si>
  <si>
    <t>Cade Klubnik</t>
  </si>
  <si>
    <t>RB16</t>
  </si>
  <si>
    <t>Drew Allar</t>
  </si>
  <si>
    <t>WR16</t>
  </si>
  <si>
    <t>Adrian Martinez</t>
  </si>
  <si>
    <t>TE16</t>
  </si>
  <si>
    <t>Garrett Nussmeier</t>
  </si>
  <si>
    <t>QB17</t>
  </si>
  <si>
    <t>Cole Payton</t>
  </si>
  <si>
    <t>RB17</t>
  </si>
  <si>
    <t>Jalen Milroe</t>
  </si>
  <si>
    <t>WR17</t>
  </si>
  <si>
    <t>Kyle Allen</t>
  </si>
  <si>
    <t>TE17</t>
  </si>
  <si>
    <t>Mitchell Trubisky</t>
  </si>
  <si>
    <t>Joe Milton III</t>
  </si>
  <si>
    <t>QB18</t>
  </si>
  <si>
    <t>Will Howard</t>
  </si>
  <si>
    <t>RB18</t>
  </si>
  <si>
    <t>Mason Rudolph</t>
  </si>
  <si>
    <t>WR18</t>
  </si>
  <si>
    <t>TE18</t>
  </si>
  <si>
    <t>Brady Cook</t>
  </si>
  <si>
    <t>Josh Johnson</t>
  </si>
  <si>
    <t>QB19</t>
  </si>
  <si>
    <t>Stetson Bennett IV</t>
  </si>
  <si>
    <t>RB19</t>
  </si>
  <si>
    <t>Aidan O'Connell</t>
  </si>
  <si>
    <t>TIGHT END</t>
  </si>
  <si>
    <t>WR19</t>
  </si>
  <si>
    <t>TE19</t>
  </si>
  <si>
    <t>QB20</t>
  </si>
  <si>
    <t>RB20</t>
  </si>
  <si>
    <t>WR20</t>
  </si>
  <si>
    <t>TE20</t>
  </si>
  <si>
    <t>QB21</t>
  </si>
  <si>
    <t>RB21</t>
  </si>
  <si>
    <t>WR21</t>
  </si>
  <si>
    <t>TE21</t>
  </si>
  <si>
    <t>QB22</t>
  </si>
  <si>
    <t>RB22</t>
  </si>
  <si>
    <t>WR22</t>
  </si>
  <si>
    <t>TE22</t>
  </si>
  <si>
    <t>QB23</t>
  </si>
  <si>
    <t>RB23</t>
  </si>
  <si>
    <t>WR23</t>
  </si>
  <si>
    <t>TE23</t>
  </si>
  <si>
    <t>QB24</t>
  </si>
  <si>
    <t>RB24</t>
  </si>
  <si>
    <t>WR24</t>
  </si>
  <si>
    <t>TE24</t>
  </si>
  <si>
    <t>QB25</t>
  </si>
  <si>
    <t>RB25</t>
  </si>
  <si>
    <t>WR25</t>
  </si>
  <si>
    <t>TE25</t>
  </si>
  <si>
    <t>QB26</t>
  </si>
  <si>
    <t>RB26</t>
  </si>
  <si>
    <t>WR26</t>
  </si>
  <si>
    <t>TE26</t>
  </si>
  <si>
    <t>QB27</t>
  </si>
  <si>
    <t>RB27</t>
  </si>
  <si>
    <t>WR27</t>
  </si>
  <si>
    <t>TE27</t>
  </si>
  <si>
    <t>QB28</t>
  </si>
  <si>
    <t>RB28</t>
  </si>
  <si>
    <t>WR28</t>
  </si>
  <si>
    <t>TE28</t>
  </si>
  <si>
    <t>QB29</t>
  </si>
  <si>
    <t>RB29</t>
  </si>
  <si>
    <t>WR29</t>
  </si>
  <si>
    <t>TE29</t>
  </si>
  <si>
    <t>QB30</t>
  </si>
  <si>
    <t>RB30</t>
  </si>
  <si>
    <t>WR30</t>
  </si>
  <si>
    <t>TE30</t>
  </si>
  <si>
    <t>QB31</t>
  </si>
  <si>
    <t>RB31</t>
  </si>
  <si>
    <t>WR31</t>
  </si>
  <si>
    <t>TE31</t>
  </si>
  <si>
    <t>QB32</t>
  </si>
  <si>
    <t>RB32</t>
  </si>
  <si>
    <t>WR32</t>
  </si>
  <si>
    <t>TE32</t>
  </si>
  <si>
    <t>QB33</t>
  </si>
  <si>
    <t>RB33</t>
  </si>
  <si>
    <t>REC</t>
  </si>
  <si>
    <t>WR33</t>
  </si>
  <si>
    <t>Jahmyr Gibbs</t>
  </si>
  <si>
    <t>TE33</t>
  </si>
  <si>
    <t>Bijan Robinson</t>
  </si>
  <si>
    <t>QB34</t>
  </si>
  <si>
    <t>Christian McCaffrey</t>
  </si>
  <si>
    <t>RB34</t>
  </si>
  <si>
    <t>Jonathan Taylor</t>
  </si>
  <si>
    <t>WR34</t>
  </si>
  <si>
    <t>TE34</t>
  </si>
  <si>
    <t>De'Von Achane</t>
  </si>
  <si>
    <t>Chase Brown</t>
  </si>
  <si>
    <t>QB35</t>
  </si>
  <si>
    <t>Derrick Henry</t>
  </si>
  <si>
    <t>RB35</t>
  </si>
  <si>
    <t>WR35</t>
  </si>
  <si>
    <t>James Cook III</t>
  </si>
  <si>
    <t>TE35</t>
  </si>
  <si>
    <t>Saquon Barkley</t>
  </si>
  <si>
    <t>QB36</t>
  </si>
  <si>
    <t>Ashton Jeanty</t>
  </si>
  <si>
    <t>RB36</t>
  </si>
  <si>
    <t>Kenneth Walker III</t>
  </si>
  <si>
    <t>WR36</t>
  </si>
  <si>
    <t>Jeremiyah Love</t>
  </si>
  <si>
    <t>TE36</t>
  </si>
  <si>
    <t>Omarion Hampton</t>
  </si>
  <si>
    <t>QB37</t>
  </si>
  <si>
    <t>Josh Jacobs</t>
  </si>
  <si>
    <t>RB37</t>
  </si>
  <si>
    <t>Breece Hall</t>
  </si>
  <si>
    <t>WR37</t>
  </si>
  <si>
    <t>TE37</t>
  </si>
  <si>
    <t>Kyren Williams</t>
  </si>
  <si>
    <t>Travis Etienne Jr.</t>
  </si>
  <si>
    <t>QB38</t>
  </si>
  <si>
    <t>RB38</t>
  </si>
  <si>
    <t>Cam Skattebo</t>
  </si>
  <si>
    <t>WR38</t>
  </si>
  <si>
    <t>Javonte Williams</t>
  </si>
  <si>
    <t>TE38</t>
  </si>
  <si>
    <t>Bucky Irving</t>
  </si>
  <si>
    <t>QB39</t>
  </si>
  <si>
    <t>D'Andre Swift</t>
  </si>
  <si>
    <t>RB39</t>
  </si>
  <si>
    <t>Quinshon Judkins</t>
  </si>
  <si>
    <t>WR39</t>
  </si>
  <si>
    <t>Bhayshul Tuten</t>
  </si>
  <si>
    <t>TE39</t>
  </si>
  <si>
    <t>David Montgomery</t>
  </si>
  <si>
    <t>QB40</t>
  </si>
  <si>
    <t>Jaylen Warren</t>
  </si>
  <si>
    <t>RB40</t>
  </si>
  <si>
    <t>TreVeyon Henderson</t>
  </si>
  <si>
    <t>WR40</t>
  </si>
  <si>
    <t>TE40</t>
  </si>
  <si>
    <t>Rhamondre Stevenson</t>
  </si>
  <si>
    <t>Jadarian Price</t>
  </si>
  <si>
    <t>QB41</t>
  </si>
  <si>
    <t>RB41</t>
  </si>
  <si>
    <t>Tony Pollard</t>
  </si>
  <si>
    <t>WR41</t>
  </si>
  <si>
    <t>Rico Dowdle</t>
  </si>
  <si>
    <t>TE41</t>
  </si>
  <si>
    <t>J.K. Dobbins</t>
  </si>
  <si>
    <t>QB42</t>
  </si>
  <si>
    <t>Chuba Hubbard</t>
  </si>
  <si>
    <t>RB42</t>
  </si>
  <si>
    <t>Kenny Gainwell</t>
  </si>
  <si>
    <t>WR42</t>
  </si>
  <si>
    <t>Jonathon Brooks</t>
  </si>
  <si>
    <t>TE42</t>
  </si>
  <si>
    <t>RJ Harvey</t>
  </si>
  <si>
    <t>QB43</t>
  </si>
  <si>
    <t>Rachaad White</t>
  </si>
  <si>
    <t>RB43</t>
  </si>
  <si>
    <t>Aaron Jones Sr.</t>
  </si>
  <si>
    <t>WR43</t>
  </si>
  <si>
    <t>TE43</t>
  </si>
  <si>
    <t>Kyle Monangai</t>
  </si>
  <si>
    <t>Jacory Croskey-Merritt</t>
  </si>
  <si>
    <t>QB44</t>
  </si>
  <si>
    <t>RB44</t>
  </si>
  <si>
    <t>Jordan Mason</t>
  </si>
  <si>
    <t>WR44</t>
  </si>
  <si>
    <t>Blake Corum</t>
  </si>
  <si>
    <t>TE44</t>
  </si>
  <si>
    <t>Tyjae Spears</t>
  </si>
  <si>
    <t>QB45</t>
  </si>
  <si>
    <t>Woody Marks</t>
  </si>
  <si>
    <t>RB45</t>
  </si>
  <si>
    <t>Zach Charbonnet</t>
  </si>
  <si>
    <t>WR45</t>
  </si>
  <si>
    <t>Alvin Kamara</t>
  </si>
  <si>
    <t>TE45</t>
  </si>
  <si>
    <t>Isiah Pacheco</t>
  </si>
  <si>
    <t>QB46</t>
  </si>
  <si>
    <t>Justice Hill</t>
  </si>
  <si>
    <t>RB46</t>
  </si>
  <si>
    <t>Dylan Sampson</t>
  </si>
  <si>
    <t>WR46</t>
  </si>
  <si>
    <t>Tyrone Tracy Jr.</t>
  </si>
  <si>
    <t>TE46</t>
  </si>
  <si>
    <t>Mike Washington Jr.</t>
  </si>
  <si>
    <t>QB47</t>
  </si>
  <si>
    <t>AJ Dillon</t>
  </si>
  <si>
    <t>RB47</t>
  </si>
  <si>
    <t>WR47</t>
  </si>
  <si>
    <t>Tyler Allgeier</t>
  </si>
  <si>
    <t>TE47</t>
  </si>
  <si>
    <t>Braelon Allen</t>
  </si>
  <si>
    <t>Samaje Perine</t>
  </si>
  <si>
    <t>QB48</t>
  </si>
  <si>
    <t>RB48</t>
  </si>
  <si>
    <t>Chris Rodriguez Jr.</t>
  </si>
  <si>
    <t>WR48</t>
  </si>
  <si>
    <t>Ty Johnson</t>
  </si>
  <si>
    <t>TE48</t>
  </si>
  <si>
    <t>Kaelon Black</t>
  </si>
  <si>
    <t>RB49</t>
  </si>
  <si>
    <t>Brian Robinson Jr.</t>
  </si>
  <si>
    <t>WR49</t>
  </si>
  <si>
    <t>Keaton Mitchell</t>
  </si>
  <si>
    <t>TE49</t>
  </si>
  <si>
    <t>Emari Demercado</t>
  </si>
  <si>
    <t>Tank Bigsby</t>
  </si>
  <si>
    <t>RB50</t>
  </si>
  <si>
    <t>Jordan James</t>
  </si>
  <si>
    <t>WR50</t>
  </si>
  <si>
    <t>TE50</t>
  </si>
  <si>
    <t>Jonah Coleman</t>
  </si>
  <si>
    <t>Adam Randall</t>
  </si>
  <si>
    <t>RB51</t>
  </si>
  <si>
    <t>WR51</t>
  </si>
  <si>
    <t>Chris Brooks</t>
  </si>
  <si>
    <t>TE51</t>
  </si>
  <si>
    <t>James Conner</t>
  </si>
  <si>
    <t>RB52</t>
  </si>
  <si>
    <t>Najee Harris</t>
  </si>
  <si>
    <t>WR52</t>
  </si>
  <si>
    <t>Kimani Vidal</t>
  </si>
  <si>
    <t>TE52</t>
  </si>
  <si>
    <t>Kyle Juszczyk</t>
  </si>
  <si>
    <t>RB53</t>
  </si>
  <si>
    <t>Jaydon Blue</t>
  </si>
  <si>
    <t>WR53</t>
  </si>
  <si>
    <t>TE53</t>
  </si>
  <si>
    <t>MarShawn Lloyd</t>
  </si>
  <si>
    <t>RB54</t>
  </si>
  <si>
    <t>Emanuel Wilson</t>
  </si>
  <si>
    <t>WR54</t>
  </si>
  <si>
    <t>Jaylen Wright</t>
  </si>
  <si>
    <t>TE54</t>
  </si>
  <si>
    <t>RB55</t>
  </si>
  <si>
    <t>Jawhar Jordan</t>
  </si>
  <si>
    <t>WR55</t>
  </si>
  <si>
    <t>Malik Davis</t>
  </si>
  <si>
    <t>TE55</t>
  </si>
  <si>
    <t>LeQuint Allen Jr.</t>
  </si>
  <si>
    <t>RB56</t>
  </si>
  <si>
    <t>Isaiah Davis</t>
  </si>
  <si>
    <t>WR56</t>
  </si>
  <si>
    <t>George Holani</t>
  </si>
  <si>
    <t>TE56</t>
  </si>
  <si>
    <t>RB57</t>
  </si>
  <si>
    <t>Ty Chandler</t>
  </si>
  <si>
    <t>WR57</t>
  </si>
  <si>
    <t>Puka Nacua</t>
  </si>
  <si>
    <t>Trayveon Williams</t>
  </si>
  <si>
    <t>TE57</t>
  </si>
  <si>
    <t>Ray Davis</t>
  </si>
  <si>
    <t>Ja'Marr Chase</t>
  </si>
  <si>
    <t>RB58</t>
  </si>
  <si>
    <t>DJ Giddens</t>
  </si>
  <si>
    <t>Jaxon Smith-Njigba</t>
  </si>
  <si>
    <t>WR58</t>
  </si>
  <si>
    <t>Emmett Johnson</t>
  </si>
  <si>
    <t>TE58</t>
  </si>
  <si>
    <t>Amon-Ra St. Brown</t>
  </si>
  <si>
    <t>Frank Gore Jr.</t>
  </si>
  <si>
    <t>RB59</t>
  </si>
  <si>
    <t>Drake London</t>
  </si>
  <si>
    <t>WR59</t>
  </si>
  <si>
    <t>Ollie Gordon II</t>
  </si>
  <si>
    <t>Rashee Rice</t>
  </si>
  <si>
    <t>TE59</t>
  </si>
  <si>
    <t>Roschon Johnson</t>
  </si>
  <si>
    <t>CeeDee Lamb</t>
  </si>
  <si>
    <t>RB60</t>
  </si>
  <si>
    <t>Brashard Smith</t>
  </si>
  <si>
    <t>Justin Jefferson</t>
  </si>
  <si>
    <t>WR60</t>
  </si>
  <si>
    <t>Sean Tucker</t>
  </si>
  <si>
    <t>TE60</t>
  </si>
  <si>
    <t>Chris Olave</t>
  </si>
  <si>
    <t>Phil Mafah</t>
  </si>
  <si>
    <t>A.J. Brown</t>
  </si>
  <si>
    <t>RB61</t>
  </si>
  <si>
    <t>Will Shipley</t>
  </si>
  <si>
    <t>George Pickens</t>
  </si>
  <si>
    <t>WR61</t>
  </si>
  <si>
    <t>Jam Miller</t>
  </si>
  <si>
    <t>Nico Collins</t>
  </si>
  <si>
    <t>TE61</t>
  </si>
  <si>
    <t>Hunter Luepke</t>
  </si>
  <si>
    <t>RB62</t>
  </si>
  <si>
    <t>Garrett Wilson</t>
  </si>
  <si>
    <t>WR62</t>
  </si>
  <si>
    <t>Salvon Ahmed</t>
  </si>
  <si>
    <t>Zay Flowers</t>
  </si>
  <si>
    <t>TE62</t>
  </si>
  <si>
    <t>Seth McGowan</t>
  </si>
  <si>
    <t>Malik Nabers</t>
  </si>
  <si>
    <t>RB63</t>
  </si>
  <si>
    <t>Israel Abanikanda</t>
  </si>
  <si>
    <t>DeVonta Smith</t>
  </si>
  <si>
    <t>WR63</t>
  </si>
  <si>
    <t>Carlos Washington Jr.</t>
  </si>
  <si>
    <t>TE63</t>
  </si>
  <si>
    <t>Tetairoa McMillan</t>
  </si>
  <si>
    <t>RB64</t>
  </si>
  <si>
    <t>Kendre Miller</t>
  </si>
  <si>
    <t>Emeka Egbuka</t>
  </si>
  <si>
    <t>WR64</t>
  </si>
  <si>
    <t>Dameon Pierce</t>
  </si>
  <si>
    <t>Davante Adams</t>
  </si>
  <si>
    <t>TE64</t>
  </si>
  <si>
    <t>Tee Higgins</t>
  </si>
  <si>
    <t>Deuce Vaughn</t>
  </si>
  <si>
    <t>RB65</t>
  </si>
  <si>
    <t>Ladd McConkey</t>
  </si>
  <si>
    <t>WR65</t>
  </si>
  <si>
    <t>Kaytron Allen</t>
  </si>
  <si>
    <t>TE65</t>
  </si>
  <si>
    <t>Jameson Williams</t>
  </si>
  <si>
    <t>Demond Claiborne</t>
  </si>
  <si>
    <t>RB66</t>
  </si>
  <si>
    <t>Jaylen Waddle</t>
  </si>
  <si>
    <t>Nicholas Singleton</t>
  </si>
  <si>
    <t>WR66</t>
  </si>
  <si>
    <t>Terry McLaurin</t>
  </si>
  <si>
    <t>TE66</t>
  </si>
  <si>
    <t>Devin Neal</t>
  </si>
  <si>
    <t>DJ Moore</t>
  </si>
  <si>
    <t>RB67</t>
  </si>
  <si>
    <t>Jerome Ford</t>
  </si>
  <si>
    <t>WR67</t>
  </si>
  <si>
    <t>Luther Burden III</t>
  </si>
  <si>
    <t>Tahj Brooks</t>
  </si>
  <si>
    <t>TE67</t>
  </si>
  <si>
    <t>Rome Odunze</t>
  </si>
  <si>
    <t>Michael Burton</t>
  </si>
  <si>
    <t>RB68</t>
  </si>
  <si>
    <t>Mike Evans</t>
  </si>
  <si>
    <t>WR68</t>
  </si>
  <si>
    <t>Alec Ingold</t>
  </si>
  <si>
    <t>Marvin Harrison Jr.</t>
  </si>
  <si>
    <t>TE68</t>
  </si>
  <si>
    <t>Isaac Guerendo</t>
  </si>
  <si>
    <t>Courtland Sutton</t>
  </si>
  <si>
    <t>RB69</t>
  </si>
  <si>
    <t>Andrew Beck</t>
  </si>
  <si>
    <t>WR69</t>
  </si>
  <si>
    <t>Christian Watson</t>
  </si>
  <si>
    <t>TE69</t>
  </si>
  <si>
    <t>Trevor Etienne</t>
  </si>
  <si>
    <t>DK Metcalf</t>
  </si>
  <si>
    <t>RB70</t>
  </si>
  <si>
    <t>Adam Prentice</t>
  </si>
  <si>
    <t>Alec Pierce</t>
  </si>
  <si>
    <t>WR70</t>
  </si>
  <si>
    <t>Michael Pittman Jr.</t>
  </si>
  <si>
    <t>Connor Heyward</t>
  </si>
  <si>
    <t>TE70</t>
  </si>
  <si>
    <t>RB71</t>
  </si>
  <si>
    <t>Parker Washington</t>
  </si>
  <si>
    <t>Max Bredeson</t>
  </si>
  <si>
    <t>WR71</t>
  </si>
  <si>
    <t>Brian Thomas Jr.</t>
  </si>
  <si>
    <t>Riley Nowakowski</t>
  </si>
  <si>
    <t>TE71</t>
  </si>
  <si>
    <t>Wan'Dale Robinson</t>
  </si>
  <si>
    <t>Reggie Gilliam</t>
  </si>
  <si>
    <t>RB72</t>
  </si>
  <si>
    <t>Jakobi Meyers</t>
  </si>
  <si>
    <t>WR72</t>
  </si>
  <si>
    <t>Patrick Ricard</t>
  </si>
  <si>
    <t>TE72</t>
  </si>
  <si>
    <t>Carnell Tate</t>
  </si>
  <si>
    <t>Kaleb Johnson</t>
  </si>
  <si>
    <t>RB73</t>
  </si>
  <si>
    <t>Michael Wilson</t>
  </si>
  <si>
    <t>British Brooks</t>
  </si>
  <si>
    <t>WR73</t>
  </si>
  <si>
    <t>Jayden Reed</t>
  </si>
  <si>
    <t>TE73</t>
  </si>
  <si>
    <t>Devin Singletary</t>
  </si>
  <si>
    <t>RB74</t>
  </si>
  <si>
    <t>Chris Godwin Jr.</t>
  </si>
  <si>
    <t>DeeJay Dallas</t>
  </si>
  <si>
    <t>WR74</t>
  </si>
  <si>
    <t>Quentin Johnston</t>
  </si>
  <si>
    <t>Kene Nwangwu</t>
  </si>
  <si>
    <t>TE74</t>
  </si>
  <si>
    <t>Jordan Addison</t>
  </si>
  <si>
    <t>Tyler Badie</t>
  </si>
  <si>
    <t>RB75</t>
  </si>
  <si>
    <t>WR75</t>
  </si>
  <si>
    <t>Deebo Samuel Sr.</t>
  </si>
  <si>
    <t>Bam Knight</t>
  </si>
  <si>
    <t>TE75</t>
  </si>
  <si>
    <t>Xavier Worthy</t>
  </si>
  <si>
    <t>Trey Benson</t>
  </si>
  <si>
    <t>RB76</t>
  </si>
  <si>
    <t>Stefon Diggs</t>
  </si>
  <si>
    <t>Jacob Saylors</t>
  </si>
  <si>
    <t>WR76</t>
  </si>
  <si>
    <t>Khalil Shakir</t>
  </si>
  <si>
    <t>TE76</t>
  </si>
  <si>
    <t>Zavier Scott</t>
  </si>
  <si>
    <t>RB77</t>
  </si>
  <si>
    <t>Josh Downs</t>
  </si>
  <si>
    <t>Rasheen Ali</t>
  </si>
  <si>
    <t>WR77</t>
  </si>
  <si>
    <t>Romeo Doubs</t>
  </si>
  <si>
    <t>Dylan Laube</t>
  </si>
  <si>
    <t>TE77</t>
  </si>
  <si>
    <t>Matthew Golden</t>
  </si>
  <si>
    <t>Chris Collier</t>
  </si>
  <si>
    <t>RB78</t>
  </si>
  <si>
    <t>KC Concepcion</t>
  </si>
  <si>
    <t>WR78</t>
  </si>
  <si>
    <t>Josh Williams</t>
  </si>
  <si>
    <t>TE78</t>
  </si>
  <si>
    <t>Jalen Coker</t>
  </si>
  <si>
    <t>RB79</t>
  </si>
  <si>
    <t>Rashid Shaheed</t>
  </si>
  <si>
    <t>WR79</t>
  </si>
  <si>
    <t>Denzel Boston</t>
  </si>
  <si>
    <t>TE79</t>
  </si>
  <si>
    <t>Makai Lemon</t>
  </si>
  <si>
    <t>RB80</t>
  </si>
  <si>
    <t>WR80</t>
  </si>
  <si>
    <t>De'Zhaun Stribling</t>
  </si>
  <si>
    <t>TE80</t>
  </si>
  <si>
    <t>Calvin Ridley</t>
  </si>
  <si>
    <t>RB81</t>
  </si>
  <si>
    <t>Tank Dell</t>
  </si>
  <si>
    <t>WR81</t>
  </si>
  <si>
    <t>Trey McBride</t>
  </si>
  <si>
    <t>TE81</t>
  </si>
  <si>
    <t>Brock Bowers</t>
  </si>
  <si>
    <t>Jerry Jeudy</t>
  </si>
  <si>
    <t>Colston Loveland</t>
  </si>
  <si>
    <t>RB82</t>
  </si>
  <si>
    <t>Tyler Warren</t>
  </si>
  <si>
    <t>Tre Tucker</t>
  </si>
  <si>
    <t>Harold Fannin Jr.</t>
  </si>
  <si>
    <t>WR82</t>
  </si>
  <si>
    <t>Kyle Pitts Sr.</t>
  </si>
  <si>
    <t>Keenan Allen</t>
  </si>
  <si>
    <t>TE82</t>
  </si>
  <si>
    <t>Sam LaPorta</t>
  </si>
  <si>
    <t>Travis Kelce</t>
  </si>
  <si>
    <t>Rashod Bateman</t>
  </si>
  <si>
    <t>RB83</t>
  </si>
  <si>
    <t>George Kittle</t>
  </si>
  <si>
    <t>Dallas Goedert</t>
  </si>
  <si>
    <t>WR83</t>
  </si>
  <si>
    <t>Jauan Jennings</t>
  </si>
  <si>
    <t>Tucker Kraft</t>
  </si>
  <si>
    <t>TE83</t>
  </si>
  <si>
    <t>Jake Ferguson</t>
  </si>
  <si>
    <t>Jalen McMillan</t>
  </si>
  <si>
    <t>Mark Andrews</t>
  </si>
  <si>
    <t>RB84</t>
  </si>
  <si>
    <t>Isaiah Likely</t>
  </si>
  <si>
    <t>Jalen Nailor</t>
  </si>
  <si>
    <t>Dalton Kincaid</t>
  </si>
  <si>
    <t>WR84</t>
  </si>
  <si>
    <t>Juwan Johnson</t>
  </si>
  <si>
    <t>Devaughn Vele</t>
  </si>
  <si>
    <t>TE84</t>
  </si>
  <si>
    <t>Hunter Henry</t>
  </si>
  <si>
    <t>Brenton Strange</t>
  </si>
  <si>
    <t>RB85</t>
  </si>
  <si>
    <t>Ja'Kobi Lane</t>
  </si>
  <si>
    <t>Dalton Schultz</t>
  </si>
  <si>
    <t>T.J. Hockenson</t>
  </si>
  <si>
    <t>WR85</t>
  </si>
  <si>
    <t>Cooper Kupp</t>
  </si>
  <si>
    <t>Pat Freiermuth</t>
  </si>
  <si>
    <t>TE85</t>
  </si>
  <si>
    <t>Greg Dulcich</t>
  </si>
  <si>
    <t>Cade Otton</t>
  </si>
  <si>
    <t>Adonai Mitchell</t>
  </si>
  <si>
    <t>RB86</t>
  </si>
  <si>
    <t>Kenyon Sadiq</t>
  </si>
  <si>
    <t>Chig Okonkwo</t>
  </si>
  <si>
    <t>WR86</t>
  </si>
  <si>
    <t>Malik Washington</t>
  </si>
  <si>
    <t>AJ Barner</t>
  </si>
  <si>
    <t>Terrance Ferguson</t>
  </si>
  <si>
    <t>TE86</t>
  </si>
  <si>
    <t>Travis Hunter</t>
  </si>
  <si>
    <t>Evan Engram</t>
  </si>
  <si>
    <t>RB87</t>
  </si>
  <si>
    <t>Darren Waller</t>
  </si>
  <si>
    <t>Jaylin Noel</t>
  </si>
  <si>
    <t>Gunnar Helm</t>
  </si>
  <si>
    <t>David Njoku</t>
  </si>
  <si>
    <t>WR87</t>
  </si>
  <si>
    <t>Mike Gesicki</t>
  </si>
  <si>
    <t>Kayshon Boutte</t>
  </si>
  <si>
    <t>Oronde Gadsden II</t>
  </si>
  <si>
    <t>TE87</t>
  </si>
  <si>
    <t>Mason Taylor</t>
  </si>
  <si>
    <t>Germie Bernard</t>
  </si>
  <si>
    <t>Colby Parkinson</t>
  </si>
  <si>
    <t>RB88</t>
  </si>
  <si>
    <t>Michael Mayer</t>
  </si>
  <si>
    <t>Dontayvion Wicks</t>
  </si>
  <si>
    <t>WR88</t>
  </si>
  <si>
    <t>Dawson Knox</t>
  </si>
  <si>
    <t>Theo Johnson</t>
  </si>
  <si>
    <t>TE88</t>
  </si>
  <si>
    <t>Jordyn Tyson</t>
  </si>
  <si>
    <t>Darnell Washington</t>
  </si>
  <si>
    <t>Tyler Higbee</t>
  </si>
  <si>
    <t>RB89</t>
  </si>
  <si>
    <t>Bub Means</t>
  </si>
  <si>
    <t>Erick All Jr.</t>
  </si>
  <si>
    <t>Cole Kmet</t>
  </si>
  <si>
    <t>WR89</t>
  </si>
  <si>
    <t>Noah Fant</t>
  </si>
  <si>
    <t>Caleb Douglas</t>
  </si>
  <si>
    <t>TE89</t>
  </si>
  <si>
    <t>Will Kacmarek</t>
  </si>
  <si>
    <t>Elijah Arroyo</t>
  </si>
  <si>
    <t>Antonio Williams</t>
  </si>
  <si>
    <t>RB90</t>
  </si>
  <si>
    <t>Charlie Kolar</t>
  </si>
  <si>
    <t>Brock Wright</t>
  </si>
  <si>
    <t>WR90</t>
  </si>
  <si>
    <t>Troy Franklin</t>
  </si>
  <si>
    <t>Josh Oliver</t>
  </si>
  <si>
    <t>Daniel Bellinger</t>
  </si>
  <si>
    <t>TE90</t>
  </si>
  <si>
    <t>Darius Slayton</t>
  </si>
  <si>
    <t>Austin Hooper</t>
  </si>
  <si>
    <t>RB91</t>
  </si>
  <si>
    <t>Noah Gray</t>
  </si>
  <si>
    <t>Eli Stowers</t>
  </si>
  <si>
    <t>Tory Horton</t>
  </si>
  <si>
    <t>WR91</t>
  </si>
  <si>
    <t>Tommy Tremble</t>
  </si>
  <si>
    <t>Jake Tonges</t>
  </si>
  <si>
    <t>TE91</t>
  </si>
  <si>
    <t>Chris Bell</t>
  </si>
  <si>
    <t>Adam Trautman</t>
  </si>
  <si>
    <t>RB92</t>
  </si>
  <si>
    <t>Luke Musgrave</t>
  </si>
  <si>
    <t>Xavier Legette</t>
  </si>
  <si>
    <t>Eli Raridon</t>
  </si>
  <si>
    <t>WR92</t>
  </si>
  <si>
    <t>Ja'Tavion Sanders</t>
  </si>
  <si>
    <t>Omar Cooper Jr.</t>
  </si>
  <si>
    <t>Elijah Higgins</t>
  </si>
  <si>
    <t>TE92</t>
  </si>
  <si>
    <t>Ben Sims</t>
  </si>
  <si>
    <t>Tyquan Thornton</t>
  </si>
  <si>
    <t>Marlin Klein</t>
  </si>
  <si>
    <t>RB93</t>
  </si>
  <si>
    <t>Davis Allen</t>
  </si>
  <si>
    <t>WR93</t>
  </si>
  <si>
    <t>John Bates</t>
  </si>
  <si>
    <t>Jahan Dotson</t>
  </si>
  <si>
    <t>Jeremy Ruckert</t>
  </si>
  <si>
    <t>TE93</t>
  </si>
  <si>
    <t>Drew Sample</t>
  </si>
  <si>
    <t>Xavier Hutchinson</t>
  </si>
  <si>
    <t>RB94</t>
  </si>
  <si>
    <t>Nate Boerkircher</t>
  </si>
  <si>
    <t>Tre' Harris</t>
  </si>
  <si>
    <t>WR94</t>
  </si>
  <si>
    <t>Cade Stover</t>
  </si>
  <si>
    <t>Nate Adkins</t>
  </si>
  <si>
    <t>TE94</t>
  </si>
  <si>
    <t>Christian Kirk</t>
  </si>
  <si>
    <t>Nick Vannett</t>
  </si>
  <si>
    <t>RB95</t>
  </si>
  <si>
    <t>Jack Endries</t>
  </si>
  <si>
    <t>Ryan Flournoy</t>
  </si>
  <si>
    <t>Luke Schoonmaker</t>
  </si>
  <si>
    <t>WR95</t>
  </si>
  <si>
    <t>Ben Sinnott</t>
  </si>
  <si>
    <t>Jalen Tolbert</t>
  </si>
  <si>
    <t>Zack Kuntz</t>
  </si>
  <si>
    <t>TE95</t>
  </si>
  <si>
    <t>Jackson Hawes</t>
  </si>
  <si>
    <t>Isaac TeSlaa</t>
  </si>
  <si>
    <t>Hayden Rucci</t>
  </si>
  <si>
    <t>RB96</t>
  </si>
  <si>
    <t>Will Mallory</t>
  </si>
  <si>
    <t>Tanner Hudson</t>
  </si>
  <si>
    <t>WR96</t>
  </si>
  <si>
    <t>Malik Benson</t>
  </si>
  <si>
    <t>Cam Grandy</t>
  </si>
  <si>
    <t>Grant Calcaterra</t>
  </si>
  <si>
    <t>TE96</t>
  </si>
  <si>
    <t>Ted Hurst III</t>
  </si>
  <si>
    <t>Dallen Bentley</t>
  </si>
  <si>
    <t>RB97</t>
  </si>
  <si>
    <t>Charlie Woerner</t>
  </si>
  <si>
    <t>Hollywood Brown</t>
  </si>
  <si>
    <t>Bauer Sharp</t>
  </si>
  <si>
    <t>WR97</t>
  </si>
  <si>
    <t>Zaire Mitchell-Paden</t>
  </si>
  <si>
    <t>Zachariah Branch</t>
  </si>
  <si>
    <t>Foster Moreau</t>
  </si>
  <si>
    <t>TE97</t>
  </si>
  <si>
    <t>Mo Alie-Cox</t>
  </si>
  <si>
    <t>Tanner Conner</t>
  </si>
  <si>
    <t>Andrei Iosivas</t>
  </si>
  <si>
    <t>RB98</t>
  </si>
  <si>
    <t>Jaheim Bell</t>
  </si>
  <si>
    <t>Drake Dabney</t>
  </si>
  <si>
    <t>WR98</t>
  </si>
  <si>
    <t>Elic Ayomanor</t>
  </si>
  <si>
    <t>Seydou Traore</t>
  </si>
  <si>
    <t>TE98</t>
  </si>
  <si>
    <t>Durham Smythe</t>
  </si>
  <si>
    <t>Chimere Dike</t>
  </si>
  <si>
    <t>Oscar Delp</t>
  </si>
  <si>
    <t>RB99</t>
  </si>
  <si>
    <t>Mitchell Evans</t>
  </si>
  <si>
    <t>Keon Coleman</t>
  </si>
  <si>
    <t>Payne Durham</t>
  </si>
  <si>
    <t>WR99</t>
  </si>
  <si>
    <t>Max Klare</t>
  </si>
  <si>
    <t>Justin Joly</t>
  </si>
  <si>
    <t>TE99</t>
  </si>
  <si>
    <t>Pat Bryant</t>
  </si>
  <si>
    <t>Brevyn Spann-Ford</t>
  </si>
  <si>
    <t>RB100</t>
  </si>
  <si>
    <t>Tanner Koziol</t>
  </si>
  <si>
    <t>Joshua Palmer</t>
  </si>
  <si>
    <t>Sam Roush</t>
  </si>
  <si>
    <t>WR100</t>
  </si>
  <si>
    <t>Devin Culp</t>
  </si>
  <si>
    <t>Marvin Mims Jr.</t>
  </si>
  <si>
    <t>Joe Royer</t>
  </si>
  <si>
    <t>TE100</t>
  </si>
  <si>
    <t>Josh Cuevas</t>
  </si>
  <si>
    <t>Jack Bech</t>
  </si>
  <si>
    <t>Hunter Long</t>
  </si>
  <si>
    <t>Lucas Krull</t>
  </si>
  <si>
    <t>Ashton Dulin</t>
  </si>
  <si>
    <t>Luke Farrell</t>
  </si>
  <si>
    <t>CJ Dippre</t>
  </si>
  <si>
    <t>Ko Kieft</t>
  </si>
  <si>
    <t>Darnell Mooney</t>
  </si>
  <si>
    <t>Tyler Conklin</t>
  </si>
  <si>
    <t>Drew Ogletree</t>
  </si>
  <si>
    <t>KaVontae Turpin</t>
  </si>
  <si>
    <t>Josh Whyle</t>
  </si>
  <si>
    <t>Eric Saubert</t>
  </si>
  <si>
    <t>DeMario Douglas</t>
  </si>
  <si>
    <t>Tip Reiman</t>
  </si>
  <si>
    <t>Ian Thomas</t>
  </si>
  <si>
    <t>Johnny Mundt</t>
  </si>
  <si>
    <t>Savion Williams</t>
  </si>
  <si>
    <t>Jack Stoll</t>
  </si>
  <si>
    <t>Chris Manhertz</t>
  </si>
  <si>
    <t>Malachi Fields</t>
  </si>
  <si>
    <t>Quintin Morris</t>
  </si>
  <si>
    <t>Cole Turner</t>
  </si>
  <si>
    <t>Calvin Austin III</t>
  </si>
  <si>
    <t>Jelani Woods</t>
  </si>
  <si>
    <t>Blake Whiteheart</t>
  </si>
  <si>
    <t>Jahdae Walker</t>
  </si>
  <si>
    <t>Julian Hill</t>
  </si>
  <si>
    <t>Tutu Atwell</t>
  </si>
  <si>
    <t>Cedric Tillman</t>
  </si>
  <si>
    <t>Demarcus Robinson</t>
  </si>
  <si>
    <t>Kendrick Bourne</t>
  </si>
  <si>
    <t>Luke McCaffrey</t>
  </si>
  <si>
    <t>Theo Wease Jr.</t>
  </si>
  <si>
    <t>Dyami Brown</t>
  </si>
  <si>
    <t>Kalif Raymond</t>
  </si>
  <si>
    <t>Treylon Burks</t>
  </si>
  <si>
    <t>Devontez Walker</t>
  </si>
  <si>
    <t>Cyrus Allen</t>
  </si>
  <si>
    <t>Isaiah Williams</t>
  </si>
  <si>
    <t>Colbie Young</t>
  </si>
  <si>
    <t>Bryce Lance</t>
  </si>
  <si>
    <t>Zavion Thomas</t>
  </si>
  <si>
    <t>Jaylin Lane</t>
  </si>
  <si>
    <t>Elijah Sarratt</t>
  </si>
  <si>
    <t>Kevin Coleman Jr.</t>
  </si>
  <si>
    <t>Olamide Zaccheaus</t>
  </si>
  <si>
    <t>RK</t>
  </si>
  <si>
    <t>TIERS</t>
  </si>
  <si>
    <t>PLAYER NAME</t>
  </si>
  <si>
    <t>TEAM</t>
  </si>
  <si>
    <t>POS</t>
  </si>
  <si>
    <t>BYE WEEK</t>
  </si>
  <si>
    <t xml:space="preserve">UPSIDE </t>
  </si>
  <si>
    <t xml:space="preserve">BUST </t>
  </si>
  <si>
    <t>SOS SEASON</t>
  </si>
  <si>
    <t>ECR VS. ADP</t>
  </si>
  <si>
    <t xml:space="preserve">% OVER </t>
  </si>
  <si>
    <t>Jordan Whittington</t>
  </si>
  <si>
    <t>Proj Missed</t>
  </si>
  <si>
    <t>Pts</t>
  </si>
  <si>
    <t>5 out of 5</t>
  </si>
  <si>
    <t>1 out of 5</t>
  </si>
  <si>
    <t>5 out of 5 stars</t>
  </si>
  <si>
    <t>2 out of 5 stars</t>
  </si>
  <si>
    <t>4 out of 5 stars</t>
  </si>
  <si>
    <t>2 out of 5</t>
  </si>
  <si>
    <t>1 out of 5 stars</t>
  </si>
  <si>
    <t>3 out of 5 stars</t>
  </si>
  <si>
    <t>Isaiah Bond</t>
  </si>
  <si>
    <t>4 out of 5</t>
  </si>
  <si>
    <t>3 out of 5</t>
  </si>
  <si>
    <t>Konata Mumpfield</t>
  </si>
  <si>
    <t>Roman Wilson</t>
  </si>
  <si>
    <t>Skyler Bell</t>
  </si>
  <si>
    <t>Mack Hollins</t>
  </si>
  <si>
    <t>Brenen Thompson</t>
  </si>
  <si>
    <t>Justin Watson</t>
  </si>
  <si>
    <t>Odell Beckham Jr.</t>
  </si>
  <si>
    <t>Kyle Williams</t>
  </si>
  <si>
    <t>Tez Johnson</t>
  </si>
  <si>
    <t>Jimmy Horn Jr.</t>
  </si>
  <si>
    <t>Jalen Royals</t>
  </si>
  <si>
    <t>KeAndre Lambert-Smith</t>
  </si>
  <si>
    <t>-</t>
  </si>
  <si>
    <t>Nick Westbrook-Ikhine</t>
  </si>
  <si>
    <t>Mason Tipton</t>
  </si>
  <si>
    <t>Dont'e Thornton Jr.</t>
  </si>
  <si>
    <t>Greg Dortch</t>
  </si>
  <si>
    <t>Barion Brown</t>
  </si>
  <si>
    <t>Bo Melton</t>
  </si>
  <si>
    <t>Tyrell Shavers</t>
  </si>
  <si>
    <t>Derius Davis</t>
  </si>
  <si>
    <t>Xavier Smith</t>
  </si>
  <si>
    <t>Mitch Tinsley</t>
  </si>
  <si>
    <t>CJ Daniels</t>
  </si>
  <si>
    <t>Malachi Corley</t>
  </si>
  <si>
    <t>Tai Felton</t>
  </si>
  <si>
    <t>Darius Cooper</t>
  </si>
  <si>
    <t>Position</t>
  </si>
  <si>
    <t>Projected Games Adjustment</t>
  </si>
  <si>
    <t>Jonathan Mingo</t>
  </si>
  <si>
    <t>Houston Texans</t>
  </si>
  <si>
    <t>DST1</t>
  </si>
  <si>
    <t>Denver Broncos</t>
  </si>
  <si>
    <t>DST2</t>
  </si>
  <si>
    <t>Lewis Bond</t>
  </si>
  <si>
    <t>QB49</t>
  </si>
  <si>
    <t>QB50</t>
  </si>
  <si>
    <t>Seattle Seahawks</t>
  </si>
  <si>
    <t>DST3</t>
  </si>
  <si>
    <t>Los Angeles Rams</t>
  </si>
  <si>
    <t>DST4</t>
  </si>
  <si>
    <t>Reggie Virgil</t>
  </si>
  <si>
    <t>Philadelphia Eagles</t>
  </si>
  <si>
    <t>DST5</t>
  </si>
  <si>
    <t>0 out of 5 stars</t>
  </si>
  <si>
    <t>Jacksonville Jaguars</t>
  </si>
  <si>
    <t>DST6</t>
  </si>
  <si>
    <t>New England Patriots</t>
  </si>
  <si>
    <t>DST7</t>
  </si>
  <si>
    <t>Pittsburgh Steelers</t>
  </si>
  <si>
    <t>DST8</t>
  </si>
  <si>
    <t>Brandon Aubrey</t>
  </si>
  <si>
    <t>Brycen Tremayne</t>
  </si>
  <si>
    <t>K1</t>
  </si>
  <si>
    <t>Los Angeles Chargers</t>
  </si>
  <si>
    <t>DST9</t>
  </si>
  <si>
    <t>RB101</t>
  </si>
  <si>
    <t>RB102</t>
  </si>
  <si>
    <t>RB103</t>
  </si>
  <si>
    <t>RB104</t>
  </si>
  <si>
    <t>RB105</t>
  </si>
  <si>
    <t>RB106</t>
  </si>
  <si>
    <t>RB107</t>
  </si>
  <si>
    <t>RB108</t>
  </si>
  <si>
    <t>RB109</t>
  </si>
  <si>
    <t>RB110</t>
  </si>
  <si>
    <t>RB111</t>
  </si>
  <si>
    <t>RB112</t>
  </si>
  <si>
    <t>RB113</t>
  </si>
  <si>
    <t>Minnesota Vikings</t>
  </si>
  <si>
    <t>DST10</t>
  </si>
  <si>
    <t>RB114</t>
  </si>
  <si>
    <t>RB115</t>
  </si>
  <si>
    <t>RB116</t>
  </si>
  <si>
    <t>RB117</t>
  </si>
  <si>
    <t>RB118</t>
  </si>
  <si>
    <t>RB119</t>
  </si>
  <si>
    <t>RB120</t>
  </si>
  <si>
    <t>Cameron Dicker</t>
  </si>
  <si>
    <t>K2</t>
  </si>
  <si>
    <t>Ka'imi Fairbairn</t>
  </si>
  <si>
    <t>K3</t>
  </si>
  <si>
    <t>Ben Skowronek</t>
  </si>
  <si>
    <t>Cam Little</t>
  </si>
  <si>
    <t>K4</t>
  </si>
  <si>
    <t>Baltimore Ravens</t>
  </si>
  <si>
    <t>DST11</t>
  </si>
  <si>
    <t>Arian Smith</t>
  </si>
  <si>
    <t>Kansas City Chiefs</t>
  </si>
  <si>
    <t>DST12</t>
  </si>
  <si>
    <t>Jason Myers</t>
  </si>
  <si>
    <t>K5</t>
  </si>
  <si>
    <t>Tyler Loop</t>
  </si>
  <si>
    <t>K6</t>
  </si>
  <si>
    <t>Eddy Pineiro</t>
  </si>
  <si>
    <t>K7</t>
  </si>
  <si>
    <t>Jake Bates</t>
  </si>
  <si>
    <t>K8</t>
  </si>
  <si>
    <t>WR101</t>
  </si>
  <si>
    <t>WR102</t>
  </si>
  <si>
    <t>WR103</t>
  </si>
  <si>
    <t>WR104</t>
  </si>
  <si>
    <t>WR105</t>
  </si>
  <si>
    <t>WR106</t>
  </si>
  <si>
    <t>WR107</t>
  </si>
  <si>
    <t>Jalen Reagor</t>
  </si>
  <si>
    <t>WR108</t>
  </si>
  <si>
    <t>WR109</t>
  </si>
  <si>
    <t>WR110</t>
  </si>
  <si>
    <t>Green Bay Packers</t>
  </si>
  <si>
    <t>WR111</t>
  </si>
  <si>
    <t>DST13</t>
  </si>
  <si>
    <t>WR112</t>
  </si>
  <si>
    <t>WR113</t>
  </si>
  <si>
    <t>WR114</t>
  </si>
  <si>
    <t>WR115</t>
  </si>
  <si>
    <t>WR116</t>
  </si>
  <si>
    <t>WR117</t>
  </si>
  <si>
    <t>WR118</t>
  </si>
  <si>
    <t>WR119</t>
  </si>
  <si>
    <t>WR120</t>
  </si>
  <si>
    <t>WR121</t>
  </si>
  <si>
    <t>WR122</t>
  </si>
  <si>
    <t>WR123</t>
  </si>
  <si>
    <t>WR124</t>
  </si>
  <si>
    <t>WR125</t>
  </si>
  <si>
    <t>WR126</t>
  </si>
  <si>
    <t>WR127</t>
  </si>
  <si>
    <t>WR128</t>
  </si>
  <si>
    <t>WR129</t>
  </si>
  <si>
    <t>WR130</t>
  </si>
  <si>
    <t>WR131</t>
  </si>
  <si>
    <t>Harrison Mevis</t>
  </si>
  <si>
    <t>K9</t>
  </si>
  <si>
    <t>WR132</t>
  </si>
  <si>
    <t>WR133</t>
  </si>
  <si>
    <t>WR134</t>
  </si>
  <si>
    <t>WR135</t>
  </si>
  <si>
    <t>WR136</t>
  </si>
  <si>
    <t>WR137</t>
  </si>
  <si>
    <t>WR138</t>
  </si>
  <si>
    <t>WR139</t>
  </si>
  <si>
    <t>WR140</t>
  </si>
  <si>
    <t>WR141</t>
  </si>
  <si>
    <t>WR142</t>
  </si>
  <si>
    <t>WR143</t>
  </si>
  <si>
    <t>WR144</t>
  </si>
  <si>
    <t>WR145</t>
  </si>
  <si>
    <t>WR146</t>
  </si>
  <si>
    <t>WR147</t>
  </si>
  <si>
    <t>WR148</t>
  </si>
  <si>
    <t>WR149</t>
  </si>
  <si>
    <t>WR150</t>
  </si>
  <si>
    <t>WR151</t>
  </si>
  <si>
    <t>WR152</t>
  </si>
  <si>
    <t>WR153</t>
  </si>
  <si>
    <t>Kameron Johnson</t>
  </si>
  <si>
    <t>WR154</t>
  </si>
  <si>
    <t>WR155</t>
  </si>
  <si>
    <t>WR156</t>
  </si>
  <si>
    <t>WR157</t>
  </si>
  <si>
    <t>WR158</t>
  </si>
  <si>
    <t>WR159</t>
  </si>
  <si>
    <t>WR160</t>
  </si>
  <si>
    <t>WR161</t>
  </si>
  <si>
    <t>WR162</t>
  </si>
  <si>
    <t>WR163</t>
  </si>
  <si>
    <t>WR164</t>
  </si>
  <si>
    <t>WR165</t>
  </si>
  <si>
    <t>WR166</t>
  </si>
  <si>
    <t>WR167</t>
  </si>
  <si>
    <t>WR168</t>
  </si>
  <si>
    <t>WR169</t>
  </si>
  <si>
    <t>WR170</t>
  </si>
  <si>
    <t>WR171</t>
  </si>
  <si>
    <t>WR172</t>
  </si>
  <si>
    <t>Cairo Santos</t>
  </si>
  <si>
    <t>K10</t>
  </si>
  <si>
    <t>WR173</t>
  </si>
  <si>
    <t>WR174</t>
  </si>
  <si>
    <t>WR175</t>
  </si>
  <si>
    <t>WR176</t>
  </si>
  <si>
    <t>WR177</t>
  </si>
  <si>
    <t>WR178</t>
  </si>
  <si>
    <t>Buffalo Bills</t>
  </si>
  <si>
    <t>DST14</t>
  </si>
  <si>
    <t>WR179</t>
  </si>
  <si>
    <t>WR180</t>
  </si>
  <si>
    <t>WR181</t>
  </si>
  <si>
    <t>WR182</t>
  </si>
  <si>
    <t>WR183</t>
  </si>
  <si>
    <t>WR184</t>
  </si>
  <si>
    <t>Detroit Lions</t>
  </si>
  <si>
    <t>WR185</t>
  </si>
  <si>
    <t>DST15</t>
  </si>
  <si>
    <t>WR186</t>
  </si>
  <si>
    <t>WR187</t>
  </si>
  <si>
    <t>WR188</t>
  </si>
  <si>
    <t>WR189</t>
  </si>
  <si>
    <t>WR190</t>
  </si>
  <si>
    <t>WR191</t>
  </si>
  <si>
    <t>WR192</t>
  </si>
  <si>
    <t>WR193</t>
  </si>
  <si>
    <t>WR194</t>
  </si>
  <si>
    <t>WR195</t>
  </si>
  <si>
    <t>WR196</t>
  </si>
  <si>
    <t>WR197</t>
  </si>
  <si>
    <t>WR198</t>
  </si>
  <si>
    <t>WR199</t>
  </si>
  <si>
    <t>WR200</t>
  </si>
  <si>
    <t>Kaden Wetjen</t>
  </si>
  <si>
    <t>Chase McLaughlin</t>
  </si>
  <si>
    <t>K11</t>
  </si>
  <si>
    <t>Laquon Treadwell</t>
  </si>
  <si>
    <t>Andy Borregales</t>
  </si>
  <si>
    <t>K12</t>
  </si>
  <si>
    <t>QB51</t>
  </si>
  <si>
    <t>QB52</t>
  </si>
  <si>
    <t>QB53</t>
  </si>
  <si>
    <t>Evan McPherson</t>
  </si>
  <si>
    <t>K13</t>
  </si>
  <si>
    <t>QB54</t>
  </si>
  <si>
    <t>QB55</t>
  </si>
  <si>
    <t>QB56</t>
  </si>
  <si>
    <t>QB57</t>
  </si>
  <si>
    <t>QB58</t>
  </si>
  <si>
    <t>QB59</t>
  </si>
  <si>
    <t>QB60</t>
  </si>
  <si>
    <t>QB61</t>
  </si>
  <si>
    <t>QB62</t>
  </si>
  <si>
    <t>QB63</t>
  </si>
  <si>
    <t>QB64</t>
  </si>
  <si>
    <t>QB65</t>
  </si>
  <si>
    <t>QB66</t>
  </si>
  <si>
    <t>QB67</t>
  </si>
  <si>
    <t>QB68</t>
  </si>
  <si>
    <t>QB69</t>
  </si>
  <si>
    <t>QB70</t>
  </si>
  <si>
    <t>QB71</t>
  </si>
  <si>
    <t>QB72</t>
  </si>
  <si>
    <t>QB73</t>
  </si>
  <si>
    <t>QB74</t>
  </si>
  <si>
    <t>QB75</t>
  </si>
  <si>
    <t>RB121</t>
  </si>
  <si>
    <t>RB122</t>
  </si>
  <si>
    <t>RB123</t>
  </si>
  <si>
    <t>RB124</t>
  </si>
  <si>
    <t>RB125</t>
  </si>
  <si>
    <t>RB126</t>
  </si>
  <si>
    <t>RB127</t>
  </si>
  <si>
    <t>RB128</t>
  </si>
  <si>
    <t>David Moore</t>
  </si>
  <si>
    <t>RB129</t>
  </si>
  <si>
    <t>RB130</t>
  </si>
  <si>
    <t>RB131</t>
  </si>
  <si>
    <t>RB132</t>
  </si>
  <si>
    <t>RB133</t>
  </si>
  <si>
    <t>RB134</t>
  </si>
  <si>
    <t>RB135</t>
  </si>
  <si>
    <t>RB136</t>
  </si>
  <si>
    <t>RB137</t>
  </si>
  <si>
    <t>RB138</t>
  </si>
  <si>
    <t>RB139</t>
  </si>
  <si>
    <t>RB140</t>
  </si>
  <si>
    <t>RB141</t>
  </si>
  <si>
    <t>RB142</t>
  </si>
  <si>
    <t>RB143</t>
  </si>
  <si>
    <t>RB144</t>
  </si>
  <si>
    <t>RB145</t>
  </si>
  <si>
    <t>RB146</t>
  </si>
  <si>
    <t>RB147</t>
  </si>
  <si>
    <t>RB148</t>
  </si>
  <si>
    <t>RB149</t>
  </si>
  <si>
    <t>Cleveland Browns</t>
  </si>
  <si>
    <t>DST16</t>
  </si>
  <si>
    <t>RB150</t>
  </si>
  <si>
    <t>RB151</t>
  </si>
  <si>
    <t>RB152</t>
  </si>
  <si>
    <t>RB153</t>
  </si>
  <si>
    <t>RB154</t>
  </si>
  <si>
    <t>RB155</t>
  </si>
  <si>
    <t>RB156</t>
  </si>
  <si>
    <t>RB157</t>
  </si>
  <si>
    <t>RB158</t>
  </si>
  <si>
    <t>RB159</t>
  </si>
  <si>
    <t>RB160</t>
  </si>
  <si>
    <t>WR201</t>
  </si>
  <si>
    <t>WR202</t>
  </si>
  <si>
    <t>WR203</t>
  </si>
  <si>
    <t>WR204</t>
  </si>
  <si>
    <t>WR205</t>
  </si>
  <si>
    <t>WR206</t>
  </si>
  <si>
    <t>Harrison Butker</t>
  </si>
  <si>
    <t>K14</t>
  </si>
  <si>
    <t>WR207</t>
  </si>
  <si>
    <t>WR208</t>
  </si>
  <si>
    <t>WR209</t>
  </si>
  <si>
    <t>WR210</t>
  </si>
  <si>
    <t>WR211</t>
  </si>
  <si>
    <t>WR212</t>
  </si>
  <si>
    <t>WR213</t>
  </si>
  <si>
    <t>WR214</t>
  </si>
  <si>
    <t>Braxton Berrios</t>
  </si>
  <si>
    <t>Chris Boswell</t>
  </si>
  <si>
    <t>K15</t>
  </si>
  <si>
    <t>TE101</t>
  </si>
  <si>
    <t>TE102</t>
  </si>
  <si>
    <t>TE103</t>
  </si>
  <si>
    <t>TE104</t>
  </si>
  <si>
    <t>TE105</t>
  </si>
  <si>
    <t>TE106</t>
  </si>
  <si>
    <t>TE107</t>
  </si>
  <si>
    <t>TE108</t>
  </si>
  <si>
    <t>TE109</t>
  </si>
  <si>
    <t>TE110</t>
  </si>
  <si>
    <t>TE111</t>
  </si>
  <si>
    <t>Devin Duvernay</t>
  </si>
  <si>
    <t>TE112</t>
  </si>
  <si>
    <t>TE113</t>
  </si>
  <si>
    <t>Wil Lutz</t>
  </si>
  <si>
    <t>K16</t>
  </si>
  <si>
    <t>Mason Kinsey</t>
  </si>
  <si>
    <t>Chris Brazzell II</t>
  </si>
  <si>
    <t>Eli Heidenreich</t>
  </si>
  <si>
    <t>J'Mari Taylor</t>
  </si>
  <si>
    <t>Taylen Green</t>
  </si>
  <si>
    <t>Jaydn Ott</t>
  </si>
  <si>
    <t>Deion Burks</t>
  </si>
  <si>
    <t>Roman Hemby</t>
  </si>
  <si>
    <t>Robert Henry Jr.</t>
  </si>
  <si>
    <t>Dean Connors</t>
  </si>
  <si>
    <t>Will Reichard</t>
  </si>
  <si>
    <t>Michael Bandy</t>
  </si>
  <si>
    <t>K17</t>
  </si>
  <si>
    <t>Terion Stewart</t>
  </si>
  <si>
    <t>Josh Cameron</t>
  </si>
  <si>
    <t>Noah Whittington</t>
  </si>
  <si>
    <t>Kendrick Law</t>
  </si>
  <si>
    <t>Michael Trigg</t>
  </si>
  <si>
    <t>Matt Hibner</t>
  </si>
  <si>
    <t>Jeff Caldwell</t>
  </si>
  <si>
    <t>Desmond Reid</t>
  </si>
  <si>
    <t>Jamal Haynes</t>
  </si>
  <si>
    <t>Brendan Sorsby</t>
  </si>
  <si>
    <t>Chip Trayanum</t>
  </si>
  <si>
    <t>Diego Pavia</t>
  </si>
  <si>
    <t>Eric Rivers Jr.</t>
  </si>
  <si>
    <t>CJ Donaldson</t>
  </si>
  <si>
    <t>Aaron Anderson</t>
  </si>
  <si>
    <t>Eric McAlister</t>
  </si>
  <si>
    <t>Dane Key</t>
  </si>
  <si>
    <t>Tyren Montgomery</t>
  </si>
  <si>
    <t>TJ Harden</t>
  </si>
  <si>
    <t>John Michael Gyllenborg</t>
  </si>
  <si>
    <t>Noah Thomas</t>
  </si>
  <si>
    <t>Luke Altmyer</t>
  </si>
  <si>
    <t>Joe Fagnano</t>
  </si>
  <si>
    <t>Rahsul Faison</t>
  </si>
  <si>
    <t>Dae'Quan Wright</t>
  </si>
  <si>
    <t>Trebor Pena</t>
  </si>
  <si>
    <t>Haynes King</t>
  </si>
  <si>
    <t>Miller Moss</t>
  </si>
  <si>
    <t>Joey Aguilar</t>
  </si>
  <si>
    <t>Sawyer Robertson</t>
  </si>
  <si>
    <t>J. Michael Sturdivant</t>
  </si>
  <si>
    <t>Jack Velling</t>
  </si>
  <si>
    <t>Jalon Daniels</t>
  </si>
  <si>
    <t>Chase Roberts</t>
  </si>
  <si>
    <t>Harrison Wallace III</t>
  </si>
  <si>
    <t>Kentrel Bullock</t>
  </si>
  <si>
    <t>Rueben Owens II</t>
  </si>
  <si>
    <t>Skyy Moore</t>
  </si>
  <si>
    <t>FA</t>
  </si>
  <si>
    <t>San Francisco 49ers</t>
  </si>
  <si>
    <t>DST17</t>
  </si>
  <si>
    <t>Atlanta Falcons</t>
  </si>
  <si>
    <t>DST18</t>
  </si>
  <si>
    <t>Britain Covey</t>
  </si>
  <si>
    <t>New Orleans Saints</t>
  </si>
  <si>
    <t>DST19</t>
  </si>
  <si>
    <t>Dareke Young</t>
  </si>
  <si>
    <t>Jarquez Hunter</t>
  </si>
  <si>
    <t>Audric Estime</t>
  </si>
  <si>
    <t>Jaleel McLaughlin</t>
  </si>
  <si>
    <t>Charlie Smyth</t>
  </si>
  <si>
    <t>K18</t>
  </si>
  <si>
    <t>Brandon Aiyuk</t>
  </si>
  <si>
    <t>Jacob Cowing</t>
  </si>
  <si>
    <t>Indianapolis Colts</t>
  </si>
  <si>
    <t>DST20</t>
  </si>
  <si>
    <t>Chicago Bears</t>
  </si>
  <si>
    <t>DST21</t>
  </si>
  <si>
    <t>Tyreek Hill</t>
  </si>
  <si>
    <t>Charlie Jones</t>
  </si>
  <si>
    <t>Kareem Hunt</t>
  </si>
  <si>
    <t>Jalen Brooks</t>
  </si>
  <si>
    <t>Joe Mixon</t>
  </si>
  <si>
    <t>Dallas Cowboys</t>
  </si>
  <si>
    <t>DST22</t>
  </si>
  <si>
    <t>Nikko Remigio</t>
  </si>
  <si>
    <t>Anthony Gould</t>
  </si>
  <si>
    <t>Jeshaun Jones</t>
  </si>
  <si>
    <t>Jake Elliott</t>
  </si>
  <si>
    <t>K19</t>
  </si>
  <si>
    <t>Michael Carter</t>
  </si>
  <si>
    <t>Efton Chism III</t>
  </si>
  <si>
    <t>Carolina Panthers</t>
  </si>
  <si>
    <t>DST23</t>
  </si>
  <si>
    <t>Tyler Bass</t>
  </si>
  <si>
    <t>K20</t>
  </si>
  <si>
    <t>LaJohntay Wester</t>
  </si>
  <si>
    <t>New York Giants</t>
  </si>
  <si>
    <t>DST24</t>
  </si>
  <si>
    <t>John Metchie III</t>
  </si>
  <si>
    <t>Raheim Sanders</t>
  </si>
  <si>
    <t>Tampa Bay Buccaneers</t>
  </si>
  <si>
    <t>DST25</t>
  </si>
  <si>
    <t>Ke'Shawn Williams</t>
  </si>
  <si>
    <t>Trey Smack</t>
  </si>
  <si>
    <t>K21</t>
  </si>
  <si>
    <t>Cincinnati Bengals</t>
  </si>
  <si>
    <t>DST26</t>
  </si>
  <si>
    <t>Myles Price</t>
  </si>
  <si>
    <t>Zane Gonzalez</t>
  </si>
  <si>
    <t>K22</t>
  </si>
  <si>
    <t>Tennessee Titans</t>
  </si>
  <si>
    <t>DST27</t>
  </si>
  <si>
    <t>Gage Larvadain</t>
  </si>
  <si>
    <t>Miami Dolphins</t>
  </si>
  <si>
    <t>DST28</t>
  </si>
  <si>
    <t>Nick Folk</t>
  </si>
  <si>
    <t>K23</t>
  </si>
  <si>
    <t>Austin Ekeler</t>
  </si>
  <si>
    <t>Sione Vaki</t>
  </si>
  <si>
    <t>Damien Martinez</t>
  </si>
  <si>
    <t>Blake Grupe</t>
  </si>
  <si>
    <t>K24</t>
  </si>
  <si>
    <t>Terrell Jennings</t>
  </si>
  <si>
    <t>Tim Patrick</t>
  </si>
  <si>
    <t>Tommy Myers</t>
  </si>
  <si>
    <t>Joey Slye</t>
  </si>
  <si>
    <t>K25</t>
  </si>
  <si>
    <t>Tyler Goodson</t>
  </si>
  <si>
    <t>Ben Sauls</t>
  </si>
  <si>
    <t>K26</t>
  </si>
  <si>
    <t>Brandon McManus</t>
  </si>
  <si>
    <t>K27</t>
  </si>
  <si>
    <t>Daniel Carlson</t>
  </si>
  <si>
    <t>K28</t>
  </si>
  <si>
    <t>Washington Commanders</t>
  </si>
  <si>
    <t>DST29</t>
  </si>
  <si>
    <t>Jake Moody</t>
  </si>
  <si>
    <t>K29</t>
  </si>
  <si>
    <t>New York Jets</t>
  </si>
  <si>
    <t>DST30</t>
  </si>
  <si>
    <t>Las Vegas Raiders</t>
  </si>
  <si>
    <t>DST31</t>
  </si>
  <si>
    <t>Zach Ertz</t>
  </si>
  <si>
    <t>Khalil Herbert</t>
  </si>
  <si>
    <t>Xavier Restrepo</t>
  </si>
  <si>
    <t>Jonnu Smith</t>
  </si>
  <si>
    <t>Jeremy McNichols</t>
  </si>
  <si>
    <t>Ronnie Rivers</t>
  </si>
  <si>
    <t>Chad Ryland</t>
  </si>
  <si>
    <t>K30</t>
  </si>
  <si>
    <t>Van Jefferson</t>
  </si>
  <si>
    <t>Ryan Fitzgerald</t>
  </si>
  <si>
    <t>K31</t>
  </si>
  <si>
    <t>Spencer Shrader</t>
  </si>
  <si>
    <t>K32</t>
  </si>
  <si>
    <t>Arizona Cardinals</t>
  </si>
  <si>
    <t>DST32</t>
  </si>
  <si>
    <t>Lil'Jordan Humphrey</t>
  </si>
  <si>
    <t>Marquez Valdes-Scantling</t>
  </si>
  <si>
    <t>Antonio Gibson</t>
  </si>
  <si>
    <t>Travis Homer</t>
  </si>
  <si>
    <t>Elijah Moore</t>
  </si>
  <si>
    <t>Kalel Mullings</t>
  </si>
  <si>
    <t>Jaret Patterson</t>
  </si>
  <si>
    <t>Cedrick Wilson Jr.</t>
  </si>
  <si>
    <t>Jason Sanders</t>
  </si>
  <si>
    <t>K33</t>
  </si>
  <si>
    <t>Drew Stevens</t>
  </si>
  <si>
    <t>K34</t>
  </si>
  <si>
    <t>Lan Larison</t>
  </si>
  <si>
    <t>Michael Woods II</t>
  </si>
  <si>
    <t>Chris Blair</t>
  </si>
  <si>
    <t>DeAndre Hopkins</t>
  </si>
  <si>
    <t>Tyler Lockett</t>
  </si>
  <si>
    <t>David Sills V</t>
  </si>
  <si>
    <t>Miles Sanders</t>
  </si>
  <si>
    <t>Moliki Matavao</t>
  </si>
  <si>
    <t>Miles Kitselman</t>
  </si>
  <si>
    <t>Donovan Edwards</t>
  </si>
  <si>
    <t>Will Dissly</t>
  </si>
  <si>
    <t>Khalil Dinkins</t>
  </si>
  <si>
    <t>Myles Montgomery</t>
  </si>
  <si>
    <t>Alexander Mattison</t>
  </si>
  <si>
    <t>Raheem Mostert</t>
  </si>
  <si>
    <t>Lew Nichols III</t>
  </si>
  <si>
    <t>Ulysses Bentley IV</t>
  </si>
  <si>
    <t>Scotty Miller</t>
  </si>
  <si>
    <t>Miles Davis</t>
  </si>
  <si>
    <t>Ahmani Marshall</t>
  </si>
  <si>
    <t>Jake Bobo</t>
  </si>
  <si>
    <t>Nathan Carter</t>
  </si>
  <si>
    <t>Elijah Mitchell</t>
  </si>
  <si>
    <t>Dohnte Meyers</t>
  </si>
  <si>
    <t>Cash Jones</t>
  </si>
  <si>
    <t>Cam Akers</t>
  </si>
  <si>
    <t>Sincere McCormick</t>
  </si>
  <si>
    <t>Brandin Cooks</t>
  </si>
  <si>
    <t>Noah Brown</t>
  </si>
  <si>
    <t>JaMycal Hasty</t>
  </si>
  <si>
    <t>Anderson Castle</t>
  </si>
  <si>
    <t>RB161</t>
  </si>
  <si>
    <t>Dominic Zvada</t>
  </si>
  <si>
    <t>K35</t>
  </si>
  <si>
    <t>Craig Reynolds</t>
  </si>
  <si>
    <t>RB162</t>
  </si>
  <si>
    <t>Kenny McIntosh</t>
  </si>
  <si>
    <t>RB163</t>
  </si>
  <si>
    <t>Jermar Jefferson</t>
  </si>
  <si>
    <t>RB164</t>
  </si>
  <si>
    <t>Eric Gray</t>
  </si>
  <si>
    <t>RB165</t>
  </si>
  <si>
    <t>Diontae Johnson</t>
  </si>
  <si>
    <t>Mecole Hardman Jr.</t>
  </si>
  <si>
    <t>Curtis Samuel</t>
  </si>
  <si>
    <t>Vinny Anthony II</t>
  </si>
  <si>
    <t>Coleman Owen</t>
  </si>
  <si>
    <t>Tahj Washington</t>
  </si>
  <si>
    <t>Jared Wayne</t>
  </si>
  <si>
    <t>JuJu Smith-Schuster</t>
  </si>
  <si>
    <t>Velus Jones Jr.</t>
  </si>
  <si>
    <t>RB166</t>
  </si>
  <si>
    <t>Montorie Foster Jr.</t>
  </si>
  <si>
    <t>Casey Washington</t>
  </si>
  <si>
    <t>Maurice Alexander</t>
  </si>
  <si>
    <t>Pierre Strong Jr.</t>
  </si>
  <si>
    <t>RB167</t>
  </si>
  <si>
    <t>Quentin Skinner</t>
  </si>
  <si>
    <t>Isaiah Hodgins</t>
  </si>
  <si>
    <t>Kevin Austin Jr.</t>
  </si>
  <si>
    <t>Kendric Pryor</t>
  </si>
  <si>
    <t>Michael Briscoe</t>
  </si>
  <si>
    <t>Jordan Watkins</t>
  </si>
  <si>
    <t>K.J. Osborn</t>
  </si>
  <si>
    <t>Joshua Cephus</t>
  </si>
  <si>
    <t>Cooper Rush</t>
  </si>
  <si>
    <t>Dominic Lovett</t>
  </si>
  <si>
    <t>Deontay Burnett</t>
  </si>
  <si>
    <t>WR215</t>
  </si>
  <si>
    <t>Ricky White III</t>
  </si>
  <si>
    <t>WR216</t>
  </si>
  <si>
    <t>WR217</t>
  </si>
  <si>
    <t>Jermaine Burton</t>
  </si>
  <si>
    <t>WR218</t>
  </si>
  <si>
    <t>Terrace Marshall Jr.</t>
  </si>
  <si>
    <t>WR219</t>
  </si>
  <si>
    <t>WR220</t>
  </si>
  <si>
    <t>WR221</t>
  </si>
  <si>
    <t>Tyler Scott</t>
  </si>
  <si>
    <t>WR222</t>
  </si>
  <si>
    <t>WR223</t>
  </si>
  <si>
    <t>WR224</t>
  </si>
  <si>
    <t>Hassan Haskins</t>
  </si>
  <si>
    <t>RB168</t>
  </si>
  <si>
    <t>WR225</t>
  </si>
  <si>
    <t>WR226</t>
  </si>
  <si>
    <t>WR227</t>
  </si>
  <si>
    <t>WR228</t>
  </si>
  <si>
    <t>WR229</t>
  </si>
  <si>
    <t>WR230</t>
  </si>
  <si>
    <t>WR231</t>
  </si>
  <si>
    <t>Cody White</t>
  </si>
  <si>
    <t>WR232</t>
  </si>
  <si>
    <t>WR233</t>
  </si>
  <si>
    <t>WR234</t>
  </si>
  <si>
    <t>WR235</t>
  </si>
  <si>
    <t>WR236</t>
  </si>
  <si>
    <t>Taysom Hill</t>
  </si>
  <si>
    <t>WR237</t>
  </si>
  <si>
    <t>WR238</t>
  </si>
  <si>
    <t>Thomas Fidone II</t>
  </si>
  <si>
    <t>WR239</t>
  </si>
  <si>
    <t>Jared Wiley</t>
  </si>
  <si>
    <t>Stone Smartt</t>
  </si>
  <si>
    <t>TE114</t>
  </si>
  <si>
    <t>Kylen Granson</t>
  </si>
  <si>
    <t>TE115</t>
  </si>
  <si>
    <t>Elijah Tau-Tolliver</t>
  </si>
  <si>
    <t>RB169</t>
  </si>
  <si>
    <t>Teagan Quitoriano</t>
  </si>
  <si>
    <t>TE116</t>
  </si>
  <si>
    <t>TE117</t>
  </si>
  <si>
    <t>Jake Briningstool</t>
  </si>
  <si>
    <t>TE118</t>
  </si>
  <si>
    <t>TE119</t>
  </si>
  <si>
    <t>Ben Yurosek</t>
  </si>
  <si>
    <t>TE120</t>
  </si>
  <si>
    <t>TE121</t>
  </si>
  <si>
    <t>Albert Okwuegbunam Jr.</t>
  </si>
  <si>
    <t>TE122</t>
  </si>
  <si>
    <t>TE123</t>
  </si>
  <si>
    <t>TE124</t>
  </si>
  <si>
    <t>TE125</t>
  </si>
  <si>
    <t>David Martin-Robinson</t>
  </si>
  <si>
    <t>TE126</t>
  </si>
  <si>
    <t>Corey Kiner</t>
  </si>
  <si>
    <t>RB170</t>
  </si>
  <si>
    <t>TE127</t>
  </si>
  <si>
    <t>Brayden Willis</t>
  </si>
  <si>
    <t>TE128</t>
  </si>
  <si>
    <t>Brevin Jordan</t>
  </si>
  <si>
    <t>TE129</t>
  </si>
  <si>
    <t>Colson Yankoff</t>
  </si>
  <si>
    <t>TE130</t>
  </si>
  <si>
    <t>Cameron Latu</t>
  </si>
  <si>
    <t>TE131</t>
  </si>
  <si>
    <t>TE132</t>
  </si>
  <si>
    <t>Gavin Bartholomew</t>
  </si>
  <si>
    <t>TE133</t>
  </si>
  <si>
    <t>TE134</t>
  </si>
  <si>
    <t>TE135</t>
  </si>
  <si>
    <t>TE136</t>
  </si>
  <si>
    <t>TE137</t>
  </si>
  <si>
    <t>Ty Pezza</t>
  </si>
  <si>
    <t>TE138</t>
  </si>
  <si>
    <t>TE139</t>
  </si>
  <si>
    <t>Raheem Blackshear</t>
  </si>
  <si>
    <t>RB171</t>
  </si>
  <si>
    <t>Mario Williams</t>
  </si>
  <si>
    <t>WR240</t>
  </si>
  <si>
    <t>Joel Wilson</t>
  </si>
  <si>
    <t>TE140</t>
  </si>
  <si>
    <t>Juice Wells Jr.</t>
  </si>
  <si>
    <t>WR241</t>
  </si>
  <si>
    <t>RB172</t>
  </si>
  <si>
    <t>Zach Horton</t>
  </si>
  <si>
    <t>TE141</t>
  </si>
  <si>
    <t>Carsen Ryan</t>
  </si>
  <si>
    <t>TE142</t>
  </si>
  <si>
    <t>Brenden Bates</t>
  </si>
  <si>
    <t>TE143</t>
  </si>
  <si>
    <t>Josiah Deguara</t>
  </si>
  <si>
    <t>TE144</t>
  </si>
  <si>
    <t>Anthony Hankerson</t>
  </si>
  <si>
    <t>RB173</t>
  </si>
  <si>
    <t>TE145</t>
  </si>
  <si>
    <t>Bryson Nesbit</t>
  </si>
  <si>
    <t>TE146</t>
  </si>
  <si>
    <t>E.J. Jenkins</t>
  </si>
  <si>
    <t>TE147</t>
  </si>
  <si>
    <t>Joshua Simon</t>
  </si>
  <si>
    <t>TE148</t>
  </si>
  <si>
    <t>TE149</t>
  </si>
  <si>
    <t>TE150</t>
  </si>
  <si>
    <t>Rivaldo Fairweather</t>
  </si>
  <si>
    <t>TE151</t>
  </si>
  <si>
    <t>TE152</t>
  </si>
  <si>
    <t>Princeton Fant</t>
  </si>
  <si>
    <t>TE153</t>
  </si>
  <si>
    <t>Lance Mason</t>
  </si>
  <si>
    <t>TE154</t>
  </si>
  <si>
    <t>Shane Zylstra</t>
  </si>
  <si>
    <t>TE155</t>
  </si>
  <si>
    <t>RB174</t>
  </si>
  <si>
    <t>DJ Rogers</t>
  </si>
  <si>
    <t>TE156</t>
  </si>
  <si>
    <t>Tanner Arkin</t>
  </si>
  <si>
    <t>TE157</t>
  </si>
  <si>
    <t>Lake McRee</t>
  </si>
  <si>
    <t>TE158</t>
  </si>
  <si>
    <t>Nick Kallerup</t>
  </si>
  <si>
    <t>TE159</t>
  </si>
  <si>
    <t>Jack Westover</t>
  </si>
  <si>
    <t>TE160</t>
  </si>
  <si>
    <t>Owen Wright</t>
  </si>
  <si>
    <t>RB175</t>
  </si>
  <si>
    <t>Pharaoh Brown</t>
  </si>
  <si>
    <t>TE161</t>
  </si>
  <si>
    <t>Kenny Fletcher Jr.</t>
  </si>
  <si>
    <t>TE162</t>
  </si>
  <si>
    <t>James Mitchell</t>
  </si>
  <si>
    <t>TE163</t>
  </si>
  <si>
    <t>TE164</t>
  </si>
  <si>
    <t>RB176</t>
  </si>
  <si>
    <t>Quentin Moore</t>
  </si>
  <si>
    <t>TE165</t>
  </si>
  <si>
    <t>RB177</t>
  </si>
  <si>
    <t>Dontae McMillan</t>
  </si>
  <si>
    <t>RB178</t>
  </si>
  <si>
    <t>Patrick Herbert</t>
  </si>
  <si>
    <t>TE166</t>
  </si>
  <si>
    <t>Messiah Swinson</t>
  </si>
  <si>
    <t>TE167</t>
  </si>
  <si>
    <t>Chris Myarick</t>
  </si>
  <si>
    <t>TE168</t>
  </si>
  <si>
    <t>RB179</t>
  </si>
  <si>
    <t>Chase Curtis</t>
  </si>
  <si>
    <t>TE169</t>
  </si>
  <si>
    <t>RB180</t>
  </si>
  <si>
    <t>Keleki Latu</t>
  </si>
  <si>
    <t>TE170</t>
  </si>
  <si>
    <t>TE171</t>
  </si>
  <si>
    <t>Ameer Abdullah</t>
  </si>
  <si>
    <t>RB181</t>
  </si>
  <si>
    <t>TE172</t>
  </si>
  <si>
    <t>Carter Runyon</t>
  </si>
  <si>
    <t>TE173</t>
  </si>
  <si>
    <t>Stephen Carlson</t>
  </si>
  <si>
    <t>TE174</t>
  </si>
  <si>
    <t>Treyton Welch</t>
  </si>
  <si>
    <t>TE175</t>
  </si>
  <si>
    <t>Ja'Quinden Jackson</t>
  </si>
  <si>
    <t>RB182</t>
  </si>
  <si>
    <t>WR242</t>
  </si>
  <si>
    <t>Evan Svoboda</t>
  </si>
  <si>
    <t>TE176</t>
  </si>
  <si>
    <t>TE177</t>
  </si>
  <si>
    <t>Brittain Brown</t>
  </si>
  <si>
    <t>RB183</t>
  </si>
  <si>
    <t>Cody Hardy</t>
  </si>
  <si>
    <t>TE178</t>
  </si>
  <si>
    <t>RB184</t>
  </si>
  <si>
    <t>Patrick Gurd</t>
  </si>
  <si>
    <t>TE179</t>
  </si>
  <si>
    <t>Michael Wortham</t>
  </si>
  <si>
    <t>WR243</t>
  </si>
  <si>
    <t>Mark Redman</t>
  </si>
  <si>
    <t>TE180</t>
  </si>
  <si>
    <t>Tyler Johnson</t>
  </si>
  <si>
    <t>WR244</t>
  </si>
  <si>
    <t>Dan Villari</t>
  </si>
  <si>
    <t>TE181</t>
  </si>
  <si>
    <t>RB185</t>
  </si>
  <si>
    <t>Johnny Pascuzzi</t>
  </si>
  <si>
    <t>TE182</t>
  </si>
  <si>
    <t>Gary Brightwell</t>
  </si>
  <si>
    <t>RB186</t>
  </si>
  <si>
    <t>Hayden Large</t>
  </si>
  <si>
    <t>TE183</t>
  </si>
  <si>
    <t>Rohan Jones</t>
  </si>
  <si>
    <t>TE184</t>
  </si>
  <si>
    <t>RB187</t>
  </si>
  <si>
    <t>Gus Edwards</t>
  </si>
  <si>
    <t>RB188</t>
  </si>
  <si>
    <t>Dylan Drummond</t>
  </si>
  <si>
    <t>WR245</t>
  </si>
  <si>
    <t>Ray-Ray McCloud III</t>
  </si>
  <si>
    <t>WR246</t>
  </si>
  <si>
    <t>Josh Kattus</t>
  </si>
  <si>
    <t>TE185</t>
  </si>
  <si>
    <t>Amar Johnson</t>
  </si>
  <si>
    <t>RB189</t>
  </si>
  <si>
    <t>Davon Booth</t>
  </si>
  <si>
    <t>RB190</t>
  </si>
  <si>
    <t>Zack Moss</t>
  </si>
  <si>
    <t>RB191</t>
  </si>
  <si>
    <t>WR247</t>
  </si>
  <si>
    <t>EJ Smith</t>
  </si>
  <si>
    <t>RB192</t>
  </si>
  <si>
    <t>Ronnie Bell</t>
  </si>
  <si>
    <t>WR248</t>
  </si>
  <si>
    <t>Trey Sermon</t>
  </si>
  <si>
    <t>RB193</t>
  </si>
  <si>
    <t>Shedrick Jackson</t>
  </si>
  <si>
    <t>WR249</t>
  </si>
  <si>
    <t>Jeff Wilson Jr.</t>
  </si>
  <si>
    <t>RB194</t>
  </si>
  <si>
    <t>Deven Thompkins</t>
  </si>
  <si>
    <t>WR250</t>
  </si>
  <si>
    <t>Dante Pettis</t>
  </si>
  <si>
    <t>WR251</t>
  </si>
  <si>
    <t>Royce Freeman</t>
  </si>
  <si>
    <t>RB195</t>
  </si>
  <si>
    <t>TE186</t>
  </si>
  <si>
    <t>Julius Chestnut</t>
  </si>
  <si>
    <t>RB196</t>
  </si>
  <si>
    <t>Simi Fehoko</t>
  </si>
  <si>
    <t>WR252</t>
  </si>
  <si>
    <t>Tylan Wallace</t>
  </si>
  <si>
    <t>WR253</t>
  </si>
  <si>
    <t>Cody Schrader</t>
  </si>
  <si>
    <t>RB197</t>
  </si>
  <si>
    <t>RB198</t>
  </si>
  <si>
    <t>Tom Kennedy</t>
  </si>
  <si>
    <t>WR254</t>
  </si>
  <si>
    <t>Jaden Nixon</t>
  </si>
  <si>
    <t>RB199</t>
  </si>
  <si>
    <t>D'Onta Foreman</t>
  </si>
  <si>
    <t>RB200</t>
  </si>
  <si>
    <t>Xavier Weaver</t>
  </si>
  <si>
    <t>WR255</t>
  </si>
  <si>
    <t>Carson Steele</t>
  </si>
  <si>
    <t>RB201</t>
  </si>
  <si>
    <t>RB202</t>
  </si>
  <si>
    <t>Jalin Hyatt</t>
  </si>
  <si>
    <t>WR256</t>
  </si>
  <si>
    <t>Dare Ogunbowale</t>
  </si>
  <si>
    <t>RB203</t>
  </si>
  <si>
    <t>Zamir White</t>
  </si>
  <si>
    <t>RB204</t>
  </si>
  <si>
    <t>Tay Martin</t>
  </si>
  <si>
    <t>WR257</t>
  </si>
  <si>
    <t>Chris Moore</t>
  </si>
  <si>
    <t>WR258</t>
  </si>
  <si>
    <t>WR259</t>
  </si>
  <si>
    <t>Gregory Desrosiers</t>
  </si>
  <si>
    <t>RB205</t>
  </si>
  <si>
    <t>Evan Hull</t>
  </si>
  <si>
    <t>RB206</t>
  </si>
  <si>
    <t>Clyde Edwards-Helaire</t>
  </si>
  <si>
    <t>RB207</t>
  </si>
  <si>
    <t>Bryce Oliver</t>
  </si>
  <si>
    <t>WR260</t>
  </si>
  <si>
    <t>Jason Brownlee</t>
  </si>
  <si>
    <t>WR261</t>
  </si>
  <si>
    <t>Myles Gaskin</t>
  </si>
  <si>
    <t>RB208</t>
  </si>
  <si>
    <t>Sam Scott</t>
  </si>
  <si>
    <t>RB209</t>
  </si>
  <si>
    <t>Darrynton Evans</t>
  </si>
  <si>
    <t>RB210</t>
  </si>
  <si>
    <t>KhaDarel Hodge</t>
  </si>
  <si>
    <t>WR262</t>
  </si>
  <si>
    <t>Tyrion Davis-Price</t>
  </si>
  <si>
    <t>RB211</t>
  </si>
  <si>
    <t>Camden Brown</t>
  </si>
  <si>
    <t>WR263</t>
  </si>
  <si>
    <t>Jashaun Corbin</t>
  </si>
  <si>
    <t>RB212</t>
  </si>
  <si>
    <t>Alex Bachman</t>
  </si>
  <si>
    <t>WR264</t>
  </si>
  <si>
    <t>Gabe Davis</t>
  </si>
  <si>
    <t>WR265</t>
  </si>
  <si>
    <t>WR266</t>
  </si>
  <si>
    <t>Jimmy Holiday</t>
  </si>
  <si>
    <t>WR267</t>
  </si>
  <si>
    <t>D'Ernest Johnson</t>
  </si>
  <si>
    <t>RB213</t>
  </si>
  <si>
    <t>Samori Toure</t>
  </si>
  <si>
    <t>WR268</t>
  </si>
  <si>
    <t>Trent Sherfield Sr.</t>
  </si>
  <si>
    <t>WR269</t>
  </si>
  <si>
    <t>Eli Pancol</t>
  </si>
  <si>
    <t>WR270</t>
  </si>
  <si>
    <t>Zay Jones</t>
  </si>
  <si>
    <t>WR271</t>
  </si>
  <si>
    <t>Emmanuel Henderson Jr.</t>
  </si>
  <si>
    <t>WR272</t>
  </si>
  <si>
    <t>Tejhaun Palmer</t>
  </si>
  <si>
    <t>WR273</t>
  </si>
  <si>
    <t>Xavier Gipson</t>
  </si>
  <si>
    <t>WR274</t>
  </si>
  <si>
    <t>Isaiah Neyor</t>
  </si>
  <si>
    <t>WR275</t>
  </si>
  <si>
    <t>Andrew Armstrong</t>
  </si>
  <si>
    <t>WR276</t>
  </si>
  <si>
    <t>Raylen Sharpe</t>
  </si>
  <si>
    <t>WR277</t>
  </si>
  <si>
    <t>Sederrick Cunningham</t>
  </si>
  <si>
    <t>WR278</t>
  </si>
  <si>
    <t>Jacob De Jesus</t>
  </si>
  <si>
    <t>WR279</t>
  </si>
  <si>
    <t>Sahmir Hagans</t>
  </si>
  <si>
    <t>WR280</t>
  </si>
  <si>
    <t>Omari Kelly</t>
  </si>
  <si>
    <t>WR281</t>
  </si>
  <si>
    <t>Malik Turner</t>
  </si>
  <si>
    <t>WR282</t>
  </si>
  <si>
    <t>Anthony Smith</t>
  </si>
  <si>
    <t>WR283</t>
  </si>
  <si>
    <t>Brennan Presley</t>
  </si>
  <si>
    <t>WR284</t>
  </si>
  <si>
    <t>Kaden Prather</t>
  </si>
  <si>
    <t>WR285</t>
  </si>
  <si>
    <t>Omari Evans</t>
  </si>
  <si>
    <t>WR286</t>
  </si>
  <si>
    <t>Tru Edwards</t>
  </si>
  <si>
    <t>WR287</t>
  </si>
  <si>
    <t>JP Richardson</t>
  </si>
  <si>
    <t>WR288</t>
  </si>
  <si>
    <t>Xavier Loyd</t>
  </si>
  <si>
    <t>WR289</t>
  </si>
  <si>
    <t>WR290</t>
  </si>
  <si>
    <t>Dalen Cambre</t>
  </si>
  <si>
    <t>WR291</t>
  </si>
  <si>
    <t>Devonte Ross</t>
  </si>
  <si>
    <t>WR292</t>
  </si>
  <si>
    <t>Nick Nash</t>
  </si>
  <si>
    <t>WR293</t>
  </si>
  <si>
    <t>Jordan Moore</t>
  </si>
  <si>
    <t>WR294</t>
  </si>
  <si>
    <t>Chris Hilton Jr.</t>
  </si>
  <si>
    <t>WR295</t>
  </si>
  <si>
    <t>Brandon Smith</t>
  </si>
  <si>
    <t>WR296</t>
  </si>
  <si>
    <t>Sincere Brown</t>
  </si>
  <si>
    <t>WR297</t>
  </si>
  <si>
    <t>Jamaal Pritchett</t>
  </si>
  <si>
    <t>WR298</t>
  </si>
  <si>
    <t>Jaden Bradley</t>
  </si>
  <si>
    <t>WR299</t>
  </si>
  <si>
    <t>WR300</t>
  </si>
  <si>
    <t>WR301</t>
  </si>
  <si>
    <t>Rashad Rochelle</t>
  </si>
  <si>
    <t>WR302</t>
  </si>
  <si>
    <t>Brandon Johnson</t>
  </si>
  <si>
    <t>WR303</t>
  </si>
  <si>
    <t>Josh Kelly</t>
  </si>
  <si>
    <t>WR304</t>
  </si>
  <si>
    <t>E.J. Williams Jr.</t>
  </si>
  <si>
    <t>WR305</t>
  </si>
  <si>
    <t>Beaux Collins</t>
  </si>
  <si>
    <t>WR306</t>
  </si>
  <si>
    <t>Donaven McCulley</t>
  </si>
  <si>
    <t>WR307</t>
  </si>
  <si>
    <t>Junior Bergen</t>
  </si>
  <si>
    <t>WR308</t>
  </si>
  <si>
    <t>Caullin Lacy</t>
  </si>
  <si>
    <t>WR309</t>
  </si>
  <si>
    <t>Dontae Fleming</t>
  </si>
  <si>
    <t>WR310</t>
  </si>
  <si>
    <t>WR311</t>
  </si>
  <si>
    <t>Malik McClain</t>
  </si>
  <si>
    <t>WR312</t>
  </si>
  <si>
    <t>Hakeem Butler</t>
  </si>
  <si>
    <t>WR313</t>
  </si>
  <si>
    <t>Dillon Bell</t>
  </si>
  <si>
    <t>WR314</t>
  </si>
  <si>
    <t>WR315</t>
  </si>
  <si>
    <t>AJ Henning</t>
  </si>
  <si>
    <t>WR316</t>
  </si>
  <si>
    <t>Jordan Hudson</t>
  </si>
  <si>
    <t>WR317</t>
  </si>
  <si>
    <t>Quez Watkins</t>
  </si>
  <si>
    <t>WR318</t>
  </si>
  <si>
    <t>Danny Gray</t>
  </si>
  <si>
    <t>WR319</t>
  </si>
  <si>
    <t>Stephen Gosnell</t>
  </si>
  <si>
    <t>WR320</t>
  </si>
  <si>
    <t>Treyvhon Saunders</t>
  </si>
  <si>
    <t>WR321</t>
  </si>
  <si>
    <t>Trey Palmer</t>
  </si>
  <si>
    <t>WR322</t>
  </si>
  <si>
    <t>Daniel Sobkowicz</t>
  </si>
  <si>
    <t>WR323</t>
  </si>
  <si>
    <t>Dennis Houston</t>
  </si>
  <si>
    <t>WR324</t>
  </si>
  <si>
    <t>Wesley Grimes</t>
  </si>
  <si>
    <t>WR325</t>
  </si>
  <si>
    <t>Kolbe Katsis</t>
  </si>
  <si>
    <t>WR326</t>
  </si>
  <si>
    <t>Nick DeGennaro</t>
  </si>
  <si>
    <t>WR327</t>
  </si>
  <si>
    <t>Dean Patterson IV</t>
  </si>
  <si>
    <t>WR328</t>
  </si>
  <si>
    <t>Cameron Dorner</t>
  </si>
  <si>
    <t>WR329</t>
  </si>
  <si>
    <t>Cameron Ross</t>
  </si>
  <si>
    <t>WR330</t>
  </si>
  <si>
    <t>Kobe Prentice</t>
  </si>
  <si>
    <t>WR331</t>
  </si>
  <si>
    <t>Keelan Marion</t>
  </si>
  <si>
    <t>WR332</t>
  </si>
  <si>
    <t>Max Tomczak</t>
  </si>
  <si>
    <t>WR333</t>
  </si>
  <si>
    <t>Johnny Wilson</t>
  </si>
  <si>
    <t>WR334</t>
  </si>
  <si>
    <t>Hank Beatty</t>
  </si>
  <si>
    <t>WR335</t>
  </si>
  <si>
    <t>Kyle Dixon</t>
  </si>
  <si>
    <t>WR336</t>
  </si>
  <si>
    <t>Ja'Mori Maclin</t>
  </si>
  <si>
    <t>WR337</t>
  </si>
  <si>
    <t>Jackson Meeks</t>
  </si>
  <si>
    <t>WR338</t>
  </si>
  <si>
    <t>Lance McCutcheon</t>
  </si>
  <si>
    <t>WR339</t>
  </si>
  <si>
    <t>Courtney Jackson</t>
  </si>
  <si>
    <t>WR340</t>
  </si>
  <si>
    <t>Luke Floriea</t>
  </si>
  <si>
    <t>WR341</t>
  </si>
  <si>
    <t>Brock Rechsteiner</t>
  </si>
  <si>
    <t>WR342</t>
  </si>
  <si>
    <t>Kole Wilson</t>
  </si>
  <si>
    <t>WR343</t>
  </si>
  <si>
    <t>Bryson Green</t>
  </si>
  <si>
    <t>WR344</t>
  </si>
  <si>
    <t>Cornelius Johnson</t>
  </si>
  <si>
    <t>WR345</t>
  </si>
  <si>
    <t>Xavier Guillory</t>
  </si>
  <si>
    <t>WR346</t>
  </si>
  <si>
    <t>Cortez Braham Jr.</t>
  </si>
  <si>
    <t>WR347</t>
  </si>
  <si>
    <t>WR348</t>
  </si>
  <si>
    <t>Octavian Smith Jr.</t>
  </si>
  <si>
    <t>WR349</t>
  </si>
  <si>
    <t>Irv Charles</t>
  </si>
  <si>
    <t>WR350</t>
  </si>
  <si>
    <t>Phillip Dorsett II</t>
  </si>
  <si>
    <t>WR351</t>
  </si>
  <si>
    <t>Trenton Irwin</t>
  </si>
  <si>
    <t>WR352</t>
  </si>
  <si>
    <t>Ihmir Smith-Marsette</t>
  </si>
  <si>
    <t>WR353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</si>
</sst>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\$#,##0_);[Red]&quot;($&quot;#,##0\)"/>
    <numFmt numFmtId="166" formatCode="\$#,##0"/>
    <numFmt numFmtId="167" formatCode="0.000"/>
  </numFmts>
  <fonts count="30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  <font>
      <b/>
      <i/>
      <sz val="8.0"/>
      <color rgb="FF0000FF"/>
      <name val="Aptos Narrow"/>
    </font>
    <font>
      <b/>
      <sz val="11.0"/>
      <color theme="0"/>
      <name val="Aptos Narrow"/>
    </font>
    <font>
      <b/>
      <sz val="18.0"/>
      <color theme="0"/>
      <name val="Aptos Narrow"/>
    </font>
    <font/>
    <font>
      <b/>
      <sz val="18.0"/>
      <color rgb="FFFFFFFF"/>
      <name val="Aptos Narrow"/>
    </font>
    <font>
      <b/>
      <sz val="11.0"/>
      <color theme="1"/>
      <name val="Aptos Narrow"/>
    </font>
    <font>
      <b/>
      <sz val="12.0"/>
      <color rgb="FFFFFFFF"/>
      <name val="Cambria"/>
    </font>
    <font>
      <b/>
      <sz val="16.0"/>
      <color theme="0"/>
      <name val="Aptos Narrow"/>
    </font>
    <font>
      <b/>
      <u/>
      <sz val="16.0"/>
      <color theme="1"/>
      <name val="Aptos Narrow"/>
    </font>
    <font>
      <b/>
      <sz val="16.0"/>
      <color theme="1"/>
      <name val="Aptos Narrow"/>
    </font>
    <font>
      <i/>
      <sz val="9.0"/>
      <color rgb="FF404040"/>
      <name val="Aptos Narrow"/>
    </font>
    <font>
      <b/>
      <sz val="11.0"/>
      <color rgb="FFFFFFFF"/>
      <name val="Cambria"/>
    </font>
    <font>
      <b/>
      <i/>
      <sz val="16.0"/>
      <color theme="1"/>
      <name val="Aptos Narrow"/>
    </font>
    <font>
      <b/>
      <sz val="11.0"/>
      <color theme="1"/>
      <name val="Cambria"/>
    </font>
    <font>
      <b/>
      <sz val="16.0"/>
      <color theme="1"/>
      <name val="Arial"/>
    </font>
    <font>
      <b/>
      <sz val="16.0"/>
      <color rgb="FFFF0000"/>
      <name val="Aptos Narrow"/>
    </font>
    <font>
      <sz val="14.0"/>
      <color theme="1"/>
      <name val="Aptos Narrow"/>
    </font>
    <font>
      <sz val="11.0"/>
      <color theme="1"/>
      <name val="Arial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sz val="14.0"/>
      <color theme="0"/>
      <name val="Aptos Narrow"/>
    </font>
    <font>
      <b/>
      <sz val="9.0"/>
      <color theme="1"/>
      <name val="Aptos Narrow"/>
    </font>
    <font>
      <b/>
      <u/>
      <sz val="10.0"/>
      <color theme="1"/>
      <name val="Aptos Narrow"/>
    </font>
    <font>
      <b/>
      <sz val="10.0"/>
      <color theme="1"/>
      <name val="Aptos Narrow"/>
    </font>
    <font>
      <b/>
      <sz val="12.0"/>
      <color theme="0"/>
      <name val="Aptos Narrow"/>
    </font>
    <font>
      <b/>
      <sz val="10.0"/>
      <color theme="0"/>
      <name val="Aptos Narrow"/>
    </font>
    <font>
      <b/>
      <sz val="11.0"/>
      <color rgb="FFFFFFFF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  <fill>
      <patternFill patternType="solid">
        <fgColor rgb="FF44546A"/>
        <bgColor rgb="FF44546A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</fills>
  <borders count="42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A6A6A6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3" fillId="4" fontId="5" numFmtId="0" xfId="0" applyAlignment="1" applyBorder="1" applyFill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4" fillId="0" fontId="6" numFmtId="0" xfId="0" applyBorder="1" applyFont="1"/>
    <xf borderId="5" fillId="5" fontId="7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1" fillId="2" fontId="5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vertical="center"/>
    </xf>
    <xf borderId="1" fillId="3" fontId="2" numFmtId="1" xfId="0" applyAlignment="1" applyBorder="1" applyFill="1" applyFont="1" applyNumberFormat="1">
      <alignment horizontal="center"/>
    </xf>
    <xf borderId="8" fillId="4" fontId="10" numFmtId="0" xfId="0" applyAlignment="1" applyBorder="1" applyFill="1" applyFont="1">
      <alignment horizontal="center" vertical="center"/>
    </xf>
    <xf borderId="1" fillId="2" fontId="11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center" vertical="center"/>
    </xf>
    <xf borderId="5" fillId="6" fontId="13" numFmtId="0" xfId="0" applyAlignment="1" applyBorder="1" applyFill="1" applyFont="1">
      <alignment horizontal="center" vertical="center"/>
    </xf>
    <xf borderId="9" fillId="6" fontId="12" numFmtId="0" xfId="0" applyAlignment="1" applyBorder="1" applyFill="1" applyFont="1">
      <alignment horizontal="center" vertical="center"/>
    </xf>
    <xf borderId="10" fillId="6" fontId="12" numFmtId="0" xfId="0" applyAlignment="1" applyBorder="1" applyFill="1" applyFont="1">
      <alignment horizontal="center" vertical="center"/>
    </xf>
    <xf borderId="11" fillId="7" fontId="14" numFmtId="0" xfId="0" applyAlignment="1" applyBorder="1" applyFill="1" applyFont="1">
      <alignment horizontal="center"/>
    </xf>
    <xf borderId="12" fillId="6" fontId="15" numFmtId="0" xfId="0" applyAlignment="1" applyBorder="1" applyFill="1" applyFont="1">
      <alignment horizontal="center" vertical="center"/>
    </xf>
    <xf borderId="13" fillId="0" fontId="6" numFmtId="0" xfId="0" applyBorder="1" applyFont="1"/>
    <xf borderId="14" fillId="8" fontId="16" numFmtId="0" xfId="0" applyAlignment="1" applyBorder="1" applyFill="1" applyFont="1">
      <alignment horizontal="center"/>
    </xf>
    <xf borderId="1" fillId="4" fontId="4" numFmtId="164" xfId="0" applyAlignment="1" applyBorder="1" applyFill="1" applyFont="1" applyNumberFormat="1">
      <alignment horizontal="center"/>
    </xf>
    <xf borderId="15" fillId="0" fontId="6" numFmtId="0" xfId="0" applyBorder="1" applyFont="1"/>
    <xf borderId="2" fillId="6" fontId="12" numFmtId="0" xfId="0" applyAlignment="1" applyBorder="1" applyFill="1" applyFont="1">
      <alignment horizontal="center" vertical="center"/>
    </xf>
    <xf borderId="14" fillId="6" fontId="12" numFmtId="0" xfId="0" applyAlignment="1" applyBorder="1" applyFill="1" applyFont="1">
      <alignment horizontal="center" vertical="center"/>
    </xf>
    <xf borderId="16" fillId="6" fontId="12" numFmtId="0" xfId="0" applyAlignment="1" applyBorder="1" applyFill="1" applyFont="1">
      <alignment horizontal="center" vertical="center"/>
    </xf>
    <xf borderId="17" fillId="4" fontId="10" numFmtId="0" xfId="0" applyAlignment="1" applyBorder="1" applyFill="1" applyFont="1">
      <alignment horizontal="center" vertical="center"/>
    </xf>
    <xf borderId="18" fillId="0" fontId="6" numFmtId="0" xfId="0" applyBorder="1" applyFont="1"/>
    <xf borderId="14" fillId="8" fontId="17" numFmtId="0" xfId="0" applyAlignment="1" applyBorder="1" applyFill="1" applyFont="1">
      <alignment horizontal="center" readingOrder="0" vertical="center"/>
    </xf>
    <xf borderId="19" fillId="8" fontId="17" numFmtId="0" xfId="0" applyAlignment="1" applyBorder="1" applyFill="1" applyFont="1">
      <alignment horizontal="center" readingOrder="0" vertical="center"/>
    </xf>
    <xf borderId="19" fillId="8" fontId="1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/>
    </xf>
    <xf borderId="20" fillId="8" fontId="17" numFmtId="0" xfId="0" applyAlignment="1" applyBorder="1" applyFill="1" applyFont="1">
      <alignment horizontal="center" readingOrder="0" vertical="center"/>
    </xf>
    <xf borderId="21" fillId="4" fontId="4" numFmtId="0" xfId="0" applyAlignment="1" applyBorder="1" applyFill="1" applyFont="1">
      <alignment horizontal="center" vertical="center"/>
    </xf>
    <xf borderId="22" fillId="4" fontId="4" numFmtId="0" xfId="0" applyAlignment="1" applyBorder="1" applyFill="1" applyFont="1">
      <alignment horizontal="center" vertical="center"/>
    </xf>
    <xf borderId="23" fillId="6" fontId="8" numFmtId="0" xfId="0" applyAlignment="1" applyBorder="1" applyFill="1" applyFont="1">
      <alignment horizontal="center"/>
    </xf>
    <xf borderId="24" fillId="0" fontId="15" numFmtId="0" xfId="0" applyAlignment="1" applyBorder="1" applyFont="1">
      <alignment horizontal="center" vertical="center"/>
    </xf>
    <xf borderId="14" fillId="8" fontId="12" numFmtId="0" xfId="0" applyAlignment="1" applyBorder="1" applyFill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25" fillId="4" fontId="4" numFmtId="0" xfId="0" applyAlignment="1" applyBorder="1" applyFill="1" applyFont="1">
      <alignment horizontal="center" vertical="center"/>
    </xf>
    <xf borderId="26" fillId="4" fontId="4" numFmtId="0" xfId="0" applyAlignment="1" applyBorder="1" applyFill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8" fillId="9" fontId="1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27" fillId="0" fontId="2" numFmtId="164" xfId="0" applyAlignment="1" applyBorder="1" applyFont="1" applyNumberFormat="1">
      <alignment horizontal="center" vertical="center"/>
    </xf>
    <xf borderId="28" fillId="0" fontId="2" numFmtId="164" xfId="0" applyAlignment="1" applyBorder="1" applyFont="1" applyNumberFormat="1">
      <alignment horizontal="center" vertical="center"/>
    </xf>
    <xf borderId="29" fillId="0" fontId="2" numFmtId="164" xfId="0" applyAlignment="1" applyBorder="1" applyFont="1" applyNumberFormat="1">
      <alignment horizontal="center" vertical="center"/>
    </xf>
    <xf borderId="14" fillId="8" fontId="12" numFmtId="165" xfId="0" applyAlignment="1" applyBorder="1" applyFill="1" applyFont="1" applyNumberFormat="1">
      <alignment horizontal="center" vertical="center"/>
    </xf>
    <xf borderId="30" fillId="2" fontId="2" numFmtId="0" xfId="0" applyAlignment="1" applyBorder="1" applyFill="1" applyFont="1">
      <alignment horizontal="center" vertical="center"/>
    </xf>
    <xf borderId="11" fillId="2" fontId="2" numFmtId="0" xfId="0" applyAlignment="1" applyBorder="1" applyFill="1" applyFont="1">
      <alignment horizontal="center" vertical="center"/>
    </xf>
    <xf borderId="23" fillId="0" fontId="2" numFmtId="1" xfId="0" applyAlignment="1" applyBorder="1" applyFont="1" applyNumberFormat="1">
      <alignment horizontal="center"/>
    </xf>
    <xf borderId="11" fillId="2" fontId="2" numFmtId="1" xfId="0" applyAlignment="1" applyBorder="1" applyFill="1" applyFont="1" applyNumberFormat="1">
      <alignment horizontal="center" vertical="center"/>
    </xf>
    <xf borderId="23" fillId="0" fontId="2" numFmtId="0" xfId="0" applyAlignment="1" applyBorder="1" applyFont="1">
      <alignment horizontal="center"/>
    </xf>
    <xf borderId="5" fillId="2" fontId="10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vertical="center"/>
    </xf>
    <xf borderId="1" fillId="2" fontId="12" numFmtId="1" xfId="0" applyAlignment="1" applyBorder="1" applyFill="1" applyFont="1" applyNumberFormat="1">
      <alignment horizontal="center" vertical="center"/>
    </xf>
    <xf borderId="1" fillId="2" fontId="18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center" vertical="center"/>
    </xf>
    <xf borderId="21" fillId="2" fontId="2" numFmtId="1" xfId="0" applyAlignment="1" applyBorder="1" applyFill="1" applyFont="1" applyNumberFormat="1">
      <alignment horizontal="center" vertical="center"/>
    </xf>
    <xf borderId="1" fillId="2" fontId="10" numFmtId="0" xfId="0" applyAlignment="1" applyBorder="1" applyFill="1" applyFont="1">
      <alignment horizontal="center" vertical="center"/>
    </xf>
    <xf borderId="23" fillId="0" fontId="2" numFmtId="9" xfId="0" applyAlignment="1" applyBorder="1" applyFont="1" applyNumberFormat="1">
      <alignment horizontal="center"/>
    </xf>
    <xf borderId="21" fillId="2" fontId="2" numFmtId="166" xfId="0" applyAlignment="1" applyBorder="1" applyFill="1" applyFont="1" applyNumberFormat="1">
      <alignment horizontal="center" vertical="center"/>
    </xf>
    <xf borderId="21" fillId="6" fontId="2" numFmtId="1" xfId="0" applyAlignment="1" applyBorder="1" applyFill="1" applyFont="1" applyNumberFormat="1">
      <alignment horizontal="center" vertical="center"/>
    </xf>
    <xf borderId="31" fillId="2" fontId="19" numFmtId="0" xfId="0" applyAlignment="1" applyBorder="1" applyFill="1" applyFont="1">
      <alignment horizontal="center" shrinkToFit="0" vertical="center" wrapText="1"/>
    </xf>
    <xf borderId="32" fillId="0" fontId="6" numFmtId="0" xfId="0" applyBorder="1" applyFont="1"/>
    <xf borderId="23" fillId="8" fontId="20" numFmtId="0" xfId="0" applyAlignment="1" applyBorder="1" applyFill="1" applyFont="1">
      <alignment horizontal="center" readingOrder="0"/>
    </xf>
    <xf borderId="33" fillId="0" fontId="6" numFmtId="0" xfId="0" applyBorder="1" applyFont="1"/>
    <xf borderId="23" fillId="8" fontId="2" numFmtId="1" xfId="0" applyAlignment="1" applyBorder="1" applyFill="1" applyFont="1" applyNumberFormat="1">
      <alignment horizontal="center"/>
    </xf>
    <xf borderId="0" fillId="0" fontId="2" numFmtId="1" xfId="0" applyAlignment="1" applyFont="1" applyNumberFormat="1">
      <alignment horizontal="center" shrinkToFit="1" wrapText="0"/>
    </xf>
    <xf borderId="21" fillId="2" fontId="2" numFmtId="164" xfId="0" applyAlignment="1" applyBorder="1" applyFill="1" applyFont="1" applyNumberFormat="1">
      <alignment horizontal="center" vertical="center"/>
    </xf>
    <xf borderId="1" fillId="2" fontId="2" numFmtId="1" xfId="0" applyAlignment="1" applyBorder="1" applyFill="1" applyFont="1" applyNumberFormat="1">
      <alignment horizontal="center" vertical="center"/>
    </xf>
    <xf borderId="23" fillId="8" fontId="2" numFmtId="9" xfId="0" applyAlignment="1" applyBorder="1" applyFill="1" applyFont="1" applyNumberFormat="1">
      <alignment horizontal="center"/>
    </xf>
    <xf borderId="0" fillId="0" fontId="8" numFmtId="1" xfId="0" applyAlignment="1" applyFont="1" applyNumberFormat="1">
      <alignment horizontal="center" shrinkToFit="1" wrapText="0"/>
    </xf>
    <xf borderId="1" fillId="2" fontId="21" numFmtId="0" xfId="0" applyAlignment="1" applyBorder="1" applyFill="1" applyFont="1">
      <alignment horizontal="center" vertical="center"/>
    </xf>
    <xf borderId="25" fillId="2" fontId="2" numFmtId="0" xfId="0" applyAlignment="1" applyBorder="1" applyFill="1" applyFont="1">
      <alignment horizontal="center" vertical="center"/>
    </xf>
    <xf borderId="34" fillId="2" fontId="22" numFmtId="0" xfId="0" applyAlignment="1" applyBorder="1" applyFill="1" applyFont="1">
      <alignment horizontal="center" vertical="center"/>
    </xf>
    <xf borderId="8" fillId="4" fontId="23" numFmtId="0" xfId="0" applyAlignment="1" applyBorder="1" applyFill="1" applyFont="1">
      <alignment horizontal="center" vertical="center"/>
    </xf>
    <xf borderId="23" fillId="10" fontId="24" numFmtId="0" xfId="0" applyAlignment="1" applyBorder="1" applyFill="1" applyFont="1">
      <alignment horizontal="center" vertical="center"/>
    </xf>
    <xf borderId="23" fillId="10" fontId="8" numFmtId="0" xfId="0" applyAlignment="1" applyBorder="1" applyFill="1" applyFont="1">
      <alignment horizontal="center" vertical="center"/>
    </xf>
    <xf borderId="34" fillId="2" fontId="2" numFmtId="1" xfId="0" applyAlignment="1" applyBorder="1" applyFill="1" applyFont="1" applyNumberForma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23" fillId="10" fontId="25" numFmtId="0" xfId="0" applyAlignment="1" applyBorder="1" applyFill="1" applyFont="1">
      <alignment horizontal="center" vertical="center"/>
    </xf>
    <xf borderId="35" fillId="2" fontId="2" numFmtId="1" xfId="0" applyAlignment="1" applyBorder="1" applyFill="1" applyFont="1" applyNumberFormat="1">
      <alignment horizontal="center" vertical="center"/>
    </xf>
    <xf borderId="23" fillId="10" fontId="26" numFmtId="0" xfId="0" applyAlignment="1" applyBorder="1" applyFill="1" applyFont="1">
      <alignment horizontal="center" vertical="center"/>
    </xf>
    <xf borderId="11" fillId="0" fontId="2" numFmtId="1" xfId="0" applyAlignment="1" applyBorder="1" applyFont="1" applyNumberFormat="1">
      <alignment horizontal="center"/>
    </xf>
    <xf borderId="36" fillId="4" fontId="27" numFmtId="0" xfId="0" applyAlignment="1" applyBorder="1" applyFill="1" applyFont="1">
      <alignment horizontal="center" vertical="center"/>
    </xf>
    <xf borderId="37" fillId="0" fontId="6" numFmtId="0" xfId="0" applyBorder="1" applyFont="1"/>
    <xf borderId="38" fillId="0" fontId="6" numFmtId="0" xfId="0" applyBorder="1" applyFont="1"/>
    <xf borderId="23" fillId="10" fontId="24" numFmtId="0" xfId="0" applyAlignment="1" applyBorder="1" applyFill="1" applyFont="1">
      <alignment vertical="center"/>
    </xf>
    <xf borderId="23" fillId="10" fontId="26" numFmtId="164" xfId="0" applyAlignment="1" applyBorder="1" applyFill="1" applyFont="1" applyNumberFormat="1">
      <alignment horizontal="center" vertical="center"/>
    </xf>
    <xf borderId="23" fillId="10" fontId="26" numFmtId="1" xfId="0" applyAlignment="1" applyBorder="1" applyFill="1" applyFont="1" applyNumberFormat="1">
      <alignment horizontal="center" vertical="center"/>
    </xf>
    <xf borderId="23" fillId="4" fontId="28" numFmtId="0" xfId="0" applyAlignment="1" applyBorder="1" applyFill="1" applyFont="1">
      <alignment horizontal="center" vertical="center"/>
    </xf>
    <xf borderId="23" fillId="10" fontId="26" numFmtId="2" xfId="0" applyAlignment="1" applyBorder="1" applyFill="1" applyFont="1" applyNumberFormat="1">
      <alignment horizontal="center" vertical="center"/>
    </xf>
    <xf borderId="23" fillId="10" fontId="8" numFmtId="165" xfId="0" applyAlignment="1" applyBorder="1" applyFill="1" applyFont="1" applyNumberFormat="1">
      <alignment horizontal="center" vertical="center"/>
    </xf>
    <xf borderId="23" fillId="10" fontId="8" numFmtId="166" xfId="0" applyAlignment="1" applyBorder="1" applyFill="1" applyFont="1" applyNumberFormat="1">
      <alignment horizontal="center" vertical="center"/>
    </xf>
    <xf borderId="23" fillId="10" fontId="8" numFmtId="1" xfId="0" applyAlignment="1" applyBorder="1" applyFill="1" applyFont="1" applyNumberFormat="1">
      <alignment horizontal="center" vertical="center"/>
    </xf>
    <xf borderId="23" fillId="10" fontId="8" numFmtId="2" xfId="0" applyAlignment="1" applyBorder="1" applyFill="1" applyFont="1" applyNumberFormat="1">
      <alignment horizontal="center" vertical="center"/>
    </xf>
    <xf borderId="11" fillId="0" fontId="2" numFmtId="9" xfId="0" applyAlignment="1" applyBorder="1" applyFont="1" applyNumberFormat="1">
      <alignment horizont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shrinkToFit="1" wrapText="0"/>
    </xf>
    <xf borderId="23" fillId="6" fontId="8" numFmtId="1" xfId="0" applyAlignment="1" applyBorder="1" applyFill="1" applyFont="1" applyNumberFormat="1">
      <alignment horizontal="center"/>
    </xf>
    <xf borderId="1" fillId="4" fontId="4" numFmtId="164" xfId="0" applyAlignment="1" applyBorder="1" applyFill="1" applyFont="1" applyNumberFormat="1">
      <alignment horizontal="center" vertical="center"/>
    </xf>
    <xf borderId="1" fillId="2" fontId="2" numFmtId="1" xfId="0" applyAlignment="1" applyBorder="1" applyFill="1" applyFont="1" applyNumberFormat="1">
      <alignment horizontal="center"/>
    </xf>
    <xf borderId="1" fillId="2" fontId="29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horizontal="center"/>
    </xf>
    <xf borderId="0" fillId="0" fontId="2" numFmtId="1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/>
    </xf>
    <xf borderId="1" fillId="4" fontId="2" numFmtId="0" xfId="0" applyBorder="1" applyFill="1" applyFont="1"/>
    <xf borderId="39" fillId="2" fontId="2" numFmtId="1" xfId="0" applyAlignment="1" applyBorder="1" applyFill="1" applyFont="1" applyNumberFormat="1">
      <alignment horizontal="center" vertical="center"/>
    </xf>
    <xf borderId="40" fillId="2" fontId="2" numFmtId="1" xfId="0" applyAlignment="1" applyBorder="1" applyFill="1" applyFont="1" applyNumberFormat="1">
      <alignment horizontal="center" vertical="center"/>
    </xf>
    <xf borderId="40" fillId="2" fontId="2" numFmtId="164" xfId="0" applyAlignment="1" applyBorder="1" applyFill="1" applyFont="1" applyNumberFormat="1">
      <alignment horizontal="center" vertical="center"/>
    </xf>
    <xf borderId="41" fillId="2" fontId="2" numFmtId="1" xfId="0" applyAlignment="1" applyBorder="1" applyFill="1" applyFont="1" applyNumberForma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7" xfId="0" applyFont="1" applyNumberFormat="1"/>
    <xf borderId="0" fillId="0" fontId="2" numFmtId="9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>
        <color rgb="FFFF000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4.0"/>
    <col customWidth="1" min="3" max="3" width="20.63"/>
    <col customWidth="1" min="4" max="4" width="13.88"/>
    <col customWidth="1" min="5" max="5" width="14.38"/>
    <col customWidth="1" min="6" max="6" width="13.38"/>
    <col customWidth="1" min="7" max="7" width="15.88"/>
    <col customWidth="1" min="8" max="8" width="10.5"/>
    <col customWidth="1" min="9" max="9" width="13.5"/>
    <col customWidth="1" min="10" max="10" width="8.0"/>
    <col customWidth="1" min="11" max="11" width="12.38"/>
    <col customWidth="1" min="12" max="12" width="10.13"/>
    <col customWidth="1" min="13" max="13" width="10.5"/>
    <col customWidth="1" min="14" max="14" width="11.0"/>
    <col customWidth="1" min="15" max="15" width="13.5"/>
    <col customWidth="1" min="16" max="16" width="19.5"/>
    <col customWidth="1" min="17" max="33" width="8.88"/>
  </cols>
  <sheetData>
    <row r="1" ht="24.0" customHeight="1">
      <c r="A1" s="5"/>
      <c r="B1" s="9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4"/>
      <c r="Q1" s="15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ht="29.25" customHeight="1">
      <c r="A2" s="19" t="s">
        <v>20</v>
      </c>
      <c r="B2" s="11"/>
      <c r="C2" s="11"/>
      <c r="D2" s="11"/>
      <c r="E2" s="11"/>
      <c r="F2" s="11"/>
      <c r="G2" s="14"/>
      <c r="H2" s="20"/>
      <c r="I2" s="21" t="s">
        <v>21</v>
      </c>
      <c r="J2" s="11"/>
      <c r="K2" s="11"/>
      <c r="L2" s="11"/>
      <c r="M2" s="11"/>
      <c r="N2" s="11"/>
      <c r="O2" s="11"/>
      <c r="P2" s="14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21.0" customHeight="1">
      <c r="A3" s="24" t="s">
        <v>22</v>
      </c>
      <c r="B3" s="25" t="s">
        <v>23</v>
      </c>
      <c r="C3" s="27" t="s">
        <v>25</v>
      </c>
      <c r="D3" s="28"/>
      <c r="E3" s="28"/>
      <c r="F3" s="28"/>
      <c r="G3" s="31"/>
      <c r="H3" s="20"/>
      <c r="I3" s="32" t="s">
        <v>26</v>
      </c>
      <c r="J3" s="32" t="s">
        <v>27</v>
      </c>
      <c r="K3" s="33" t="s">
        <v>28</v>
      </c>
      <c r="L3" s="33" t="s">
        <v>29</v>
      </c>
      <c r="M3" s="33" t="s">
        <v>30</v>
      </c>
      <c r="N3" s="33" t="s">
        <v>31</v>
      </c>
      <c r="O3" s="34" t="s">
        <v>33</v>
      </c>
      <c r="P3" s="34" t="s">
        <v>34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ht="21.0" customHeight="1">
      <c r="A4" s="35" t="s">
        <v>37</v>
      </c>
      <c r="B4" s="13"/>
      <c r="C4" s="13"/>
      <c r="D4" s="13"/>
      <c r="E4" s="13"/>
      <c r="F4" s="13"/>
      <c r="G4" s="36"/>
      <c r="H4" s="20"/>
      <c r="I4" s="37">
        <v>10.0</v>
      </c>
      <c r="J4" s="38">
        <v>1.0</v>
      </c>
      <c r="K4" s="39">
        <v>2.0</v>
      </c>
      <c r="L4" s="39">
        <v>3.0</v>
      </c>
      <c r="M4" s="39">
        <v>1.0</v>
      </c>
      <c r="N4" s="38">
        <v>0.0</v>
      </c>
      <c r="O4" s="38">
        <v>6.0</v>
      </c>
      <c r="P4" s="41">
        <v>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21.0" customHeight="1">
      <c r="A5" s="45" t="s">
        <v>46</v>
      </c>
      <c r="B5" s="46">
        <v>0.0</v>
      </c>
      <c r="C5" s="47" t="s">
        <v>52</v>
      </c>
      <c r="D5" s="11"/>
      <c r="E5" s="11"/>
      <c r="F5" s="11"/>
      <c r="G5" s="14"/>
      <c r="H5" s="20"/>
      <c r="I5" s="19" t="s">
        <v>59</v>
      </c>
      <c r="J5" s="11"/>
      <c r="K5" s="11"/>
      <c r="L5" s="11"/>
      <c r="M5" s="11"/>
      <c r="N5" s="11"/>
      <c r="O5" s="11"/>
      <c r="P5" s="14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21.0" customHeight="1">
      <c r="A6" s="45" t="s">
        <v>63</v>
      </c>
      <c r="B6" s="46">
        <v>0.0</v>
      </c>
      <c r="C6" s="47" t="s">
        <v>64</v>
      </c>
      <c r="D6" s="11"/>
      <c r="E6" s="11"/>
      <c r="F6" s="11"/>
      <c r="G6" s="14"/>
      <c r="H6" s="20"/>
      <c r="I6" s="51" t="s">
        <v>65</v>
      </c>
      <c r="J6" s="14"/>
      <c r="K6" s="37" t="s">
        <v>62</v>
      </c>
      <c r="L6" s="53" t="s">
        <v>67</v>
      </c>
      <c r="M6" s="11"/>
      <c r="N6" s="11"/>
      <c r="O6" s="11"/>
      <c r="P6" s="14"/>
      <c r="Q6" s="54"/>
      <c r="R6" s="22"/>
      <c r="S6" s="54"/>
      <c r="T6" s="54"/>
      <c r="U6" s="54"/>
      <c r="V6" s="22"/>
      <c r="W6" s="22"/>
      <c r="X6" s="22"/>
      <c r="Y6" s="22"/>
      <c r="Z6" s="22"/>
      <c r="AA6" s="22"/>
      <c r="AB6" s="22"/>
      <c r="AC6" s="22"/>
      <c r="AD6" s="54"/>
      <c r="AE6" s="54"/>
      <c r="AF6" s="54"/>
      <c r="AG6" s="54"/>
    </row>
    <row r="7" ht="29.25" customHeight="1">
      <c r="A7" s="45" t="s">
        <v>71</v>
      </c>
      <c r="B7" s="37">
        <v>50.0</v>
      </c>
      <c r="C7" s="47" t="s">
        <v>74</v>
      </c>
      <c r="D7" s="11"/>
      <c r="E7" s="11"/>
      <c r="F7" s="11"/>
      <c r="G7" s="14"/>
      <c r="H7" s="20"/>
      <c r="I7" s="51" t="s">
        <v>78</v>
      </c>
      <c r="J7" s="11"/>
      <c r="K7" s="58">
        <v>200.0</v>
      </c>
      <c r="L7" s="51" t="s">
        <v>83</v>
      </c>
      <c r="M7" s="11"/>
      <c r="N7" s="11"/>
      <c r="O7" s="14"/>
      <c r="P7" s="58">
        <v>0.0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21.0" customHeight="1">
      <c r="A8" s="45" t="s">
        <v>90</v>
      </c>
      <c r="B8" s="37">
        <v>6.0</v>
      </c>
      <c r="C8" s="47" t="s">
        <v>91</v>
      </c>
      <c r="D8" s="11"/>
      <c r="E8" s="11"/>
      <c r="F8" s="11"/>
      <c r="G8" s="14"/>
      <c r="H8" s="20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21.0" customHeight="1">
      <c r="A9" s="45" t="s">
        <v>7</v>
      </c>
      <c r="B9" s="37">
        <v>-2.0</v>
      </c>
      <c r="C9" s="47" t="s">
        <v>92</v>
      </c>
      <c r="D9" s="11"/>
      <c r="E9" s="11"/>
      <c r="F9" s="11"/>
      <c r="G9" s="14"/>
      <c r="H9" s="20"/>
      <c r="I9" s="64"/>
      <c r="J9" s="13"/>
      <c r="K9" s="13"/>
      <c r="L9" s="13"/>
      <c r="M9" s="13"/>
      <c r="N9" s="13"/>
      <c r="O9" s="65"/>
      <c r="P9" s="65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21.0" customHeight="1">
      <c r="A10" s="45" t="s">
        <v>95</v>
      </c>
      <c r="B10" s="46">
        <v>0.0</v>
      </c>
      <c r="C10" s="47" t="s">
        <v>96</v>
      </c>
      <c r="D10" s="11"/>
      <c r="E10" s="11"/>
      <c r="F10" s="11"/>
      <c r="G10" s="14"/>
      <c r="H10" s="20"/>
      <c r="I10" s="22"/>
      <c r="J10" s="66"/>
      <c r="K10" s="22"/>
      <c r="L10" s="66"/>
      <c r="M10" s="22"/>
      <c r="N10" s="66"/>
      <c r="O10" s="67"/>
      <c r="P10" s="68"/>
      <c r="Q10" s="22"/>
      <c r="R10" s="22"/>
      <c r="S10" s="22"/>
      <c r="T10" s="22"/>
      <c r="U10" s="22"/>
      <c r="V10" s="22"/>
      <c r="W10" s="22"/>
      <c r="X10" s="22"/>
      <c r="Y10" s="22"/>
      <c r="Z10" s="54"/>
      <c r="AA10" s="54"/>
      <c r="AB10" s="54"/>
      <c r="AC10" s="54"/>
      <c r="AD10" s="54"/>
      <c r="AE10" s="54"/>
      <c r="AF10" s="54"/>
      <c r="AG10" s="54"/>
    </row>
    <row r="11" ht="21.0" customHeight="1">
      <c r="A11" s="35" t="s">
        <v>97</v>
      </c>
      <c r="B11" s="13"/>
      <c r="C11" s="13"/>
      <c r="D11" s="13"/>
      <c r="E11" s="13"/>
      <c r="F11" s="13"/>
      <c r="G11" s="36"/>
      <c r="H11" s="20"/>
      <c r="I11" s="70"/>
      <c r="J11" s="70"/>
      <c r="K11" s="70"/>
      <c r="L11" s="70"/>
      <c r="M11" s="70"/>
      <c r="N11" s="70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54"/>
      <c r="AA11" s="54"/>
      <c r="AB11" s="54"/>
      <c r="AC11" s="54"/>
      <c r="AD11" s="54"/>
      <c r="AE11" s="54"/>
      <c r="AF11" s="54"/>
      <c r="AG11" s="54"/>
    </row>
    <row r="12" ht="21.0" customHeight="1">
      <c r="A12" s="45" t="s">
        <v>98</v>
      </c>
      <c r="B12" s="46">
        <v>0.0</v>
      </c>
      <c r="C12" s="47" t="s">
        <v>99</v>
      </c>
      <c r="D12" s="11"/>
      <c r="E12" s="11"/>
      <c r="F12" s="11"/>
      <c r="G12" s="14"/>
      <c r="H12" s="20"/>
      <c r="I12" s="74"/>
      <c r="J12" s="75"/>
      <c r="K12" s="75"/>
      <c r="L12" s="75"/>
      <c r="M12" s="75"/>
      <c r="N12" s="75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21.0" customHeight="1">
      <c r="A13" s="45" t="s">
        <v>100</v>
      </c>
      <c r="B13" s="46">
        <v>10.0</v>
      </c>
      <c r="C13" s="47" t="s">
        <v>101</v>
      </c>
      <c r="D13" s="11"/>
      <c r="E13" s="11"/>
      <c r="F13" s="11"/>
      <c r="G13" s="14"/>
      <c r="H13" s="20"/>
      <c r="I13" s="77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54"/>
      <c r="AA13" s="54"/>
      <c r="AB13" s="54"/>
      <c r="AC13" s="54"/>
      <c r="AD13" s="54"/>
      <c r="AE13" s="54"/>
      <c r="AF13" s="54"/>
      <c r="AG13" s="54"/>
    </row>
    <row r="14" ht="29.25" customHeight="1">
      <c r="A14" s="45" t="s">
        <v>102</v>
      </c>
      <c r="B14" s="46">
        <v>6.0</v>
      </c>
      <c r="C14" s="47" t="s">
        <v>104</v>
      </c>
      <c r="D14" s="11"/>
      <c r="E14" s="11"/>
      <c r="F14" s="11"/>
      <c r="G14" s="14"/>
      <c r="H14" s="20"/>
      <c r="I14" s="77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54"/>
      <c r="AA14" s="54"/>
      <c r="AB14" s="54"/>
      <c r="AC14" s="54"/>
      <c r="AD14" s="54"/>
      <c r="AE14" s="54"/>
      <c r="AF14" s="54"/>
      <c r="AG14" s="54"/>
    </row>
    <row r="15" ht="21.0" customHeight="1">
      <c r="A15" s="35" t="s">
        <v>107</v>
      </c>
      <c r="B15" s="13"/>
      <c r="C15" s="13"/>
      <c r="D15" s="13"/>
      <c r="E15" s="13"/>
      <c r="F15" s="13"/>
      <c r="G15" s="36"/>
      <c r="H15" s="20"/>
      <c r="I15" s="77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54"/>
      <c r="AA15" s="54"/>
      <c r="AB15" s="54"/>
      <c r="AC15" s="54"/>
      <c r="AD15" s="54"/>
      <c r="AE15" s="54"/>
      <c r="AF15" s="54"/>
      <c r="AG15" s="54"/>
    </row>
    <row r="16" ht="21.0" customHeight="1">
      <c r="A16" s="45" t="s">
        <v>108</v>
      </c>
      <c r="B16" s="46">
        <v>0.5</v>
      </c>
      <c r="C16" s="47" t="s">
        <v>109</v>
      </c>
      <c r="D16" s="11"/>
      <c r="E16" s="11"/>
      <c r="F16" s="11"/>
      <c r="G16" s="14"/>
      <c r="H16" s="20"/>
      <c r="I16" s="77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21.0" customHeight="1">
      <c r="A17" s="45" t="s">
        <v>110</v>
      </c>
      <c r="B17" s="46">
        <v>0.5</v>
      </c>
      <c r="C17" s="47" t="s">
        <v>111</v>
      </c>
      <c r="D17" s="11"/>
      <c r="E17" s="11"/>
      <c r="F17" s="11"/>
      <c r="G17" s="14"/>
      <c r="H17" s="20"/>
      <c r="I17" s="77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21.0" customHeight="1">
      <c r="A18" s="45" t="s">
        <v>112</v>
      </c>
      <c r="B18" s="46">
        <v>0.5</v>
      </c>
      <c r="C18" s="47" t="s">
        <v>113</v>
      </c>
      <c r="D18" s="11"/>
      <c r="E18" s="11"/>
      <c r="F18" s="11"/>
      <c r="G18" s="14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29.25" customHeight="1">
      <c r="A19" s="45" t="s">
        <v>114</v>
      </c>
      <c r="B19" s="46">
        <v>10.0</v>
      </c>
      <c r="C19" s="47" t="s">
        <v>115</v>
      </c>
      <c r="D19" s="11"/>
      <c r="E19" s="11"/>
      <c r="F19" s="11"/>
      <c r="G19" s="14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21.0" customHeight="1">
      <c r="A20" s="45" t="s">
        <v>119</v>
      </c>
      <c r="B20" s="46">
        <v>6.0</v>
      </c>
      <c r="C20" s="47" t="s">
        <v>120</v>
      </c>
      <c r="D20" s="11"/>
      <c r="E20" s="11"/>
      <c r="F20" s="11"/>
      <c r="G20" s="14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21.0" customHeight="1">
      <c r="A21" s="35" t="s">
        <v>121</v>
      </c>
      <c r="B21" s="13"/>
      <c r="C21" s="13"/>
      <c r="D21" s="13"/>
      <c r="E21" s="13"/>
      <c r="F21" s="13"/>
      <c r="G21" s="36"/>
      <c r="H21" s="20"/>
      <c r="I21" s="20"/>
      <c r="J21" s="20"/>
      <c r="K21" s="20"/>
      <c r="L21" s="2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21.0" customHeight="1">
      <c r="A22" s="45" t="s">
        <v>8</v>
      </c>
      <c r="B22" s="46">
        <v>-2.0</v>
      </c>
      <c r="C22" s="47" t="s">
        <v>123</v>
      </c>
      <c r="D22" s="11"/>
      <c r="E22" s="11"/>
      <c r="F22" s="11"/>
      <c r="G22" s="14"/>
      <c r="H22" s="20"/>
      <c r="I22" s="84"/>
      <c r="J22" s="84"/>
      <c r="K22" s="84"/>
      <c r="L22" s="84"/>
      <c r="M22" s="16"/>
      <c r="N22" s="16"/>
      <c r="O22" s="16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ht="21.0" customHeight="1">
      <c r="A23" s="45" t="s">
        <v>124</v>
      </c>
      <c r="B23" s="46">
        <v>0.0</v>
      </c>
      <c r="C23" s="47" t="s">
        <v>125</v>
      </c>
      <c r="D23" s="11"/>
      <c r="E23" s="11"/>
      <c r="F23" s="11"/>
      <c r="G23" s="14"/>
      <c r="H23" s="20"/>
      <c r="I23" s="84"/>
      <c r="J23" s="84"/>
      <c r="K23" s="84"/>
      <c r="L23" s="84"/>
      <c r="M23" s="16"/>
      <c r="N23" s="16"/>
      <c r="O23" s="16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21.0" customHeight="1">
      <c r="A24" s="45" t="s">
        <v>128</v>
      </c>
      <c r="B24" s="46">
        <v>0.0</v>
      </c>
      <c r="C24" s="47" t="s">
        <v>129</v>
      </c>
      <c r="D24" s="11"/>
      <c r="E24" s="11"/>
      <c r="F24" s="11"/>
      <c r="G24" s="14"/>
      <c r="H24" s="20"/>
      <c r="I24" s="84"/>
      <c r="J24" s="84"/>
      <c r="K24" s="84"/>
      <c r="L24" s="84"/>
      <c r="M24" s="16"/>
      <c r="N24" s="16"/>
      <c r="O24" s="16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21.0" customHeight="1">
      <c r="A25" s="47" t="s">
        <v>131</v>
      </c>
      <c r="B25" s="46">
        <v>0.0</v>
      </c>
      <c r="C25" s="47" t="s">
        <v>132</v>
      </c>
      <c r="D25" s="11"/>
      <c r="E25" s="11"/>
      <c r="F25" s="11"/>
      <c r="G25" s="14"/>
      <c r="H25" s="20"/>
      <c r="I25" s="84"/>
      <c r="J25" s="84"/>
      <c r="K25" s="84"/>
      <c r="L25" s="84"/>
      <c r="M25" s="16"/>
      <c r="N25" s="16"/>
      <c r="O25" s="16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4.25" customHeight="1">
      <c r="A26" s="86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15.0" customHeight="1">
      <c r="A27" s="86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18.0" hidden="1" customHeight="1">
      <c r="A28" s="87" t="s">
        <v>135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4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14.25" hidden="1" customHeight="1">
      <c r="A29" s="88" t="s">
        <v>136</v>
      </c>
      <c r="B29" s="88" t="s">
        <v>63</v>
      </c>
      <c r="C29" s="88" t="s">
        <v>71</v>
      </c>
      <c r="D29" s="88" t="s">
        <v>90</v>
      </c>
      <c r="E29" s="88" t="s">
        <v>7</v>
      </c>
      <c r="F29" s="88" t="s">
        <v>98</v>
      </c>
      <c r="G29" s="88" t="s">
        <v>100</v>
      </c>
      <c r="H29" s="88" t="s">
        <v>102</v>
      </c>
      <c r="I29" s="88" t="s">
        <v>8</v>
      </c>
      <c r="J29" s="88" t="s">
        <v>124</v>
      </c>
      <c r="K29" s="88" t="s">
        <v>128</v>
      </c>
      <c r="L29" s="89"/>
      <c r="M29" s="89"/>
      <c r="N29" s="89"/>
      <c r="O29" s="89"/>
      <c r="P29" s="89"/>
      <c r="Q29" s="89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5.0" hidden="1" customHeight="1">
      <c r="A30" s="92" t="s">
        <v>137</v>
      </c>
      <c r="B30" s="94">
        <f>B6</f>
        <v>0</v>
      </c>
      <c r="C30" s="94">
        <f>B7</f>
        <v>50</v>
      </c>
      <c r="D30" s="94">
        <f>B8</f>
        <v>6</v>
      </c>
      <c r="E30" s="94">
        <f>B9</f>
        <v>-2</v>
      </c>
      <c r="F30" s="94">
        <f>B12</f>
        <v>0</v>
      </c>
      <c r="G30" s="94">
        <f>B13</f>
        <v>10</v>
      </c>
      <c r="H30" s="94">
        <f>B14</f>
        <v>6</v>
      </c>
      <c r="I30" s="94">
        <f>B22</f>
        <v>-2</v>
      </c>
      <c r="J30" s="94">
        <f>B23</f>
        <v>0</v>
      </c>
      <c r="K30" s="94">
        <f>B24</f>
        <v>0</v>
      </c>
      <c r="L30" s="89"/>
      <c r="M30" s="89"/>
      <c r="N30" s="89"/>
      <c r="O30" s="89"/>
      <c r="P30" s="89"/>
      <c r="Q30" s="8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14.25" hidden="1" customHeight="1">
      <c r="A31" s="88" t="s">
        <v>142</v>
      </c>
      <c r="B31" s="88" t="s">
        <v>98</v>
      </c>
      <c r="C31" s="88" t="s">
        <v>100</v>
      </c>
      <c r="D31" s="88" t="s">
        <v>102</v>
      </c>
      <c r="E31" s="88" t="s">
        <v>143</v>
      </c>
      <c r="F31" s="88" t="s">
        <v>114</v>
      </c>
      <c r="G31" s="88" t="s">
        <v>119</v>
      </c>
      <c r="H31" s="88" t="s">
        <v>8</v>
      </c>
      <c r="I31" s="88" t="s">
        <v>128</v>
      </c>
      <c r="J31" s="88" t="s">
        <v>131</v>
      </c>
      <c r="K31" s="94"/>
      <c r="L31" s="89"/>
      <c r="M31" s="89"/>
      <c r="N31" s="89"/>
      <c r="O31" s="89"/>
      <c r="P31" s="89"/>
      <c r="Q31" s="89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15.0" hidden="1" customHeight="1">
      <c r="A32" s="92" t="s">
        <v>137</v>
      </c>
      <c r="B32" s="94">
        <f>B12</f>
        <v>0</v>
      </c>
      <c r="C32" s="94">
        <f>B13</f>
        <v>10</v>
      </c>
      <c r="D32" s="94">
        <f>B14</f>
        <v>6</v>
      </c>
      <c r="E32" s="94">
        <f>B16</f>
        <v>0.5</v>
      </c>
      <c r="F32" s="94">
        <f>B19</f>
        <v>10</v>
      </c>
      <c r="G32" s="94">
        <f>B20</f>
        <v>6</v>
      </c>
      <c r="H32" s="94">
        <f>B22</f>
        <v>-2</v>
      </c>
      <c r="I32" s="94">
        <f>B24</f>
        <v>0</v>
      </c>
      <c r="J32" s="94">
        <f>B25</f>
        <v>0</v>
      </c>
      <c r="K32" s="94"/>
      <c r="L32" s="89"/>
      <c r="M32" s="89"/>
      <c r="N32" s="89"/>
      <c r="O32" s="89"/>
      <c r="P32" s="89"/>
      <c r="Q32" s="89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14.25" hidden="1" customHeight="1">
      <c r="A33" s="88" t="s">
        <v>146</v>
      </c>
      <c r="B33" s="88" t="s">
        <v>143</v>
      </c>
      <c r="C33" s="88" t="s">
        <v>114</v>
      </c>
      <c r="D33" s="88" t="s">
        <v>119</v>
      </c>
      <c r="E33" s="88" t="s">
        <v>98</v>
      </c>
      <c r="F33" s="88" t="s">
        <v>100</v>
      </c>
      <c r="G33" s="88" t="s">
        <v>102</v>
      </c>
      <c r="H33" s="88" t="s">
        <v>8</v>
      </c>
      <c r="I33" s="88" t="s">
        <v>128</v>
      </c>
      <c r="J33" s="88" t="s">
        <v>131</v>
      </c>
      <c r="K33" s="94"/>
      <c r="L33" s="89"/>
      <c r="M33" s="89"/>
      <c r="N33" s="89"/>
      <c r="O33" s="89"/>
      <c r="P33" s="89"/>
      <c r="Q33" s="89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15.0" hidden="1" customHeight="1">
      <c r="A34" s="92" t="s">
        <v>137</v>
      </c>
      <c r="B34" s="94">
        <f>B17</f>
        <v>0.5</v>
      </c>
      <c r="C34" s="94">
        <f>B19</f>
        <v>10</v>
      </c>
      <c r="D34" s="94">
        <f>B20</f>
        <v>6</v>
      </c>
      <c r="E34" s="94">
        <f>B12</f>
        <v>0</v>
      </c>
      <c r="F34" s="94">
        <f>B13</f>
        <v>10</v>
      </c>
      <c r="G34" s="94">
        <f>B14</f>
        <v>6</v>
      </c>
      <c r="H34" s="94">
        <f>B22</f>
        <v>-2</v>
      </c>
      <c r="I34" s="94">
        <f>B24</f>
        <v>0</v>
      </c>
      <c r="J34" s="94">
        <f>B25</f>
        <v>0</v>
      </c>
      <c r="K34" s="94"/>
      <c r="L34" s="89"/>
      <c r="M34" s="89"/>
      <c r="N34" s="89"/>
      <c r="O34" s="89"/>
      <c r="P34" s="89"/>
      <c r="Q34" s="89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14.25" hidden="1" customHeight="1">
      <c r="A35" s="88" t="s">
        <v>148</v>
      </c>
      <c r="B35" s="88" t="s">
        <v>143</v>
      </c>
      <c r="C35" s="88" t="s">
        <v>114</v>
      </c>
      <c r="D35" s="88" t="s">
        <v>119</v>
      </c>
      <c r="E35" s="88" t="s">
        <v>8</v>
      </c>
      <c r="F35" s="88" t="s">
        <v>131</v>
      </c>
      <c r="G35" s="94"/>
      <c r="H35" s="94"/>
      <c r="I35" s="94"/>
      <c r="J35" s="94"/>
      <c r="K35" s="94"/>
      <c r="L35" s="89"/>
      <c r="M35" s="89"/>
      <c r="N35" s="89"/>
      <c r="O35" s="89"/>
      <c r="P35" s="89"/>
      <c r="Q35" s="89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15.0" hidden="1" customHeight="1">
      <c r="A36" s="92" t="s">
        <v>137</v>
      </c>
      <c r="B36" s="94">
        <f>B18</f>
        <v>0.5</v>
      </c>
      <c r="C36" s="94">
        <f>B19</f>
        <v>10</v>
      </c>
      <c r="D36" s="94">
        <f>B20</f>
        <v>6</v>
      </c>
      <c r="E36" s="94">
        <f>B22</f>
        <v>-2</v>
      </c>
      <c r="F36" s="94">
        <f>B25</f>
        <v>0</v>
      </c>
      <c r="G36" s="94"/>
      <c r="H36" s="94"/>
      <c r="I36" s="94"/>
      <c r="J36" s="94"/>
      <c r="K36" s="94"/>
      <c r="L36" s="89"/>
      <c r="M36" s="89"/>
      <c r="N36" s="89"/>
      <c r="O36" s="89"/>
      <c r="P36" s="89"/>
      <c r="Q36" s="89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t="15.0" hidden="1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89"/>
      <c r="M37" s="89"/>
      <c r="N37" s="89"/>
      <c r="O37" s="89"/>
      <c r="P37" s="89"/>
      <c r="Q37" s="89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5.0" hidden="1" customHeight="1">
      <c r="A38" s="96" t="s">
        <v>153</v>
      </c>
      <c r="B38" s="97"/>
      <c r="C38" s="97"/>
      <c r="D38" s="97"/>
      <c r="E38" s="97"/>
      <c r="F38" s="9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5.0" hidden="1" customHeight="1">
      <c r="A39" s="88" t="s">
        <v>26</v>
      </c>
      <c r="B39" s="88" t="s">
        <v>27</v>
      </c>
      <c r="C39" s="88" t="s">
        <v>28</v>
      </c>
      <c r="D39" s="88" t="s">
        <v>29</v>
      </c>
      <c r="E39" s="88" t="s">
        <v>30</v>
      </c>
      <c r="F39" s="88" t="s">
        <v>31</v>
      </c>
      <c r="G39" s="9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5.0" hidden="1" customHeight="1">
      <c r="A40" s="94">
        <f>I4</f>
        <v>10</v>
      </c>
      <c r="B40" s="94">
        <f>J4+P4</f>
        <v>1</v>
      </c>
      <c r="C40" s="94">
        <f t="shared" ref="C40:E40" si="1">K4</f>
        <v>2</v>
      </c>
      <c r="D40" s="94">
        <f t="shared" si="1"/>
        <v>3</v>
      </c>
      <c r="E40" s="94">
        <f t="shared" si="1"/>
        <v>1</v>
      </c>
      <c r="F40" s="100">
        <f>N4+I38</f>
        <v>0</v>
      </c>
      <c r="G40" s="94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5.0" hidden="1" customHeight="1">
      <c r="A41" s="94" t="s">
        <v>157</v>
      </c>
      <c r="B41" s="94">
        <f>(J4+P4)*I4</f>
        <v>10</v>
      </c>
      <c r="C41" s="94">
        <f>K4*I4</f>
        <v>20</v>
      </c>
      <c r="D41" s="94">
        <f>L4*I4</f>
        <v>30</v>
      </c>
      <c r="E41" s="94">
        <f>M4*I4</f>
        <v>10</v>
      </c>
      <c r="F41" s="100">
        <f>N4*I4</f>
        <v>0</v>
      </c>
      <c r="G41" s="94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5.0" hidden="1" customHeight="1">
      <c r="A42" s="94" t="s">
        <v>160</v>
      </c>
      <c r="B42" s="94">
        <v>0.0</v>
      </c>
      <c r="C42" s="101">
        <f>FLEX!E1</f>
        <v>20</v>
      </c>
      <c r="D42" s="101">
        <f>FLEX!G1</f>
        <v>20</v>
      </c>
      <c r="E42" s="101">
        <f>FLEX!I1</f>
        <v>10</v>
      </c>
      <c r="F42" s="100"/>
      <c r="G42" s="94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5.0" hidden="1" customHeight="1">
      <c r="A43" s="102" t="s">
        <v>162</v>
      </c>
      <c r="B43" s="102">
        <f>ROUND(B41*1.2,)</f>
        <v>12</v>
      </c>
      <c r="C43" s="102">
        <f>ROUND((C41+C42)*1.2,)</f>
        <v>48</v>
      </c>
      <c r="D43" s="102">
        <f>ROUND((D41+D42)*1.3,)</f>
        <v>65</v>
      </c>
      <c r="E43" s="102">
        <f>ROUND((E41+E42)*1.2,)</f>
        <v>24</v>
      </c>
      <c r="F43" s="102"/>
      <c r="G43" s="103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5.0" hidden="1" customHeight="1">
      <c r="A44" s="88" t="s">
        <v>165</v>
      </c>
      <c r="B44" s="104">
        <f>K7*I4+P7</f>
        <v>2000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5.0" hidden="1" customHeight="1">
      <c r="A45" s="88" t="s">
        <v>167</v>
      </c>
      <c r="B45" s="105">
        <f>SUM(J4:P4)*I4</f>
        <v>130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0" hidden="1" customHeight="1">
      <c r="A46" s="88" t="s">
        <v>168</v>
      </c>
      <c r="B46" s="104">
        <f>B44-B45</f>
        <v>1870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5.0" hidden="1" customHeight="1">
      <c r="A47" s="88" t="s">
        <v>171</v>
      </c>
      <c r="B47" s="106">
        <f>SUM(Aggregate!J1+Aggregate!X1+Aggregate!AL1+Aggregate!AZ1)</f>
        <v>7136.766367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5.0" hidden="1" customHeight="1">
      <c r="A48" s="88" t="s">
        <v>173</v>
      </c>
      <c r="B48" s="107">
        <f>B46/B47</f>
        <v>0.2620234296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 ht="14.2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 ht="14.2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 ht="14.2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 ht="14.2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 ht="14.2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 ht="14.2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 ht="14.2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 ht="14.2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 ht="14.2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 ht="14.2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 ht="14.2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 ht="14.2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 ht="14.2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 ht="14.2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 ht="14.2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 ht="14.2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 ht="14.2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 ht="14.2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 ht="14.2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 ht="14.2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 ht="14.2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 ht="14.2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 ht="14.2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 ht="14.2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 ht="14.2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 ht="14.2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 ht="14.2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 ht="14.2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 ht="14.2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 ht="14.2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 ht="14.2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 ht="14.2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 ht="14.2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 ht="14.2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 ht="14.2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 ht="14.2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 ht="14.2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 ht="14.2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 ht="14.2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 ht="14.2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 ht="14.2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 ht="14.2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 ht="14.2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 ht="14.2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 ht="14.2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 ht="14.2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 ht="14.2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 ht="14.2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 ht="14.2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 ht="14.2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 ht="14.2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 ht="14.2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 ht="14.2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 ht="14.2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 ht="14.2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 ht="14.2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 ht="14.2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 ht="14.2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 ht="14.2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 ht="14.2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 ht="14.2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 ht="14.2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 ht="14.2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 ht="14.2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 ht="14.2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 ht="14.2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 ht="14.2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 ht="14.2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 ht="14.2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 ht="14.2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 ht="14.2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 ht="14.2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 ht="14.2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 ht="14.2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 ht="14.2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 ht="14.2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 ht="14.2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 ht="14.2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 ht="14.2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 ht="14.2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 ht="14.2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 ht="14.2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 ht="14.2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 ht="14.2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 ht="14.2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 ht="14.2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 ht="14.2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 ht="14.2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 ht="14.2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 ht="14.2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 ht="14.2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 ht="14.2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 ht="14.2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 ht="14.2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 ht="14.2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 ht="14.2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 ht="14.2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 ht="14.2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 ht="14.2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 ht="14.2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 ht="14.2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 ht="14.2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 ht="14.2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 ht="14.2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 ht="14.2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 ht="14.2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 ht="14.2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 ht="14.2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 ht="14.2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 ht="14.2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 ht="14.2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 ht="14.2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 ht="14.2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 ht="14.2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 ht="14.2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 ht="14.2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 ht="14.2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 ht="14.2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 ht="14.2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 ht="14.2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 ht="14.2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 ht="14.2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 ht="14.2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 ht="14.2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 ht="14.2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 ht="14.2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 ht="14.2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 ht="14.2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 ht="14.2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 ht="14.2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 ht="14.2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 ht="14.2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 ht="14.2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 ht="14.2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 ht="14.2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 ht="14.2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 ht="14.2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 ht="14.2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 ht="14.2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 ht="14.2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 ht="14.2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 ht="14.2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 ht="14.2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 ht="14.2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 ht="14.2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 ht="14.2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 ht="14.2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 ht="14.2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 ht="14.2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 ht="14.2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 ht="14.2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 ht="14.2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 ht="14.2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 ht="14.2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 ht="14.2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 ht="14.2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 ht="14.2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 ht="14.2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 ht="14.2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 ht="14.2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 ht="14.2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 ht="14.2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 ht="14.2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 ht="14.2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 ht="14.2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 ht="14.2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 ht="14.2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 ht="14.2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 ht="14.2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 ht="14.2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 ht="14.2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 ht="14.2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 ht="14.2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 ht="14.2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 ht="14.2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 ht="14.2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 ht="14.2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 ht="14.2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 ht="14.2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 ht="14.2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 ht="14.2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 ht="14.2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 ht="14.2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 ht="14.2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 ht="14.2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 ht="14.2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 ht="14.2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 ht="14.2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 ht="14.2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 ht="14.2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 ht="14.2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 ht="14.2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 ht="14.2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 ht="14.2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 ht="14.2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 ht="14.2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 ht="14.2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 ht="14.2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 ht="14.2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 ht="14.2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 ht="14.2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 ht="14.2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 ht="14.2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 ht="14.2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 ht="14.2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 ht="14.2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 ht="14.2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 ht="14.2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 ht="14.2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 ht="14.2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 ht="14.2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 ht="14.2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 ht="14.2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 ht="14.2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 ht="14.2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 ht="14.2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 ht="14.2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 ht="14.2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 ht="14.2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 ht="14.2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 ht="14.2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 ht="14.2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 ht="14.2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 ht="14.2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 ht="14.2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 ht="14.2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 ht="14.2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 ht="14.2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 ht="14.2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 ht="14.2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 ht="14.2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 ht="14.2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 ht="14.2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 ht="14.2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 ht="14.2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 ht="14.2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 ht="14.2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 ht="14.2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 ht="14.2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 ht="14.2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 ht="14.2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 ht="14.2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 ht="14.2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 ht="14.2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 ht="14.2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 ht="14.2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 ht="14.2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 ht="14.2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 ht="14.2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 ht="14.2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 ht="14.2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 ht="14.2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 ht="14.2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 ht="14.2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 ht="14.2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 ht="14.2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 ht="14.2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 ht="14.2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 ht="14.2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 ht="14.2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 ht="14.2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 ht="14.2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 ht="14.2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 ht="14.2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 ht="14.2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 ht="14.2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 ht="14.2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 ht="14.2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 ht="14.2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 ht="14.2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 ht="14.2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 ht="14.2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 ht="14.2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 ht="14.2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 ht="14.2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 ht="14.2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 ht="14.2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 ht="14.2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 ht="14.2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 ht="14.2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 ht="14.2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 ht="14.2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 ht="14.2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 ht="14.2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 ht="14.2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 ht="14.2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 ht="14.2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 ht="14.2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 ht="14.2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 ht="14.2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 ht="14.2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 ht="14.2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 ht="14.2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 ht="14.2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 ht="14.2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 ht="14.2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 ht="14.2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 ht="14.2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 ht="14.2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 ht="14.2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 ht="14.2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 ht="14.2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 ht="14.2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 ht="14.2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 ht="14.2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 ht="14.2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 ht="14.2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 ht="14.2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 ht="14.2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 ht="14.2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 ht="14.2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 ht="14.2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 ht="14.2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 ht="14.2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 ht="14.2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 ht="14.2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 ht="14.2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 ht="14.2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 ht="14.2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 ht="14.2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 ht="14.2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 ht="14.2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 ht="14.2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 ht="14.2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 ht="14.2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 ht="14.2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 ht="14.2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 ht="14.2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 ht="14.2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 ht="14.2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 ht="14.2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 ht="14.2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 ht="14.2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 ht="14.2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 ht="14.2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 ht="14.2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 ht="14.2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 ht="14.2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 ht="14.2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 ht="14.2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 ht="14.2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 ht="14.2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 ht="14.2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 ht="14.2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 ht="14.2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 ht="14.2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 ht="14.2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 ht="14.2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 ht="14.2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 ht="14.2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 ht="14.2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 ht="14.2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 ht="14.2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 ht="14.2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 ht="14.2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 ht="14.2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 ht="14.2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 ht="14.2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 ht="14.2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 ht="14.2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 ht="14.2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 ht="14.2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 ht="14.2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 ht="14.2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 ht="14.2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 ht="14.2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 ht="14.2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 ht="14.2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 ht="14.2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 ht="14.2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 ht="14.2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 ht="14.2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 ht="14.2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 ht="14.2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 ht="14.2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 ht="14.2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 ht="14.2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 ht="14.2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 ht="14.2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 ht="14.2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 ht="14.2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 ht="14.2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 ht="14.2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 ht="14.2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 ht="14.2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 ht="14.2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 ht="14.2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 ht="14.2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 ht="14.2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 ht="14.2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 ht="14.2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 ht="14.2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 ht="14.2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 ht="14.2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 ht="14.2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 ht="14.2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 ht="14.2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 ht="14.2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 ht="14.2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 ht="14.2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 ht="14.2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 ht="14.2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 ht="14.2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 ht="14.2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 ht="14.2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 ht="14.2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 ht="14.2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 ht="14.2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 ht="14.2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 ht="14.2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 ht="14.2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 ht="14.2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 ht="14.2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 ht="14.2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 ht="14.2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 ht="14.2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 ht="14.2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 ht="14.2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 ht="14.2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 ht="14.2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 ht="14.2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 ht="14.2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 ht="14.2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 ht="14.2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 ht="14.2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 ht="14.2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 ht="14.2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 ht="14.2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 ht="14.2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 ht="14.2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 ht="14.2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 ht="14.2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 ht="14.2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 ht="14.2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 ht="14.2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 ht="14.2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 ht="14.2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 ht="14.2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 ht="14.2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 ht="14.2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 ht="14.2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 ht="14.2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 ht="14.2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 ht="14.2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 ht="14.2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 ht="14.2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 ht="14.2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 ht="14.2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 ht="14.2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 ht="14.2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 ht="14.2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 ht="14.2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 ht="14.2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 ht="14.2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 ht="14.2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 ht="14.2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 ht="14.2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 ht="14.2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 ht="14.2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 ht="14.2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 ht="14.2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 ht="14.2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 ht="14.2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 ht="14.2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 ht="14.2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 ht="14.2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 ht="14.2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 ht="14.2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 ht="14.2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 ht="14.2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 ht="14.2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 ht="14.2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 ht="14.2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 ht="14.2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 ht="14.2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 ht="14.2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 ht="14.2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 ht="14.2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 ht="14.2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 ht="14.2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 ht="14.2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 ht="14.2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 ht="14.2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 ht="14.2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 ht="14.2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 ht="14.2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 ht="14.2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 ht="14.2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 ht="14.2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 ht="14.2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 ht="14.2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 ht="14.2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 ht="14.2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 ht="14.2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 ht="14.2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 ht="14.2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 ht="14.2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 ht="14.2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 ht="14.2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 ht="14.2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 ht="14.2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 ht="14.2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 ht="14.2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 ht="14.2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 ht="14.2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 ht="14.2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 ht="14.2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 ht="14.2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 ht="14.2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 ht="14.2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 ht="14.2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 ht="14.2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 ht="14.2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 ht="14.2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 ht="14.2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 ht="14.2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 ht="14.2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 ht="14.2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 ht="14.2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 ht="14.2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 ht="14.2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 ht="14.2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 ht="14.2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 ht="14.2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 ht="14.2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 ht="14.2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 ht="14.2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 ht="14.2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 ht="14.2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 ht="14.2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 ht="14.2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 ht="14.2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 ht="14.2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 ht="14.2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 ht="14.2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 ht="14.2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 ht="14.2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 ht="14.2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 ht="14.2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 ht="14.2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 ht="14.2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 ht="14.2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 ht="14.2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 ht="14.2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 ht="14.2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 ht="14.2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 ht="14.2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 ht="14.2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 ht="14.2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 ht="14.2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 ht="14.2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 ht="14.2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 ht="14.2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 ht="14.2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 ht="14.2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 ht="14.2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 ht="14.2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 ht="14.2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 ht="14.2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 ht="14.2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 ht="14.2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 ht="14.2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 ht="14.2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 ht="14.2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 ht="14.2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 ht="14.2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 ht="14.2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 ht="14.2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 ht="14.2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 ht="14.2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 ht="14.2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 ht="14.2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 ht="14.2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 ht="14.2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 ht="14.2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 ht="14.2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 ht="14.2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 ht="14.2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 ht="14.2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 ht="14.2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 ht="14.2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 ht="14.2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 ht="14.2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 ht="14.2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 ht="14.2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 ht="14.2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 ht="14.2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 ht="14.2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 ht="14.2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 ht="14.2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 ht="14.2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 ht="14.2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 ht="14.2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 ht="14.2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 ht="14.2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 ht="14.2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 ht="14.2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 ht="14.2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 ht="14.2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 ht="14.2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 ht="14.2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 ht="14.2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 ht="14.2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 ht="14.2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 ht="14.2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 ht="14.2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 ht="14.2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 ht="14.2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 ht="14.2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 ht="14.2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 ht="14.2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 ht="14.2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 ht="14.2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 ht="14.2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 ht="14.2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 ht="14.2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 ht="14.2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 ht="14.2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 ht="14.2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 ht="14.2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 ht="14.2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 ht="14.2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 ht="14.2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 ht="14.2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 ht="14.2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 ht="14.2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 ht="14.2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 ht="14.2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 ht="14.2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 ht="14.2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 ht="14.2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 ht="14.2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 ht="14.2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 ht="14.2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 ht="14.2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 ht="14.2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 ht="14.2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 ht="14.2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 ht="14.2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 ht="14.2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 ht="14.2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 ht="14.2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 ht="14.2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 ht="14.2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 ht="14.2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 ht="14.2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 ht="14.2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 ht="14.2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 ht="14.2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 ht="14.2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 ht="14.2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 ht="14.2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 ht="14.2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 ht="14.2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 ht="14.2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 ht="14.2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 ht="14.2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 ht="14.2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 ht="14.2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 ht="14.2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 ht="14.2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 ht="14.2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 ht="14.2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 ht="14.2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 ht="14.2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 ht="14.2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 ht="14.2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 ht="14.2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 ht="14.2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 ht="14.2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 ht="14.2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 ht="14.2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 ht="14.2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 ht="14.2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 ht="14.2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 ht="14.2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 ht="14.2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 ht="14.2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 ht="14.2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 ht="14.2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 ht="14.2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 ht="14.2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 ht="14.2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 ht="14.2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 ht="14.2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 ht="14.2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 ht="14.2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 ht="14.2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 ht="14.2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 ht="14.2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 ht="14.2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 ht="14.2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 ht="14.2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 ht="14.2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 ht="14.2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 ht="14.2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 ht="14.2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 ht="14.2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 ht="14.2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 ht="14.2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 ht="14.2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 ht="14.2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 ht="14.2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 ht="14.2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 ht="14.2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 ht="14.2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 ht="14.2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 ht="14.2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 ht="14.2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 ht="14.2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</row>
    <row r="959" ht="14.2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 ht="14.2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</row>
    <row r="961" ht="14.2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 ht="14.2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</row>
    <row r="963" ht="14.2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 ht="14.2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</row>
    <row r="965" ht="14.2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 ht="14.2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</row>
    <row r="967" ht="14.2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 ht="14.2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</row>
    <row r="969" ht="14.2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 ht="14.2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</row>
    <row r="971" ht="14.2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 ht="14.2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</row>
    <row r="973" ht="14.2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 ht="14.2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</row>
    <row r="975" ht="14.2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 ht="14.2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</row>
    <row r="977" ht="14.2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 ht="14.2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</row>
    <row r="979" ht="14.2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 ht="14.2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</row>
    <row r="981" ht="14.2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 ht="14.2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</row>
    <row r="983" ht="14.2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 ht="14.2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</row>
    <row r="985" ht="14.2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  <row r="986" ht="14.2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</row>
    <row r="987" ht="14.2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</row>
    <row r="988" ht="14.2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</row>
    <row r="989" ht="14.2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</row>
    <row r="990" ht="14.2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</row>
    <row r="991" ht="14.2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</row>
    <row r="992" ht="14.2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</row>
    <row r="993" ht="14.2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</row>
    <row r="994" ht="14.2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</row>
    <row r="995" ht="14.2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</row>
    <row r="996" ht="14.2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</row>
    <row r="997" ht="14.2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</row>
    <row r="998" ht="14.2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</row>
    <row r="999" ht="14.2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</row>
    <row r="1000" ht="14.2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</row>
  </sheetData>
  <mergeCells count="35">
    <mergeCell ref="B1:P1"/>
    <mergeCell ref="A2:G2"/>
    <mergeCell ref="I2:P2"/>
    <mergeCell ref="C3:G3"/>
    <mergeCell ref="A4:G4"/>
    <mergeCell ref="C5:G5"/>
    <mergeCell ref="I5:P5"/>
    <mergeCell ref="C6:G6"/>
    <mergeCell ref="I6:J6"/>
    <mergeCell ref="L6:P6"/>
    <mergeCell ref="C7:G7"/>
    <mergeCell ref="I7:J7"/>
    <mergeCell ref="L7:O7"/>
    <mergeCell ref="C8:G8"/>
    <mergeCell ref="C14:G14"/>
    <mergeCell ref="A15:G15"/>
    <mergeCell ref="C9:G9"/>
    <mergeCell ref="I9:N9"/>
    <mergeCell ref="C10:G10"/>
    <mergeCell ref="A11:G11"/>
    <mergeCell ref="C12:G12"/>
    <mergeCell ref="I12:N17"/>
    <mergeCell ref="C13:G13"/>
    <mergeCell ref="C23:G23"/>
    <mergeCell ref="C24:G24"/>
    <mergeCell ref="C25:G25"/>
    <mergeCell ref="A28:Q28"/>
    <mergeCell ref="C16:G16"/>
    <mergeCell ref="C17:G17"/>
    <mergeCell ref="C18:G18"/>
    <mergeCell ref="C19:G19"/>
    <mergeCell ref="C20:G20"/>
    <mergeCell ref="A21:G21"/>
    <mergeCell ref="C22:G22"/>
    <mergeCell ref="A38:F38"/>
  </mergeCells>
  <dataValidations>
    <dataValidation type="list" allowBlank="1" showErrorMessage="1" sqref="L4">
      <formula1>"1,2,3,4,5"</formula1>
    </dataValidation>
    <dataValidation type="list" allowBlank="1" showErrorMessage="1" sqref="K6">
      <formula1>"Snake,Auction"</formula1>
    </dataValidation>
    <dataValidation type="list" allowBlank="1" showErrorMessage="1" sqref="N4">
      <formula1>"0,1,2,3"</formula1>
    </dataValidation>
    <dataValidation type="list" allowBlank="1" showErrorMessage="1" sqref="O4">
      <formula1>"4,5,6,7,8,9,10,11,12,13,14,15,16,17,18,19,20"</formula1>
    </dataValidation>
    <dataValidation type="list" allowBlank="1" showErrorMessage="1" sqref="J4 M4">
      <formula1>"0,1,2"</formula1>
    </dataValidation>
    <dataValidation type="list" allowBlank="1" showErrorMessage="1" sqref="P4">
      <formula1>"0,1"</formula1>
    </dataValidation>
    <dataValidation type="list" allowBlank="1" showErrorMessage="1" sqref="K4">
      <formula1>"1,2,3,4"</formula1>
    </dataValidation>
    <dataValidation type="list" allowBlank="1" showErrorMessage="1" sqref="I4">
      <formula1>"8,10,12,14,16,18"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9.0"/>
    <col customWidth="1" min="3" max="3" width="16.75"/>
    <col customWidth="1" min="4" max="4" width="11.5"/>
    <col customWidth="1" min="5" max="5" width="8.5"/>
    <col customWidth="1" min="6" max="6" width="10.75"/>
    <col customWidth="1" min="7" max="7" width="7.63"/>
    <col customWidth="1" min="8" max="8" width="8.75"/>
    <col customWidth="1" min="9" max="9" width="10.75"/>
    <col customWidth="1" hidden="1" min="10" max="10" width="13.0"/>
    <col customWidth="1" min="11" max="11" width="2.75"/>
    <col customWidth="1" min="12" max="12" width="9.0"/>
    <col customWidth="1" min="13" max="13" width="19.75"/>
    <col customWidth="1" min="14" max="14" width="11.5"/>
    <col customWidth="1" min="15" max="15" width="8.5"/>
    <col customWidth="1" min="16" max="16" width="10.75"/>
    <col customWidth="1" min="17" max="17" width="7.63"/>
    <col customWidth="1" min="18" max="18" width="8.75"/>
    <col customWidth="1" min="19" max="19" width="10.75"/>
    <col customWidth="1" hidden="1" min="20" max="20" width="4.38"/>
    <col customWidth="1" min="21" max="21" width="2.75"/>
    <col customWidth="1" min="22" max="22" width="9.0"/>
    <col customWidth="1" min="23" max="23" width="17.25"/>
    <col customWidth="1" min="24" max="24" width="11.5"/>
    <col customWidth="1" min="25" max="25" width="8.5"/>
    <col customWidth="1" min="26" max="26" width="10.75"/>
    <col customWidth="1" min="27" max="27" width="7.63"/>
    <col customWidth="1" min="28" max="28" width="8.75"/>
    <col customWidth="1" min="29" max="29" width="10.75"/>
    <col customWidth="1" hidden="1" min="30" max="30" width="13.0"/>
    <col customWidth="1" min="31" max="31" width="8.5"/>
    <col customWidth="1" min="32" max="32" width="18.88"/>
    <col customWidth="1" min="33" max="33" width="28.38"/>
    <col customWidth="1" min="34" max="34" width="8.5"/>
  </cols>
  <sheetData>
    <row r="1" ht="25.5" customHeight="1">
      <c r="A1" s="3"/>
      <c r="B1" s="12" t="str">
        <f>"DRAFTSHEET  -  "&amp;Scoring!I4&amp;" Team  -  "&amp;Scoring!B17&amp;" PPR  -  "&amp;Scoring!J4&amp;"QB("&amp;Aggregate!B1&amp;")/"&amp;Scoring!K4&amp;"RB("&amp;Aggregate!P1&amp;")/"&amp;Scoring!L4&amp;"WR("&amp;Aggregate!AD1&amp;")/"&amp;Scoring!M4&amp;"TE("&amp;Aggregate!AR1&amp;")/"&amp;Scoring!N4&amp;"[RB/WR/TE]"</f>
        <v>DRAFTSHEET  -  10 Team  -  0.5 PPR  -  1QB(12)/2RB(48)/3WR(65)/1TE(24)/0[RB/WR/TE]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3"/>
      <c r="AF1" s="17" t="s">
        <v>19</v>
      </c>
      <c r="AG1" s="13"/>
      <c r="AH1" s="3"/>
    </row>
    <row r="2" ht="15.75" customHeight="1">
      <c r="A2" s="3"/>
      <c r="B2" s="23" t="str">
        <f>"Passing: "&amp;Scoring!B8&amp;" PPTD, "&amp;ROUND(1/Scoring!B7,2)&amp;" PPY, "&amp;Scoring!B9&amp;" Int  |  Rushing: "&amp;Scoring!B14&amp;" PPTD, "&amp;ROUND(1/Scoring!B13,2)&amp;" PPY  |  Receiving: "&amp;Scoring!B20&amp;" PPTD, "&amp;ROUND(1/Scoring!B19,2)&amp;" PPY, "&amp;Scoring!B17&amp;" PPR  |  Draft: use 'x' if drafted by someone else, 'o' if drafted by you  |  Updated: "&amp;TEXT(TODAY(),"yyyy-mm-dd")</f>
        <v>Passing: 6 PPTD, 0.02 PPY, -2 Int  |  Rushing: 6 PPTD, 0.1 PPY  |  Receiving: 6 PPTD, 0.1 PPY, 0.5 PPR  |  Draft: use 'x' if drafted by someone else, 'o' if drafted by you  |  Updated: 2026-08-30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3"/>
      <c r="AF2" s="26" t="s">
        <v>24</v>
      </c>
      <c r="AG2" s="29"/>
      <c r="AH2" s="3" t="str">
        <f>IF($AG$2="","",IFERROR(MATCH("*"&amp;$AG$2&amp;"*",C5:C44,0)+4,""))</f>
        <v/>
      </c>
    </row>
    <row r="3" ht="23.25" customHeight="1">
      <c r="A3" s="3"/>
      <c r="B3" s="12" t="s">
        <v>32</v>
      </c>
      <c r="C3" s="13"/>
      <c r="D3" s="13"/>
      <c r="E3" s="13"/>
      <c r="F3" s="13"/>
      <c r="G3" s="13"/>
      <c r="H3" s="13"/>
      <c r="I3" s="13"/>
      <c r="J3" s="8"/>
      <c r="K3" s="8"/>
      <c r="L3" s="12" t="s">
        <v>35</v>
      </c>
      <c r="M3" s="13"/>
      <c r="N3" s="13"/>
      <c r="O3" s="13"/>
      <c r="P3" s="13"/>
      <c r="Q3" s="13"/>
      <c r="R3" s="13"/>
      <c r="S3" s="13"/>
      <c r="T3" s="8"/>
      <c r="U3" s="8"/>
      <c r="V3" s="12" t="s">
        <v>36</v>
      </c>
      <c r="W3" s="13"/>
      <c r="X3" s="13"/>
      <c r="Y3" s="13"/>
      <c r="Z3" s="13"/>
      <c r="AA3" s="13"/>
      <c r="AB3" s="13"/>
      <c r="AC3" s="13"/>
      <c r="AD3" s="8"/>
      <c r="AE3" s="3"/>
      <c r="AF3" s="26" t="s">
        <v>38</v>
      </c>
      <c r="AG3" s="40" t="str">
        <f>IF($AG$2="","",IF(AH2&lt;&gt;"","QB",IF(AH3&lt;&gt;"","RB",IF(AH4&lt;&gt;"","WR",IF(AH5&lt;&gt;"","TE","Not Found")))))</f>
        <v/>
      </c>
      <c r="AH3" s="3" t="str">
        <f>IF($AG$2="","",IFERROR(MATCH("*"&amp;$AG$2&amp;"*",M5:M84,0)+4,""))</f>
        <v/>
      </c>
    </row>
    <row r="4" ht="15.0" customHeight="1">
      <c r="A4" s="3"/>
      <c r="B4" s="44" t="s">
        <v>41</v>
      </c>
      <c r="C4" s="44" t="s">
        <v>43</v>
      </c>
      <c r="D4" s="44" t="s">
        <v>45</v>
      </c>
      <c r="E4" s="44" t="s">
        <v>47</v>
      </c>
      <c r="F4" s="44" t="s">
        <v>49</v>
      </c>
      <c r="G4" s="44" t="s">
        <v>51</v>
      </c>
      <c r="H4" s="44" t="s">
        <v>54</v>
      </c>
      <c r="I4" s="44" t="s">
        <v>56</v>
      </c>
      <c r="J4" s="44"/>
      <c r="K4" s="48"/>
      <c r="L4" s="44" t="s">
        <v>41</v>
      </c>
      <c r="M4" s="44" t="s">
        <v>43</v>
      </c>
      <c r="N4" s="44" t="s">
        <v>45</v>
      </c>
      <c r="O4" s="44" t="s">
        <v>47</v>
      </c>
      <c r="P4" s="44" t="s">
        <v>49</v>
      </c>
      <c r="Q4" s="44" t="s">
        <v>51</v>
      </c>
      <c r="R4" s="44" t="s">
        <v>54</v>
      </c>
      <c r="S4" s="44" t="s">
        <v>56</v>
      </c>
      <c r="T4" s="44"/>
      <c r="U4" s="48"/>
      <c r="V4" s="44" t="s">
        <v>41</v>
      </c>
      <c r="W4" s="44" t="s">
        <v>43</v>
      </c>
      <c r="X4" s="44" t="s">
        <v>45</v>
      </c>
      <c r="Y4" s="44" t="s">
        <v>47</v>
      </c>
      <c r="Z4" s="44" t="s">
        <v>49</v>
      </c>
      <c r="AA4" s="44" t="s">
        <v>51</v>
      </c>
      <c r="AB4" s="44" t="s">
        <v>54</v>
      </c>
      <c r="AC4" s="44" t="s">
        <v>56</v>
      </c>
      <c r="AD4" s="44"/>
      <c r="AE4" s="3"/>
      <c r="AF4" s="26" t="s">
        <v>66</v>
      </c>
      <c r="AG4" s="40" t="str">
        <f t="array" ref="AG4">IF($AG$2="","",IF(AH2&lt;&gt;"",INDEX(B:B,AH2),IF(AH3&lt;&gt;"",INDEX(L:L,AH3),IF(AH4&lt;&gt;"",INDEX(V:V,AH4),IF(AH5&lt;&gt;"",INDEX(B:B,AH5),"")))))</f>
        <v/>
      </c>
      <c r="AH4" s="3" t="str">
        <f>IF($AG$2="","",IFERROR(MATCH("*"&amp;$AG$2&amp;"*",W5:W84,0)+4,""))</f>
        <v/>
      </c>
    </row>
    <row r="5" ht="14.25" customHeight="1">
      <c r="A5" s="3"/>
      <c r="B5" s="61">
        <f>IFERROR(VLOOKUP(DraftSheet!$C5,Aggregate!$B:$M,11,FALSE()),"")</f>
        <v>1</v>
      </c>
      <c r="C5" s="63" t="str">
        <f>Aggregate!B3</f>
        <v>Josh Allen</v>
      </c>
      <c r="D5" s="63" t="str">
        <f>VLOOKUP(DraftSheet!$C5,Aggregate!B:M,4,FALSE())</f>
        <v>BUF/7</v>
      </c>
      <c r="E5" s="61">
        <f>IFERROR(VLOOKUP(DraftSheet!$C5,Aggregate!$B:$M,8,FALSE()),"")</f>
        <v>285.4376193</v>
      </c>
      <c r="F5" s="61">
        <f>IF(Scoring!$K$6="Auction",IFERROR(VLOOKUP(DraftSheet!$C5,Aggregate!$B:$M,10,FALSE()),""),IFERROR(VLOOKUP(DraftSheet!$C5,Aggregate!$B:$M,9,FALSE()),""))</f>
        <v>17.71468767</v>
      </c>
      <c r="G5" s="71">
        <f>SUMIFS($J6:J$44,$I6:I$44,"&lt;&gt;x",$I6:I$44,"&lt;&gt;o",$J6:J$44,"&gt;0")/Aggregate!$J$1</f>
        <v>0.6681619154</v>
      </c>
      <c r="H5" s="61">
        <f t="array" ref="H5">IFERROR(INDEX(ECR!$K:$K,MATCH(DraftSheet!$C5,ECR!$C:$C,0)),"ND")</f>
        <v>26</v>
      </c>
      <c r="I5" s="76"/>
      <c r="J5" s="78">
        <f>VLOOKUP(C5,Aggregate!B:J,9,FALSE())</f>
        <v>63.79081326</v>
      </c>
      <c r="K5" s="79"/>
      <c r="L5" s="61">
        <f>IFERROR(VLOOKUP(DraftSheet!$M5,Aggregate!$P:$AA,11,FALSE()),"")</f>
        <v>1</v>
      </c>
      <c r="M5" s="63" t="str">
        <f>Aggregate!P3</f>
        <v>Jahmyr Gibbs</v>
      </c>
      <c r="N5" s="63" t="str">
        <f>VLOOKUP(DraftSheet!$M5,Aggregate!P:AA,4,FALSE())</f>
        <v>DET/6</v>
      </c>
      <c r="O5" s="61">
        <f>IFERROR(VLOOKUP(DraftSheet!$M5,Aggregate!$P:$AA,8,FALSE()),"")</f>
        <v>257.6466176</v>
      </c>
      <c r="P5" s="61">
        <f>IF(Scoring!$K$6="Auction",IFERROR(VLOOKUP(DraftSheet!$M5,Aggregate!$P:$AA,10,FALSE()),""),IFERROR(VLOOKUP(DraftSheet!$M5,Aggregate!$P:$AA,9,FALSE()),""))</f>
        <v>47.96920077</v>
      </c>
      <c r="Q5" s="71">
        <f>SUMIFS($T6:T$84,$S6:S$84,"&lt;&gt;x",$S6:S$84,"&lt;&gt;o",$T6:T$84,"&gt;0")/Aggregate!$X$1</f>
        <v>0.944230565</v>
      </c>
      <c r="R5" s="61">
        <f t="array" ref="R5">IFERROR(INDEX(ECR!$K:$K,MATCH(DraftSheet!$M5,ECR!$C:$C,0)),"ND")</f>
        <v>1</v>
      </c>
      <c r="S5" s="82"/>
      <c r="T5" s="78">
        <f>VLOOKUP(M5,Aggregate!P:X,9,FALSE())</f>
        <v>179.2557285</v>
      </c>
      <c r="U5" s="83"/>
      <c r="V5" s="61">
        <f>IFERROR(VLOOKUP(DraftSheet!$W5,Aggregate!$AD:$AO,11,FALSE()),"")</f>
        <v>1</v>
      </c>
      <c r="W5" s="63" t="str">
        <f>Aggregate!AD4</f>
        <v>Puka Nacua</v>
      </c>
      <c r="X5" s="63" t="str">
        <f>VLOOKUP(DraftSheet!$W5,Aggregate!AD:AO,4,FALSE())</f>
        <v>LAR/11</v>
      </c>
      <c r="Y5" s="61">
        <f>IFERROR(VLOOKUP(DraftSheet!$W5,Aggregate!$AD:$AO,8,FALSE()),"")</f>
        <v>236.3124752</v>
      </c>
      <c r="Z5" s="61">
        <f>IF(Scoring!$K$6="Auction",IFERROR(VLOOKUP(DraftSheet!$W5,Aggregate!$AD:$AO,10,FALSE()),""),IFERROR(VLOOKUP(DraftSheet!$W5,Aggregate!$AD:$AO,9,FALSE()),""))</f>
        <v>41.55901233</v>
      </c>
      <c r="AA5" s="71">
        <f>SUMIFS($AD6:AD$84,$AC6:AC$84,"&lt;&gt;x",$AC6:AC$84,"&lt;&gt;o",$AD6:AD$84,"&gt;0")/Aggregate!$AL$1</f>
        <v>0.9479166258</v>
      </c>
      <c r="AB5" s="61">
        <f t="array" ref="AB5">IFERROR(INDEX(ECR!$K:$K,MATCH(DraftSheet!$W5,ECR!$C:$C,0)),"ND")</f>
        <v>4</v>
      </c>
      <c r="AC5" s="82"/>
      <c r="AD5" s="78">
        <f>VLOOKUP(W5,Aggregate!AD:AL,9,FALSE())</f>
        <v>154.7915482</v>
      </c>
      <c r="AE5" s="3"/>
      <c r="AF5" s="26" t="s">
        <v>122</v>
      </c>
      <c r="AG5" s="40" t="str">
        <f t="array" ref="AG5">IF($AG$2="","",IF(AH2&lt;&gt;"",INDEX(C:C,AH2),IF(AH3&lt;&gt;"",INDEX(M:M,AH3),IF(AH4&lt;&gt;"",INDEX(W:W,AH4),IF(AH5&lt;&gt;"",INDEX(C:C,AH5),"")))))</f>
        <v/>
      </c>
      <c r="AH5" s="3" t="str">
        <f>IF($AG$2="","",IFERROR(MATCH("*"&amp;$AG$2&amp;"*",C48:C84,0)+47,""))</f>
        <v/>
      </c>
    </row>
    <row r="6" ht="14.25" customHeight="1">
      <c r="A6" s="3"/>
      <c r="B6" s="61">
        <f>IFERROR(VLOOKUP(DraftSheet!$C6,Aggregate!$B:$M,11,FALSE()),"")</f>
        <v>2</v>
      </c>
      <c r="C6" s="63" t="str">
        <f>Aggregate!B4</f>
        <v>Lamar Jackson</v>
      </c>
      <c r="D6" s="63" t="str">
        <f>VLOOKUP(DraftSheet!$C6,Aggregate!B:M,4,FALSE())</f>
        <v>BAL/13</v>
      </c>
      <c r="E6" s="61">
        <f>IFERROR(VLOOKUP(DraftSheet!$C6,Aggregate!$B:$M,8,FALSE()),"")</f>
        <v>253.1259277</v>
      </c>
      <c r="F6" s="61">
        <f>IF(Scoring!$K$6="Auction",IFERROR(VLOOKUP(DraftSheet!$C6,Aggregate!$B:$M,10,FALSE()),""),IFERROR(VLOOKUP(DraftSheet!$C6,Aggregate!$B:$M,9,FALSE()),""))</f>
        <v>9.248267436</v>
      </c>
      <c r="G6" s="71">
        <f>SUMIFS($J7:J$44,$I7:I$44,"&lt;&gt;x",$I7:I$44,"&lt;&gt;o",$J7:J$44,"&gt;0")/Aggregate!$J$1</f>
        <v>0.504408376</v>
      </c>
      <c r="H6" s="61">
        <f t="array" ref="H6">IFERROR(INDEX(ECR!$K:$K,MATCH(DraftSheet!$C6,ECR!$C:$C,0)),"ND")</f>
        <v>37</v>
      </c>
      <c r="I6" s="82"/>
      <c r="J6" s="78">
        <f>VLOOKUP(C6,Aggregate!B:J,9,FALSE())</f>
        <v>31.47912172</v>
      </c>
      <c r="K6" s="79"/>
      <c r="L6" s="61">
        <f>IFERROR(VLOOKUP(DraftSheet!$M6,Aggregate!$P:$AA,11,FALSE()),"")</f>
        <v>1</v>
      </c>
      <c r="M6" s="63" t="str">
        <f>Aggregate!P4</f>
        <v>Bijan Robinson</v>
      </c>
      <c r="N6" s="63" t="str">
        <f>VLOOKUP(DraftSheet!$M6,Aggregate!P:AA,4,FALSE())</f>
        <v>ATL/11</v>
      </c>
      <c r="O6" s="61">
        <f>IFERROR(VLOOKUP(DraftSheet!$M6,Aggregate!$P:$AA,8,FALSE()),"")</f>
        <v>243.3045588</v>
      </c>
      <c r="P6" s="61">
        <f>IF(Scoring!$K$6="Auction",IFERROR(VLOOKUP(DraftSheet!$M6,Aggregate!$P:$AA,10,FALSE()),""),IFERROR(VLOOKUP(DraftSheet!$M6,Aggregate!$P:$AA,9,FALSE()),""))</f>
        <v>44.21124533</v>
      </c>
      <c r="Q6" s="71">
        <f>SUMIFS($T7:T$84,$S7:S$84,"&lt;&gt;x",$S7:S$84,"&lt;&gt;o",$T7:T$84,"&gt;0")/Aggregate!$X$1</f>
        <v>0.8929231828</v>
      </c>
      <c r="R6" s="61">
        <f t="array" ref="R6">IFERROR(INDEX(ECR!$K:$K,MATCH(DraftSheet!$M6,ECR!$C:$C,0)),"ND")</f>
        <v>2</v>
      </c>
      <c r="S6" s="82"/>
      <c r="T6" s="78">
        <f>VLOOKUP(M6,Aggregate!P:X,9,FALSE())</f>
        <v>164.9136697</v>
      </c>
      <c r="U6" s="83"/>
      <c r="V6" s="61">
        <f>IFERROR(VLOOKUP(DraftSheet!$W6,Aggregate!$AD:$AO,11,FALSE()),"")</f>
        <v>1</v>
      </c>
      <c r="W6" s="63" t="str">
        <f>Aggregate!AD3</f>
        <v>Ja'Marr Chase</v>
      </c>
      <c r="X6" s="63" t="str">
        <f>VLOOKUP(DraftSheet!$W6,Aggregate!AD:AO,4,FALSE())</f>
        <v>CIN/6</v>
      </c>
      <c r="Y6" s="61">
        <f>IFERROR(VLOOKUP(DraftSheet!$W6,Aggregate!$AD:$AO,8,FALSE()),"")</f>
        <v>234.1372306</v>
      </c>
      <c r="Z6" s="61">
        <f>IF(Scoring!$K$6="Auction",IFERROR(VLOOKUP(DraftSheet!$W6,Aggregate!$AD:$AO,10,FALSE()),""),IFERROR(VLOOKUP(DraftSheet!$W6,Aggregate!$AD:$AO,9,FALSE()),""))</f>
        <v>40.98904727</v>
      </c>
      <c r="AA6" s="71">
        <f>SUMIFS($AD7:AD$84,$AC7:AC$84,"&lt;&gt;x",$AC7:AC$84,"&lt;&gt;o",$AD7:AD$84,"&gt;0")/Aggregate!$AL$1</f>
        <v>0.8981412797</v>
      </c>
      <c r="AB6" s="61">
        <f t="array" ref="AB6">IFERROR(INDEX(ECR!$K:$K,MATCH(DraftSheet!$W6,ECR!$C:$C,0)),"ND")</f>
        <v>3</v>
      </c>
      <c r="AC6" s="82"/>
      <c r="AD6" s="78">
        <f>VLOOKUP(W6,Aggregate!AD:AL,9,FALSE())</f>
        <v>152.6163035</v>
      </c>
      <c r="AE6" s="3"/>
      <c r="AF6" s="26" t="s">
        <v>138</v>
      </c>
      <c r="AG6" s="40" t="str">
        <f t="array" ref="AG6">IF($AG$2="","",IF(AH2&lt;&gt;"",INDEX(D:D,AH2),IF(AH3&lt;&gt;"",INDEX(N:N,AH3),IF(AH4&lt;&gt;"",INDEX(X:X,AH4),IF(AH5&lt;&gt;"",INDEX(D:D,AH5),"")))))</f>
        <v/>
      </c>
      <c r="AH6" s="3"/>
    </row>
    <row r="7" ht="14.25" customHeight="1">
      <c r="A7" s="3"/>
      <c r="B7" s="61">
        <f>IFERROR(VLOOKUP(DraftSheet!$C7,Aggregate!$B:$M,11,FALSE()),"")</f>
        <v>2</v>
      </c>
      <c r="C7" s="63" t="str">
        <f>Aggregate!B5</f>
        <v>Drake Maye</v>
      </c>
      <c r="D7" s="63" t="str">
        <f>VLOOKUP(DraftSheet!$C7,Aggregate!B:M,4,FALSE())</f>
        <v>NE/11</v>
      </c>
      <c r="E7" s="61">
        <f>IFERROR(VLOOKUP(DraftSheet!$C7,Aggregate!$B:$M,8,FALSE()),"")</f>
        <v>241.3365151</v>
      </c>
      <c r="F7" s="61">
        <f>IF(Scoring!$K$6="Auction",IFERROR(VLOOKUP(DraftSheet!$C7,Aggregate!$B:$M,10,FALSE()),""),IFERROR(VLOOKUP(DraftSheet!$C7,Aggregate!$B:$M,9,FALSE()),""))</f>
        <v>6.159165115</v>
      </c>
      <c r="G7" s="71">
        <f>SUMIFS($J8:J$44,$I8:I$44,"&lt;&gt;x",$I8:I$44,"&lt;&gt;o",$J8:J$44,"&gt;0")/Aggregate!$J$1</f>
        <v>0.4019830419</v>
      </c>
      <c r="H7" s="61">
        <f t="array" ref="H7">IFERROR(INDEX(ECR!$K:$K,MATCH(DraftSheet!$C7,ECR!$C:$C,0)),"ND")</f>
        <v>45</v>
      </c>
      <c r="I7" s="82"/>
      <c r="J7" s="78">
        <f>VLOOKUP(C7,Aggregate!B:J,9,FALSE())</f>
        <v>19.68970913</v>
      </c>
      <c r="K7" s="79"/>
      <c r="L7" s="61">
        <f>IFERROR(VLOOKUP(DraftSheet!$M7,Aggregate!$P:$AA,11,FALSE()),"")</f>
        <v>2</v>
      </c>
      <c r="M7" s="63" t="str">
        <f>Aggregate!P5</f>
        <v>Christian McCaffrey</v>
      </c>
      <c r="N7" s="63" t="str">
        <f>VLOOKUP(DraftSheet!$M7,Aggregate!P:AA,4,FALSE())</f>
        <v>SF/8</v>
      </c>
      <c r="O7" s="61">
        <f>IFERROR(VLOOKUP(DraftSheet!$M7,Aggregate!$P:$AA,8,FALSE()),"")</f>
        <v>224.9267647</v>
      </c>
      <c r="P7" s="61">
        <f>IF(Scoring!$K$6="Auction",IFERROR(VLOOKUP(DraftSheet!$M7,Aggregate!$P:$AA,10,FALSE()),""),IFERROR(VLOOKUP(DraftSheet!$M7,Aggregate!$P:$AA,9,FALSE()),""))</f>
        <v>39.39583269</v>
      </c>
      <c r="Q7" s="71">
        <f>SUMIFS($T8:T$84,$S8:S$84,"&lt;&gt;x",$S8:S$84,"&lt;&gt;o",$T8:T$84,"&gt;0")/Aggregate!$X$1</f>
        <v>0.8473334376</v>
      </c>
      <c r="R7" s="61">
        <f t="array" ref="R7">IFERROR(INDEX(ECR!$K:$K,MATCH(DraftSheet!$M7,ECR!$C:$C,0)),"ND")</f>
        <v>7</v>
      </c>
      <c r="S7" s="82"/>
      <c r="T7" s="78">
        <f>VLOOKUP(M7,Aggregate!P:X,9,FALSE())</f>
        <v>146.5358756</v>
      </c>
      <c r="U7" s="83"/>
      <c r="V7" s="61">
        <f>IFERROR(VLOOKUP(DraftSheet!$W7,Aggregate!$AD:$AO,11,FALSE()),"")</f>
        <v>1</v>
      </c>
      <c r="W7" s="63" t="str">
        <f>Aggregate!AD5</f>
        <v>Jaxon Smith-Njigba</v>
      </c>
      <c r="X7" s="63" t="str">
        <f>VLOOKUP(DraftSheet!$W7,Aggregate!AD:AO,4,FALSE())</f>
        <v>SEA/11</v>
      </c>
      <c r="Y7" s="61">
        <f>IFERROR(VLOOKUP(DraftSheet!$W7,Aggregate!$AD:$AO,8,FALSE()),"")</f>
        <v>228.3441696</v>
      </c>
      <c r="Z7" s="61">
        <f>IF(Scoring!$K$6="Auction",IFERROR(VLOOKUP(DraftSheet!$W7,Aggregate!$AD:$AO,10,FALSE()),""),IFERROR(VLOOKUP(DraftSheet!$W7,Aggregate!$AD:$AO,9,FALSE()),""))</f>
        <v>39.47112957</v>
      </c>
      <c r="AA7" s="71">
        <f>SUMIFS($AD8:AD$84,$AC8:AC$84,"&lt;&gt;x",$AC8:AC$84,"&lt;&gt;o",$AD8:AD$84,"&gt;0")/Aggregate!$AL$1</f>
        <v>0.8502553228</v>
      </c>
      <c r="AB7" s="61">
        <f t="array" ref="AB7">IFERROR(INDEX(ECR!$K:$K,MATCH(DraftSheet!$W7,ECR!$C:$C,0)),"ND")</f>
        <v>5</v>
      </c>
      <c r="AC7" s="82"/>
      <c r="AD7" s="78">
        <f>VLOOKUP(W7,Aggregate!AD:AL,9,FALSE())</f>
        <v>146.8232426</v>
      </c>
      <c r="AE7" s="3"/>
      <c r="AF7" s="26" t="s">
        <v>151</v>
      </c>
      <c r="AG7" s="95" t="str">
        <f t="array" ref="AG7">IF($AG$2="","",IF(AH2&lt;&gt;"",INDEX(E:E,AH2),IF(AH3&lt;&gt;"",INDEX(O:O,AH3),IF(AH4&lt;&gt;"",INDEX(Y:Y,AH4),IF(AH5&lt;&gt;"",INDEX(E:E,AH5),"")))))</f>
        <v/>
      </c>
      <c r="AH7" s="3"/>
    </row>
    <row r="8" ht="14.25" customHeight="1">
      <c r="A8" s="3"/>
      <c r="B8" s="61">
        <f>IFERROR(VLOOKUP(DraftSheet!$C8,Aggregate!$B:$M,11,FALSE()),"")</f>
        <v>3</v>
      </c>
      <c r="C8" s="63" t="str">
        <f>Aggregate!B7</f>
        <v>Jayden Daniels</v>
      </c>
      <c r="D8" s="63" t="str">
        <f>VLOOKUP(DraftSheet!$C8,Aggregate!B:M,4,FALSE())</f>
        <v>WAS/7</v>
      </c>
      <c r="E8" s="61">
        <f>IFERROR(VLOOKUP(DraftSheet!$C8,Aggregate!$B:$M,8,FALSE()),"")</f>
        <v>239.8447818</v>
      </c>
      <c r="F8" s="61">
        <f>IF(Scoring!$K$6="Auction",IFERROR(VLOOKUP(DraftSheet!$C8,Aggregate!$B:$M,10,FALSE()),""),IFERROR(VLOOKUP(DraftSheet!$C8,Aggregate!$B:$M,9,FALSE()),""))</f>
        <v>5.768296026</v>
      </c>
      <c r="G8" s="71">
        <f>SUMIFS($J9:J$44,$I9:I$44,"&lt;&gt;x",$I9:I$44,"&lt;&gt;o",$J9:J$44,"&gt;0")/Aggregate!$J$1</f>
        <v>0.3073176642</v>
      </c>
      <c r="H8" s="61">
        <f t="array" ref="H8">IFERROR(INDEX(ECR!$K:$K,MATCH(DraftSheet!$C8,ECR!$C:$C,0)),"ND")</f>
        <v>60</v>
      </c>
      <c r="I8" s="82"/>
      <c r="J8" s="78">
        <f>VLOOKUP(C8,Aggregate!B:J,9,FALSE())</f>
        <v>18.19797578</v>
      </c>
      <c r="K8" s="79"/>
      <c r="L8" s="61">
        <f>IFERROR(VLOOKUP(DraftSheet!$M8,Aggregate!$P:$AA,11,FALSE()),"")</f>
        <v>2</v>
      </c>
      <c r="M8" s="63" t="str">
        <f>Aggregate!P6</f>
        <v>Jonathan Taylor</v>
      </c>
      <c r="N8" s="63" t="str">
        <f>VLOOKUP(DraftSheet!$M8,Aggregate!P:AA,4,FALSE())</f>
        <v>IND/13</v>
      </c>
      <c r="O8" s="61">
        <f>IFERROR(VLOOKUP(DraftSheet!$M8,Aggregate!$P:$AA,8,FALSE()),"")</f>
        <v>222.0342647</v>
      </c>
      <c r="P8" s="61">
        <f>IF(Scoring!$K$6="Auction",IFERROR(VLOOKUP(DraftSheet!$M8,Aggregate!$P:$AA,10,FALSE()),""),IFERROR(VLOOKUP(DraftSheet!$M8,Aggregate!$P:$AA,9,FALSE()),""))</f>
        <v>38.63792992</v>
      </c>
      <c r="Q8" s="71">
        <f>SUMIFS($T9:T$84,$S9:S$84,"&lt;&gt;x",$S9:S$84,"&lt;&gt;o",$T9:T$84,"&gt;0")/Aggregate!$X$1</f>
        <v>0.8026435972</v>
      </c>
      <c r="R8" s="61">
        <f t="array" ref="R8">IFERROR(INDEX(ECR!$K:$K,MATCH(DraftSheet!$M8,ECR!$C:$C,0)),"ND")</f>
        <v>8</v>
      </c>
      <c r="S8" s="82"/>
      <c r="T8" s="78">
        <f>VLOOKUP(M8,Aggregate!P:X,9,FALSE())</f>
        <v>143.6433756</v>
      </c>
      <c r="U8" s="83"/>
      <c r="V8" s="61">
        <f>IFERROR(VLOOKUP(DraftSheet!$W8,Aggregate!$AD:$AO,11,FALSE()),"")</f>
        <v>1</v>
      </c>
      <c r="W8" s="63" t="str">
        <f>Aggregate!AD6</f>
        <v>Amon-Ra St. Brown</v>
      </c>
      <c r="X8" s="63" t="str">
        <f>VLOOKUP(DraftSheet!$W8,Aggregate!AD:AO,4,FALSE())</f>
        <v>DET/6</v>
      </c>
      <c r="Y8" s="61">
        <f>IFERROR(VLOOKUP(DraftSheet!$W8,Aggregate!$AD:$AO,8,FALSE()),"")</f>
        <v>218.0472379</v>
      </c>
      <c r="Z8" s="61">
        <f>IF(Scoring!$K$6="Auction",IFERROR(VLOOKUP(DraftSheet!$W8,Aggregate!$AD:$AO,10,FALSE()),""),IFERROR(VLOOKUP(DraftSheet!$W8,Aggregate!$AD:$AO,9,FALSE()),""))</f>
        <v>36.77309221</v>
      </c>
      <c r="AA8" s="71">
        <f>SUMIFS($AD9:AD$84,$AC9:AC$84,"&lt;&gt;x",$AC9:AC$84,"&lt;&gt;o",$AD9:AD$84,"&gt;0")/Aggregate!$AL$1</f>
        <v>0.8057276791</v>
      </c>
      <c r="AB8" s="61">
        <f t="array" ref="AB8">IFERROR(INDEX(ECR!$K:$K,MATCH(DraftSheet!$W8,ECR!$C:$C,0)),"ND")</f>
        <v>6</v>
      </c>
      <c r="AC8" s="82"/>
      <c r="AD8" s="78">
        <f>VLOOKUP(W8,Aggregate!AD:AL,9,FALSE())</f>
        <v>136.5263109</v>
      </c>
      <c r="AE8" s="3"/>
      <c r="AF8" s="26" t="s">
        <v>161</v>
      </c>
      <c r="AG8" s="95" t="str">
        <f t="array" ref="AG8">IF($AG$2="","",IF(AH2&lt;&gt;"",INDEX(F:F,AH2),IF(AH3&lt;&gt;"",INDEX(P:P,AH3),IF(AH4&lt;&gt;"",INDEX(Z:Z,AH4),IF(AH5&lt;&gt;"",INDEX(F:F,AH5),"")))))</f>
        <v/>
      </c>
      <c r="AH8" s="3"/>
    </row>
    <row r="9" ht="14.25" customHeight="1">
      <c r="A9" s="3"/>
      <c r="B9" s="61">
        <f>IFERROR(VLOOKUP(DraftSheet!$C9,Aggregate!$B:$M,11,FALSE()),"")</f>
        <v>2</v>
      </c>
      <c r="C9" s="63" t="str">
        <f>Aggregate!B8</f>
        <v>Jalen Hurts</v>
      </c>
      <c r="D9" s="63" t="str">
        <f>VLOOKUP(DraftSheet!$C9,Aggregate!B:M,4,FALSE())</f>
        <v>PHI/10</v>
      </c>
      <c r="E9" s="61">
        <f>IFERROR(VLOOKUP(DraftSheet!$C9,Aggregate!$B:$M,8,FALSE()),"")</f>
        <v>243.3837378</v>
      </c>
      <c r="F9" s="61">
        <f>IF(Scoring!$K$6="Auction",IFERROR(VLOOKUP(DraftSheet!$C9,Aggregate!$B:$M,10,FALSE()),""),IFERROR(VLOOKUP(DraftSheet!$C9,Aggregate!$B:$M,9,FALSE()),""))</f>
        <v>6.695585414</v>
      </c>
      <c r="G9" s="71">
        <f>SUMIFS($J10:J$44,$I10:I$44,"&lt;&gt;x",$I10:I$44,"&lt;&gt;o",$J10:J$44,"&gt;0")/Aggregate!$J$1</f>
        <v>0.1942427333</v>
      </c>
      <c r="H9" s="61">
        <f t="array" ref="H9">IFERROR(INDEX(ECR!$K:$K,MATCH(DraftSheet!$C9,ECR!$C:$C,0)),"ND")</f>
        <v>63</v>
      </c>
      <c r="I9" s="82"/>
      <c r="J9" s="78">
        <f>VLOOKUP(C9,Aggregate!B:J,9,FALSE())</f>
        <v>21.73693178</v>
      </c>
      <c r="K9" s="79"/>
      <c r="L9" s="61">
        <f>IFERROR(VLOOKUP(DraftSheet!$M9,Aggregate!$P:$AA,11,FALSE()),"")</f>
        <v>3</v>
      </c>
      <c r="M9" s="63" t="str">
        <f>Aggregate!P10</f>
        <v>De'Von Achane</v>
      </c>
      <c r="N9" s="63" t="str">
        <f>VLOOKUP(DraftSheet!$M9,Aggregate!P:AA,4,FALSE())</f>
        <v>MIA/6</v>
      </c>
      <c r="O9" s="61">
        <f>IFERROR(VLOOKUP(DraftSheet!$M9,Aggregate!$P:$AA,8,FALSE()),"")</f>
        <v>197.7338235</v>
      </c>
      <c r="P9" s="61">
        <f>IF(Scoring!$K$6="Auction",IFERROR(VLOOKUP(DraftSheet!$M9,Aggregate!$P:$AA,10,FALSE()),""),IFERROR(VLOOKUP(DraftSheet!$M9,Aggregate!$P:$AA,9,FALSE()),""))</f>
        <v>32.27064498</v>
      </c>
      <c r="Q9" s="71">
        <f>SUMIFS($T10:T$84,$S10:S$84,"&lt;&gt;x",$S10:S$84,"&lt;&gt;o",$T10:T$84,"&gt;0")/Aggregate!$X$1</f>
        <v>0.7655140278</v>
      </c>
      <c r="R9" s="61">
        <f t="array" ref="R9">IFERROR(INDEX(ECR!$K:$K,MATCH(DraftSheet!$M9,ECR!$C:$C,0)),"ND")</f>
        <v>16</v>
      </c>
      <c r="S9" s="82"/>
      <c r="T9" s="78">
        <f>VLOOKUP(M9,Aggregate!P:X,9,FALSE())</f>
        <v>119.3429344</v>
      </c>
      <c r="U9" s="83"/>
      <c r="V9" s="61">
        <f>IFERROR(VLOOKUP(DraftSheet!$W9,Aggregate!$AD:$AO,11,FALSE()),"")</f>
        <v>2</v>
      </c>
      <c r="W9" s="63" t="str">
        <f>Aggregate!AD8</f>
        <v>Justin Jefferson</v>
      </c>
      <c r="X9" s="63" t="str">
        <f>VLOOKUP(DraftSheet!$W9,Aggregate!AD:AO,4,FALSE())</f>
        <v>MIN/6</v>
      </c>
      <c r="Y9" s="61">
        <f>IFERROR(VLOOKUP(DraftSheet!$W9,Aggregate!$AD:$AO,8,FALSE()),"")</f>
        <v>185.2322918</v>
      </c>
      <c r="Z9" s="61">
        <f>IF(Scoring!$K$6="Auction",IFERROR(VLOOKUP(DraftSheet!$W9,Aggregate!$AD:$AO,10,FALSE()),""),IFERROR(VLOOKUP(DraftSheet!$W9,Aggregate!$AD:$AO,9,FALSE()),""))</f>
        <v>28.17480747</v>
      </c>
      <c r="AA9" s="71">
        <f>SUMIFS($AD10:AD$84,$AC10:AC$84,"&lt;&gt;x",$AC10:AC$84,"&lt;&gt;o",$AD10:AD$84,"&gt;0")/Aggregate!$AL$1</f>
        <v>0.771902531</v>
      </c>
      <c r="AB9" s="61">
        <f t="array" ref="AB9">IFERROR(INDEX(ECR!$K:$K,MATCH(DraftSheet!$W9,ECR!$C:$C,0)),"ND")</f>
        <v>11</v>
      </c>
      <c r="AC9" s="82"/>
      <c r="AD9" s="78">
        <f>VLOOKUP(W9,Aggregate!AD:AL,9,FALSE())</f>
        <v>103.7113647</v>
      </c>
      <c r="AE9" s="3"/>
      <c r="AF9" s="26" t="s">
        <v>174</v>
      </c>
      <c r="AG9" s="108" t="str">
        <f t="array" ref="AG9">IF($AG$2="","",IF(AH2&lt;&gt;"",INDEX(G:G,AH2),IF(AH3&lt;&gt;"",INDEX(Q:Q,AH3),IF(AH4&lt;&gt;"",INDEX(AA:AA,AH4),IF(AH5&lt;&gt;"",INDEX(G:G,AH5),"")))))</f>
        <v/>
      </c>
      <c r="AH9" s="3"/>
    </row>
    <row r="10" ht="14.25" customHeight="1">
      <c r="A10" s="3"/>
      <c r="B10" s="61">
        <f>IFERROR(VLOOKUP(DraftSheet!$C10,Aggregate!$B:$M,11,FALSE()),"")</f>
        <v>3</v>
      </c>
      <c r="C10" s="63" t="str">
        <f>Aggregate!B6</f>
        <v>Joe Burrow</v>
      </c>
      <c r="D10" s="63" t="str">
        <f>VLOOKUP(DraftSheet!$C10,Aggregate!B:M,4,FALSE())</f>
        <v>CIN/6</v>
      </c>
      <c r="E10" s="61">
        <f>IFERROR(VLOOKUP(DraftSheet!$C10,Aggregate!$B:$M,8,FALSE()),"")</f>
        <v>239.3710616</v>
      </c>
      <c r="F10" s="61">
        <f>IF(Scoring!$K$6="Auction",IFERROR(VLOOKUP(DraftSheet!$C10,Aggregate!$B:$M,10,FALSE()),""),IFERROR(VLOOKUP(DraftSheet!$C10,Aggregate!$B:$M,9,FALSE()),""))</f>
        <v>5.644170231</v>
      </c>
      <c r="G10" s="71">
        <f>SUMIFS($J11:J$44,$I11:I$44,"&lt;&gt;x",$I11:I$44,"&lt;&gt;o",$J11:J$44,"&gt;0")/Aggregate!$J$1</f>
        <v>0.1020416354</v>
      </c>
      <c r="H10" s="61">
        <f t="array" ref="H10">IFERROR(INDEX(ECR!$K:$K,MATCH(DraftSheet!$C10,ECR!$C:$C,0)),"ND")</f>
        <v>50</v>
      </c>
      <c r="I10" s="82"/>
      <c r="J10" s="78">
        <f>VLOOKUP(C10,Aggregate!B:J,9,FALSE())</f>
        <v>17.72425557</v>
      </c>
      <c r="K10" s="79"/>
      <c r="L10" s="61">
        <f>IFERROR(VLOOKUP(DraftSheet!$M10,Aggregate!$P:$AA,11,FALSE()),"")</f>
        <v>3</v>
      </c>
      <c r="M10" s="63" t="str">
        <f>Aggregate!P12</f>
        <v>Derrick Henry</v>
      </c>
      <c r="N10" s="63" t="str">
        <f>VLOOKUP(DraftSheet!$M10,Aggregate!P:AA,4,FALSE())</f>
        <v>BAL/13</v>
      </c>
      <c r="O10" s="61">
        <f>IFERROR(VLOOKUP(DraftSheet!$M10,Aggregate!$P:$AA,8,FALSE()),"")</f>
        <v>196.8811765</v>
      </c>
      <c r="P10" s="61">
        <f>IF(Scoring!$K$6="Auction",IFERROR(VLOOKUP(DraftSheet!$M10,Aggregate!$P:$AA,10,FALSE()),""),IFERROR(VLOOKUP(DraftSheet!$M10,Aggregate!$P:$AA,9,FALSE()),""))</f>
        <v>32.04723147</v>
      </c>
      <c r="Q10" s="71">
        <f>SUMIFS($T11:T$84,$S11:S$84,"&lt;&gt;x",$S11:S$84,"&lt;&gt;o",$T11:T$84,"&gt;0")/Aggregate!$X$1</f>
        <v>0.728649731</v>
      </c>
      <c r="R10" s="61">
        <f t="array" ref="R10">IFERROR(INDEX(ECR!$K:$K,MATCH(DraftSheet!$M10,ECR!$C:$C,0)),"ND")</f>
        <v>20</v>
      </c>
      <c r="S10" s="82"/>
      <c r="T10" s="78">
        <f>VLOOKUP(M10,Aggregate!P:X,9,FALSE())</f>
        <v>118.4902874</v>
      </c>
      <c r="U10" s="83"/>
      <c r="V10" s="61">
        <f>IFERROR(VLOOKUP(DraftSheet!$W10,Aggregate!$AD:$AO,11,FALSE()),"")</f>
        <v>2</v>
      </c>
      <c r="W10" s="63" t="str">
        <f>Aggregate!AD7</f>
        <v>CeeDee Lamb</v>
      </c>
      <c r="X10" s="63" t="str">
        <f>VLOOKUP(DraftSheet!$W10,Aggregate!AD:AO,4,FALSE())</f>
        <v>DAL/14</v>
      </c>
      <c r="Y10" s="61">
        <f>IFERROR(VLOOKUP(DraftSheet!$W10,Aggregate!$AD:$AO,8,FALSE()),"")</f>
        <v>184.0414043</v>
      </c>
      <c r="Z10" s="61">
        <f>IF(Scoring!$K$6="Auction",IFERROR(VLOOKUP(DraftSheet!$W10,Aggregate!$AD:$AO,10,FALSE()),""),IFERROR(VLOOKUP(DraftSheet!$W10,Aggregate!$AD:$AO,9,FALSE()),""))</f>
        <v>27.86276706</v>
      </c>
      <c r="AA10" s="71">
        <f>SUMIFS($AD11:AD$84,$AC11:AC$84,"&lt;&gt;x",$AC11:AC$84,"&lt;&gt;o",$AD11:AD$84,"&gt;0")/Aggregate!$AL$1</f>
        <v>0.7384657871</v>
      </c>
      <c r="AB10" s="61">
        <f t="array" ref="AB10">IFERROR(INDEX(ECR!$K:$K,MATCH(DraftSheet!$W10,ECR!$C:$C,0)),"ND")</f>
        <v>9</v>
      </c>
      <c r="AC10" s="82"/>
      <c r="AD10" s="78">
        <f>VLOOKUP(W10,Aggregate!AD:AL,9,FALSE())</f>
        <v>102.5204773</v>
      </c>
      <c r="AE10" s="3"/>
      <c r="AF10" s="26" t="s">
        <v>183</v>
      </c>
      <c r="AG10" s="40" t="str">
        <f t="array" ref="AG10">IF($AG$2="","",IF(AH2&lt;&gt;"",INDEX(H:H,AH2),IF(AH3&lt;&gt;"",INDEX(R:R,AH3),IF(AH4&lt;&gt;"",INDEX(AB:AB,AH4),IF(AH5&lt;&gt;"",INDEX(H:H,AH5),"")))))</f>
        <v/>
      </c>
      <c r="AH10" s="3"/>
    </row>
    <row r="11" ht="14.25" customHeight="1">
      <c r="A11" s="3"/>
      <c r="B11" s="61">
        <f>IFERROR(VLOOKUP(DraftSheet!$C11,Aggregate!$B:$M,11,FALSE()),"")</f>
        <v>4</v>
      </c>
      <c r="C11" s="63" t="str">
        <f>Aggregate!B11</f>
        <v>Trevor Lawrence</v>
      </c>
      <c r="D11" s="63" t="str">
        <f>VLOOKUP(DraftSheet!$C11,Aggregate!B:M,4,FALSE())</f>
        <v>JAC/7</v>
      </c>
      <c r="E11" s="61">
        <f>IFERROR(VLOOKUP(DraftSheet!$C11,Aggregate!$B:$M,8,FALSE()),"")</f>
        <v>227.0869401</v>
      </c>
      <c r="F11" s="61">
        <f>IF(Scoring!$K$6="Auction",IFERROR(VLOOKUP(DraftSheet!$C11,Aggregate!$B:$M,10,FALSE()),""),IFERROR(VLOOKUP(DraftSheet!$C11,Aggregate!$B:$M,9,FALSE()),""))</f>
        <v>2.425442584</v>
      </c>
      <c r="G11" s="71">
        <f>SUMIFS($J12:J$44,$I12:I$44,"&lt;&gt;x",$I12:I$44,"&lt;&gt;o",$J12:J$44,"&gt;0")/Aggregate!$J$1</f>
        <v>0.07374220524</v>
      </c>
      <c r="H11" s="61">
        <f t="array" ref="H11">IFERROR(INDEX(ECR!$K:$K,MATCH(DraftSheet!$C11,ECR!$C:$C,0)),"ND")</f>
        <v>75</v>
      </c>
      <c r="I11" s="82"/>
      <c r="J11" s="78">
        <f>VLOOKUP(C11,Aggregate!B:J,9,FALSE())</f>
        <v>5.440134059</v>
      </c>
      <c r="K11" s="79"/>
      <c r="L11" s="61">
        <f>IFERROR(VLOOKUP(DraftSheet!$M11,Aggregate!$P:$AA,11,FALSE()),"")</f>
        <v>3</v>
      </c>
      <c r="M11" s="63" t="str">
        <f>Aggregate!P7</f>
        <v>James Cook III</v>
      </c>
      <c r="N11" s="63" t="str">
        <f>VLOOKUP(DraftSheet!$M11,Aggregate!P:AA,4,FALSE())</f>
        <v>BUF/7</v>
      </c>
      <c r="O11" s="61">
        <f>IFERROR(VLOOKUP(DraftSheet!$M11,Aggregate!$P:$AA,8,FALSE()),"")</f>
        <v>195.6939706</v>
      </c>
      <c r="P11" s="61">
        <f>IF(Scoring!$K$6="Auction",IFERROR(VLOOKUP(DraftSheet!$M11,Aggregate!$P:$AA,10,FALSE()),""),IFERROR(VLOOKUP(DraftSheet!$M11,Aggregate!$P:$AA,9,FALSE()),""))</f>
        <v>31.73615572</v>
      </c>
      <c r="Q11" s="71">
        <f>SUMIFS($T12:T$84,$S12:S$84,"&lt;&gt;x",$S12:S$84,"&lt;&gt;o",$T12:T$84,"&gt;0")/Aggregate!$X$1</f>
        <v>0.6921547937</v>
      </c>
      <c r="R11" s="61">
        <f t="array" ref="R11">IFERROR(INDEX(ECR!$K:$K,MATCH(DraftSheet!$M11,ECR!$C:$C,0)),"ND")</f>
        <v>10</v>
      </c>
      <c r="S11" s="82"/>
      <c r="T11" s="78">
        <f>VLOOKUP(M11,Aggregate!P:X,9,FALSE())</f>
        <v>117.3030815</v>
      </c>
      <c r="U11" s="83"/>
      <c r="V11" s="61">
        <f>IFERROR(VLOOKUP(DraftSheet!$W11,Aggregate!$AD:$AO,11,FALSE()),"")</f>
        <v>2</v>
      </c>
      <c r="W11" s="63" t="str">
        <f>Aggregate!AD9</f>
        <v>Drake London</v>
      </c>
      <c r="X11" s="63" t="str">
        <f>VLOOKUP(DraftSheet!$W11,Aggregate!AD:AO,4,FALSE())</f>
        <v>ATL/11</v>
      </c>
      <c r="Y11" s="61">
        <f>IFERROR(VLOOKUP(DraftSheet!$W11,Aggregate!$AD:$AO,8,FALSE()),"")</f>
        <v>181.2615818</v>
      </c>
      <c r="Z11" s="61">
        <f>IF(Scoring!$K$6="Auction",IFERROR(VLOOKUP(DraftSheet!$W11,Aggregate!$AD:$AO,10,FALSE()),""),IFERROR(VLOOKUP(DraftSheet!$W11,Aggregate!$AD:$AO,9,FALSE()),""))</f>
        <v>27.13438844</v>
      </c>
      <c r="AA11" s="71">
        <f>SUMIFS($AD12:AD$84,$AC12:AC$84,"&lt;&gt;x",$AC12:AC$84,"&lt;&gt;o",$AD12:AD$84,"&gt;0")/Aggregate!$AL$1</f>
        <v>0.705935674</v>
      </c>
      <c r="AB11" s="61">
        <f t="array" ref="AB11">IFERROR(INDEX(ECR!$K:$K,MATCH(DraftSheet!$W11,ECR!$C:$C,0)),"ND")</f>
        <v>13</v>
      </c>
      <c r="AC11" s="82"/>
      <c r="AD11" s="78">
        <f>VLOOKUP(W11,Aggregate!AD:AL,9,FALSE())</f>
        <v>99.74065478</v>
      </c>
      <c r="AE11" s="3"/>
      <c r="AF11" s="26" t="s">
        <v>190</v>
      </c>
      <c r="AG11" s="40" t="str">
        <f t="array" ref="AG11">IF($AG$2="","",IF(AH2&lt;&gt;"",IF(INDEX(I:I,AH2)="","Available",INDEX(I:I,AH2)),IF(AH3&lt;&gt;"",IF(INDEX(S:S,AH3)="","Available",INDEX(S:S,AH3)),IF(AH4&lt;&gt;"",IF(INDEX(AC:AC,AH4)="","Available",INDEX(AC:AC,AH4)),IF(AH5&lt;&gt;"",IF(INDEX(I:I,AH5)="","Available",INDEX(I:I,AH5)),"")))))</f>
        <v/>
      </c>
      <c r="AH11" s="3"/>
    </row>
    <row r="12" ht="14.25" customHeight="1">
      <c r="A12" s="3"/>
      <c r="B12" s="61">
        <f>IFERROR(VLOOKUP(DraftSheet!$C12,Aggregate!$B:$M,11,FALSE()),"")</f>
        <v>4</v>
      </c>
      <c r="C12" s="63" t="str">
        <f>Aggregate!B14</f>
        <v>Jaxson Dart</v>
      </c>
      <c r="D12" s="63" t="str">
        <f>VLOOKUP(DraftSheet!$C12,Aggregate!B:M,4,FALSE())</f>
        <v>NYG/8</v>
      </c>
      <c r="E12" s="61">
        <f>IFERROR(VLOOKUP(DraftSheet!$C12,Aggregate!$B:$M,8,FALSE()),"")</f>
        <v>224.7984239</v>
      </c>
      <c r="F12" s="61">
        <f>IF(Scoring!$K$6="Auction",IFERROR(VLOOKUP(DraftSheet!$C12,Aggregate!$B:$M,10,FALSE()),""),IFERROR(VLOOKUP(DraftSheet!$C12,Aggregate!$B:$M,9,FALSE()),""))</f>
        <v>1.825797727</v>
      </c>
      <c r="G12" s="71">
        <f>SUMIFS($J13:J$44,$I13:I$44,"&lt;&gt;x",$I13:I$44,"&lt;&gt;o",$J13:J$44,"&gt;0")/Aggregate!$J$1</f>
        <v>0.05734757427</v>
      </c>
      <c r="H12" s="61">
        <f t="array" ref="H12">IFERROR(INDEX(ECR!$K:$K,MATCH(DraftSheet!$C12,ECR!$C:$C,0)),"ND")</f>
        <v>98</v>
      </c>
      <c r="I12" s="82"/>
      <c r="J12" s="78">
        <f>VLOOKUP(C12,Aggregate!B:J,9,FALSE())</f>
        <v>3.151617885</v>
      </c>
      <c r="K12" s="79"/>
      <c r="L12" s="61">
        <f>IFERROR(VLOOKUP(DraftSheet!$M12,Aggregate!$P:$AA,11,FALSE()),"")</f>
        <v>3</v>
      </c>
      <c r="M12" s="63" t="str">
        <f>Aggregate!P8</f>
        <v>Chase Brown</v>
      </c>
      <c r="N12" s="63" t="str">
        <f>VLOOKUP(DraftSheet!$M12,Aggregate!P:AA,4,FALSE())</f>
        <v>CIN/6</v>
      </c>
      <c r="O12" s="61">
        <f>IFERROR(VLOOKUP(DraftSheet!$M12,Aggregate!$P:$AA,8,FALSE()),"")</f>
        <v>191.4536765</v>
      </c>
      <c r="P12" s="61">
        <f>IF(Scoring!$K$6="Auction",IFERROR(VLOOKUP(DraftSheet!$M12,Aggregate!$P:$AA,10,FALSE()),""),IFERROR(VLOOKUP(DraftSheet!$M12,Aggregate!$P:$AA,9,FALSE()),""))</f>
        <v>30.62509931</v>
      </c>
      <c r="Q12" s="71">
        <f>SUMIFS($T13:T$84,$S13:S$84,"&lt;&gt;x",$S13:S$84,"&lt;&gt;o",$T13:T$84,"&gt;0")/Aggregate!$X$1</f>
        <v>0.6569790823</v>
      </c>
      <c r="R12" s="61">
        <f t="array" ref="R12">IFERROR(INDEX(ECR!$K:$K,MATCH(DraftSheet!$M12,ECR!$C:$C,0)),"ND")</f>
        <v>12</v>
      </c>
      <c r="S12" s="82"/>
      <c r="T12" s="78">
        <f>VLOOKUP(M12,Aggregate!P:X,9,FALSE())</f>
        <v>113.0627874</v>
      </c>
      <c r="U12" s="83"/>
      <c r="V12" s="61">
        <f>IFERROR(VLOOKUP(DraftSheet!$W12,Aggregate!$AD:$AO,11,FALSE()),"")</f>
        <v>2</v>
      </c>
      <c r="W12" s="63" t="str">
        <f>Aggregate!AD10</f>
        <v>A.J. Brown</v>
      </c>
      <c r="X12" s="63" t="str">
        <f>VLOOKUP(DraftSheet!$W12,Aggregate!AD:AO,4,FALSE())</f>
        <v>NE/11</v>
      </c>
      <c r="Y12" s="61">
        <f>IFERROR(VLOOKUP(DraftSheet!$W12,Aggregate!$AD:$AO,8,FALSE()),"")</f>
        <v>176.0786305</v>
      </c>
      <c r="Z12" s="61">
        <f>IF(Scoring!$K$6="Auction",IFERROR(VLOOKUP(DraftSheet!$W12,Aggregate!$AD:$AO,10,FALSE()),""),IFERROR(VLOOKUP(DraftSheet!$W12,Aggregate!$AD:$AO,9,FALSE()),""))</f>
        <v>25.77633376</v>
      </c>
      <c r="AA12" s="71">
        <f>SUMIFS($AD13:AD$84,$AC13:AC$84,"&lt;&gt;x",$AC13:AC$84,"&lt;&gt;o",$AD13:AD$84,"&gt;0")/Aggregate!$AL$1</f>
        <v>0.6750959648</v>
      </c>
      <c r="AB12" s="61">
        <f t="array" ref="AB12">IFERROR(INDEX(ECR!$K:$K,MATCH(DraftSheet!$W12,ECR!$C:$C,0)),"ND")</f>
        <v>15</v>
      </c>
      <c r="AC12" s="82"/>
      <c r="AD12" s="78">
        <f>VLOOKUP(W12,Aggregate!AD:AL,9,FALSE())</f>
        <v>94.55770346</v>
      </c>
      <c r="AE12" s="3"/>
      <c r="AF12" s="3"/>
      <c r="AG12" s="3"/>
      <c r="AH12" s="3"/>
    </row>
    <row r="13" ht="14.25" customHeight="1">
      <c r="A13" s="3"/>
      <c r="B13" s="61">
        <f>IFERROR(VLOOKUP(DraftSheet!$C13,Aggregate!$B:$M,11,FALSE()),"")</f>
        <v>4</v>
      </c>
      <c r="C13" s="63" t="str">
        <f>Aggregate!B13</f>
        <v>Brock Purdy</v>
      </c>
      <c r="D13" s="63" t="str">
        <f>VLOOKUP(DraftSheet!$C13,Aggregate!B:M,4,FALSE())</f>
        <v>SF/8</v>
      </c>
      <c r="E13" s="61">
        <f>IFERROR(VLOOKUP(DraftSheet!$C13,Aggregate!$B:$M,8,FALSE()),"")</f>
        <v>221.646806</v>
      </c>
      <c r="F13" s="61">
        <f>IF(Scoring!$K$6="Auction",IFERROR(VLOOKUP(DraftSheet!$C13,Aggregate!$B:$M,10,FALSE()),""),IFERROR(VLOOKUP(DraftSheet!$C13,Aggregate!$B:$M,9,FALSE()),""))</f>
        <v>1</v>
      </c>
      <c r="G13" s="71">
        <f>SUMIFS($J14:J$44,$I14:I$44,"&lt;&gt;x",$I14:I$44,"&lt;&gt;o",$J14:J$44,"&gt;0")/Aggregate!$J$1</f>
        <v>0.05734757427</v>
      </c>
      <c r="H13" s="61">
        <f t="array" ref="H13">IFERROR(INDEX(ECR!$K:$K,MATCH(DraftSheet!$C13,ECR!$C:$C,0)),"ND")</f>
        <v>91</v>
      </c>
      <c r="I13" s="82"/>
      <c r="J13" s="78">
        <f>VLOOKUP(C13,Aggregate!B:J,9,FALSE())</f>
        <v>0</v>
      </c>
      <c r="K13" s="79"/>
      <c r="L13" s="61">
        <f>IFERROR(VLOOKUP(DraftSheet!$M13,Aggregate!$P:$AA,11,FALSE()),"")</f>
        <v>3</v>
      </c>
      <c r="M13" s="63" t="str">
        <f>Aggregate!P9</f>
        <v>Saquon Barkley</v>
      </c>
      <c r="N13" s="63" t="str">
        <f>VLOOKUP(DraftSheet!$M13,Aggregate!P:AA,4,FALSE())</f>
        <v>PHI/10</v>
      </c>
      <c r="O13" s="61">
        <f>IFERROR(VLOOKUP(DraftSheet!$M13,Aggregate!$P:$AA,8,FALSE()),"")</f>
        <v>188.4885294</v>
      </c>
      <c r="P13" s="61">
        <f>IF(Scoring!$K$6="Auction",IFERROR(VLOOKUP(DraftSheet!$M13,Aggregate!$P:$AA,10,FALSE()),""),IFERROR(VLOOKUP(DraftSheet!$M13,Aggregate!$P:$AA,9,FALSE()),""))</f>
        <v>29.84816131</v>
      </c>
      <c r="Q13" s="71">
        <f>SUMIFS($T14:T$84,$S14:S$84,"&lt;&gt;x",$S14:S$84,"&lt;&gt;o",$T14:T$84,"&gt;0")/Aggregate!$X$1</f>
        <v>0.6227258775</v>
      </c>
      <c r="R13" s="61">
        <f t="array" ref="R13">IFERROR(INDEX(ECR!$K:$K,MATCH(DraftSheet!$M13,ECR!$C:$C,0)),"ND")</f>
        <v>14</v>
      </c>
      <c r="S13" s="82"/>
      <c r="T13" s="78">
        <f>VLOOKUP(M13,Aggregate!P:X,9,FALSE())</f>
        <v>110.0976403</v>
      </c>
      <c r="U13" s="83"/>
      <c r="V13" s="61">
        <f>IFERROR(VLOOKUP(DraftSheet!$W13,Aggregate!$AD:$AO,11,FALSE()),"")</f>
        <v>2</v>
      </c>
      <c r="W13" s="63" t="str">
        <f>Aggregate!AD15</f>
        <v>Rashee Rice</v>
      </c>
      <c r="X13" s="63" t="str">
        <f>VLOOKUP(DraftSheet!$W13,Aggregate!AD:AO,4,FALSE())</f>
        <v>KC/5</v>
      </c>
      <c r="Y13" s="61">
        <f>IFERROR(VLOOKUP(DraftSheet!$W13,Aggregate!$AD:$AO,8,FALSE()),"")</f>
        <v>174.7254483</v>
      </c>
      <c r="Z13" s="61">
        <f>IF(Scoring!$K$6="Auction",IFERROR(VLOOKUP(DraftSheet!$W13,Aggregate!$AD:$AO,10,FALSE()),""),IFERROR(VLOOKUP(DraftSheet!$W13,Aggregate!$AD:$AO,9,FALSE()),""))</f>
        <v>25.42176832</v>
      </c>
      <c r="AA13" s="71">
        <f>SUMIFS($AD14:AD$84,$AC14:AC$84,"&lt;&gt;x",$AC14:AC$84,"&lt;&gt;o",$AD14:AD$84,"&gt;0")/Aggregate!$AL$1</f>
        <v>0.6446975919</v>
      </c>
      <c r="AB13" s="61">
        <f t="array" ref="AB13">IFERROR(INDEX(ECR!$K:$K,MATCH(DraftSheet!$W13,ECR!$C:$C,0)),"ND")</f>
        <v>29</v>
      </c>
      <c r="AC13" s="82"/>
      <c r="AD13" s="78">
        <f>VLOOKUP(W13,Aggregate!AD:AL,9,FALSE())</f>
        <v>93.20452126</v>
      </c>
      <c r="AE13" s="3"/>
      <c r="AF13" s="3"/>
      <c r="AG13" s="3"/>
      <c r="AH13" s="3"/>
    </row>
    <row r="14" ht="14.25" customHeight="1">
      <c r="A14" s="3"/>
      <c r="B14" s="61">
        <f>IFERROR(VLOOKUP(DraftSheet!$C14,Aggregate!$B:$M,11,FALSE()),"")</f>
        <v>4</v>
      </c>
      <c r="C14" s="63" t="str">
        <f>Aggregate!B12</f>
        <v>Dak Prescott</v>
      </c>
      <c r="D14" s="63" t="str">
        <f>VLOOKUP(DraftSheet!$C14,Aggregate!B:M,4,FALSE())</f>
        <v>DAL/14</v>
      </c>
      <c r="E14" s="61">
        <f>IFERROR(VLOOKUP(DraftSheet!$C14,Aggregate!$B:$M,8,FALSE()),"")</f>
        <v>226.1029647</v>
      </c>
      <c r="F14" s="61">
        <f>IF(Scoring!$K$6="Auction",IFERROR(VLOOKUP(DraftSheet!$C14,Aggregate!$B:$M,10,FALSE()),""),IFERROR(VLOOKUP(DraftSheet!$C14,Aggregate!$B:$M,9,FALSE()),""))</f>
        <v>2.167617995</v>
      </c>
      <c r="G14" s="71">
        <f>SUMIFS($J15:J$44,$I15:I$44,"&lt;&gt;x",$I15:I$44,"&lt;&gt;o",$J15:J$44,"&gt;0")/Aggregate!$J$1</f>
        <v>0.03416675711</v>
      </c>
      <c r="H14" s="61">
        <f t="array" ref="H14">IFERROR(INDEX(ECR!$K:$K,MATCH(DraftSheet!$C14,ECR!$C:$C,0)),"ND")</f>
        <v>77</v>
      </c>
      <c r="I14" s="82"/>
      <c r="J14" s="78">
        <f>VLOOKUP(C14,Aggregate!B:J,9,FALSE())</f>
        <v>4.456158735</v>
      </c>
      <c r="K14" s="79"/>
      <c r="L14" s="61">
        <f>IFERROR(VLOOKUP(DraftSheet!$M14,Aggregate!$P:$AA,11,FALSE()),"")</f>
        <v>3</v>
      </c>
      <c r="M14" s="63" t="str">
        <f>Aggregate!P13</f>
        <v>Kenneth Walker III</v>
      </c>
      <c r="N14" s="63" t="str">
        <f>VLOOKUP(DraftSheet!$M14,Aggregate!P:AA,4,FALSE())</f>
        <v>KC/5</v>
      </c>
      <c r="O14" s="61">
        <f>IFERROR(VLOOKUP(DraftSheet!$M14,Aggregate!$P:$AA,8,FALSE()),"")</f>
        <v>178.8772279</v>
      </c>
      <c r="P14" s="61">
        <f>IF(Scoring!$K$6="Auction",IFERROR(VLOOKUP(DraftSheet!$M14,Aggregate!$P:$AA,10,FALSE()),""),IFERROR(VLOOKUP(DraftSheet!$M14,Aggregate!$P:$AA,9,FALSE()),""))</f>
        <v>27.32977513</v>
      </c>
      <c r="Q14" s="71">
        <f>SUMIFS($T15:T$84,$S15:S$84,"&lt;&gt;x",$S15:S$84,"&lt;&gt;o",$T15:T$84,"&gt;0")/Aggregate!$X$1</f>
        <v>0.5914629082</v>
      </c>
      <c r="R14" s="61">
        <f t="array" ref="R14">IFERROR(INDEX(ECR!$K:$K,MATCH(DraftSheet!$M14,ECR!$C:$C,0)),"ND")</f>
        <v>21</v>
      </c>
      <c r="S14" s="82"/>
      <c r="T14" s="78">
        <f>VLOOKUP(M14,Aggregate!P:X,9,FALSE())</f>
        <v>100.4863388</v>
      </c>
      <c r="U14" s="83"/>
      <c r="V14" s="61">
        <f>IFERROR(VLOOKUP(DraftSheet!$W14,Aggregate!$AD:$AO,11,FALSE()),"")</f>
        <v>2</v>
      </c>
      <c r="W14" s="63" t="str">
        <f>Aggregate!AD12</f>
        <v>George Pickens</v>
      </c>
      <c r="X14" s="63" t="str">
        <f>VLOOKUP(DraftSheet!$W14,Aggregate!AD:AO,4,FALSE())</f>
        <v>DAL/14</v>
      </c>
      <c r="Y14" s="61">
        <f>IFERROR(VLOOKUP(DraftSheet!$W14,Aggregate!$AD:$AO,8,FALSE()),"")</f>
        <v>173.1393276</v>
      </c>
      <c r="Z14" s="61">
        <f>IF(Scoring!$K$6="Auction",IFERROR(VLOOKUP(DraftSheet!$W14,Aggregate!$AD:$AO,10,FALSE()),""),IFERROR(VLOOKUP(DraftSheet!$W14,Aggregate!$AD:$AO,9,FALSE()),""))</f>
        <v>25.00616752</v>
      </c>
      <c r="AA14" s="71">
        <f>SUMIFS($AD15:AD$84,$AC15:AC$84,"&lt;&gt;x",$AC15:AC$84,"&lt;&gt;o",$AD15:AD$84,"&gt;0")/Aggregate!$AL$1</f>
        <v>0.6148165274</v>
      </c>
      <c r="AB14" s="61">
        <f t="array" ref="AB14">IFERROR(INDEX(ECR!$K:$K,MATCH(DraftSheet!$W14,ECR!$C:$C,0)),"ND")</f>
        <v>23</v>
      </c>
      <c r="AC14" s="82"/>
      <c r="AD14" s="78">
        <f>VLOOKUP(W14,Aggregate!AD:AL,9,FALSE())</f>
        <v>91.61840051</v>
      </c>
      <c r="AE14" s="3"/>
      <c r="AF14" s="3"/>
      <c r="AG14" s="3"/>
      <c r="AH14" s="3"/>
    </row>
    <row r="15" ht="14.25" customHeight="1">
      <c r="A15" s="3"/>
      <c r="B15" s="61">
        <f>IFERROR(VLOOKUP(DraftSheet!$C15,Aggregate!$B:$M,11,FALSE()),"")</f>
        <v>4</v>
      </c>
      <c r="C15" s="63" t="str">
        <f>Aggregate!B9</f>
        <v>Caleb Williams</v>
      </c>
      <c r="D15" s="63" t="str">
        <f>VLOOKUP(DraftSheet!$C15,Aggregate!B:M,4,FALSE())</f>
        <v>CHI/10</v>
      </c>
      <c r="E15" s="61">
        <f>IFERROR(VLOOKUP(DraftSheet!$C15,Aggregate!$B:$M,8,FALSE()),"")</f>
        <v>227.0649859</v>
      </c>
      <c r="F15" s="61">
        <f>IF(Scoring!$K$6="Auction",IFERROR(VLOOKUP(DraftSheet!$C15,Aggregate!$B:$M,10,FALSE()),""),IFERROR(VLOOKUP(DraftSheet!$C15,Aggregate!$B:$M,9,FALSE()),""))</f>
        <v>2.419690071</v>
      </c>
      <c r="G15" s="71">
        <f>SUMIFS($J16:J$44,$I16:I$44,"&lt;&gt;x",$I16:I$44,"&lt;&gt;o",$J16:J$44,"&gt;0")/Aggregate!$J$1</f>
        <v>0.005981532039</v>
      </c>
      <c r="H15" s="61">
        <f t="array" ref="H15">IFERROR(INDEX(ECR!$K:$K,MATCH(DraftSheet!$C15,ECR!$C:$C,0)),"ND")</f>
        <v>67</v>
      </c>
      <c r="I15" s="82"/>
      <c r="J15" s="78">
        <f>VLOOKUP(C15,Aggregate!B:J,9,FALSE())</f>
        <v>5.418179868</v>
      </c>
      <c r="K15" s="79"/>
      <c r="L15" s="61">
        <f>IFERROR(VLOOKUP(DraftSheet!$M15,Aggregate!$P:$AA,11,FALSE()),"")</f>
        <v>3</v>
      </c>
      <c r="M15" s="63" t="str">
        <f>Aggregate!P14</f>
        <v>Ashton Jeanty</v>
      </c>
      <c r="N15" s="63" t="str">
        <f>VLOOKUP(DraftSheet!$M15,Aggregate!P:AA,4,FALSE())</f>
        <v>LV/13</v>
      </c>
      <c r="O15" s="61">
        <f>IFERROR(VLOOKUP(DraftSheet!$M15,Aggregate!$P:$AA,8,FALSE()),"")</f>
        <v>178.2108824</v>
      </c>
      <c r="P15" s="61">
        <f>IF(Scoring!$K$6="Auction",IFERROR(VLOOKUP(DraftSheet!$M15,Aggregate!$P:$AA,10,FALSE()),""),IFERROR(VLOOKUP(DraftSheet!$M15,Aggregate!$P:$AA,9,FALSE()),""))</f>
        <v>27.15517698</v>
      </c>
      <c r="Q15" s="71">
        <f>SUMIFS($T16:T$84,$S16:S$84,"&lt;&gt;x",$S16:S$84,"&lt;&gt;o",$T16:T$84,"&gt;0")/Aggregate!$X$1</f>
        <v>0.56040725</v>
      </c>
      <c r="R15" s="61">
        <f t="array" ref="R15">IFERROR(INDEX(ECR!$K:$K,MATCH(DraftSheet!$M15,ECR!$C:$C,0)),"ND")</f>
        <v>22</v>
      </c>
      <c r="S15" s="82"/>
      <c r="T15" s="78">
        <f>VLOOKUP(M15,Aggregate!P:X,9,FALSE())</f>
        <v>99.81999325</v>
      </c>
      <c r="U15" s="83"/>
      <c r="V15" s="61">
        <f>IFERROR(VLOOKUP(DraftSheet!$W15,Aggregate!$AD:$AO,11,FALSE()),"")</f>
        <v>2</v>
      </c>
      <c r="W15" s="63" t="str">
        <f>Aggregate!AD13</f>
        <v>Chris Olave</v>
      </c>
      <c r="X15" s="63" t="str">
        <f>VLOOKUP(DraftSheet!$W15,Aggregate!AD:AO,4,FALSE())</f>
        <v>NO/8</v>
      </c>
      <c r="Y15" s="61">
        <f>IFERROR(VLOOKUP(DraftSheet!$W15,Aggregate!$AD:$AO,8,FALSE()),"")</f>
        <v>172.660061</v>
      </c>
      <c r="Z15" s="61">
        <f>IF(Scoring!$K$6="Auction",IFERROR(VLOOKUP(DraftSheet!$W15,Aggregate!$AD:$AO,10,FALSE()),""),IFERROR(VLOOKUP(DraftSheet!$W15,Aggregate!$AD:$AO,9,FALSE()),""))</f>
        <v>24.88058846</v>
      </c>
      <c r="AA15" s="71">
        <f>SUMIFS($AD16:AD$84,$AC16:AC$84,"&lt;&gt;x",$AC16:AC$84,"&lt;&gt;o",$AD16:AD$84,"&gt;0")/Aggregate!$AL$1</f>
        <v>0.5850917743</v>
      </c>
      <c r="AB15" s="61">
        <f t="array" ref="AB15">IFERROR(INDEX(ECR!$K:$K,MATCH(DraftSheet!$W15,ECR!$C:$C,0)),"ND")</f>
        <v>24</v>
      </c>
      <c r="AC15" s="82"/>
      <c r="AD15" s="78">
        <f>VLOOKUP(W15,Aggregate!AD:AL,9,FALSE())</f>
        <v>91.13913397</v>
      </c>
      <c r="AE15" s="3"/>
      <c r="AF15" s="3"/>
      <c r="AG15" s="3"/>
      <c r="AH15" s="3"/>
    </row>
    <row r="16" ht="14.25" customHeight="1">
      <c r="A16" s="3"/>
      <c r="B16" s="61">
        <f>IFERROR(VLOOKUP(DraftSheet!$C16,Aggregate!$B:$M,11,FALSE()),"")</f>
        <v>4</v>
      </c>
      <c r="C16" s="63" t="str">
        <f>Aggregate!B10</f>
        <v>Justin Herbert</v>
      </c>
      <c r="D16" s="63" t="str">
        <f>VLOOKUP(DraftSheet!$C16,Aggregate!B:M,4,FALSE())</f>
        <v>LAC/7</v>
      </c>
      <c r="E16" s="61">
        <f>IFERROR(VLOOKUP(DraftSheet!$C16,Aggregate!$B:$M,8,FALSE()),"")</f>
        <v>222.7966644</v>
      </c>
      <c r="F16" s="61">
        <f>IF(Scoring!$K$6="Auction",IFERROR(VLOOKUP(DraftSheet!$C16,Aggregate!$B:$M,10,FALSE()),""),IFERROR(VLOOKUP(DraftSheet!$C16,Aggregate!$B:$M,9,FALSE()),""))</f>
        <v>1.301289829</v>
      </c>
      <c r="G16" s="71">
        <f>SUMIFS($J17:J$44,$I17:I$44,"&lt;&gt;x",$I17:I$44,"&lt;&gt;o",$J17:J$44,"&gt;0")/Aggregate!$J$1</f>
        <v>0</v>
      </c>
      <c r="H16" s="61">
        <f t="array" ref="H16">IFERROR(INDEX(ECR!$K:$K,MATCH(DraftSheet!$C16,ECR!$C:$C,0)),"ND")</f>
        <v>70</v>
      </c>
      <c r="I16" s="82"/>
      <c r="J16" s="78">
        <f>VLOOKUP(C16,Aggregate!B:J,9,FALSE())</f>
        <v>1.149858353</v>
      </c>
      <c r="K16" s="79"/>
      <c r="L16" s="61">
        <f>IFERROR(VLOOKUP(DraftSheet!$M16,Aggregate!$P:$AA,11,FALSE()),"")</f>
        <v>3</v>
      </c>
      <c r="M16" s="63" t="str">
        <f>Aggregate!P19</f>
        <v>Jeremiyah Love</v>
      </c>
      <c r="N16" s="63" t="str">
        <f>VLOOKUP(DraftSheet!$M16,Aggregate!P:AA,4,FALSE())</f>
        <v>ARI/14</v>
      </c>
      <c r="O16" s="61">
        <f>IFERROR(VLOOKUP(DraftSheet!$M16,Aggregate!$P:$AA,8,FALSE()),"")</f>
        <v>176.6980074</v>
      </c>
      <c r="P16" s="61">
        <f>IF(Scoring!$K$6="Auction",IFERROR(VLOOKUP(DraftSheet!$M16,Aggregate!$P:$AA,10,FALSE()),""),IFERROR(VLOOKUP(DraftSheet!$M16,Aggregate!$P:$AA,9,FALSE()),""))</f>
        <v>26.75876828</v>
      </c>
      <c r="Q16" s="71">
        <f>SUMIFS($T17:T$84,$S17:S$84,"&lt;&gt;x",$S17:S$84,"&lt;&gt;o",$T17:T$84,"&gt;0")/Aggregate!$X$1</f>
        <v>0.5298222725</v>
      </c>
      <c r="R16" s="61">
        <f t="array" ref="R16">IFERROR(INDEX(ECR!$K:$K,MATCH(DraftSheet!$M16,ECR!$C:$C,0)),"ND")</f>
        <v>44</v>
      </c>
      <c r="S16" s="82"/>
      <c r="T16" s="78">
        <f>VLOOKUP(M16,Aggregate!P:X,9,FALSE())</f>
        <v>98.30711825</v>
      </c>
      <c r="U16" s="83"/>
      <c r="V16" s="61">
        <f>IFERROR(VLOOKUP(DraftSheet!$W16,Aggregate!$AD:$AO,11,FALSE()),"")</f>
        <v>2</v>
      </c>
      <c r="W16" s="63" t="str">
        <f>Aggregate!AD11</f>
        <v>Nico Collins</v>
      </c>
      <c r="X16" s="63" t="str">
        <f>VLOOKUP(DraftSheet!$W16,Aggregate!AD:AO,4,FALSE())</f>
        <v>HOU/8</v>
      </c>
      <c r="Y16" s="61">
        <f>IFERROR(VLOOKUP(DraftSheet!$W16,Aggregate!$AD:$AO,8,FALSE()),"")</f>
        <v>170.2457982</v>
      </c>
      <c r="Z16" s="61">
        <f>IF(Scoring!$K$6="Auction",IFERROR(VLOOKUP(DraftSheet!$W16,Aggregate!$AD:$AO,10,FALSE()),""),IFERROR(VLOOKUP(DraftSheet!$W16,Aggregate!$AD:$AO,9,FALSE()),""))</f>
        <v>24.24799503</v>
      </c>
      <c r="AA16" s="71">
        <f>SUMIFS($AD17:AD$84,$AC17:AC$84,"&lt;&gt;x",$AC17:AC$84,"&lt;&gt;o",$AD17:AD$84,"&gt;0")/Aggregate!$AL$1</f>
        <v>0.5561544257</v>
      </c>
      <c r="AB16" s="61">
        <f t="array" ref="AB16">IFERROR(INDEX(ECR!$K:$K,MATCH(DraftSheet!$W16,ECR!$C:$C,0)),"ND")</f>
        <v>17</v>
      </c>
      <c r="AC16" s="82"/>
      <c r="AD16" s="78">
        <f>VLOOKUP(W16,Aggregate!AD:AL,9,FALSE())</f>
        <v>88.72487113</v>
      </c>
      <c r="AE16" s="3"/>
      <c r="AF16" s="3"/>
      <c r="AG16" s="3"/>
      <c r="AH16" s="3"/>
    </row>
    <row r="17" ht="14.25" customHeight="1">
      <c r="A17" s="3"/>
      <c r="B17" s="61">
        <f>IFERROR(VLOOKUP(DraftSheet!$C17,Aggregate!$B:$M,11,FALSE()),"")</f>
        <v>4</v>
      </c>
      <c r="C17" s="63" t="str">
        <f>Aggregate!B16</f>
        <v>Patrick Mahomes II</v>
      </c>
      <c r="D17" s="63" t="str">
        <f>VLOOKUP(DraftSheet!$C17,Aggregate!B:M,4,FALSE())</f>
        <v>KC/5</v>
      </c>
      <c r="E17" s="61">
        <f>IFERROR(VLOOKUP(DraftSheet!$C17,Aggregate!$B:$M,8,FALSE()),"")</f>
        <v>221.329341</v>
      </c>
      <c r="F17" s="61">
        <f>IF(Scoring!$K$6="Auction",IFERROR(VLOOKUP(DraftSheet!$C17,Aggregate!$B:$M,10,FALSE()),""),IFERROR(VLOOKUP(DraftSheet!$C17,Aggregate!$B:$M,9,FALSE()),""))</f>
        <v>1</v>
      </c>
      <c r="G17" s="71">
        <f>SUMIFS($J18:J$44,$I18:I$44,"&lt;&gt;x",$I18:I$44,"&lt;&gt;o",$J18:J$44,"&gt;0")/Aggregate!$J$1</f>
        <v>0</v>
      </c>
      <c r="H17" s="61">
        <f t="array" ref="H17">IFERROR(INDEX(ECR!$K:$K,MATCH(DraftSheet!$C17,ECR!$C:$C,0)),"ND")</f>
        <v>104</v>
      </c>
      <c r="I17" s="82"/>
      <c r="J17" s="78">
        <f>VLOOKUP(C17,Aggregate!B:J,9,FALSE())</f>
        <v>-0.3174650265</v>
      </c>
      <c r="K17" s="79"/>
      <c r="L17" s="61">
        <f>IFERROR(VLOOKUP(DraftSheet!$M17,Aggregate!$P:$AA,11,FALSE()),"")</f>
        <v>3</v>
      </c>
      <c r="M17" s="63" t="str">
        <f>Aggregate!P11</f>
        <v>Omarion Hampton</v>
      </c>
      <c r="N17" s="63" t="str">
        <f>VLOOKUP(DraftSheet!$M17,Aggregate!P:AA,4,FALSE())</f>
        <v>LAC/7</v>
      </c>
      <c r="O17" s="61">
        <f>IFERROR(VLOOKUP(DraftSheet!$M17,Aggregate!$P:$AA,8,FALSE()),"")</f>
        <v>176.5438235</v>
      </c>
      <c r="P17" s="61">
        <f>IF(Scoring!$K$6="Auction",IFERROR(VLOOKUP(DraftSheet!$M17,Aggregate!$P:$AA,10,FALSE()),""),IFERROR(VLOOKUP(DraftSheet!$M17,Aggregate!$P:$AA,9,FALSE()),""))</f>
        <v>26.71836851</v>
      </c>
      <c r="Q17" s="71">
        <f>SUMIFS($T18:T$84,$S18:S$84,"&lt;&gt;x",$S18:S$84,"&lt;&gt;o",$T18:T$84,"&gt;0")/Aggregate!$X$1</f>
        <v>0.499285264</v>
      </c>
      <c r="R17" s="61">
        <f t="array" ref="R17">IFERROR(INDEX(ECR!$K:$K,MATCH(DraftSheet!$M17,ECR!$C:$C,0)),"ND")</f>
        <v>19</v>
      </c>
      <c r="S17" s="82"/>
      <c r="T17" s="78">
        <f>VLOOKUP(M17,Aggregate!P:X,9,FALSE())</f>
        <v>98.15293443</v>
      </c>
      <c r="U17" s="83"/>
      <c r="V17" s="61">
        <f>IFERROR(VLOOKUP(DraftSheet!$W17,Aggregate!$AD:$AO,11,FALSE()),"")</f>
        <v>2</v>
      </c>
      <c r="W17" s="63" t="str">
        <f>Aggregate!AD14</f>
        <v>Malik Nabers</v>
      </c>
      <c r="X17" s="63" t="str">
        <f>VLOOKUP(DraftSheet!$W17,Aggregate!AD:AO,4,FALSE())</f>
        <v>NYG/8</v>
      </c>
      <c r="Y17" s="61">
        <f>IFERROR(VLOOKUP(DraftSheet!$W17,Aggregate!$AD:$AO,8,FALSE()),"")</f>
        <v>163.7070774</v>
      </c>
      <c r="Z17" s="61">
        <f>IF(Scoring!$K$6="Auction",IFERROR(VLOOKUP(DraftSheet!$W17,Aggregate!$AD:$AO,10,FALSE()),""),IFERROR(VLOOKUP(DraftSheet!$W17,Aggregate!$AD:$AO,9,FALSE()),""))</f>
        <v>22.53469698</v>
      </c>
      <c r="AA17" s="71">
        <f>SUMIFS($AD18:AD$84,$AC18:AC$84,"&lt;&gt;x",$AC18:AC$84,"&lt;&gt;o",$AD18:AD$84,"&gt;0")/Aggregate!$AL$1</f>
        <v>0.5293496612</v>
      </c>
      <c r="AB17" s="61">
        <f t="array" ref="AB17">IFERROR(INDEX(ECR!$K:$K,MATCH(DraftSheet!$W17,ECR!$C:$C,0)),"ND")</f>
        <v>28</v>
      </c>
      <c r="AC17" s="82"/>
      <c r="AD17" s="78">
        <f>VLOOKUP(W17,Aggregate!AD:AL,9,FALSE())</f>
        <v>82.18615035</v>
      </c>
      <c r="AE17" s="3"/>
      <c r="AF17" s="3"/>
      <c r="AG17" s="3"/>
      <c r="AH17" s="3"/>
    </row>
    <row r="18" ht="14.25" customHeight="1">
      <c r="A18" s="3"/>
      <c r="B18" s="61">
        <f>IFERROR(VLOOKUP(DraftSheet!$C18,Aggregate!$B:$M,11,FALSE()),"")</f>
        <v>4</v>
      </c>
      <c r="C18" s="63" t="str">
        <f>Aggregate!B15</f>
        <v>Bo Nix</v>
      </c>
      <c r="D18" s="63" t="str">
        <f>VLOOKUP(DraftSheet!$C18,Aggregate!B:M,4,FALSE())</f>
        <v>DEN/10</v>
      </c>
      <c r="E18" s="61">
        <f>IFERROR(VLOOKUP(DraftSheet!$C18,Aggregate!$B:$M,8,FALSE()),"")</f>
        <v>217.496394</v>
      </c>
      <c r="F18" s="61">
        <f>IF(Scoring!$K$6="Auction",IFERROR(VLOOKUP(DraftSheet!$C18,Aggregate!$B:$M,10,FALSE()),""),IFERROR(VLOOKUP(DraftSheet!$C18,Aggregate!$B:$M,9,FALSE()),""))</f>
        <v>1</v>
      </c>
      <c r="G18" s="71">
        <f>SUMIFS($J19:J$44,$I19:I$44,"&lt;&gt;x",$I19:I$44,"&lt;&gt;o",$J19:J$44,"&gt;0")/Aggregate!$J$1</f>
        <v>0</v>
      </c>
      <c r="H18" s="61">
        <f t="array" ref="H18">IFERROR(INDEX(ECR!$K:$K,MATCH(DraftSheet!$C18,ECR!$C:$C,0)),"ND")</f>
        <v>103</v>
      </c>
      <c r="I18" s="82"/>
      <c r="J18" s="78">
        <f>VLOOKUP(C18,Aggregate!B:J,9,FALSE())</f>
        <v>-4.150411976</v>
      </c>
      <c r="K18" s="79"/>
      <c r="L18" s="61">
        <f>IFERROR(VLOOKUP(DraftSheet!$M18,Aggregate!$P:$AA,11,FALSE()),"")</f>
        <v>3</v>
      </c>
      <c r="M18" s="63" t="str">
        <f>Aggregate!P18</f>
        <v>Josh Jacobs</v>
      </c>
      <c r="N18" s="63" t="str">
        <f>VLOOKUP(DraftSheet!$M18,Aggregate!P:AA,4,FALSE())</f>
        <v>GB/11</v>
      </c>
      <c r="O18" s="61">
        <f>IFERROR(VLOOKUP(DraftSheet!$M18,Aggregate!$P:$AA,8,FALSE()),"")</f>
        <v>173.9094118</v>
      </c>
      <c r="P18" s="61">
        <f>IF(Scoring!$K$6="Auction",IFERROR(VLOOKUP(DraftSheet!$M18,Aggregate!$P:$AA,10,FALSE()),""),IFERROR(VLOOKUP(DraftSheet!$M18,Aggregate!$P:$AA,9,FALSE()),""))</f>
        <v>26.0280909</v>
      </c>
      <c r="Q18" s="71">
        <f>SUMIFS($T19:T$84,$S19:S$84,"&lt;&gt;x",$S19:S$84,"&lt;&gt;o",$T19:T$84,"&gt;0")/Aggregate!$X$1</f>
        <v>0.4695678648</v>
      </c>
      <c r="R18" s="61">
        <f t="array" ref="R18">IFERROR(INDEX(ECR!$K:$K,MATCH(DraftSheet!$M18,ECR!$C:$C,0)),"ND")</f>
        <v>38</v>
      </c>
      <c r="S18" s="82"/>
      <c r="T18" s="78">
        <f>VLOOKUP(M18,Aggregate!P:X,9,FALSE())</f>
        <v>95.51852266</v>
      </c>
      <c r="U18" s="83"/>
      <c r="V18" s="61">
        <f>IFERROR(VLOOKUP(DraftSheet!$W18,Aggregate!$AD:$AO,11,FALSE()),"")</f>
        <v>3</v>
      </c>
      <c r="W18" s="63" t="str">
        <f>Aggregate!AD17</f>
        <v>Zay Flowers</v>
      </c>
      <c r="X18" s="63" t="str">
        <f>VLOOKUP(DraftSheet!$W18,Aggregate!AD:AO,4,FALSE())</f>
        <v>BAL/13</v>
      </c>
      <c r="Y18" s="61">
        <f>IFERROR(VLOOKUP(DraftSheet!$W18,Aggregate!$AD:$AO,8,FALSE()),"")</f>
        <v>157.2949383</v>
      </c>
      <c r="Z18" s="61">
        <f>IF(Scoring!$K$6="Auction",IFERROR(VLOOKUP(DraftSheet!$W18,Aggregate!$AD:$AO,10,FALSE()),""),IFERROR(VLOOKUP(DraftSheet!$W18,Aggregate!$AD:$AO,9,FALSE()),""))</f>
        <v>20.8545663</v>
      </c>
      <c r="AA18" s="71">
        <f>SUMIFS($AD19:AD$84,$AC19:AC$84,"&lt;&gt;x",$AC19:AC$84,"&lt;&gt;o",$AD19:AD$84,"&gt;0")/Aggregate!$AL$1</f>
        <v>0.5046361964</v>
      </c>
      <c r="AB18" s="61">
        <f t="array" ref="AB18">IFERROR(INDEX(ECR!$K:$K,MATCH(DraftSheet!$W18,ECR!$C:$C,0)),"ND")</f>
        <v>31</v>
      </c>
      <c r="AC18" s="82"/>
      <c r="AD18" s="78">
        <f>VLOOKUP(W18,Aggregate!AD:AL,9,FALSE())</f>
        <v>75.77401125</v>
      </c>
      <c r="AE18" s="3"/>
      <c r="AF18" s="3"/>
      <c r="AG18" s="3"/>
      <c r="AH18" s="3"/>
    </row>
    <row r="19" ht="14.25" customHeight="1">
      <c r="A19" s="3"/>
      <c r="B19" s="61">
        <f>IFERROR(VLOOKUP(DraftSheet!$C19,Aggregate!$B:$M,11,FALSE()),"")</f>
        <v>4</v>
      </c>
      <c r="C19" s="63" t="str">
        <f>Aggregate!B17</f>
        <v>Matthew Stafford</v>
      </c>
      <c r="D19" s="63" t="str">
        <f>VLOOKUP(DraftSheet!$C19,Aggregate!B:M,4,FALSE())</f>
        <v>LAR/11</v>
      </c>
      <c r="E19" s="61">
        <f>IFERROR(VLOOKUP(DraftSheet!$C19,Aggregate!$B:$M,8,FALSE()),"")</f>
        <v>218.8530622</v>
      </c>
      <c r="F19" s="61">
        <f>IF(Scoring!$K$6="Auction",IFERROR(VLOOKUP(DraftSheet!$C19,Aggregate!$B:$M,10,FALSE()),""),IFERROR(VLOOKUP(DraftSheet!$C19,Aggregate!$B:$M,9,FALSE()),""))</f>
        <v>1</v>
      </c>
      <c r="G19" s="71">
        <f>SUMIFS($J20:J$44,$I20:I$44,"&lt;&gt;x",$I20:I$44,"&lt;&gt;o",$J20:J$44,"&gt;0")/Aggregate!$J$1</f>
        <v>0</v>
      </c>
      <c r="H19" s="61">
        <f t="array" ref="H19">IFERROR(INDEX(ECR!$K:$K,MATCH(DraftSheet!$C19,ECR!$C:$C,0)),"ND")</f>
        <v>110</v>
      </c>
      <c r="I19" s="82"/>
      <c r="J19" s="78">
        <f>VLOOKUP(C19,Aggregate!B:J,9,FALSE())</f>
        <v>-2.793743806</v>
      </c>
      <c r="K19" s="79"/>
      <c r="L19" s="61">
        <f>IFERROR(VLOOKUP(DraftSheet!$M19,Aggregate!$P:$AA,11,FALSE()),"")</f>
        <v>4</v>
      </c>
      <c r="M19" s="63" t="str">
        <f>Aggregate!P15</f>
        <v>Kyren Williams</v>
      </c>
      <c r="N19" s="63" t="str">
        <f>VLOOKUP(DraftSheet!$M19,Aggregate!P:AA,4,FALSE())</f>
        <v>LAR/11</v>
      </c>
      <c r="O19" s="61">
        <f>IFERROR(VLOOKUP(DraftSheet!$M19,Aggregate!$P:$AA,8,FALSE()),"")</f>
        <v>172.4564706</v>
      </c>
      <c r="P19" s="61">
        <f>IF(Scoring!$K$6="Auction",IFERROR(VLOOKUP(DraftSheet!$M19,Aggregate!$P:$AA,10,FALSE()),""),IFERROR(VLOOKUP(DraftSheet!$M19,Aggregate!$P:$AA,9,FALSE()),""))</f>
        <v>25.64738627</v>
      </c>
      <c r="Q19" s="71">
        <f>SUMIFS($T20:T$84,$S20:S$84,"&lt;&gt;x",$S20:S$84,"&lt;&gt;o",$T20:T$84,"&gt;0")/Aggregate!$X$1</f>
        <v>0.4403024998</v>
      </c>
      <c r="R19" s="61">
        <f t="array" ref="R19">IFERROR(INDEX(ECR!$K:$K,MATCH(DraftSheet!$M19,ECR!$C:$C,0)),"ND")</f>
        <v>32</v>
      </c>
      <c r="S19" s="82"/>
      <c r="T19" s="78">
        <f>VLOOKUP(M19,Aggregate!P:X,9,FALSE())</f>
        <v>94.06558148</v>
      </c>
      <c r="U19" s="83"/>
      <c r="V19" s="61">
        <f>IFERROR(VLOOKUP(DraftSheet!$W19,Aggregate!$AD:$AO,11,FALSE()),"")</f>
        <v>3</v>
      </c>
      <c r="W19" s="63" t="str">
        <f>Aggregate!AD16</f>
        <v>DeVonta Smith</v>
      </c>
      <c r="X19" s="63" t="str">
        <f>VLOOKUP(DraftSheet!$W19,Aggregate!AD:AO,4,FALSE())</f>
        <v>PHI/10</v>
      </c>
      <c r="Y19" s="61">
        <f>IFERROR(VLOOKUP(DraftSheet!$W19,Aggregate!$AD:$AO,8,FALSE()),"")</f>
        <v>154.0949271</v>
      </c>
      <c r="Z19" s="61">
        <f>IF(Scoring!$K$6="Auction",IFERROR(VLOOKUP(DraftSheet!$W19,Aggregate!$AD:$AO,10,FALSE()),""),IFERROR(VLOOKUP(DraftSheet!$W19,Aggregate!$AD:$AO,9,FALSE()),""))</f>
        <v>20.0160884</v>
      </c>
      <c r="AA19" s="71">
        <f>SUMIFS($AD20:AD$84,$AC20:AC$84,"&lt;&gt;x",$AC20:AC$84,"&lt;&gt;o",$AD20:AD$84,"&gt;0")/Aggregate!$AL$1</f>
        <v>0.4809664056</v>
      </c>
      <c r="AB19" s="61">
        <f t="array" ref="AB19">IFERROR(INDEX(ECR!$K:$K,MATCH(DraftSheet!$W19,ECR!$C:$C,0)),"ND")</f>
        <v>30</v>
      </c>
      <c r="AC19" s="82"/>
      <c r="AD19" s="78">
        <f>VLOOKUP(W19,Aggregate!AD:AL,9,FALSE())</f>
        <v>72.57400007</v>
      </c>
      <c r="AE19" s="3"/>
      <c r="AF19" s="3"/>
      <c r="AG19" s="3"/>
      <c r="AH19" s="3"/>
    </row>
    <row r="20" ht="14.25" customHeight="1">
      <c r="A20" s="3"/>
      <c r="B20" s="61">
        <f>IFERROR(VLOOKUP(DraftSheet!$C20,Aggregate!$B:$M,11,FALSE()),"")</f>
        <v>5</v>
      </c>
      <c r="C20" s="63" t="str">
        <f>Aggregate!B18</f>
        <v>Jared Goff</v>
      </c>
      <c r="D20" s="63" t="str">
        <f>VLOOKUP(DraftSheet!$C20,Aggregate!B:M,4,FALSE())</f>
        <v>DET/6</v>
      </c>
      <c r="E20" s="61">
        <f>IFERROR(VLOOKUP(DraftSheet!$C20,Aggregate!$B:$M,8,FALSE()),"")</f>
        <v>205.683543</v>
      </c>
      <c r="F20" s="61">
        <f>IF(Scoring!$K$6="Auction",IFERROR(VLOOKUP(DraftSheet!$C20,Aggregate!$B:$M,10,FALSE()),""),IFERROR(VLOOKUP(DraftSheet!$C20,Aggregate!$B:$M,9,FALSE()),""))</f>
        <v>1</v>
      </c>
      <c r="G20" s="71">
        <f>SUMIFS($J21:J$44,$I21:I$44,"&lt;&gt;x",$I21:I$44,"&lt;&gt;o",$J21:J$44,"&gt;0")/Aggregate!$J$1</f>
        <v>0</v>
      </c>
      <c r="H20" s="61">
        <f t="array" ref="H20">IFERROR(INDEX(ECR!$K:$K,MATCH(DraftSheet!$C20,ECR!$C:$C,0)),"ND")</f>
        <v>112</v>
      </c>
      <c r="I20" s="82"/>
      <c r="J20" s="78">
        <f>VLOOKUP(C20,Aggregate!B:J,9,FALSE())</f>
        <v>-15.963263</v>
      </c>
      <c r="K20" s="79"/>
      <c r="L20" s="61">
        <f>IFERROR(VLOOKUP(DraftSheet!$M20,Aggregate!$P:$AA,11,FALSE()),"")</f>
        <v>4</v>
      </c>
      <c r="M20" s="63" t="str">
        <f>Aggregate!P17</f>
        <v>Breece Hall</v>
      </c>
      <c r="N20" s="63" t="str">
        <f>VLOOKUP(DraftSheet!$M20,Aggregate!P:AA,4,FALSE())</f>
        <v>NYJ/13</v>
      </c>
      <c r="O20" s="61">
        <f>IFERROR(VLOOKUP(DraftSheet!$M20,Aggregate!$P:$AA,8,FALSE()),"")</f>
        <v>169.8947059</v>
      </c>
      <c r="P20" s="61">
        <f>IF(Scoring!$K$6="Auction",IFERROR(VLOOKUP(DraftSheet!$M20,Aggregate!$P:$AA,10,FALSE()),""),IFERROR(VLOOKUP(DraftSheet!$M20,Aggregate!$P:$AA,9,FALSE()),""))</f>
        <v>24.9761439</v>
      </c>
      <c r="Q20" s="71">
        <f>SUMIFS($T21:T$84,$S21:S$84,"&lt;&gt;x",$S21:S$84,"&lt;&gt;o",$T21:T$84,"&gt;0")/Aggregate!$X$1</f>
        <v>0.4118341423</v>
      </c>
      <c r="R20" s="61">
        <f t="array" ref="R20">IFERROR(INDEX(ECR!$K:$K,MATCH(DraftSheet!$M20,ECR!$C:$C,0)),"ND")</f>
        <v>36</v>
      </c>
      <c r="S20" s="82"/>
      <c r="T20" s="78">
        <f>VLOOKUP(M20,Aggregate!P:X,9,FALSE())</f>
        <v>91.50381678</v>
      </c>
      <c r="U20" s="83"/>
      <c r="V20" s="61">
        <f>IFERROR(VLOOKUP(DraftSheet!$W20,Aggregate!$AD:$AO,11,FALSE()),"")</f>
        <v>3</v>
      </c>
      <c r="W20" s="63" t="str">
        <f>Aggregate!AD19</f>
        <v>Tetairoa McMillan</v>
      </c>
      <c r="X20" s="63" t="str">
        <f>VLOOKUP(DraftSheet!$W20,Aggregate!AD:AO,4,FALSE())</f>
        <v>CAR/5</v>
      </c>
      <c r="Y20" s="61">
        <f>IFERROR(VLOOKUP(DraftSheet!$W20,Aggregate!$AD:$AO,8,FALSE()),"")</f>
        <v>150.7705939</v>
      </c>
      <c r="Z20" s="61">
        <f>IF(Scoring!$K$6="Auction",IFERROR(VLOOKUP(DraftSheet!$W20,Aggregate!$AD:$AO,10,FALSE()),""),IFERROR(VLOOKUP(DraftSheet!$W20,Aggregate!$AD:$AO,9,FALSE()),""))</f>
        <v>19.14503519</v>
      </c>
      <c r="AA20" s="71">
        <f>SUMIFS($AD21:AD$84,$AC21:AC$84,"&lt;&gt;x",$AC21:AC$84,"&lt;&gt;o",$AD21:AD$84,"&gt;0")/Aggregate!$AL$1</f>
        <v>0.4583808361</v>
      </c>
      <c r="AB20" s="61">
        <f t="array" ref="AB20">IFERROR(INDEX(ECR!$K:$K,MATCH(DraftSheet!$W20,ECR!$C:$C,0)),"ND")</f>
        <v>35</v>
      </c>
      <c r="AC20" s="82"/>
      <c r="AD20" s="78">
        <f>VLOOKUP(W20,Aggregate!AD:AL,9,FALSE())</f>
        <v>69.24966679</v>
      </c>
      <c r="AE20" s="3"/>
      <c r="AF20" s="3"/>
      <c r="AG20" s="3"/>
      <c r="AH20" s="3"/>
    </row>
    <row r="21" ht="14.25" customHeight="1">
      <c r="A21" s="3"/>
      <c r="B21" s="61">
        <f>IFERROR(VLOOKUP(DraftSheet!$C21,Aggregate!$B:$M,11,FALSE()),"")</f>
        <v>5</v>
      </c>
      <c r="C21" s="63" t="str">
        <f>Aggregate!B19</f>
        <v>Baker Mayfield</v>
      </c>
      <c r="D21" s="63" t="str">
        <f>VLOOKUP(DraftSheet!$C21,Aggregate!B:M,4,FALSE())</f>
        <v>TB/10</v>
      </c>
      <c r="E21" s="61">
        <f>IFERROR(VLOOKUP(DraftSheet!$C21,Aggregate!$B:$M,8,FALSE()),"")</f>
        <v>196.4053536</v>
      </c>
      <c r="F21" s="61">
        <f>IF(Scoring!$K$6="Auction",IFERROR(VLOOKUP(DraftSheet!$C21,Aggregate!$B:$M,10,FALSE()),""),IFERROR(VLOOKUP(DraftSheet!$C21,Aggregate!$B:$M,9,FALSE()),""))</f>
        <v>1</v>
      </c>
      <c r="G21" s="71">
        <f>SUMIFS($J22:J$44,$I22:I$44,"&lt;&gt;x",$I22:I$44,"&lt;&gt;o",$J22:J$44,"&gt;0")/Aggregate!$J$1</f>
        <v>0</v>
      </c>
      <c r="H21" s="61">
        <f t="array" ref="H21">IFERROR(INDEX(ECR!$K:$K,MATCH(DraftSheet!$C21,ECR!$C:$C,0)),"ND")</f>
        <v>120</v>
      </c>
      <c r="I21" s="82"/>
      <c r="J21" s="78">
        <f>VLOOKUP(C21,Aggregate!B:J,9,FALSE())</f>
        <v>-25.24145243</v>
      </c>
      <c r="K21" s="79"/>
      <c r="L21" s="61">
        <f>IFERROR(VLOOKUP(DraftSheet!$M21,Aggregate!$P:$AA,11,FALSE()),"")</f>
        <v>4</v>
      </c>
      <c r="M21" s="63" t="str">
        <f>Aggregate!P16</f>
        <v>Javonte Williams</v>
      </c>
      <c r="N21" s="63" t="str">
        <f>VLOOKUP(DraftSheet!$M21,Aggregate!P:AA,4,FALSE())</f>
        <v>DAL/14</v>
      </c>
      <c r="O21" s="61">
        <f>IFERROR(VLOOKUP(DraftSheet!$M21,Aggregate!$P:$AA,8,FALSE()),"")</f>
        <v>169.5677941</v>
      </c>
      <c r="P21" s="61">
        <f>IF(Scoring!$K$6="Auction",IFERROR(VLOOKUP(DraftSheet!$M21,Aggregate!$P:$AA,10,FALSE()),""),IFERROR(VLOOKUP(DraftSheet!$M21,Aggregate!$P:$AA,9,FALSE()),""))</f>
        <v>24.89048535</v>
      </c>
      <c r="Q21" s="71">
        <f>SUMIFS($T22:T$84,$S22:S$84,"&lt;&gt;x",$S22:S$84,"&lt;&gt;o",$T22:T$84,"&gt;0")/Aggregate!$X$1</f>
        <v>0.3834674925</v>
      </c>
      <c r="R21" s="61">
        <f t="array" ref="R21">IFERROR(INDEX(ECR!$K:$K,MATCH(DraftSheet!$M21,ECR!$C:$C,0)),"ND")</f>
        <v>34</v>
      </c>
      <c r="S21" s="82"/>
      <c r="T21" s="78">
        <f>VLOOKUP(M21,Aggregate!P:X,9,FALSE())</f>
        <v>91.17690501</v>
      </c>
      <c r="U21" s="83"/>
      <c r="V21" s="61">
        <f>IFERROR(VLOOKUP(DraftSheet!$W21,Aggregate!$AD:$AO,11,FALSE()),"")</f>
        <v>3</v>
      </c>
      <c r="W21" s="63" t="str">
        <f>Aggregate!AD20</f>
        <v>Garrett Wilson</v>
      </c>
      <c r="X21" s="63" t="str">
        <f>VLOOKUP(DraftSheet!$W21,Aggregate!AD:AO,4,FALSE())</f>
        <v>NYJ/13</v>
      </c>
      <c r="Y21" s="61">
        <f>IFERROR(VLOOKUP(DraftSheet!$W21,Aggregate!$AD:$AO,8,FALSE()),"")</f>
        <v>149.8740606</v>
      </c>
      <c r="Z21" s="61">
        <f>IF(Scoring!$K$6="Auction",IFERROR(VLOOKUP(DraftSheet!$W21,Aggregate!$AD:$AO,10,FALSE()),""),IFERROR(VLOOKUP(DraftSheet!$W21,Aggregate!$AD:$AO,9,FALSE()),""))</f>
        <v>18.91012248</v>
      </c>
      <c r="AA21" s="71">
        <f>SUMIFS($AD22:AD$84,$AC22:AC$84,"&lt;&gt;x",$AC22:AC$84,"&lt;&gt;o",$AD22:AD$84,"&gt;0")/Aggregate!$AL$1</f>
        <v>0.4360876681</v>
      </c>
      <c r="AB21" s="61">
        <f t="array" ref="AB21">IFERROR(INDEX(ECR!$K:$K,MATCH(DraftSheet!$W21,ECR!$C:$C,0)),"ND")</f>
        <v>39</v>
      </c>
      <c r="AC21" s="82"/>
      <c r="AD21" s="78">
        <f>VLOOKUP(W21,Aggregate!AD:AL,9,FALSE())</f>
        <v>68.35313357</v>
      </c>
      <c r="AE21" s="3"/>
      <c r="AF21" s="3"/>
      <c r="AG21" s="3"/>
      <c r="AH21" s="3"/>
    </row>
    <row r="22" ht="14.25" customHeight="1">
      <c r="A22" s="3"/>
      <c r="B22" s="61">
        <f>IFERROR(VLOOKUP(DraftSheet!$C22,Aggregate!$B:$M,11,FALSE()),"")</f>
        <v>6</v>
      </c>
      <c r="C22" s="63" t="str">
        <f>Aggregate!B20</f>
        <v>Kyler Murray</v>
      </c>
      <c r="D22" s="63" t="str">
        <f>VLOOKUP(DraftSheet!$C22,Aggregate!B:M,4,FALSE())</f>
        <v>MIN/6</v>
      </c>
      <c r="E22" s="61">
        <f>IFERROR(VLOOKUP(DraftSheet!$C22,Aggregate!$B:$M,8,FALSE()),"")</f>
        <v>192.7812384</v>
      </c>
      <c r="F22" s="61">
        <f>IF(Scoring!$K$6="Auction",IFERROR(VLOOKUP(DraftSheet!$C22,Aggregate!$B:$M,10,FALSE()),""),IFERROR(VLOOKUP(DraftSheet!$C22,Aggregate!$B:$M,9,FALSE()),""))</f>
        <v>1</v>
      </c>
      <c r="G22" s="71">
        <f>SUMIFS($J23:J$44,$I23:I$44,"&lt;&gt;x",$I23:I$44,"&lt;&gt;o",$J23:J$44,"&gt;0")/Aggregate!$J$1</f>
        <v>0</v>
      </c>
      <c r="H22" s="61">
        <f t="array" ref="H22">IFERROR(INDEX(ECR!$K:$K,MATCH(DraftSheet!$C22,ECR!$C:$C,0)),"ND")</f>
        <v>122</v>
      </c>
      <c r="I22" s="82"/>
      <c r="J22" s="78">
        <f>VLOOKUP(C22,Aggregate!B:J,9,FALSE())</f>
        <v>-28.86556762</v>
      </c>
      <c r="K22" s="79"/>
      <c r="L22" s="61">
        <f>IFERROR(VLOOKUP(DraftSheet!$M22,Aggregate!$P:$AA,11,FALSE()),"")</f>
        <v>4</v>
      </c>
      <c r="M22" s="63" t="str">
        <f>Aggregate!P20</f>
        <v>Travis Etienne Jr.</v>
      </c>
      <c r="N22" s="63" t="str">
        <f>VLOOKUP(DraftSheet!$M22,Aggregate!P:AA,4,FALSE())</f>
        <v>NO/8</v>
      </c>
      <c r="O22" s="61">
        <f>IFERROR(VLOOKUP(DraftSheet!$M22,Aggregate!$P:$AA,8,FALSE()),"")</f>
        <v>163.6413235</v>
      </c>
      <c r="P22" s="61">
        <f>IF(Scoring!$K$6="Auction",IFERROR(VLOOKUP(DraftSheet!$M22,Aggregate!$P:$AA,10,FALSE()),""),IFERROR(VLOOKUP(DraftSheet!$M22,Aggregate!$P:$AA,9,FALSE()),""))</f>
        <v>23.33761121</v>
      </c>
      <c r="Q22" s="71">
        <f>SUMIFS($T23:T$84,$S23:S$84,"&lt;&gt;x",$S23:S$84,"&lt;&gt;o",$T23:T$84,"&gt;0")/Aggregate!$X$1</f>
        <v>0.3569446662</v>
      </c>
      <c r="R22" s="61">
        <f t="array" ref="R22">IFERROR(INDEX(ECR!$K:$K,MATCH(DraftSheet!$M22,ECR!$C:$C,0)),"ND")</f>
        <v>46</v>
      </c>
      <c r="S22" s="82"/>
      <c r="T22" s="78">
        <f>VLOOKUP(M22,Aggregate!P:X,9,FALSE())</f>
        <v>85.25043443</v>
      </c>
      <c r="U22" s="83"/>
      <c r="V22" s="61">
        <f>IFERROR(VLOOKUP(DraftSheet!$W22,Aggregate!$AD:$AO,11,FALSE()),"")</f>
        <v>3</v>
      </c>
      <c r="W22" s="63" t="str">
        <f>Aggregate!AD18</f>
        <v>Tee Higgins</v>
      </c>
      <c r="X22" s="63" t="str">
        <f>VLOOKUP(DraftSheet!$W22,Aggregate!AD:AO,4,FALSE())</f>
        <v>CIN/6</v>
      </c>
      <c r="Y22" s="61">
        <f>IFERROR(VLOOKUP(DraftSheet!$W22,Aggregate!$AD:$AO,8,FALSE()),"")</f>
        <v>148.0210392</v>
      </c>
      <c r="Z22" s="61">
        <f>IF(Scoring!$K$6="Auction",IFERROR(VLOOKUP(DraftSheet!$W22,Aggregate!$AD:$AO,10,FALSE()),""),IFERROR(VLOOKUP(DraftSheet!$W22,Aggregate!$AD:$AO,9,FALSE()),""))</f>
        <v>18.42458745</v>
      </c>
      <c r="AA22" s="71">
        <f>SUMIFS($AD23:AD$84,$AC23:AC$84,"&lt;&gt;x",$AC23:AC$84,"&lt;&gt;o",$AD23:AD$84,"&gt;0")/Aggregate!$AL$1</f>
        <v>0.4143988575</v>
      </c>
      <c r="AB22" s="61">
        <f t="array" ref="AB22">IFERROR(INDEX(ECR!$K:$K,MATCH(DraftSheet!$W22,ECR!$C:$C,0)),"ND")</f>
        <v>33</v>
      </c>
      <c r="AC22" s="82"/>
      <c r="AD22" s="78">
        <f>VLOOKUP(W22,Aggregate!AD:AL,9,FALSE())</f>
        <v>66.50011212</v>
      </c>
      <c r="AE22" s="3"/>
      <c r="AF22" s="3"/>
      <c r="AG22" s="3"/>
      <c r="AH22" s="3"/>
    </row>
    <row r="23" ht="14.25" customHeight="1">
      <c r="A23" s="3"/>
      <c r="B23" s="61">
        <f>IFERROR(VLOOKUP(DraftSheet!$C23,Aggregate!$B:$M,11,FALSE()),"")</f>
        <v>6</v>
      </c>
      <c r="C23" s="63" t="str">
        <f>Aggregate!B22</f>
        <v>Tyler Shough</v>
      </c>
      <c r="D23" s="63" t="str">
        <f>VLOOKUP(DraftSheet!$C23,Aggregate!B:M,4,FALSE())</f>
        <v>NO/8</v>
      </c>
      <c r="E23" s="61">
        <f>IFERROR(VLOOKUP(DraftSheet!$C23,Aggregate!$B:$M,8,FALSE()),"")</f>
        <v>185.2706863</v>
      </c>
      <c r="F23" s="61">
        <f>IF(Scoring!$K$6="Auction",IFERROR(VLOOKUP(DraftSheet!$C23,Aggregate!$B:$M,10,FALSE()),""),IFERROR(VLOOKUP(DraftSheet!$C23,Aggregate!$B:$M,9,FALSE()),""))</f>
        <v>1</v>
      </c>
      <c r="G23" s="71">
        <f>SUMIFS($J24:J$44,$I24:I$44,"&lt;&gt;x",$I24:I$44,"&lt;&gt;o",$J24:J$44,"&gt;0")/Aggregate!$J$1</f>
        <v>0</v>
      </c>
      <c r="H23" s="61">
        <f t="array" ref="H23">IFERROR(INDEX(ECR!$K:$K,MATCH(DraftSheet!$C23,ECR!$C:$C,0)),"ND")</f>
        <v>127</v>
      </c>
      <c r="I23" s="82"/>
      <c r="J23" s="78">
        <f>VLOOKUP(C23,Aggregate!B:J,9,FALSE())</f>
        <v>-36.3761197</v>
      </c>
      <c r="K23" s="79"/>
      <c r="L23" s="61">
        <f>IFERROR(VLOOKUP(DraftSheet!$M23,Aggregate!$P:$AA,11,FALSE()),"")</f>
        <v>4</v>
      </c>
      <c r="M23" s="63" t="str">
        <f>Aggregate!P22</f>
        <v>Cam Skattebo</v>
      </c>
      <c r="N23" s="63" t="str">
        <f>VLOOKUP(DraftSheet!$M23,Aggregate!P:AA,4,FALSE())</f>
        <v>NYG/8</v>
      </c>
      <c r="O23" s="61">
        <f>IFERROR(VLOOKUP(DraftSheet!$M23,Aggregate!$P:$AA,8,FALSE()),"")</f>
        <v>161.7333824</v>
      </c>
      <c r="P23" s="61">
        <f>IF(Scoring!$K$6="Auction",IFERROR(VLOOKUP(DraftSheet!$M23,Aggregate!$P:$AA,10,FALSE()),""),IFERROR(VLOOKUP(DraftSheet!$M23,Aggregate!$P:$AA,9,FALSE()),""))</f>
        <v>22.83768592</v>
      </c>
      <c r="Q23" s="71">
        <f>SUMIFS($T24:T$84,$S24:S$84,"&lt;&gt;x",$S24:S$84,"&lt;&gt;o",$T24:T$84,"&gt;0")/Aggregate!$X$1</f>
        <v>0.331015432</v>
      </c>
      <c r="R23" s="61">
        <f t="array" ref="R23">IFERROR(INDEX(ECR!$K:$K,MATCH(DraftSheet!$M23,ECR!$C:$C,0)),"ND")</f>
        <v>52</v>
      </c>
      <c r="S23" s="82"/>
      <c r="T23" s="78">
        <f>VLOOKUP(M23,Aggregate!P:X,9,FALSE())</f>
        <v>83.34249325</v>
      </c>
      <c r="U23" s="83"/>
      <c r="V23" s="61">
        <f>IFERROR(VLOOKUP(DraftSheet!$W23,Aggregate!$AD:$AO,11,FALSE()),"")</f>
        <v>3</v>
      </c>
      <c r="W23" s="63" t="str">
        <f>Aggregate!AD23</f>
        <v>Emeka Egbuka</v>
      </c>
      <c r="X23" s="63" t="str">
        <f>VLOOKUP(DraftSheet!$W23,Aggregate!AD:AO,4,FALSE())</f>
        <v>TB/10</v>
      </c>
      <c r="Y23" s="61">
        <f>IFERROR(VLOOKUP(DraftSheet!$W23,Aggregate!$AD:$AO,8,FALSE()),"")</f>
        <v>144.3515007</v>
      </c>
      <c r="Z23" s="61">
        <f>IF(Scoring!$K$6="Auction",IFERROR(VLOOKUP(DraftSheet!$W23,Aggregate!$AD:$AO,10,FALSE()),""),IFERROR(VLOOKUP(DraftSheet!$W23,Aggregate!$AD:$AO,9,FALSE()),""))</f>
        <v>17.46308238</v>
      </c>
      <c r="AA23" s="71">
        <f>SUMIFS($AD24:AD$84,$AC24:AC$84,"&lt;&gt;x",$AC24:AC$84,"&lt;&gt;o",$AD24:AD$84,"&gt;0")/Aggregate!$AL$1</f>
        <v>0.3939068558</v>
      </c>
      <c r="AB23" s="61">
        <f t="array" ref="AB23">IFERROR(INDEX(ECR!$K:$K,MATCH(DraftSheet!$W23,ECR!$C:$C,0)),"ND")</f>
        <v>43</v>
      </c>
      <c r="AC23" s="82"/>
      <c r="AD23" s="78">
        <f>VLOOKUP(W23,Aggregate!AD:AL,9,FALSE())</f>
        <v>62.8305736</v>
      </c>
      <c r="AE23" s="3"/>
      <c r="AF23" s="3"/>
      <c r="AG23" s="3"/>
      <c r="AH23" s="3"/>
    </row>
    <row r="24" ht="14.25" customHeight="1">
      <c r="A24" s="3"/>
      <c r="B24" s="61">
        <f>IFERROR(VLOOKUP(DraftSheet!$C24,Aggregate!$B:$M,11,FALSE()),"")</f>
        <v>6</v>
      </c>
      <c r="C24" s="63" t="str">
        <f>Aggregate!B21</f>
        <v>Jordan Love</v>
      </c>
      <c r="D24" s="63" t="str">
        <f>VLOOKUP(DraftSheet!$C24,Aggregate!B:M,4,FALSE())</f>
        <v>GB/11</v>
      </c>
      <c r="E24" s="61">
        <f>IFERROR(VLOOKUP(DraftSheet!$C24,Aggregate!$B:$M,8,FALSE()),"")</f>
        <v>184.555012</v>
      </c>
      <c r="F24" s="61">
        <f>IF(Scoring!$K$6="Auction",IFERROR(VLOOKUP(DraftSheet!$C24,Aggregate!$B:$M,10,FALSE()),""),IFERROR(VLOOKUP(DraftSheet!$C24,Aggregate!$B:$M,9,FALSE()),""))</f>
        <v>1</v>
      </c>
      <c r="G24" s="71">
        <f>SUMIFS($J25:J$44,$I25:I$44,"&lt;&gt;x",$I25:I$44,"&lt;&gt;o",$J25:J$44,"&gt;0")/Aggregate!$J$1</f>
        <v>0</v>
      </c>
      <c r="H24" s="61">
        <f t="array" ref="H24">IFERROR(INDEX(ECR!$K:$K,MATCH(DraftSheet!$C24,ECR!$C:$C,0)),"ND")</f>
        <v>123</v>
      </c>
      <c r="I24" s="82"/>
      <c r="J24" s="78">
        <f>VLOOKUP(C24,Aggregate!B:J,9,FALSE())</f>
        <v>-37.09179401</v>
      </c>
      <c r="K24" s="79"/>
      <c r="L24" s="61">
        <f>IFERROR(VLOOKUP(DraftSheet!$M24,Aggregate!$P:$AA,11,FALSE()),"")</f>
        <v>4</v>
      </c>
      <c r="M24" s="63" t="str">
        <f>Aggregate!P21</f>
        <v>D'Andre Swift</v>
      </c>
      <c r="N24" s="63" t="str">
        <f>VLOOKUP(DraftSheet!$M24,Aggregate!P:AA,4,FALSE())</f>
        <v>CHI/10</v>
      </c>
      <c r="O24" s="61">
        <f>IFERROR(VLOOKUP(DraftSheet!$M24,Aggregate!$P:$AA,8,FALSE()),"")</f>
        <v>158.2501471</v>
      </c>
      <c r="P24" s="61">
        <f>IF(Scoring!$K$6="Auction",IFERROR(VLOOKUP(DraftSheet!$M24,Aggregate!$P:$AA,10,FALSE()),""),IFERROR(VLOOKUP(DraftSheet!$M24,Aggregate!$P:$AA,9,FALSE()),""))</f>
        <v>21.92499666</v>
      </c>
      <c r="Q24" s="71">
        <f>SUMIFS($T25:T$84,$S25:S$84,"&lt;&gt;x",$S25:S$84,"&lt;&gt;o",$T25:T$84,"&gt;0")/Aggregate!$X$1</f>
        <v>0.3061698903</v>
      </c>
      <c r="R24" s="61">
        <f t="array" ref="R24">IFERROR(INDEX(ECR!$K:$K,MATCH(DraftSheet!$M24,ECR!$C:$C,0)),"ND")</f>
        <v>49</v>
      </c>
      <c r="S24" s="82"/>
      <c r="T24" s="78">
        <f>VLOOKUP(M24,Aggregate!P:X,9,FALSE())</f>
        <v>79.85925796</v>
      </c>
      <c r="U24" s="83"/>
      <c r="V24" s="61">
        <f>IFERROR(VLOOKUP(DraftSheet!$W24,Aggregate!$AD:$AO,11,FALSE()),"")</f>
        <v>3</v>
      </c>
      <c r="W24" s="63" t="str">
        <f>Aggregate!AD25</f>
        <v>Davante Adams</v>
      </c>
      <c r="X24" s="63" t="str">
        <f>VLOOKUP(DraftSheet!$W24,Aggregate!AD:AO,4,FALSE())</f>
        <v>LAR/11</v>
      </c>
      <c r="Y24" s="61">
        <f>IFERROR(VLOOKUP(DraftSheet!$W24,Aggregate!$AD:$AO,8,FALSE()),"")</f>
        <v>140.6068388</v>
      </c>
      <c r="Z24" s="61">
        <f>IF(Scoring!$K$6="Auction",IFERROR(VLOOKUP(DraftSheet!$W24,Aggregate!$AD:$AO,10,FALSE()),""),IFERROR(VLOOKUP(DraftSheet!$W24,Aggregate!$AD:$AO,9,FALSE()),""))</f>
        <v>16.48189322</v>
      </c>
      <c r="AA24" s="71">
        <f>SUMIFS($AD25:AD$84,$AC25:AC$84,"&lt;&gt;x",$AC25:AC$84,"&lt;&gt;o",$AD25:AD$84,"&gt;0")/Aggregate!$AL$1</f>
        <v>0.3746361643</v>
      </c>
      <c r="AB24" s="61">
        <f t="array" ref="AB24">IFERROR(INDEX(ECR!$K:$K,MATCH(DraftSheet!$W24,ECR!$C:$C,0)),"ND")</f>
        <v>48</v>
      </c>
      <c r="AC24" s="82"/>
      <c r="AD24" s="78">
        <f>VLOOKUP(W24,Aggregate!AD:AL,9,FALSE())</f>
        <v>59.08591169</v>
      </c>
      <c r="AE24" s="3"/>
      <c r="AF24" s="3"/>
      <c r="AG24" s="3"/>
      <c r="AH24" s="3"/>
    </row>
    <row r="25" ht="14.25" customHeight="1">
      <c r="A25" s="3"/>
      <c r="B25" s="61">
        <f>IFERROR(VLOOKUP(DraftSheet!$C25,Aggregate!$B:$M,11,FALSE()),"")</f>
        <v>7</v>
      </c>
      <c r="C25" s="63" t="str">
        <f>Aggregate!B23</f>
        <v>Malik Willis</v>
      </c>
      <c r="D25" s="63" t="str">
        <f>VLOOKUP(DraftSheet!$C25,Aggregate!B:M,4,FALSE())</f>
        <v>MIA/6</v>
      </c>
      <c r="E25" s="61">
        <f>IFERROR(VLOOKUP(DraftSheet!$C25,Aggregate!$B:$M,8,FALSE()),"")</f>
        <v>176.0850843</v>
      </c>
      <c r="F25" s="61">
        <f>IF(Scoring!$K$6="Auction",IFERROR(VLOOKUP(DraftSheet!$C25,Aggregate!$B:$M,10,FALSE()),""),IFERROR(VLOOKUP(DraftSheet!$C25,Aggregate!$B:$M,9,FALSE()),""))</f>
        <v>1</v>
      </c>
      <c r="G25" s="71">
        <f>SUMIFS($J26:J$44,$I26:I$44,"&lt;&gt;x",$I26:I$44,"&lt;&gt;o",$J26:J$44,"&gt;0")/Aggregate!$J$1</f>
        <v>0</v>
      </c>
      <c r="H25" s="61">
        <f t="array" ref="H25">IFERROR(INDEX(ECR!$K:$K,MATCH(DraftSheet!$C25,ECR!$C:$C,0)),"ND")</f>
        <v>137</v>
      </c>
      <c r="I25" s="82"/>
      <c r="J25" s="78">
        <f>VLOOKUP(C25,Aggregate!B:J,9,FALSE())</f>
        <v>-45.56172172</v>
      </c>
      <c r="K25" s="79"/>
      <c r="L25" s="61">
        <f>IFERROR(VLOOKUP(DraftSheet!$M25,Aggregate!$P:$AA,11,FALSE()),"")</f>
        <v>4</v>
      </c>
      <c r="M25" s="63" t="str">
        <f>Aggregate!P23</f>
        <v>Bucky Irving</v>
      </c>
      <c r="N25" s="63" t="str">
        <f>VLOOKUP(DraftSheet!$M25,Aggregate!P:AA,4,FALSE())</f>
        <v>TB/10</v>
      </c>
      <c r="O25" s="61">
        <f>IFERROR(VLOOKUP(DraftSheet!$M25,Aggregate!$P:$AA,8,FALSE()),"")</f>
        <v>156.5047059</v>
      </c>
      <c r="P25" s="61">
        <f>IF(Scoring!$K$6="Auction",IFERROR(VLOOKUP(DraftSheet!$M25,Aggregate!$P:$AA,10,FALSE()),""),IFERROR(VLOOKUP(DraftSheet!$M25,Aggregate!$P:$AA,9,FALSE()),""))</f>
        <v>21.46765017</v>
      </c>
      <c r="Q25" s="71">
        <f>SUMIFS($T26:T$84,$S26:S$84,"&lt;&gt;x",$S26:S$84,"&lt;&gt;o",$T26:T$84,"&gt;0")/Aggregate!$X$1</f>
        <v>0.2818673842</v>
      </c>
      <c r="R25" s="61">
        <f t="array" ref="R25">IFERROR(INDEX(ECR!$K:$K,MATCH(DraftSheet!$M25,ECR!$C:$C,0)),"ND")</f>
        <v>55</v>
      </c>
      <c r="S25" s="82"/>
      <c r="T25" s="78">
        <f>VLOOKUP(M25,Aggregate!P:X,9,FALSE())</f>
        <v>78.11381678</v>
      </c>
      <c r="U25" s="83"/>
      <c r="V25" s="61">
        <f>IFERROR(VLOOKUP(DraftSheet!$W25,Aggregate!$AD:$AO,11,FALSE()),"")</f>
        <v>3</v>
      </c>
      <c r="W25" s="63" t="str">
        <f>Aggregate!AD22</f>
        <v>Ladd McConkey</v>
      </c>
      <c r="X25" s="63" t="str">
        <f>VLOOKUP(DraftSheet!$W25,Aggregate!AD:AO,4,FALSE())</f>
        <v>LAC/7</v>
      </c>
      <c r="Y25" s="61">
        <f>IFERROR(VLOOKUP(DraftSheet!$W25,Aggregate!$AD:$AO,8,FALSE()),"")</f>
        <v>139.711185</v>
      </c>
      <c r="Z25" s="61">
        <f>IF(Scoring!$K$6="Auction",IFERROR(VLOOKUP(DraftSheet!$W25,Aggregate!$AD:$AO,10,FALSE()),""),IFERROR(VLOOKUP(DraftSheet!$W25,Aggregate!$AD:$AO,9,FALSE()),""))</f>
        <v>16.24721097</v>
      </c>
      <c r="AA25" s="71">
        <f>SUMIFS($AD26:AD$84,$AC26:AC$84,"&lt;&gt;x",$AC26:AC$84,"&lt;&gt;o",$AD26:AD$84,"&gt;0")/Aggregate!$AL$1</f>
        <v>0.3556575875</v>
      </c>
      <c r="AB25" s="61">
        <f t="array" ref="AB25">IFERROR(INDEX(ECR!$K:$K,MATCH(DraftSheet!$W25,ECR!$C:$C,0)),"ND")</f>
        <v>41</v>
      </c>
      <c r="AC25" s="82"/>
      <c r="AD25" s="78">
        <f>VLOOKUP(W25,Aggregate!AD:AL,9,FALSE())</f>
        <v>58.19025799</v>
      </c>
      <c r="AE25" s="3"/>
      <c r="AF25" s="3"/>
      <c r="AG25" s="3"/>
      <c r="AH25" s="3"/>
    </row>
    <row r="26" ht="14.25" customHeight="1">
      <c r="A26" s="3"/>
      <c r="B26" s="61">
        <f>IFERROR(VLOOKUP(DraftSheet!$C26,Aggregate!$B:$M,11,FALSE()),"")</f>
        <v>7</v>
      </c>
      <c r="C26" s="63" t="str">
        <f>Aggregate!B27</f>
        <v>Daniel Jones</v>
      </c>
      <c r="D26" s="63" t="str">
        <f>VLOOKUP(DraftSheet!$C26,Aggregate!B:M,4,FALSE())</f>
        <v>IND/13</v>
      </c>
      <c r="E26" s="61">
        <f>IFERROR(VLOOKUP(DraftSheet!$C26,Aggregate!$B:$M,8,FALSE()),"")</f>
        <v>177.2487529</v>
      </c>
      <c r="F26" s="61">
        <f>IF(Scoring!$K$6="Auction",IFERROR(VLOOKUP(DraftSheet!$C26,Aggregate!$B:$M,10,FALSE()),""),IFERROR(VLOOKUP(DraftSheet!$C26,Aggregate!$B:$M,9,FALSE()),""))</f>
        <v>1</v>
      </c>
      <c r="G26" s="71">
        <f>SUMIFS($J27:J$44,$I27:I$44,"&lt;&gt;x",$I27:I$44,"&lt;&gt;o",$J27:J$44,"&gt;0")/Aggregate!$J$1</f>
        <v>0</v>
      </c>
      <c r="H26" s="61">
        <f t="array" ref="H26">IFERROR(INDEX(ECR!$K:$K,MATCH(DraftSheet!$C26,ECR!$C:$C,0)),"ND")</f>
        <v>157</v>
      </c>
      <c r="I26" s="82"/>
      <c r="J26" s="78">
        <f>VLOOKUP(C26,Aggregate!B:J,9,FALSE())</f>
        <v>-44.39805306</v>
      </c>
      <c r="K26" s="79"/>
      <c r="L26" s="61">
        <f>IFERROR(VLOOKUP(DraftSheet!$M26,Aggregate!$P:$AA,11,FALSE()),"")</f>
        <v>4</v>
      </c>
      <c r="M26" s="63" t="str">
        <f>Aggregate!P24</f>
        <v>Quinshon Judkins</v>
      </c>
      <c r="N26" s="63" t="str">
        <f>VLOOKUP(DraftSheet!$M26,Aggregate!P:AA,4,FALSE())</f>
        <v>CLE/11</v>
      </c>
      <c r="O26" s="61">
        <f>IFERROR(VLOOKUP(DraftSheet!$M26,Aggregate!$P:$AA,8,FALSE()),"")</f>
        <v>152.8952941</v>
      </c>
      <c r="P26" s="61">
        <f>IF(Scoring!$K$6="Auction",IFERROR(VLOOKUP(DraftSheet!$M26,Aggregate!$P:$AA,10,FALSE()),""),IFERROR(VLOOKUP(DraftSheet!$M26,Aggregate!$P:$AA,9,FALSE()),""))</f>
        <v>20.52189972</v>
      </c>
      <c r="Q26" s="71">
        <f>SUMIFS($T27:T$84,$S27:S$84,"&lt;&gt;x",$S27:S$84,"&lt;&gt;o",$T27:T$84,"&gt;0")/Aggregate!$X$1</f>
        <v>0.2586878261</v>
      </c>
      <c r="R26" s="61">
        <f t="array" ref="R26">IFERROR(INDEX(ECR!$K:$K,MATCH(DraftSheet!$M26,ECR!$C:$C,0)),"ND")</f>
        <v>56</v>
      </c>
      <c r="S26" s="82"/>
      <c r="T26" s="78">
        <f>VLOOKUP(M26,Aggregate!P:X,9,FALSE())</f>
        <v>74.50440501</v>
      </c>
      <c r="U26" s="83"/>
      <c r="V26" s="61">
        <f>IFERROR(VLOOKUP(DraftSheet!$W26,Aggregate!$AD:$AO,11,FALSE()),"")</f>
        <v>3</v>
      </c>
      <c r="W26" s="63" t="str">
        <f>Aggregate!AD24</f>
        <v>Terry McLaurin</v>
      </c>
      <c r="X26" s="63" t="str">
        <f>VLOOKUP(DraftSheet!$W26,Aggregate!AD:AO,4,FALSE())</f>
        <v>WAS/7</v>
      </c>
      <c r="Y26" s="61">
        <f>IFERROR(VLOOKUP(DraftSheet!$W26,Aggregate!$AD:$AO,8,FALSE()),"")</f>
        <v>137.3866376</v>
      </c>
      <c r="Z26" s="61">
        <f>IF(Scoring!$K$6="Auction",IFERROR(VLOOKUP(DraftSheet!$W26,Aggregate!$AD:$AO,10,FALSE()),""),IFERROR(VLOOKUP(DraftSheet!$W26,Aggregate!$AD:$AO,9,FALSE()),""))</f>
        <v>15.63812506</v>
      </c>
      <c r="AA26" s="71">
        <f>SUMIFS($AD27:AD$84,$AC27:AC$84,"&lt;&gt;x",$AC27:AC$84,"&lt;&gt;o",$AD27:AD$84,"&gt;0")/Aggregate!$AL$1</f>
        <v>0.3374371549</v>
      </c>
      <c r="AB26" s="61">
        <f t="array" ref="AB26">IFERROR(INDEX(ECR!$K:$K,MATCH(DraftSheet!$W26,ECR!$C:$C,0)),"ND")</f>
        <v>47</v>
      </c>
      <c r="AC26" s="82"/>
      <c r="AD26" s="78">
        <f>VLOOKUP(W26,Aggregate!AD:AL,9,FALSE())</f>
        <v>55.8657105</v>
      </c>
      <c r="AE26" s="3"/>
      <c r="AF26" s="3"/>
      <c r="AG26" s="3"/>
      <c r="AH26" s="3"/>
    </row>
    <row r="27" ht="14.25" customHeight="1">
      <c r="A27" s="3"/>
      <c r="B27" s="61">
        <f>IFERROR(VLOOKUP(DraftSheet!$C27,Aggregate!$B:$M,11,FALSE()),"")</f>
        <v>7</v>
      </c>
      <c r="C27" s="63" t="str">
        <f>Aggregate!B24</f>
        <v>Sam Darnold</v>
      </c>
      <c r="D27" s="63" t="str">
        <f>VLOOKUP(DraftSheet!$C27,Aggregate!B:M,4,FALSE())</f>
        <v>SEA/11</v>
      </c>
      <c r="E27" s="61">
        <f>IFERROR(VLOOKUP(DraftSheet!$C27,Aggregate!$B:$M,8,FALSE()),"")</f>
        <v>173.3849915</v>
      </c>
      <c r="F27" s="61">
        <f>IF(Scoring!$K$6="Auction",IFERROR(VLOOKUP(DraftSheet!$C27,Aggregate!$B:$M,10,FALSE()),""),IFERROR(VLOOKUP(DraftSheet!$C27,Aggregate!$B:$M,9,FALSE()),""))</f>
        <v>1</v>
      </c>
      <c r="G27" s="71">
        <f>SUMIFS($J28:J$44,$I28:I$44,"&lt;&gt;x",$I28:I$44,"&lt;&gt;o",$J28:J$44,"&gt;0")/Aggregate!$J$1</f>
        <v>0</v>
      </c>
      <c r="H27" s="61">
        <f t="array" ref="H27">IFERROR(INDEX(ECR!$K:$K,MATCH(DraftSheet!$C27,ECR!$C:$C,0)),"ND")</f>
        <v>142</v>
      </c>
      <c r="I27" s="82"/>
      <c r="J27" s="78">
        <f>VLOOKUP(C27,Aggregate!B:J,9,FALSE())</f>
        <v>-48.26181455</v>
      </c>
      <c r="K27" s="79"/>
      <c r="L27" s="61">
        <f>IFERROR(VLOOKUP(DraftSheet!$M27,Aggregate!$P:$AA,11,FALSE()),"")</f>
        <v>5</v>
      </c>
      <c r="M27" s="63" t="str">
        <f>Aggregate!P26</f>
        <v>Bhayshul Tuten</v>
      </c>
      <c r="N27" s="63" t="str">
        <f>VLOOKUP(DraftSheet!$M27,Aggregate!P:AA,4,FALSE())</f>
        <v>JAC/7</v>
      </c>
      <c r="O27" s="61">
        <f>IFERROR(VLOOKUP(DraftSheet!$M27,Aggregate!$P:$AA,8,FALSE()),"")</f>
        <v>147.6493613</v>
      </c>
      <c r="P27" s="61">
        <f>IF(Scoring!$K$6="Auction",IFERROR(VLOOKUP(DraftSheet!$M27,Aggregate!$P:$AA,10,FALSE()),""),IFERROR(VLOOKUP(DraftSheet!$M27,Aggregate!$P:$AA,9,FALSE()),""))</f>
        <v>19.14734241</v>
      </c>
      <c r="Q27" s="71">
        <f>SUMIFS($T28:T$84,$S28:S$84,"&lt;&gt;x",$S28:S$84,"&lt;&gt;o",$T28:T$84,"&gt;0")/Aggregate!$X$1</f>
        <v>0.2371403649</v>
      </c>
      <c r="R27" s="61">
        <f t="array" ref="R27">IFERROR(INDEX(ECR!$K:$K,MATCH(DraftSheet!$M27,ECR!$C:$C,0)),"ND")</f>
        <v>64</v>
      </c>
      <c r="S27" s="82"/>
      <c r="T27" s="78">
        <f>VLOOKUP(M27,Aggregate!P:X,9,FALSE())</f>
        <v>69.25847219</v>
      </c>
      <c r="U27" s="83"/>
      <c r="V27" s="61">
        <f>IFERROR(VLOOKUP(DraftSheet!$W27,Aggregate!$AD:$AO,11,FALSE()),"")</f>
        <v>3</v>
      </c>
      <c r="W27" s="63" t="str">
        <f>Aggregate!AD21</f>
        <v>Jaylen Waddle</v>
      </c>
      <c r="X27" s="63" t="str">
        <f>VLOOKUP(DraftSheet!$W27,Aggregate!AD:AO,4,FALSE())</f>
        <v>DEN/10</v>
      </c>
      <c r="Y27" s="61">
        <f>IFERROR(VLOOKUP(DraftSheet!$W27,Aggregate!$AD:$AO,8,FALSE()),"")</f>
        <v>136.6946706</v>
      </c>
      <c r="Z27" s="61">
        <f>IF(Scoring!$K$6="Auction",IFERROR(VLOOKUP(DraftSheet!$W27,Aggregate!$AD:$AO,10,FALSE()),""),IFERROR(VLOOKUP(DraftSheet!$W27,Aggregate!$AD:$AO,9,FALSE()),""))</f>
        <v>15.4568135</v>
      </c>
      <c r="AA27" s="71">
        <f>SUMIFS($AD28:AD$84,$AC28:AC$84,"&lt;&gt;x",$AC28:AC$84,"&lt;&gt;o",$AD28:AD$84,"&gt;0")/Aggregate!$AL$1</f>
        <v>0.3194424052</v>
      </c>
      <c r="AB27" s="61">
        <f t="array" ref="AB27">IFERROR(INDEX(ECR!$K:$K,MATCH(DraftSheet!$W27,ECR!$C:$C,0)),"ND")</f>
        <v>40</v>
      </c>
      <c r="AC27" s="82"/>
      <c r="AD27" s="78">
        <f>VLOOKUP(W27,Aggregate!AD:AL,9,FALSE())</f>
        <v>55.17374351</v>
      </c>
      <c r="AE27" s="3"/>
      <c r="AF27" s="3"/>
      <c r="AG27" s="3"/>
      <c r="AH27" s="3"/>
    </row>
    <row r="28" ht="14.25" customHeight="1">
      <c r="A28" s="3"/>
      <c r="B28" s="61">
        <f>IFERROR(VLOOKUP(DraftSheet!$C28,Aggregate!$B:$M,11,FALSE()),"")</f>
        <v>7</v>
      </c>
      <c r="C28" s="63" t="str">
        <f>Aggregate!B25</f>
        <v>C.J. Stroud</v>
      </c>
      <c r="D28" s="63" t="str">
        <f>VLOOKUP(DraftSheet!$C28,Aggregate!B:M,4,FALSE())</f>
        <v>HOU/8</v>
      </c>
      <c r="E28" s="61">
        <f>IFERROR(VLOOKUP(DraftSheet!$C28,Aggregate!$B:$M,8,FALSE()),"")</f>
        <v>168.6748946</v>
      </c>
      <c r="F28" s="61">
        <f>IF(Scoring!$K$6="Auction",IFERROR(VLOOKUP(DraftSheet!$C28,Aggregate!$B:$M,10,FALSE()),""),IFERROR(VLOOKUP(DraftSheet!$C28,Aggregate!$B:$M,9,FALSE()),""))</f>
        <v>1</v>
      </c>
      <c r="G28" s="71">
        <f>SUMIFS($J29:J$44,$I29:I$44,"&lt;&gt;x",$I29:I$44,"&lt;&gt;o",$J29:J$44,"&gt;0")/Aggregate!$J$1</f>
        <v>0</v>
      </c>
      <c r="H28" s="61">
        <f t="array" ref="H28">IFERROR(INDEX(ECR!$K:$K,MATCH(DraftSheet!$C28,ECR!$C:$C,0)),"ND")</f>
        <v>147</v>
      </c>
      <c r="I28" s="82"/>
      <c r="J28" s="78">
        <f>VLOOKUP(C28,Aggregate!B:J,9,FALSE())</f>
        <v>-52.97191139</v>
      </c>
      <c r="K28" s="79"/>
      <c r="L28" s="61">
        <f>IFERROR(VLOOKUP(DraftSheet!$M28,Aggregate!$P:$AA,11,FALSE()),"")</f>
        <v>5</v>
      </c>
      <c r="M28" s="63" t="str">
        <f>Aggregate!P28</f>
        <v>Jadarian Price</v>
      </c>
      <c r="N28" s="63" t="str">
        <f>VLOOKUP(DraftSheet!$M28,Aggregate!P:AA,4,FALSE())</f>
        <v>SEA/11</v>
      </c>
      <c r="O28" s="61">
        <f>IFERROR(VLOOKUP(DraftSheet!$M28,Aggregate!$P:$AA,8,FALSE()),"")</f>
        <v>145.7335608</v>
      </c>
      <c r="P28" s="61">
        <f>IF(Scoring!$K$6="Auction",IFERROR(VLOOKUP(DraftSheet!$M28,Aggregate!$P:$AA,10,FALSE()),""),IFERROR(VLOOKUP(DraftSheet!$M28,Aggregate!$P:$AA,9,FALSE()),""))</f>
        <v>18.64535779</v>
      </c>
      <c r="Q28" s="71">
        <f>SUMIFS($T29:T$84,$S29:S$84,"&lt;&gt;x",$S29:S$84,"&lt;&gt;o",$T29:T$84,"&gt;0")/Aggregate!$X$1</f>
        <v>0.216188941</v>
      </c>
      <c r="R28" s="61">
        <f t="array" ref="R28">IFERROR(INDEX(ECR!$K:$K,MATCH(DraftSheet!$M28,ECR!$C:$C,0)),"ND")</f>
        <v>66</v>
      </c>
      <c r="S28" s="82"/>
      <c r="T28" s="78">
        <f>VLOOKUP(M28,Aggregate!P:X,9,FALSE())</f>
        <v>67.34267166</v>
      </c>
      <c r="U28" s="83"/>
      <c r="V28" s="61">
        <f>IFERROR(VLOOKUP(DraftSheet!$W28,Aggregate!$AD:$AO,11,FALSE()),"")</f>
        <v>3</v>
      </c>
      <c r="W28" s="63" t="str">
        <f>Aggregate!AD27</f>
        <v>Jameson Williams</v>
      </c>
      <c r="X28" s="63" t="str">
        <f>VLOOKUP(DraftSheet!$W28,Aggregate!AD:AO,4,FALSE())</f>
        <v>DET/6</v>
      </c>
      <c r="Y28" s="61">
        <f>IFERROR(VLOOKUP(DraftSheet!$W28,Aggregate!$AD:$AO,8,FALSE()),"")</f>
        <v>135.8772302</v>
      </c>
      <c r="Z28" s="61">
        <f>IF(Scoring!$K$6="Auction",IFERROR(VLOOKUP(DraftSheet!$W28,Aggregate!$AD:$AO,10,FALSE()),""),IFERROR(VLOOKUP(DraftSheet!$W28,Aggregate!$AD:$AO,9,FALSE()),""))</f>
        <v>15.24262498</v>
      </c>
      <c r="AA28" s="71">
        <f>SUMIFS($AD29:AD$84,$AC29:AC$84,"&lt;&gt;x",$AC29:AC$84,"&lt;&gt;o",$AD29:AD$84,"&gt;0")/Aggregate!$AL$1</f>
        <v>0.3017142612</v>
      </c>
      <c r="AB28" s="61">
        <f t="array" ref="AB28">IFERROR(INDEX(ECR!$K:$K,MATCH(DraftSheet!$W28,ECR!$C:$C,0)),"ND")</f>
        <v>54</v>
      </c>
      <c r="AC28" s="82"/>
      <c r="AD28" s="78">
        <f>VLOOKUP(W28,Aggregate!AD:AL,9,FALSE())</f>
        <v>54.35630316</v>
      </c>
      <c r="AE28" s="3"/>
      <c r="AF28" s="3"/>
      <c r="AG28" s="3"/>
      <c r="AH28" s="3"/>
    </row>
    <row r="29" ht="14.25" customHeight="1">
      <c r="A29" s="3"/>
      <c r="B29" s="61">
        <f>IFERROR(VLOOKUP(DraftSheet!$C29,Aggregate!$B:$M,11,FALSE()),"")</f>
        <v>8</v>
      </c>
      <c r="C29" s="63" t="str">
        <f>Aggregate!B28</f>
        <v>Bryce Young</v>
      </c>
      <c r="D29" s="63" t="str">
        <f>VLOOKUP(DraftSheet!$C29,Aggregate!B:M,4,FALSE())</f>
        <v>CAR/5</v>
      </c>
      <c r="E29" s="61">
        <f>IFERROR(VLOOKUP(DraftSheet!$C29,Aggregate!$B:$M,8,FALSE()),"")</f>
        <v>161.9727059</v>
      </c>
      <c r="F29" s="61">
        <f>IF(Scoring!$K$6="Auction",IFERROR(VLOOKUP(DraftSheet!$C29,Aggregate!$B:$M,10,FALSE()),""),IFERROR(VLOOKUP(DraftSheet!$C29,Aggregate!$B:$M,9,FALSE()),""))</f>
        <v>1</v>
      </c>
      <c r="G29" s="71">
        <f>SUMIFS($J30:J$44,$I30:I$44,"&lt;&gt;x",$I30:I$44,"&lt;&gt;o",$J30:J$44,"&gt;0")/Aggregate!$J$1</f>
        <v>0</v>
      </c>
      <c r="H29" s="61">
        <f t="array" ref="H29">IFERROR(INDEX(ECR!$K:$K,MATCH(DraftSheet!$C29,ECR!$C:$C,0)),"ND")</f>
        <v>172</v>
      </c>
      <c r="I29" s="82"/>
      <c r="J29" s="78">
        <f>VLOOKUP(C29,Aggregate!B:J,9,FALSE())</f>
        <v>-59.67410012</v>
      </c>
      <c r="K29" s="79"/>
      <c r="L29" s="61">
        <f>IFERROR(VLOOKUP(DraftSheet!$M29,Aggregate!$P:$AA,11,FALSE()),"")</f>
        <v>5</v>
      </c>
      <c r="M29" s="63" t="str">
        <f>Aggregate!P25</f>
        <v>David Montgomery</v>
      </c>
      <c r="N29" s="63" t="str">
        <f>VLOOKUP(DraftSheet!$M29,Aggregate!P:AA,4,FALSE())</f>
        <v>HOU/8</v>
      </c>
      <c r="O29" s="61">
        <f>IFERROR(VLOOKUP(DraftSheet!$M29,Aggregate!$P:$AA,8,FALSE()),"")</f>
        <v>142.4119357</v>
      </c>
      <c r="P29" s="61">
        <f>IF(Scoring!$K$6="Auction",IFERROR(VLOOKUP(DraftSheet!$M29,Aggregate!$P:$AA,10,FALSE()),""),IFERROR(VLOOKUP(DraftSheet!$M29,Aggregate!$P:$AA,9,FALSE()),""))</f>
        <v>17.7750142</v>
      </c>
      <c r="Q29" s="71">
        <f>SUMIFS($T30:T$84,$S30:S$84,"&lt;&gt;x",$S30:S$84,"&lt;&gt;o",$T30:T$84,"&gt;0")/Aggregate!$X$1</f>
        <v>0.1962709299</v>
      </c>
      <c r="R29" s="61">
        <f t="array" ref="R29">IFERROR(INDEX(ECR!$K:$K,MATCH(DraftSheet!$M29,ECR!$C:$C,0)),"ND")</f>
        <v>57</v>
      </c>
      <c r="S29" s="82"/>
      <c r="T29" s="78">
        <f>VLOOKUP(M29,Aggregate!P:X,9,FALSE())</f>
        <v>64.02104661</v>
      </c>
      <c r="U29" s="83"/>
      <c r="V29" s="61">
        <f>IFERROR(VLOOKUP(DraftSheet!$W29,Aggregate!$AD:$AO,11,FALSE()),"")</f>
        <v>4</v>
      </c>
      <c r="W29" s="63" t="str">
        <f>Aggregate!AD26</f>
        <v>Luther Burden III</v>
      </c>
      <c r="X29" s="63" t="str">
        <f>VLOOKUP(DraftSheet!$W29,Aggregate!AD:AO,4,FALSE())</f>
        <v>CHI/10</v>
      </c>
      <c r="Y29" s="61">
        <f>IFERROR(VLOOKUP(DraftSheet!$W29,Aggregate!$AD:$AO,8,FALSE()),"")</f>
        <v>131.0506781</v>
      </c>
      <c r="Z29" s="61">
        <f>IF(Scoring!$K$6="Auction",IFERROR(VLOOKUP(DraftSheet!$W29,Aggregate!$AD:$AO,10,FALSE()),""),IFERROR(VLOOKUP(DraftSheet!$W29,Aggregate!$AD:$AO,9,FALSE()),""))</f>
        <v>13.97795524</v>
      </c>
      <c r="AA29" s="71">
        <f>SUMIFS($AD30:AD$84,$AC30:AC$84,"&lt;&gt;x",$AC30:AC$84,"&lt;&gt;o",$AD30:AD$84,"&gt;0")/Aggregate!$AL$1</f>
        <v>0.2855602825</v>
      </c>
      <c r="AB29" s="61">
        <f t="array" ref="AB29">IFERROR(INDEX(ECR!$K:$K,MATCH(DraftSheet!$W29,ECR!$C:$C,0)),"ND")</f>
        <v>51</v>
      </c>
      <c r="AC29" s="82"/>
      <c r="AD29" s="78">
        <f>VLOOKUP(W29,Aggregate!AD:AL,9,FALSE())</f>
        <v>49.52975104</v>
      </c>
      <c r="AE29" s="3"/>
      <c r="AF29" s="3"/>
      <c r="AG29" s="3"/>
      <c r="AH29" s="3"/>
    </row>
    <row r="30" ht="14.25" customHeight="1">
      <c r="A30" s="3"/>
      <c r="B30" s="61">
        <f>IFERROR(VLOOKUP(DraftSheet!$C30,Aggregate!$B:$M,11,FALSE()),"")</f>
        <v>9</v>
      </c>
      <c r="C30" s="63" t="str">
        <f>Aggregate!B26</f>
        <v>Cam Ward</v>
      </c>
      <c r="D30" s="63" t="str">
        <f>VLOOKUP(DraftSheet!$C30,Aggregate!B:M,4,FALSE())</f>
        <v>TEN/9</v>
      </c>
      <c r="E30" s="61">
        <f>IFERROR(VLOOKUP(DraftSheet!$C30,Aggregate!$B:$M,8,FALSE()),"")</f>
        <v>149.0307765</v>
      </c>
      <c r="F30" s="61">
        <f>IF(Scoring!$K$6="Auction",IFERROR(VLOOKUP(DraftSheet!$C30,Aggregate!$B:$M,10,FALSE()),""),IFERROR(VLOOKUP(DraftSheet!$C30,Aggregate!$B:$M,9,FALSE()),""))</f>
        <v>1</v>
      </c>
      <c r="G30" s="71">
        <f>SUMIFS($J31:J$44,$I31:I$44,"&lt;&gt;x",$I31:I$44,"&lt;&gt;o",$J31:J$44,"&gt;0")/Aggregate!$J$1</f>
        <v>0</v>
      </c>
      <c r="H30" s="61">
        <f t="array" ref="H30">IFERROR(INDEX(ECR!$K:$K,MATCH(DraftSheet!$C30,ECR!$C:$C,0)),"ND")</f>
        <v>155</v>
      </c>
      <c r="I30" s="82"/>
      <c r="J30" s="78">
        <f>VLOOKUP(C30,Aggregate!B:J,9,FALSE())</f>
        <v>-72.61602953</v>
      </c>
      <c r="K30" s="79"/>
      <c r="L30" s="61">
        <f>IFERROR(VLOOKUP(DraftSheet!$M30,Aggregate!$P:$AA,11,FALSE()),"")</f>
        <v>5</v>
      </c>
      <c r="M30" s="63" t="str">
        <f>Aggregate!P27</f>
        <v>TreVeyon Henderson</v>
      </c>
      <c r="N30" s="63" t="str">
        <f>VLOOKUP(DraftSheet!$M30,Aggregate!P:AA,4,FALSE())</f>
        <v>NE/11</v>
      </c>
      <c r="O30" s="61">
        <f>IFERROR(VLOOKUP(DraftSheet!$M30,Aggregate!$P:$AA,8,FALSE()),"")</f>
        <v>134.5650628</v>
      </c>
      <c r="P30" s="61">
        <f>IF(Scoring!$K$6="Auction",IFERROR(VLOOKUP(DraftSheet!$M30,Aggregate!$P:$AA,10,FALSE()),""),IFERROR(VLOOKUP(DraftSheet!$M30,Aggregate!$P:$AA,9,FALSE()),""))</f>
        <v>15.71894965</v>
      </c>
      <c r="Q30" s="71">
        <f>SUMIFS($T31:T$84,$S31:S$84,"&lt;&gt;x",$S31:S$84,"&lt;&gt;o",$T31:T$84,"&gt;0")/Aggregate!$X$1</f>
        <v>0.1787942113</v>
      </c>
      <c r="R30" s="61">
        <f t="array" ref="R30">IFERROR(INDEX(ECR!$K:$K,MATCH(DraftSheet!$M30,ECR!$C:$C,0)),"ND")</f>
        <v>65</v>
      </c>
      <c r="S30" s="82"/>
      <c r="T30" s="78">
        <f>VLOOKUP(M30,Aggregate!P:X,9,FALSE())</f>
        <v>56.17417369</v>
      </c>
      <c r="U30" s="83"/>
      <c r="V30" s="61">
        <f>IFERROR(VLOOKUP(DraftSheet!$W30,Aggregate!$AD:$AO,11,FALSE()),"")</f>
        <v>4</v>
      </c>
      <c r="W30" s="63" t="str">
        <f>Aggregate!AD28</f>
        <v>DJ Moore</v>
      </c>
      <c r="X30" s="63" t="str">
        <f>VLOOKUP(DraftSheet!$W30,Aggregate!AD:AO,4,FALSE())</f>
        <v>BUF/7</v>
      </c>
      <c r="Y30" s="61">
        <f>IFERROR(VLOOKUP(DraftSheet!$W30,Aggregate!$AD:$AO,8,FALSE()),"")</f>
        <v>129.2319808</v>
      </c>
      <c r="Z30" s="61">
        <f>IF(Scoring!$K$6="Auction",IFERROR(VLOOKUP(DraftSheet!$W30,Aggregate!$AD:$AO,10,FALSE()),""),IFERROR(VLOOKUP(DraftSheet!$W30,Aggregate!$AD:$AO,9,FALSE()),""))</f>
        <v>13.50141392</v>
      </c>
      <c r="AA30" s="71">
        <f>SUMIFS($AD31:AD$84,$AC31:AC$84,"&lt;&gt;x",$AC31:AC$84,"&lt;&gt;o",$AD31:AD$84,"&gt;0")/Aggregate!$AL$1</f>
        <v>0.2699994666</v>
      </c>
      <c r="AB30" s="61">
        <f t="array" ref="AB30">IFERROR(INDEX(ECR!$K:$K,MATCH(DraftSheet!$W30,ECR!$C:$C,0)),"ND")</f>
        <v>58</v>
      </c>
      <c r="AC30" s="82"/>
      <c r="AD30" s="78">
        <f>VLOOKUP(W30,Aggregate!AD:AL,9,FALSE())</f>
        <v>47.71105371</v>
      </c>
      <c r="AE30" s="3"/>
      <c r="AF30" s="3"/>
      <c r="AG30" s="3"/>
      <c r="AH30" s="3"/>
    </row>
    <row r="31" ht="14.25" customHeight="1">
      <c r="A31" s="3"/>
      <c r="B31" s="61">
        <f>IFERROR(VLOOKUP(DraftSheet!$C31,Aggregate!$B:$M,11,FALSE()),"")</f>
        <v>9</v>
      </c>
      <c r="C31" s="63" t="str">
        <f>Aggregate!B30</f>
        <v>Geno Smith</v>
      </c>
      <c r="D31" s="63" t="str">
        <f>VLOOKUP(DraftSheet!$C31,Aggregate!B:M,4,FALSE())</f>
        <v>NYJ/13</v>
      </c>
      <c r="E31" s="61">
        <f>IFERROR(VLOOKUP(DraftSheet!$C31,Aggregate!$B:$M,8,FALSE()),"")</f>
        <v>145.7720471</v>
      </c>
      <c r="F31" s="61">
        <f>IF(Scoring!$K$6="Auction",IFERROR(VLOOKUP(DraftSheet!$C31,Aggregate!$B:$M,10,FALSE()),""),IFERROR(VLOOKUP(DraftSheet!$C31,Aggregate!$B:$M,9,FALSE()),""))</f>
        <v>1</v>
      </c>
      <c r="G31" s="71">
        <f>SUMIFS($J32:J$44,$I32:I$44,"&lt;&gt;x",$I32:I$44,"&lt;&gt;o",$J32:J$44,"&gt;0")/Aggregate!$J$1</f>
        <v>0</v>
      </c>
      <c r="H31" s="61">
        <f t="array" ref="H31">IFERROR(INDEX(ECR!$K:$K,MATCH(DraftSheet!$C31,ECR!$C:$C,0)),"ND")</f>
        <v>195</v>
      </c>
      <c r="I31" s="82"/>
      <c r="J31" s="78">
        <f>VLOOKUP(C31,Aggregate!B:J,9,FALSE())</f>
        <v>-75.87475894</v>
      </c>
      <c r="K31" s="79"/>
      <c r="L31" s="61">
        <f>IFERROR(VLOOKUP(DraftSheet!$M31,Aggregate!$P:$AA,11,FALSE()),"")</f>
        <v>5</v>
      </c>
      <c r="M31" s="63" t="str">
        <f>Aggregate!P30</f>
        <v>Jaylen Warren</v>
      </c>
      <c r="N31" s="63" t="str">
        <f>VLOOKUP(DraftSheet!$M31,Aggregate!P:AA,4,FALSE())</f>
        <v>PIT/9</v>
      </c>
      <c r="O31" s="61">
        <f>IFERROR(VLOOKUP(DraftSheet!$M31,Aggregate!$P:$AA,8,FALSE()),"")</f>
        <v>130.6304329</v>
      </c>
      <c r="P31" s="61">
        <f>IF(Scoring!$K$6="Auction",IFERROR(VLOOKUP(DraftSheet!$M31,Aggregate!$P:$AA,10,FALSE()),""),IFERROR(VLOOKUP(DraftSheet!$M31,Aggregate!$P:$AA,9,FALSE()),""))</f>
        <v>14.68798444</v>
      </c>
      <c r="Q31" s="71">
        <f>SUMIFS($T32:T$84,$S32:S$84,"&lt;&gt;x",$S32:S$84,"&lt;&gt;o",$T32:T$84,"&gt;0")/Aggregate!$X$1</f>
        <v>0.1625416214</v>
      </c>
      <c r="R31" s="61">
        <f t="array" ref="R31">IFERROR(INDEX(ECR!$K:$K,MATCH(DraftSheet!$M31,ECR!$C:$C,0)),"ND")</f>
        <v>74</v>
      </c>
      <c r="S31" s="82"/>
      <c r="T31" s="78">
        <f>VLOOKUP(M31,Aggregate!P:X,9,FALSE())</f>
        <v>52.23954384</v>
      </c>
      <c r="U31" s="83"/>
      <c r="V31" s="61">
        <f>IFERROR(VLOOKUP(DraftSheet!$W31,Aggregate!$AD:$AO,11,FALSE()),"")</f>
        <v>4</v>
      </c>
      <c r="W31" s="63" t="str">
        <f>Aggregate!AD31</f>
        <v>Rome Odunze</v>
      </c>
      <c r="X31" s="63" t="str">
        <f>VLOOKUP(DraftSheet!$W31,Aggregate!AD:AO,4,FALSE())</f>
        <v>CHI/10</v>
      </c>
      <c r="Y31" s="61">
        <f>IFERROR(VLOOKUP(DraftSheet!$W31,Aggregate!$AD:$AO,8,FALSE()),"")</f>
        <v>127.0740975</v>
      </c>
      <c r="Z31" s="61">
        <f>IF(Scoring!$K$6="Auction",IFERROR(VLOOKUP(DraftSheet!$W31,Aggregate!$AD:$AO,10,FALSE()),""),IFERROR(VLOOKUP(DraftSheet!$W31,Aggregate!$AD:$AO,9,FALSE()),""))</f>
        <v>12.93599794</v>
      </c>
      <c r="AA31" s="71">
        <f>SUMIFS($AD32:AD$84,$AC32:AC$84,"&lt;&gt;x",$AC32:AC$84,"&lt;&gt;o",$AD32:AD$84,"&gt;0")/Aggregate!$AL$1</f>
        <v>0.2551424377</v>
      </c>
      <c r="AB31" s="61">
        <f t="array" ref="AB31">IFERROR(INDEX(ECR!$K:$K,MATCH(DraftSheet!$W31,ECR!$C:$C,0)),"ND")</f>
        <v>62</v>
      </c>
      <c r="AC31" s="82"/>
      <c r="AD31" s="78">
        <f>VLOOKUP(W31,Aggregate!AD:AL,9,FALSE())</f>
        <v>45.55317041</v>
      </c>
      <c r="AE31" s="3"/>
      <c r="AF31" s="3"/>
      <c r="AG31" s="3"/>
      <c r="AH31" s="3"/>
    </row>
    <row r="32" ht="14.25" customHeight="1">
      <c r="A32" s="3"/>
      <c r="B32" s="61">
        <f>IFERROR(VLOOKUP(DraftSheet!$C32,Aggregate!$B:$M,11,FALSE()),"")</f>
        <v>9</v>
      </c>
      <c r="C32" s="63" t="str">
        <f>Aggregate!B29</f>
        <v>Jacoby Brissett</v>
      </c>
      <c r="D32" s="63" t="str">
        <f>VLOOKUP(DraftSheet!$C32,Aggregate!B:M,4,FALSE())</f>
        <v>ARI/14</v>
      </c>
      <c r="E32" s="61">
        <f>IFERROR(VLOOKUP(DraftSheet!$C32,Aggregate!$B:$M,8,FALSE()),"")</f>
        <v>141.6617412</v>
      </c>
      <c r="F32" s="61">
        <f>IF(Scoring!$K$6="Auction",IFERROR(VLOOKUP(DraftSheet!$C32,Aggregate!$B:$M,10,FALSE()),""),IFERROR(VLOOKUP(DraftSheet!$C32,Aggregate!$B:$M,9,FALSE()),""))</f>
        <v>1</v>
      </c>
      <c r="G32" s="71">
        <f>SUMIFS($J33:J$44,$I33:I$44,"&lt;&gt;x",$I33:I$44,"&lt;&gt;o",$J33:J$44,"&gt;0")/Aggregate!$J$1</f>
        <v>0</v>
      </c>
      <c r="H32" s="61">
        <f t="array" ref="H32">IFERROR(INDEX(ECR!$K:$K,MATCH(DraftSheet!$C32,ECR!$C:$C,0)),"ND")</f>
        <v>184</v>
      </c>
      <c r="I32" s="82"/>
      <c r="J32" s="78">
        <f>VLOOKUP(C32,Aggregate!B:J,9,FALSE())</f>
        <v>-79.98506482</v>
      </c>
      <c r="K32" s="79"/>
      <c r="L32" s="61">
        <f>IFERROR(VLOOKUP(DraftSheet!$M32,Aggregate!$P:$AA,11,FALSE()),"")</f>
        <v>5</v>
      </c>
      <c r="M32" s="63" t="str">
        <f>Aggregate!P31</f>
        <v>Tony Pollard</v>
      </c>
      <c r="N32" s="63" t="str">
        <f>VLOOKUP(DraftSheet!$M32,Aggregate!P:AA,4,FALSE())</f>
        <v>TEN/9</v>
      </c>
      <c r="O32" s="61">
        <f>IFERROR(VLOOKUP(DraftSheet!$M32,Aggregate!$P:$AA,8,FALSE()),"")</f>
        <v>130.0816868</v>
      </c>
      <c r="P32" s="61">
        <f>IF(Scoring!$K$6="Auction",IFERROR(VLOOKUP(DraftSheet!$M32,Aggregate!$P:$AA,10,FALSE()),""),IFERROR(VLOOKUP(DraftSheet!$M32,Aggregate!$P:$AA,9,FALSE()),""))</f>
        <v>14.5442001</v>
      </c>
      <c r="Q32" s="71">
        <f>SUMIFS($T33:T$84,$S33:S$84,"&lt;&gt;x",$S33:S$84,"&lt;&gt;o",$T33:T$84,"&gt;0")/Aggregate!$X$1</f>
        <v>0.1464597555</v>
      </c>
      <c r="R32" s="61">
        <f t="array" ref="R32">IFERROR(INDEX(ECR!$K:$K,MATCH(DraftSheet!$M32,ECR!$C:$C,0)),"ND")</f>
        <v>79</v>
      </c>
      <c r="S32" s="82"/>
      <c r="T32" s="78">
        <f>VLOOKUP(M32,Aggregate!P:X,9,FALSE())</f>
        <v>51.69079772</v>
      </c>
      <c r="U32" s="83"/>
      <c r="V32" s="61">
        <f>IFERROR(VLOOKUP(DraftSheet!$W32,Aggregate!$AD:$AO,11,FALSE()),"")</f>
        <v>4</v>
      </c>
      <c r="W32" s="63" t="str">
        <f>Aggregate!AD30</f>
        <v>Mike Evans</v>
      </c>
      <c r="X32" s="63" t="str">
        <f>VLOOKUP(DraftSheet!$W32,Aggregate!AD:AO,4,FALSE())</f>
        <v>SF/8</v>
      </c>
      <c r="Y32" s="61">
        <f>IFERROR(VLOOKUP(DraftSheet!$W32,Aggregate!$AD:$AO,8,FALSE()),"")</f>
        <v>125.6166987</v>
      </c>
      <c r="Z32" s="61">
        <f>IF(Scoring!$K$6="Auction",IFERROR(VLOOKUP(DraftSheet!$W32,Aggregate!$AD:$AO,10,FALSE()),""),IFERROR(VLOOKUP(DraftSheet!$W32,Aggregate!$AD:$AO,9,FALSE()),""))</f>
        <v>12.55412533</v>
      </c>
      <c r="AA32" s="71">
        <f>SUMIFS($AD33:AD$84,$AC33:AC$84,"&lt;&gt;x",$AC33:AC$84,"&lt;&gt;o",$AD33:AD$84,"&gt;0")/Aggregate!$AL$1</f>
        <v>0.240760735</v>
      </c>
      <c r="AB32" s="61">
        <f t="array" ref="AB32">IFERROR(INDEX(ECR!$K:$K,MATCH(DraftSheet!$W32,ECR!$C:$C,0)),"ND")</f>
        <v>61</v>
      </c>
      <c r="AC32" s="82"/>
      <c r="AD32" s="78">
        <f>VLOOKUP(W32,Aggregate!AD:AL,9,FALSE())</f>
        <v>44.09577168</v>
      </c>
      <c r="AE32" s="3"/>
      <c r="AF32" s="3"/>
      <c r="AG32" s="3"/>
      <c r="AH32" s="3"/>
    </row>
    <row r="33" ht="14.25" customHeight="1">
      <c r="A33" s="3"/>
      <c r="B33" s="61">
        <f>IFERROR(VLOOKUP(DraftSheet!$C33,Aggregate!$B:$M,11,FALSE()),"")</f>
        <v>9</v>
      </c>
      <c r="C33" s="63" t="str">
        <f>Aggregate!B31</f>
        <v>Aaron Rodgers</v>
      </c>
      <c r="D33" s="63" t="str">
        <f>VLOOKUP(DraftSheet!$C33,Aggregate!B:M,4,FALSE())</f>
        <v>PIT/9</v>
      </c>
      <c r="E33" s="61">
        <f>IFERROR(VLOOKUP(DraftSheet!$C33,Aggregate!$B:$M,8,FALSE()),"")</f>
        <v>139.9593412</v>
      </c>
      <c r="F33" s="61">
        <f>IF(Scoring!$K$6="Auction",IFERROR(VLOOKUP(DraftSheet!$C33,Aggregate!$B:$M,10,FALSE()),""),IFERROR(VLOOKUP(DraftSheet!$C33,Aggregate!$B:$M,9,FALSE()),""))</f>
        <v>1</v>
      </c>
      <c r="G33" s="71">
        <f>SUMIFS($J34:J$44,$I34:I$44,"&lt;&gt;x",$I34:I$44,"&lt;&gt;o",$J34:J$44,"&gt;0")/Aggregate!$J$1</f>
        <v>0</v>
      </c>
      <c r="H33" s="61">
        <f t="array" ref="H33">IFERROR(INDEX(ECR!$K:$K,MATCH(DraftSheet!$C33,ECR!$C:$C,0)),"ND")</f>
        <v>205</v>
      </c>
      <c r="I33" s="82"/>
      <c r="J33" s="78">
        <f>VLOOKUP(C33,Aggregate!B:J,9,FALSE())</f>
        <v>-81.68746482</v>
      </c>
      <c r="K33" s="79"/>
      <c r="L33" s="61">
        <f>IFERROR(VLOOKUP(DraftSheet!$M33,Aggregate!$P:$AA,11,FALSE()),"")</f>
        <v>5</v>
      </c>
      <c r="M33" s="63" t="str">
        <f>Aggregate!P29</f>
        <v>Rhamondre Stevenson</v>
      </c>
      <c r="N33" s="63" t="str">
        <f>VLOOKUP(DraftSheet!$M33,Aggregate!P:AA,4,FALSE())</f>
        <v>NE/11</v>
      </c>
      <c r="O33" s="61">
        <f>IFERROR(VLOOKUP(DraftSheet!$M33,Aggregate!$P:$AA,8,FALSE()),"")</f>
        <v>130.0003291</v>
      </c>
      <c r="P33" s="61">
        <f>IF(Scoring!$K$6="Auction",IFERROR(VLOOKUP(DraftSheet!$M33,Aggregate!$P:$AA,10,FALSE()),""),IFERROR(VLOOKUP(DraftSheet!$M33,Aggregate!$P:$AA,9,FALSE()),""))</f>
        <v>14.52288247</v>
      </c>
      <c r="Q33" s="71">
        <f>SUMIFS($T34:T$84,$S34:S$84,"&lt;&gt;x",$S34:S$84,"&lt;&gt;o",$T34:T$84,"&gt;0")/Aggregate!$X$1</f>
        <v>0.1304032014</v>
      </c>
      <c r="R33" s="61">
        <f t="array" ref="R33">IFERROR(INDEX(ECR!$K:$K,MATCH(DraftSheet!$M33,ECR!$C:$C,0)),"ND")</f>
        <v>71</v>
      </c>
      <c r="S33" s="82"/>
      <c r="T33" s="78">
        <f>VLOOKUP(M33,Aggregate!P:X,9,FALSE())</f>
        <v>51.60944001</v>
      </c>
      <c r="U33" s="83"/>
      <c r="V33" s="61">
        <f>IFERROR(VLOOKUP(DraftSheet!$W33,Aggregate!$AD:$AO,11,FALSE()),"")</f>
        <v>4</v>
      </c>
      <c r="W33" s="63" t="str">
        <f>Aggregate!AD29</f>
        <v>Christian Watson</v>
      </c>
      <c r="X33" s="63" t="str">
        <f>VLOOKUP(DraftSheet!$W33,Aggregate!AD:AO,4,FALSE())</f>
        <v>GB/11</v>
      </c>
      <c r="Y33" s="61">
        <f>IFERROR(VLOOKUP(DraftSheet!$W33,Aggregate!$AD:$AO,8,FALSE()),"")</f>
        <v>125.229936</v>
      </c>
      <c r="Z33" s="61">
        <f>IF(Scoring!$K$6="Auction",IFERROR(VLOOKUP(DraftSheet!$W33,Aggregate!$AD:$AO,10,FALSE()),""),IFERROR(VLOOKUP(DraftSheet!$W33,Aggregate!$AD:$AO,9,FALSE()),""))</f>
        <v>12.45278443</v>
      </c>
      <c r="AA33" s="71">
        <f>SUMIFS($AD34:AD$84,$AC34:AC$84,"&lt;&gt;x",$AC34:AC$84,"&lt;&gt;o",$AD34:AD$84,"&gt;0")/Aggregate!$AL$1</f>
        <v>0.2265051738</v>
      </c>
      <c r="AB33" s="61">
        <f t="array" ref="AB33">IFERROR(INDEX(ECR!$K:$K,MATCH(DraftSheet!$W33,ECR!$C:$C,0)),"ND")</f>
        <v>59</v>
      </c>
      <c r="AC33" s="82"/>
      <c r="AD33" s="78">
        <f>VLOOKUP(W33,Aggregate!AD:AL,9,FALSE())</f>
        <v>43.70900896</v>
      </c>
      <c r="AE33" s="3"/>
      <c r="AF33" s="3"/>
      <c r="AG33" s="3"/>
      <c r="AH33" s="3"/>
    </row>
    <row r="34" ht="14.25" customHeight="1">
      <c r="A34" s="3"/>
      <c r="B34" s="61">
        <f>IFERROR(VLOOKUP(DraftSheet!$C34,Aggregate!$B:$M,11,FALSE()),"")</f>
        <v>10</v>
      </c>
      <c r="C34" s="63" t="str">
        <f>Aggregate!B32</f>
        <v>Fernando Mendoza</v>
      </c>
      <c r="D34" s="63" t="str">
        <f>VLOOKUP(DraftSheet!$C34,Aggregate!B:M,4,FALSE())</f>
        <v>LV/13</v>
      </c>
      <c r="E34" s="61">
        <f>IFERROR(VLOOKUP(DraftSheet!$C34,Aggregate!$B:$M,8,FALSE()),"")</f>
        <v>115.7455059</v>
      </c>
      <c r="F34" s="61">
        <f>IF(Scoring!$K$6="Auction",IFERROR(VLOOKUP(DraftSheet!$C34,Aggregate!$B:$M,10,FALSE()),""),IFERROR(VLOOKUP(DraftSheet!$C34,Aggregate!$B:$M,9,FALSE()),""))</f>
        <v>1</v>
      </c>
      <c r="G34" s="71">
        <f>SUMIFS($J35:J$44,$I35:I$44,"&lt;&gt;x",$I35:I$44,"&lt;&gt;o",$J35:J$44,"&gt;0")/Aggregate!$J$1</f>
        <v>0</v>
      </c>
      <c r="H34" s="61">
        <f t="array" ref="H34">IFERROR(INDEX(ECR!$K:$K,MATCH(DraftSheet!$C34,ECR!$C:$C,0)),"ND")</f>
        <v>230</v>
      </c>
      <c r="I34" s="82"/>
      <c r="J34" s="78">
        <f>VLOOKUP(C34,Aggregate!B:J,9,FALSE())</f>
        <v>-105.9013001</v>
      </c>
      <c r="K34" s="79"/>
      <c r="L34" s="61">
        <f>IFERROR(VLOOKUP(DraftSheet!$M34,Aggregate!$P:$AA,11,FALSE()),"")</f>
        <v>5</v>
      </c>
      <c r="M34" s="63" t="str">
        <f>Aggregate!P32</f>
        <v>Rico Dowdle</v>
      </c>
      <c r="N34" s="63" t="str">
        <f>VLOOKUP(DraftSheet!$M34,Aggregate!P:AA,4,FALSE())</f>
        <v>PIT/9</v>
      </c>
      <c r="O34" s="61">
        <f>IFERROR(VLOOKUP(DraftSheet!$M34,Aggregate!$P:$AA,8,FALSE()),"")</f>
        <v>126.0260065</v>
      </c>
      <c r="P34" s="61">
        <f>IF(Scoring!$K$6="Auction",IFERROR(VLOOKUP(DraftSheet!$M34,Aggregate!$P:$AA,10,FALSE()),""),IFERROR(VLOOKUP(DraftSheet!$M34,Aggregate!$P:$AA,9,FALSE()),""))</f>
        <v>13.48151684</v>
      </c>
      <c r="Q34" s="71">
        <f>SUMIFS($T35:T$84,$S35:S$84,"&lt;&gt;x",$S35:S$84,"&lt;&gt;o",$T35:T$84,"&gt;0")/Aggregate!$X$1</f>
        <v>0.115583125</v>
      </c>
      <c r="R34" s="61">
        <f t="array" ref="R34">IFERROR(INDEX(ECR!$K:$K,MATCH(DraftSheet!$M34,ECR!$C:$C,0)),"ND")</f>
        <v>82</v>
      </c>
      <c r="S34" s="82"/>
      <c r="T34" s="78">
        <f>VLOOKUP(M34,Aggregate!P:X,9,FALSE())</f>
        <v>47.63511743</v>
      </c>
      <c r="U34" s="83"/>
      <c r="V34" s="61">
        <f>IFERROR(VLOOKUP(DraftSheet!$W34,Aggregate!$AD:$AO,11,FALSE()),"")</f>
        <v>4</v>
      </c>
      <c r="W34" s="63" t="str">
        <f>Aggregate!AD33</f>
        <v>Marvin Harrison Jr.</v>
      </c>
      <c r="X34" s="63" t="str">
        <f>VLOOKUP(DraftSheet!$W34,Aggregate!AD:AO,4,FALSE())</f>
        <v>ARI/14</v>
      </c>
      <c r="Y34" s="61">
        <f>IFERROR(VLOOKUP(DraftSheet!$W34,Aggregate!$AD:$AO,8,FALSE()),"")</f>
        <v>120.3436476</v>
      </c>
      <c r="Z34" s="61">
        <f>IF(Scoring!$K$6="Auction",IFERROR(VLOOKUP(DraftSheet!$W34,Aggregate!$AD:$AO,10,FALSE()),""),IFERROR(VLOOKUP(DraftSheet!$W34,Aggregate!$AD:$AO,9,FALSE()),""))</f>
        <v>11.17246238</v>
      </c>
      <c r="AA34" s="71">
        <f>SUMIFS($AD35:AD$84,$AC35:AC$84,"&lt;&gt;x",$AC35:AC$84,"&lt;&gt;o",$AD35:AD$84,"&gt;0")/Aggregate!$AL$1</f>
        <v>0.2138432609</v>
      </c>
      <c r="AB34" s="61">
        <f t="array" ref="AB34">IFERROR(INDEX(ECR!$K:$K,MATCH(DraftSheet!$W34,ECR!$C:$C,0)),"ND")</f>
        <v>72</v>
      </c>
      <c r="AC34" s="82"/>
      <c r="AD34" s="78">
        <f>VLOOKUP(W34,Aggregate!AD:AL,9,FALSE())</f>
        <v>38.82272051</v>
      </c>
      <c r="AE34" s="3"/>
      <c r="AF34" s="3"/>
      <c r="AG34" s="3"/>
      <c r="AH34" s="3"/>
    </row>
    <row r="35" ht="14.25" customHeight="1">
      <c r="A35" s="3"/>
      <c r="B35" s="61">
        <f>IFERROR(VLOOKUP(DraftSheet!$C35,Aggregate!$B:$M,11,FALSE()),"")</f>
        <v>11</v>
      </c>
      <c r="C35" s="63" t="str">
        <f>Aggregate!B36</f>
        <v>Deshaun Watson</v>
      </c>
      <c r="D35" s="63" t="str">
        <f>VLOOKUP(DraftSheet!$C35,Aggregate!B:M,4,FALSE())</f>
        <v>CLE/11</v>
      </c>
      <c r="E35" s="61">
        <f>IFERROR(VLOOKUP(DraftSheet!$C35,Aggregate!$B:$M,8,FALSE()),"")</f>
        <v>84.63736471</v>
      </c>
      <c r="F35" s="61">
        <f>IF(Scoring!$K$6="Auction",IFERROR(VLOOKUP(DraftSheet!$C35,Aggregate!$B:$M,10,FALSE()),""),IFERROR(VLOOKUP(DraftSheet!$C35,Aggregate!$B:$M,9,FALSE()),""))</f>
        <v>1</v>
      </c>
      <c r="G35" s="71">
        <f>SUMIFS($J36:J$44,$I36:I$44,"&lt;&gt;x",$I36:I$44,"&lt;&gt;o",$J36:J$44,"&gt;0")/Aggregate!$J$1</f>
        <v>0</v>
      </c>
      <c r="H35" s="61">
        <f t="array" ref="H35">IFERROR(INDEX(ECR!$K:$K,MATCH(DraftSheet!$C35,ECR!$C:$C,0)),"ND")</f>
        <v>279</v>
      </c>
      <c r="I35" s="82"/>
      <c r="J35" s="78">
        <f>VLOOKUP(C35,Aggregate!B:J,9,FALSE())</f>
        <v>-137.0094413</v>
      </c>
      <c r="K35" s="79"/>
      <c r="L35" s="61">
        <f>IFERROR(VLOOKUP(DraftSheet!$M35,Aggregate!$P:$AA,11,FALSE()),"")</f>
        <v>5</v>
      </c>
      <c r="M35" s="63" t="str">
        <f>Aggregate!P34</f>
        <v>J.K. Dobbins</v>
      </c>
      <c r="N35" s="63" t="str">
        <f>VLOOKUP(DraftSheet!$M35,Aggregate!P:AA,4,FALSE())</f>
        <v>DEN/10</v>
      </c>
      <c r="O35" s="61">
        <f>IFERROR(VLOOKUP(DraftSheet!$M35,Aggregate!$P:$AA,8,FALSE()),"")</f>
        <v>123.5081372</v>
      </c>
      <c r="P35" s="61">
        <f>IF(Scoring!$K$6="Auction",IFERROR(VLOOKUP(DraftSheet!$M35,Aggregate!$P:$AA,10,FALSE()),""),IFERROR(VLOOKUP(DraftSheet!$M35,Aggregate!$P:$AA,9,FALSE()),""))</f>
        <v>12.82177609</v>
      </c>
      <c r="Q35" s="71">
        <f>SUMIFS($T36:T$84,$S36:S$84,"&lt;&gt;x",$S36:S$84,"&lt;&gt;o",$T36:T$84,"&gt;0")/Aggregate!$X$1</f>
        <v>0.1015463997</v>
      </c>
      <c r="R35" s="61">
        <f t="array" ref="R35">IFERROR(INDEX(ECR!$K:$K,MATCH(DraftSheet!$M35,ECR!$C:$C,0)),"ND")</f>
        <v>87</v>
      </c>
      <c r="S35" s="82"/>
      <c r="T35" s="78">
        <f>VLOOKUP(M35,Aggregate!P:X,9,FALSE())</f>
        <v>45.11724813</v>
      </c>
      <c r="U35" s="83"/>
      <c r="V35" s="61">
        <f>IFERROR(VLOOKUP(DraftSheet!$W35,Aggregate!$AD:$AO,11,FALSE()),"")</f>
        <v>4</v>
      </c>
      <c r="W35" s="63" t="str">
        <f>Aggregate!AD34</f>
        <v>Carnell Tate</v>
      </c>
      <c r="X35" s="63" t="str">
        <f>VLOOKUP(DraftSheet!$W35,Aggregate!AD:AO,4,FALSE())</f>
        <v>TEN/9</v>
      </c>
      <c r="Y35" s="61">
        <f>IFERROR(VLOOKUP(DraftSheet!$W35,Aggregate!$AD:$AO,8,FALSE()),"")</f>
        <v>118.5307693</v>
      </c>
      <c r="Z35" s="61">
        <f>IF(Scoring!$K$6="Auction",IFERROR(VLOOKUP(DraftSheet!$W35,Aggregate!$AD:$AO,10,FALSE()),""),IFERROR(VLOOKUP(DraftSheet!$W35,Aggregate!$AD:$AO,9,FALSE()),""))</f>
        <v>10.6974458</v>
      </c>
      <c r="AA35" s="71">
        <f>SUMIFS($AD36:AD$84,$AC36:AC$84,"&lt;&gt;x",$AC36:AC$84,"&lt;&gt;o",$AD36:AD$84,"&gt;0")/Aggregate!$AL$1</f>
        <v>0.2017726127</v>
      </c>
      <c r="AB35" s="61">
        <f t="array" ref="AB35">IFERROR(INDEX(ECR!$K:$K,MATCH(DraftSheet!$W35,ECR!$C:$C,0)),"ND")</f>
        <v>73</v>
      </c>
      <c r="AC35" s="82"/>
      <c r="AD35" s="78">
        <f>VLOOKUP(W35,Aggregate!AD:AL,9,FALSE())</f>
        <v>37.00984225</v>
      </c>
      <c r="AE35" s="3"/>
      <c r="AF35" s="3"/>
      <c r="AG35" s="3"/>
      <c r="AH35" s="3"/>
    </row>
    <row r="36" ht="14.25" customHeight="1">
      <c r="A36" s="3"/>
      <c r="B36" s="61">
        <f>IFERROR(VLOOKUP(DraftSheet!$C36,Aggregate!$B:$M,11,FALSE()),"")</f>
        <v>11</v>
      </c>
      <c r="C36" s="63" t="str">
        <f>Aggregate!B33</f>
        <v>Tua Tagovailoa</v>
      </c>
      <c r="D36" s="63" t="str">
        <f>VLOOKUP(DraftSheet!$C36,Aggregate!B:M,4,FALSE())</f>
        <v>ATL/11</v>
      </c>
      <c r="E36" s="61">
        <f>IFERROR(VLOOKUP(DraftSheet!$C36,Aggregate!$B:$M,8,FALSE()),"")</f>
        <v>77.55858824</v>
      </c>
      <c r="F36" s="61">
        <f>IF(Scoring!$K$6="Auction",IFERROR(VLOOKUP(DraftSheet!$C36,Aggregate!$B:$M,10,FALSE()),""),IFERROR(VLOOKUP(DraftSheet!$C36,Aggregate!$B:$M,9,FALSE()),""))</f>
        <v>1</v>
      </c>
      <c r="G36" s="71">
        <f>SUMIFS($J37:J$44,$I37:I$44,"&lt;&gt;x",$I37:I$44,"&lt;&gt;o",$J37:J$44,"&gt;0")/Aggregate!$J$1</f>
        <v>0</v>
      </c>
      <c r="H36" s="61">
        <f t="array" ref="H36">IFERROR(INDEX(ECR!$K:$K,MATCH(DraftSheet!$C36,ECR!$C:$C,0)),"ND")</f>
        <v>246</v>
      </c>
      <c r="I36" s="82"/>
      <c r="J36" s="78">
        <f>VLOOKUP(C36,Aggregate!B:J,9,FALSE())</f>
        <v>-144.0882178</v>
      </c>
      <c r="K36" s="79"/>
      <c r="L36" s="61">
        <f>IFERROR(VLOOKUP(DraftSheet!$M36,Aggregate!$P:$AA,11,FALSE()),"")</f>
        <v>6</v>
      </c>
      <c r="M36" s="63" t="str">
        <f>Aggregate!P35</f>
        <v>Chuba Hubbard</v>
      </c>
      <c r="N36" s="63" t="str">
        <f>VLOOKUP(DraftSheet!$M36,Aggregate!P:AA,4,FALSE())</f>
        <v>CAR/5</v>
      </c>
      <c r="O36" s="61">
        <f>IFERROR(VLOOKUP(DraftSheet!$M36,Aggregate!$P:$AA,8,FALSE()),"")</f>
        <v>116.858494</v>
      </c>
      <c r="P36" s="61">
        <f>IF(Scoring!$K$6="Auction",IFERROR(VLOOKUP(DraftSheet!$M36,Aggregate!$P:$AA,10,FALSE()),""),IFERROR(VLOOKUP(DraftSheet!$M36,Aggregate!$P:$AA,9,FALSE()),""))</f>
        <v>11.07941376</v>
      </c>
      <c r="Q36" s="71">
        <f>SUMIFS($T37:T$84,$S37:S$84,"&lt;&gt;x",$S37:S$84,"&lt;&gt;o",$T37:T$84,"&gt;0")/Aggregate!$X$1</f>
        <v>0.08957848875</v>
      </c>
      <c r="R36" s="61">
        <f t="array" ref="R36">IFERROR(INDEX(ECR!$K:$K,MATCH(DraftSheet!$M36,ECR!$C:$C,0)),"ND")</f>
        <v>93</v>
      </c>
      <c r="S36" s="82"/>
      <c r="T36" s="78">
        <f>VLOOKUP(M36,Aggregate!P:X,9,FALSE())</f>
        <v>38.46760487</v>
      </c>
      <c r="U36" s="83"/>
      <c r="V36" s="61">
        <f>IFERROR(VLOOKUP(DraftSheet!$W36,Aggregate!$AD:$AO,11,FALSE()),"")</f>
        <v>4</v>
      </c>
      <c r="W36" s="63" t="str">
        <f>Aggregate!AD36</f>
        <v>DK Metcalf</v>
      </c>
      <c r="X36" s="63" t="str">
        <f>VLOOKUP(DraftSheet!$W36,Aggregate!AD:AO,4,FALSE())</f>
        <v>PIT/9</v>
      </c>
      <c r="Y36" s="61">
        <f>IFERROR(VLOOKUP(DraftSheet!$W36,Aggregate!$AD:$AO,8,FALSE()),"")</f>
        <v>118.1492676</v>
      </c>
      <c r="Z36" s="61">
        <f>IF(Scoring!$K$6="Auction",IFERROR(VLOOKUP(DraftSheet!$W36,Aggregate!$AD:$AO,10,FALSE()),""),IFERROR(VLOOKUP(DraftSheet!$W36,Aggregate!$AD:$AO,9,FALSE()),""))</f>
        <v>10.59748341</v>
      </c>
      <c r="AA36" s="71">
        <f>SUMIFS($AD37:AD$84,$AC37:AC$84,"&lt;&gt;x",$AC37:AC$84,"&lt;&gt;o",$AD37:AD$84,"&gt;0")/Aggregate!$AL$1</f>
        <v>0.1898263901</v>
      </c>
      <c r="AB36" s="61">
        <f t="array" ref="AB36">IFERROR(INDEX(ECR!$K:$K,MATCH(DraftSheet!$W36,ECR!$C:$C,0)),"ND")</f>
        <v>78</v>
      </c>
      <c r="AC36" s="82"/>
      <c r="AD36" s="78">
        <f>VLOOKUP(W36,Aggregate!AD:AL,9,FALSE())</f>
        <v>36.62834056</v>
      </c>
      <c r="AE36" s="3"/>
      <c r="AF36" s="3"/>
      <c r="AG36" s="3"/>
      <c r="AH36" s="3"/>
    </row>
    <row r="37" ht="14.25" customHeight="1">
      <c r="A37" s="3"/>
      <c r="B37" s="61">
        <f>IFERROR(VLOOKUP(DraftSheet!$C37,Aggregate!$B:$M,11,FALSE()),"")</f>
        <v>11</v>
      </c>
      <c r="C37" s="63" t="str">
        <f>Aggregate!B34</f>
        <v>Michael Penix Jr.</v>
      </c>
      <c r="D37" s="63" t="str">
        <f>VLOOKUP(DraftSheet!$C37,Aggregate!B:M,4,FALSE())</f>
        <v>ATL/11</v>
      </c>
      <c r="E37" s="61">
        <f>IFERROR(VLOOKUP(DraftSheet!$C37,Aggregate!$B:$M,8,FALSE()),"")</f>
        <v>75.04037647</v>
      </c>
      <c r="F37" s="61">
        <f>IF(Scoring!$K$6="Auction",IFERROR(VLOOKUP(DraftSheet!$C37,Aggregate!$B:$M,10,FALSE()),""),IFERROR(VLOOKUP(DraftSheet!$C37,Aggregate!$B:$M,9,FALSE()),""))</f>
        <v>1</v>
      </c>
      <c r="G37" s="71">
        <f>SUMIFS($J38:J$44,$I38:I$44,"&lt;&gt;x",$I38:I$44,"&lt;&gt;o",$J38:J$44,"&gt;0")/Aggregate!$J$1</f>
        <v>0</v>
      </c>
      <c r="H37" s="61">
        <f t="array" ref="H37">IFERROR(INDEX(ECR!$K:$K,MATCH(DraftSheet!$C37,ECR!$C:$C,0)),"ND")</f>
        <v>268</v>
      </c>
      <c r="I37" s="82"/>
      <c r="J37" s="78">
        <f>VLOOKUP(C37,Aggregate!B:J,9,FALSE())</f>
        <v>-146.6064295</v>
      </c>
      <c r="K37" s="79"/>
      <c r="L37" s="61">
        <f>IFERROR(VLOOKUP(DraftSheet!$M37,Aggregate!$P:$AA,11,FALSE()),"")</f>
        <v>6</v>
      </c>
      <c r="M37" s="63" t="str">
        <f>Aggregate!P33</f>
        <v>Jonathon Brooks</v>
      </c>
      <c r="N37" s="63" t="str">
        <f>VLOOKUP(DraftSheet!$M37,Aggregate!P:AA,4,FALSE())</f>
        <v>CAR/5</v>
      </c>
      <c r="O37" s="61">
        <f>IFERROR(VLOOKUP(DraftSheet!$M37,Aggregate!$P:$AA,8,FALSE()),"")</f>
        <v>115.5946898</v>
      </c>
      <c r="P37" s="61">
        <f>IF(Scoring!$K$6="Auction",IFERROR(VLOOKUP(DraftSheet!$M37,Aggregate!$P:$AA,10,FALSE()),""),IFERROR(VLOOKUP(DraftSheet!$M37,Aggregate!$P:$AA,9,FALSE()),""))</f>
        <v>10.74826744</v>
      </c>
      <c r="Q37" s="71">
        <f>SUMIFS($T38:T$84,$S38:S$84,"&lt;&gt;x",$S38:S$84,"&lt;&gt;o",$T38:T$84,"&gt;0")/Aggregate!$X$1</f>
        <v>0.07800376833</v>
      </c>
      <c r="R37" s="61">
        <f t="array" ref="R37">IFERROR(INDEX(ECR!$K:$K,MATCH(DraftSheet!$M37,ECR!$C:$C,0)),"ND")</f>
        <v>85</v>
      </c>
      <c r="S37" s="82"/>
      <c r="T37" s="78">
        <f>VLOOKUP(M37,Aggregate!P:X,9,FALSE())</f>
        <v>37.20380066</v>
      </c>
      <c r="U37" s="83"/>
      <c r="V37" s="61">
        <f>IFERROR(VLOOKUP(DraftSheet!$W37,Aggregate!$AD:$AO,11,FALSE()),"")</f>
        <v>4</v>
      </c>
      <c r="W37" s="63" t="str">
        <f>Aggregate!AD38</f>
        <v>Courtland Sutton</v>
      </c>
      <c r="X37" s="63" t="str">
        <f>VLOOKUP(DraftSheet!$W37,Aggregate!AD:AO,4,FALSE())</f>
        <v>DEN/10</v>
      </c>
      <c r="Y37" s="61">
        <f>IFERROR(VLOOKUP(DraftSheet!$W37,Aggregate!$AD:$AO,8,FALSE()),"")</f>
        <v>116.9123194</v>
      </c>
      <c r="Z37" s="61">
        <f>IF(Scoring!$K$6="Auction",IFERROR(VLOOKUP(DraftSheet!$W37,Aggregate!$AD:$AO,10,FALSE()),""),IFERROR(VLOOKUP(DraftSheet!$W37,Aggregate!$AD:$AO,9,FALSE()),""))</f>
        <v>10.27337399</v>
      </c>
      <c r="AA37" s="71">
        <f>SUMIFS($AD38:AD$84,$AC38:AC$84,"&lt;&gt;x",$AC38:AC$84,"&lt;&gt;o",$AD38:AD$84,"&gt;0")/Aggregate!$AL$1</f>
        <v>0.1782835945</v>
      </c>
      <c r="AB37" s="61">
        <f t="array" ref="AB37">IFERROR(INDEX(ECR!$K:$K,MATCH(DraftSheet!$W37,ECR!$C:$C,0)),"ND")</f>
        <v>86</v>
      </c>
      <c r="AC37" s="82"/>
      <c r="AD37" s="78">
        <f>VLOOKUP(W37,Aggregate!AD:AL,9,FALSE())</f>
        <v>35.39139231</v>
      </c>
      <c r="AE37" s="3"/>
      <c r="AF37" s="3"/>
      <c r="AG37" s="3"/>
      <c r="AH37" s="3"/>
    </row>
    <row r="38" ht="14.25" customHeight="1">
      <c r="A38" s="3"/>
      <c r="B38" s="61">
        <f>IFERROR(VLOOKUP(DraftSheet!$C38,Aggregate!$B:$M,11,FALSE()),"")</f>
        <v>12</v>
      </c>
      <c r="C38" s="63" t="str">
        <f>Aggregate!B37</f>
        <v>Shedeur Sanders</v>
      </c>
      <c r="D38" s="63" t="str">
        <f>VLOOKUP(DraftSheet!$C38,Aggregate!B:M,4,FALSE())</f>
        <v>CLE/11</v>
      </c>
      <c r="E38" s="61">
        <f>IFERROR(VLOOKUP(DraftSheet!$C38,Aggregate!$B:$M,8,FALSE()),"")</f>
        <v>46.37138824</v>
      </c>
      <c r="F38" s="61">
        <f>IF(Scoring!$K$6="Auction",IFERROR(VLOOKUP(DraftSheet!$C38,Aggregate!$B:$M,10,FALSE()),""),IFERROR(VLOOKUP(DraftSheet!$C38,Aggregate!$B:$M,9,FALSE()),""))</f>
        <v>1</v>
      </c>
      <c r="G38" s="71">
        <f>SUMIFS($J39:J$44,$I39:I$44,"&lt;&gt;x",$I39:I$44,"&lt;&gt;o",$J39:J$44,"&gt;0")/Aggregate!$J$1</f>
        <v>0</v>
      </c>
      <c r="H38" s="61">
        <f t="array" ref="H38">IFERROR(INDEX(ECR!$K:$K,MATCH(DraftSheet!$C38,ECR!$C:$C,0)),"ND")</f>
        <v>282</v>
      </c>
      <c r="I38" s="82"/>
      <c r="J38" s="78">
        <f>VLOOKUP(C38,Aggregate!B:J,9,FALSE())</f>
        <v>-175.2754178</v>
      </c>
      <c r="K38" s="79"/>
      <c r="L38" s="61">
        <f>IFERROR(VLOOKUP(DraftSheet!$M38,Aggregate!$P:$AA,11,FALSE()),"")</f>
        <v>6</v>
      </c>
      <c r="M38" s="63" t="str">
        <f>Aggregate!P41</f>
        <v>Kyle Monangai</v>
      </c>
      <c r="N38" s="63" t="str">
        <f>VLOOKUP(DraftSheet!$M38,Aggregate!P:AA,4,FALSE())</f>
        <v>CHI/10</v>
      </c>
      <c r="O38" s="61">
        <f>IFERROR(VLOOKUP(DraftSheet!$M38,Aggregate!$P:$AA,8,FALSE()),"")</f>
        <v>107.1046504</v>
      </c>
      <c r="P38" s="61">
        <f>IF(Scoring!$K$6="Auction",IFERROR(VLOOKUP(DraftSheet!$M38,Aggregate!$P:$AA,10,FALSE()),""),IFERROR(VLOOKUP(DraftSheet!$M38,Aggregate!$P:$AA,9,FALSE()),""))</f>
        <v>8.523678216</v>
      </c>
      <c r="Q38" s="71">
        <f>SUMIFS($T39:T$84,$S39:S$84,"&lt;&gt;x",$S39:S$84,"&lt;&gt;o",$T39:T$84,"&gt;0")/Aggregate!$X$1</f>
        <v>0.06907044019</v>
      </c>
      <c r="R38" s="61">
        <f t="array" ref="R38">IFERROR(INDEX(ECR!$K:$K,MATCH(DraftSheet!$M38,ECR!$C:$C,0)),"ND")</f>
        <v>111</v>
      </c>
      <c r="S38" s="82"/>
      <c r="T38" s="78">
        <f>VLOOKUP(M38,Aggregate!P:X,9,FALSE())</f>
        <v>28.71376131</v>
      </c>
      <c r="U38" s="83"/>
      <c r="V38" s="61">
        <f>IFERROR(VLOOKUP(DraftSheet!$W38,Aggregate!$AD:$AO,11,FALSE()),"")</f>
        <v>4</v>
      </c>
      <c r="W38" s="63" t="str">
        <f>Aggregate!AD43</f>
        <v>Alec Pierce</v>
      </c>
      <c r="X38" s="63" t="str">
        <f>VLOOKUP(DraftSheet!$W38,Aggregate!AD:AO,4,FALSE())</f>
        <v>IND/13</v>
      </c>
      <c r="Y38" s="61">
        <f>IFERROR(VLOOKUP(DraftSheet!$W38,Aggregate!$AD:$AO,8,FALSE()),"")</f>
        <v>116.6843118</v>
      </c>
      <c r="Z38" s="61">
        <f>IF(Scoring!$K$6="Auction",IFERROR(VLOOKUP(DraftSheet!$W38,Aggregate!$AD:$AO,10,FALSE()),""),IFERROR(VLOOKUP(DraftSheet!$W38,Aggregate!$AD:$AO,9,FALSE()),""))</f>
        <v>10.21363066</v>
      </c>
      <c r="AA38" s="71">
        <f>SUMIFS($AD39:AD$84,$AC39:AC$84,"&lt;&gt;x",$AC39:AC$84,"&lt;&gt;o",$AD39:AD$84,"&gt;0")/Aggregate!$AL$1</f>
        <v>0.1668151628</v>
      </c>
      <c r="AB38" s="61">
        <f t="array" ref="AB38">IFERROR(INDEX(ECR!$K:$K,MATCH(DraftSheet!$W38,ECR!$C:$C,0)),"ND")</f>
        <v>97</v>
      </c>
      <c r="AC38" s="82"/>
      <c r="AD38" s="78">
        <f>VLOOKUP(W38,Aggregate!AD:AL,9,FALSE())</f>
        <v>35.16338471</v>
      </c>
      <c r="AE38" s="3"/>
      <c r="AF38" s="3"/>
      <c r="AG38" s="3"/>
      <c r="AH38" s="3"/>
    </row>
    <row r="39" ht="14.25" customHeight="1">
      <c r="A39" s="3"/>
      <c r="B39" s="61">
        <f>IFERROR(VLOOKUP(DraftSheet!$C39,Aggregate!$B:$M,11,FALSE()),"")</f>
        <v>12</v>
      </c>
      <c r="C39" s="63" t="str">
        <f>Aggregate!B35</f>
        <v>Kirk Cousins</v>
      </c>
      <c r="D39" s="63" t="str">
        <f>VLOOKUP(DraftSheet!$C39,Aggregate!B:M,4,FALSE())</f>
        <v>LV/13</v>
      </c>
      <c r="E39" s="61">
        <f>IFERROR(VLOOKUP(DraftSheet!$C39,Aggregate!$B:$M,8,FALSE()),"")</f>
        <v>39.22447059</v>
      </c>
      <c r="F39" s="61">
        <f>IF(Scoring!$K$6="Auction",IFERROR(VLOOKUP(DraftSheet!$C39,Aggregate!$B:$M,10,FALSE()),""),IFERROR(VLOOKUP(DraftSheet!$C39,Aggregate!$B:$M,9,FALSE()),""))</f>
        <v>1</v>
      </c>
      <c r="G39" s="71">
        <f>SUMIFS($J40:J$44,$I40:I$44,"&lt;&gt;x",$I40:I$44,"&lt;&gt;o",$J40:J$44,"&gt;0")/Aggregate!$J$1</f>
        <v>0</v>
      </c>
      <c r="H39" s="61">
        <f t="array" ref="H39">IFERROR(INDEX(ECR!$K:$K,MATCH(DraftSheet!$C39,ECR!$C:$C,0)),"ND")</f>
        <v>270</v>
      </c>
      <c r="I39" s="82"/>
      <c r="J39" s="78">
        <f>VLOOKUP(C39,Aggregate!B:J,9,FALSE())</f>
        <v>-182.4223354</v>
      </c>
      <c r="K39" s="79"/>
      <c r="L39" s="61">
        <f>IFERROR(VLOOKUP(DraftSheet!$M39,Aggregate!$P:$AA,11,FALSE()),"")</f>
        <v>6</v>
      </c>
      <c r="M39" s="63" t="str">
        <f>Aggregate!P38</f>
        <v>RJ Harvey</v>
      </c>
      <c r="N39" s="63" t="str">
        <f>VLOOKUP(DraftSheet!$M39,Aggregate!P:AA,4,FALSE())</f>
        <v>DEN/10</v>
      </c>
      <c r="O39" s="61">
        <f>IFERROR(VLOOKUP(DraftSheet!$M39,Aggregate!$P:$AA,8,FALSE()),"")</f>
        <v>106.8914164</v>
      </c>
      <c r="P39" s="61">
        <f>IF(Scoring!$K$6="Auction",IFERROR(VLOOKUP(DraftSheet!$M39,Aggregate!$P:$AA,10,FALSE()),""),IFERROR(VLOOKUP(DraftSheet!$M39,Aggregate!$P:$AA,9,FALSE()),""))</f>
        <v>8.467805904</v>
      </c>
      <c r="Q39" s="71">
        <f>SUMIFS($T40:T$84,$S40:S$84,"&lt;&gt;x",$S40:S$84,"&lt;&gt;o",$T40:T$84,"&gt;0")/Aggregate!$X$1</f>
        <v>0.0602034527</v>
      </c>
      <c r="R39" s="61">
        <f t="array" ref="R39">IFERROR(INDEX(ECR!$K:$K,MATCH(DraftSheet!$M39,ECR!$C:$C,0)),"ND")</f>
        <v>100</v>
      </c>
      <c r="S39" s="82"/>
      <c r="T39" s="78">
        <f>VLOOKUP(M39,Aggregate!P:X,9,FALSE())</f>
        <v>28.50052728</v>
      </c>
      <c r="U39" s="83"/>
      <c r="V39" s="61">
        <f>IFERROR(VLOOKUP(DraftSheet!$W39,Aggregate!$AD:$AO,11,FALSE()),"")</f>
        <v>4</v>
      </c>
      <c r="W39" s="63" t="str">
        <f>Aggregate!AD32</f>
        <v>Parker Washington</v>
      </c>
      <c r="X39" s="63" t="str">
        <f>VLOOKUP(DraftSheet!$W39,Aggregate!AD:AO,4,FALSE())</f>
        <v>JAC/7</v>
      </c>
      <c r="Y39" s="61">
        <f>IFERROR(VLOOKUP(DraftSheet!$W39,Aggregate!$AD:$AO,8,FALSE()),"")</f>
        <v>115.6485545</v>
      </c>
      <c r="Z39" s="61">
        <f>IF(Scoring!$K$6="Auction",IFERROR(VLOOKUP(DraftSheet!$W39,Aggregate!$AD:$AO,10,FALSE()),""),IFERROR(VLOOKUP(DraftSheet!$W39,Aggregate!$AD:$AO,9,FALSE()),""))</f>
        <v>9.942237983</v>
      </c>
      <c r="AA39" s="71">
        <f>SUMIFS($AD40:AD$84,$AC40:AC$84,"&lt;&gt;x",$AC40:AC$84,"&lt;&gt;o",$AD40:AD$84,"&gt;0")/Aggregate!$AL$1</f>
        <v>0.1556845403</v>
      </c>
      <c r="AB39" s="61">
        <f t="array" ref="AB39">IFERROR(INDEX(ECR!$K:$K,MATCH(DraftSheet!$W39,ECR!$C:$C,0)),"ND")</f>
        <v>68</v>
      </c>
      <c r="AC39" s="82"/>
      <c r="AD39" s="78">
        <f>VLOOKUP(W39,Aggregate!AD:AL,9,FALSE())</f>
        <v>34.12762743</v>
      </c>
      <c r="AE39" s="3"/>
      <c r="AF39" s="3"/>
      <c r="AG39" s="3"/>
      <c r="AH39" s="3"/>
    </row>
    <row r="40" ht="15.0" customHeight="1">
      <c r="A40" s="3"/>
      <c r="B40" s="61">
        <f>IFERROR(VLOOKUP(DraftSheet!$C40,Aggregate!$B:$M,11,FALSE()),"")</f>
        <v>13</v>
      </c>
      <c r="C40" s="63" t="str">
        <f>Aggregate!B39</f>
        <v>J.J. McCarthy</v>
      </c>
      <c r="D40" s="63" t="str">
        <f>VLOOKUP(DraftSheet!$C40,Aggregate!B:M,4,FALSE())</f>
        <v>MIN/6</v>
      </c>
      <c r="E40" s="61">
        <f>IFERROR(VLOOKUP(DraftSheet!$C40,Aggregate!$B:$M,8,FALSE()),"")</f>
        <v>15.13261176</v>
      </c>
      <c r="F40" s="61">
        <f>IF(Scoring!$K$6="Auction",IFERROR(VLOOKUP(DraftSheet!$C40,Aggregate!$B:$M,10,FALSE()),""),IFERROR(VLOOKUP(DraftSheet!$C40,Aggregate!$B:$M,9,FALSE()),""))</f>
        <v>1</v>
      </c>
      <c r="G40" s="71">
        <f>SUMIFS($J41:J$44,$I41:I$44,"&lt;&gt;x",$I41:I$44,"&lt;&gt;o",$J41:J$44,"&gt;0")/Aggregate!$J$1</f>
        <v>0</v>
      </c>
      <c r="H40" s="61">
        <f t="array" ref="H40">IFERROR(INDEX(ECR!$K:$K,MATCH(DraftSheet!$C40,ECR!$C:$C,0)),"ND")</f>
        <v>333</v>
      </c>
      <c r="I40" s="82"/>
      <c r="J40" s="78">
        <f>VLOOKUP(C40,Aggregate!B:J,9,FALSE())</f>
        <v>-206.5141942</v>
      </c>
      <c r="K40" s="79"/>
      <c r="L40" s="61">
        <f>IFERROR(VLOOKUP(DraftSheet!$M40,Aggregate!$P:$AA,11,FALSE()),"")</f>
        <v>6</v>
      </c>
      <c r="M40" s="63" t="str">
        <f>Aggregate!P37</f>
        <v>Jacory Croskey-Merritt</v>
      </c>
      <c r="N40" s="63" t="str">
        <f>VLOOKUP(DraftSheet!$M40,Aggregate!P:AA,4,FALSE())</f>
        <v>WAS/7</v>
      </c>
      <c r="O40" s="61">
        <f>IFERROR(VLOOKUP(DraftSheet!$M40,Aggregate!$P:$AA,8,FALSE()),"")</f>
        <v>106.0946801</v>
      </c>
      <c r="P40" s="61">
        <f>IF(Scoring!$K$6="Auction",IFERROR(VLOOKUP(DraftSheet!$M40,Aggregate!$P:$AA,10,FALSE()),""),IFERROR(VLOOKUP(DraftSheet!$M40,Aggregate!$P:$AA,9,FALSE()),""))</f>
        <v>8.259042343</v>
      </c>
      <c r="Q40" s="71">
        <f>SUMIFS($T41:T$84,$S41:S$84,"&lt;&gt;x",$S41:S$84,"&lt;&gt;o",$T41:T$84,"&gt;0")/Aggregate!$X$1</f>
        <v>0.05158434308</v>
      </c>
      <c r="R40" s="61">
        <f t="array" ref="R40">IFERROR(INDEX(ECR!$K:$K,MATCH(DraftSheet!$M40,ECR!$C:$C,0)),"ND")</f>
        <v>99</v>
      </c>
      <c r="S40" s="82"/>
      <c r="T40" s="78">
        <f>VLOOKUP(M40,Aggregate!P:X,9,FALSE())</f>
        <v>27.70379104</v>
      </c>
      <c r="U40" s="83"/>
      <c r="V40" s="61">
        <f>IFERROR(VLOOKUP(DraftSheet!$W40,Aggregate!$AD:$AO,11,FALSE()),"")</f>
        <v>4</v>
      </c>
      <c r="W40" s="63" t="str">
        <f>Aggregate!AD35</f>
        <v>Brian Thomas Jr.</v>
      </c>
      <c r="X40" s="63" t="str">
        <f>VLOOKUP(DraftSheet!$W40,Aggregate!AD:AO,4,FALSE())</f>
        <v>JAC/7</v>
      </c>
      <c r="Y40" s="61">
        <f>IFERROR(VLOOKUP(DraftSheet!$W40,Aggregate!$AD:$AO,8,FALSE()),"")</f>
        <v>112.9407704</v>
      </c>
      <c r="Z40" s="61">
        <f>IF(Scoring!$K$6="Auction",IFERROR(VLOOKUP(DraftSheet!$W40,Aggregate!$AD:$AO,10,FALSE()),""),IFERROR(VLOOKUP(DraftSheet!$W40,Aggregate!$AD:$AO,9,FALSE()),""))</f>
        <v>9.23273511</v>
      </c>
      <c r="AA40" s="71">
        <f>SUMIFS($AD41:AD$84,$AC41:AC$84,"&lt;&gt;x",$AC41:AC$84,"&lt;&gt;o",$AD41:AD$84,"&gt;0")/Aggregate!$AL$1</f>
        <v>0.1454370533</v>
      </c>
      <c r="AB40" s="61">
        <f t="array" ref="AB40">IFERROR(INDEX(ECR!$K:$K,MATCH(DraftSheet!$W40,ECR!$C:$C,0)),"ND")</f>
        <v>76</v>
      </c>
      <c r="AC40" s="82"/>
      <c r="AD40" s="78">
        <f>VLOOKUP(W40,Aggregate!AD:AL,9,FALSE())</f>
        <v>31.41984334</v>
      </c>
      <c r="AE40" s="3"/>
      <c r="AF40" s="3"/>
      <c r="AG40" s="3"/>
      <c r="AH40" s="3"/>
    </row>
    <row r="41" ht="15.0" customHeight="1">
      <c r="A41" s="3"/>
      <c r="B41" s="61">
        <f>IFERROR(VLOOKUP(DraftSheet!$C41,Aggregate!$B:$M,11,FALSE()),"")</f>
        <v>13</v>
      </c>
      <c r="C41" s="63" t="str">
        <f>Aggregate!B38</f>
        <v>Carson Beck</v>
      </c>
      <c r="D41" s="63" t="str">
        <f>VLOOKUP(DraftSheet!$C41,Aggregate!B:M,4,FALSE())</f>
        <v>ARI/14</v>
      </c>
      <c r="E41" s="61">
        <f>IFERROR(VLOOKUP(DraftSheet!$C41,Aggregate!$B:$M,8,FALSE()),"")</f>
        <v>14.51821176</v>
      </c>
      <c r="F41" s="61">
        <f>IF(Scoring!$K$6="Auction",IFERROR(VLOOKUP(DraftSheet!$C41,Aggregate!$B:$M,10,FALSE()),""),IFERROR(VLOOKUP(DraftSheet!$C41,Aggregate!$B:$M,9,FALSE()),""))</f>
        <v>1</v>
      </c>
      <c r="G41" s="71">
        <f>SUMIFS(J$42:$J44,I$42:$I44,"&lt;&gt;x",I$42:$I44,"&lt;&gt;o",J$42:$J44,"&gt;0")/Aggregate!$J$1</f>
        <v>0</v>
      </c>
      <c r="H41" s="61">
        <f t="array" ref="H41">IFERROR(INDEX(ECR!$K:$K,MATCH(DraftSheet!$C41,ECR!$C:$C,0)),"ND")</f>
        <v>329</v>
      </c>
      <c r="I41" s="82"/>
      <c r="J41" s="78">
        <f>VLOOKUP(C41,Aggregate!B:J,9,FALSE())</f>
        <v>-207.1285942</v>
      </c>
      <c r="K41" s="79"/>
      <c r="L41" s="61">
        <f>IFERROR(VLOOKUP(DraftSheet!$M41,Aggregate!$P:$AA,11,FALSE()),"")</f>
        <v>6</v>
      </c>
      <c r="M41" s="63" t="str">
        <f>Aggregate!P42</f>
        <v>Rachaad White</v>
      </c>
      <c r="N41" s="63" t="str">
        <f>VLOOKUP(DraftSheet!$M41,Aggregate!P:AA,4,FALSE())</f>
        <v>WAS/7</v>
      </c>
      <c r="O41" s="61">
        <f>IFERROR(VLOOKUP(DraftSheet!$M41,Aggregate!$P:$AA,8,FALSE()),"")</f>
        <v>105.6110141</v>
      </c>
      <c r="P41" s="61">
        <f>IF(Scoring!$K$6="Auction",IFERROR(VLOOKUP(DraftSheet!$M41,Aggregate!$P:$AA,10,FALSE()),""),IFERROR(VLOOKUP(DraftSheet!$M41,Aggregate!$P:$AA,9,FALSE()),""))</f>
        <v>8.132310511</v>
      </c>
      <c r="Q41" s="71">
        <f>SUMIFS($T42:T$84,$S42:S$84,"&lt;&gt;x",$S42:S$84,"&lt;&gt;o",$T42:T$84,"&gt;0")/Aggregate!$X$1</f>
        <v>0.04311571</v>
      </c>
      <c r="R41" s="61">
        <f t="array" ref="R41">IFERROR(INDEX(ECR!$K:$K,MATCH(DraftSheet!$M41,ECR!$C:$C,0)),"ND")</f>
        <v>114</v>
      </c>
      <c r="S41" s="82"/>
      <c r="T41" s="78">
        <f>VLOOKUP(M41,Aggregate!P:X,9,FALSE())</f>
        <v>27.22012501</v>
      </c>
      <c r="U41" s="83"/>
      <c r="V41" s="61">
        <f>IFERROR(VLOOKUP(DraftSheet!$W41,Aggregate!$AD:$AO,11,FALSE()),"")</f>
        <v>5</v>
      </c>
      <c r="W41" s="63" t="str">
        <f>Aggregate!AD39</f>
        <v>Michael Pittman Jr.</v>
      </c>
      <c r="X41" s="63" t="str">
        <f>VLOOKUP(DraftSheet!$W41,Aggregate!AD:AO,4,FALSE())</f>
        <v>PIT/9</v>
      </c>
      <c r="Y41" s="61">
        <f>IFERROR(VLOOKUP(DraftSheet!$W41,Aggregate!$AD:$AO,8,FALSE()),"")</f>
        <v>107.9562318</v>
      </c>
      <c r="Z41" s="61">
        <f>IF(Scoring!$K$6="Auction",IFERROR(VLOOKUP(DraftSheet!$W41,Aggregate!$AD:$AO,10,FALSE()),""),IFERROR(VLOOKUP(DraftSheet!$W41,Aggregate!$AD:$AO,9,FALSE()),""))</f>
        <v>7.926669202</v>
      </c>
      <c r="AA41" s="71">
        <f>SUMIFS($AD42:AD$84,$AC42:AC$84,"&lt;&gt;x",$AC42:AC$84,"&lt;&gt;o",$AD42:AD$84,"&gt;0")/Aggregate!$AL$1</f>
        <v>0.1368152586</v>
      </c>
      <c r="AB41" s="61">
        <f t="array" ref="AB41">IFERROR(INDEX(ECR!$K:$K,MATCH(DraftSheet!$W41,ECR!$C:$C,0)),"ND")</f>
        <v>88</v>
      </c>
      <c r="AC41" s="82"/>
      <c r="AD41" s="78">
        <f>VLOOKUP(W41,Aggregate!AD:AL,9,FALSE())</f>
        <v>26.43530471</v>
      </c>
      <c r="AE41" s="3"/>
      <c r="AF41" s="3"/>
      <c r="AG41" s="3"/>
      <c r="AH41" s="3"/>
    </row>
    <row r="42" ht="14.25" customHeight="1">
      <c r="A42" s="3"/>
      <c r="B42" s="61">
        <f>IFERROR(VLOOKUP(DraftSheet!$C42,Aggregate!$B:$M,11,FALSE()),"")</f>
        <v>13</v>
      </c>
      <c r="C42" s="63" t="str">
        <f>Aggregate!B42</f>
        <v>Ty Simpson</v>
      </c>
      <c r="D42" s="63" t="str">
        <f>VLOOKUP(DraftSheet!$C42,Aggregate!B:M,4,FALSE())</f>
        <v>LAR/11</v>
      </c>
      <c r="E42" s="61">
        <f>IFERROR(VLOOKUP(DraftSheet!$C42,Aggregate!$B:$M,8,FALSE()),"")</f>
        <v>14.30927059</v>
      </c>
      <c r="F42" s="61">
        <f>IF(Scoring!$K$6="Auction",IFERROR(VLOOKUP(DraftSheet!$C42,Aggregate!$B:$M,10,FALSE()),""),IFERROR(VLOOKUP(DraftSheet!$C42,Aggregate!$B:$M,9,FALSE()),""))</f>
        <v>1</v>
      </c>
      <c r="G42" s="71">
        <f>SUMIFS(J42:$J$45,I42:$I$45,"&lt;&gt;x",I42:$I$45,"&lt;&gt;o",J42:$J$45,"&gt;0")/Aggregate!$J$1</f>
        <v>0</v>
      </c>
      <c r="H42" s="61">
        <f t="array" ref="H42">IFERROR(INDEX(ECR!$K:$K,MATCH(DraftSheet!$C42,ECR!$C:$C,0)),"ND")</f>
        <v>361</v>
      </c>
      <c r="I42" s="82"/>
      <c r="J42" s="78">
        <f>VLOOKUP(C42,Aggregate!B:J,9,FALSE())</f>
        <v>-207.3375354</v>
      </c>
      <c r="K42" s="79"/>
      <c r="L42" s="61">
        <f>IFERROR(VLOOKUP(DraftSheet!$M42,Aggregate!$P:$AA,11,FALSE()),"")</f>
        <v>6</v>
      </c>
      <c r="M42" s="63" t="str">
        <f>Aggregate!P40</f>
        <v>Kenny Gainwell</v>
      </c>
      <c r="N42" s="63" t="str">
        <f>VLOOKUP(DraftSheet!$M42,Aggregate!P:AA,4,FALSE())</f>
        <v>TB/10</v>
      </c>
      <c r="O42" s="61">
        <f>IFERROR(VLOOKUP(DraftSheet!$M42,Aggregate!$P:$AA,8,FALSE()),"")</f>
        <v>105.5199259</v>
      </c>
      <c r="P42" s="61">
        <f>IF(Scoring!$K$6="Auction",IFERROR(VLOOKUP(DraftSheet!$M42,Aggregate!$P:$AA,10,FALSE()),""),IFERROR(VLOOKUP(DraftSheet!$M42,Aggregate!$P:$AA,9,FALSE()),""))</f>
        <v>8.108443259</v>
      </c>
      <c r="Q42" s="71">
        <f>SUMIFS($T43:T$84,$S43:S$84,"&lt;&gt;x",$S43:S$84,"&lt;&gt;o",$T43:T$84,"&gt;0")/Aggregate!$X$1</f>
        <v>0.03467541599</v>
      </c>
      <c r="R42" s="61">
        <f t="array" ref="R42">IFERROR(INDEX(ECR!$K:$K,MATCH(DraftSheet!$M42,ECR!$C:$C,0)),"ND")</f>
        <v>109</v>
      </c>
      <c r="S42" s="82"/>
      <c r="T42" s="78">
        <f>VLOOKUP(M42,Aggregate!P:X,9,FALSE())</f>
        <v>27.12903678</v>
      </c>
      <c r="U42" s="83"/>
      <c r="V42" s="61">
        <f>IFERROR(VLOOKUP(DraftSheet!$W42,Aggregate!$AD:$AO,11,FALSE()),"")</f>
        <v>5</v>
      </c>
      <c r="W42" s="63" t="str">
        <f>Aggregate!AD50</f>
        <v>KC Concepcion</v>
      </c>
      <c r="X42" s="63" t="str">
        <f>VLOOKUP(DraftSheet!$W42,Aggregate!AD:AO,4,FALSE())</f>
        <v>CLE/11</v>
      </c>
      <c r="Y42" s="61">
        <f>IFERROR(VLOOKUP(DraftSheet!$W42,Aggregate!$AD:$AO,8,FALSE()),"")</f>
        <v>107.1680188</v>
      </c>
      <c r="Z42" s="61">
        <f>IF(Scoring!$K$6="Auction",IFERROR(VLOOKUP(DraftSheet!$W42,Aggregate!$AD:$AO,10,FALSE()),""),IFERROR(VLOOKUP(DraftSheet!$W42,Aggregate!$AD:$AO,9,FALSE()),""))</f>
        <v>7.720138944</v>
      </c>
      <c r="AA42" s="71">
        <f>SUMIFS($AD43:AD$84,$AC43:AC$84,"&lt;&gt;x",$AC43:AC$84,"&lt;&gt;o",$AD43:AD$84,"&gt;0")/Aggregate!$AL$1</f>
        <v>0.1284505371</v>
      </c>
      <c r="AB42" s="61">
        <f t="array" ref="AB42">IFERROR(INDEX(ECR!$K:$K,MATCH(DraftSheet!$W42,ECR!$C:$C,0)),"ND")</f>
        <v>121</v>
      </c>
      <c r="AC42" s="82"/>
      <c r="AD42" s="78">
        <f>VLOOKUP(W42,Aggregate!AD:AL,9,FALSE())</f>
        <v>25.64709176</v>
      </c>
      <c r="AE42" s="3"/>
      <c r="AF42" s="3"/>
      <c r="AG42" s="3"/>
      <c r="AH42" s="3"/>
    </row>
    <row r="43" ht="15.0" customHeight="1">
      <c r="A43" s="3"/>
      <c r="B43" s="61">
        <f>IFERROR(VLOOKUP(DraftSheet!$C43,Aggregate!$B:$M,11,FALSE()),"")</f>
        <v>13</v>
      </c>
      <c r="C43" s="63" t="str">
        <f>Aggregate!B41</f>
        <v>Justin Fields</v>
      </c>
      <c r="D43" s="63" t="str">
        <f>VLOOKUP(DraftSheet!$C43,Aggregate!B:M,4,FALSE())</f>
        <v>KC/5</v>
      </c>
      <c r="E43" s="61">
        <f>IFERROR(VLOOKUP(DraftSheet!$C43,Aggregate!$B:$M,8,FALSE()),"")</f>
        <v>8.808282353</v>
      </c>
      <c r="F43" s="61">
        <f>IF(Scoring!$K$6="Auction",IFERROR(VLOOKUP(DraftSheet!$C43,Aggregate!$B:$M,10,FALSE()),""),IFERROR(VLOOKUP(DraftSheet!$C43,Aggregate!$B:$M,9,FALSE()),""))</f>
        <v>1</v>
      </c>
      <c r="G43" s="71">
        <f>SUMIFS(J44:$J$44,I44:$I$44,"&lt;&gt;x",I44:$I$44,"&lt;&gt;o",J44:$J$44,"&gt;0")/Aggregate!$J$1</f>
        <v>0</v>
      </c>
      <c r="H43" s="61">
        <f t="array" ref="H43">IFERROR(INDEX(ECR!$K:$K,MATCH(DraftSheet!$C43,ECR!$C:$C,0)),"ND")</f>
        <v>357</v>
      </c>
      <c r="I43" s="82"/>
      <c r="J43" s="78">
        <f>VLOOKUP(C43,Aggregate!B:J,9,FALSE())</f>
        <v>-212.8385236</v>
      </c>
      <c r="K43" s="79"/>
      <c r="L43" s="61">
        <f>IFERROR(VLOOKUP(DraftSheet!$M43,Aggregate!$P:$AA,11,FALSE()),"")</f>
        <v>6</v>
      </c>
      <c r="M43" s="63" t="str">
        <f>Aggregate!P43</f>
        <v>Aaron Jones Sr.</v>
      </c>
      <c r="N43" s="63" t="str">
        <f>VLOOKUP(DraftSheet!$M43,Aggregate!P:AA,4,FALSE())</f>
        <v>MIN/6</v>
      </c>
      <c r="O43" s="61">
        <f>IFERROR(VLOOKUP(DraftSheet!$M43,Aggregate!$P:$AA,8,FALSE()),"")</f>
        <v>103.3014966</v>
      </c>
      <c r="P43" s="61">
        <f>IF(Scoring!$K$6="Auction",IFERROR(VLOOKUP(DraftSheet!$M43,Aggregate!$P:$AA,10,FALSE()),""),IFERROR(VLOOKUP(DraftSheet!$M43,Aggregate!$P:$AA,9,FALSE()),""))</f>
        <v>7.527162807</v>
      </c>
      <c r="Q43" s="71">
        <f>SUMIFS($T44:T$84,$S44:S$84,"&lt;&gt;x",$S44:S$84,"&lt;&gt;o",$T44:T$84,"&gt;0")/Aggregate!$X$1</f>
        <v>0.02692531218</v>
      </c>
      <c r="R43" s="61">
        <f t="array" ref="R43">IFERROR(INDEX(ECR!$K:$K,MATCH(DraftSheet!$M43,ECR!$C:$C,0)),"ND")</f>
        <v>117</v>
      </c>
      <c r="S43" s="82"/>
      <c r="T43" s="78">
        <f>VLOOKUP(M43,Aggregate!P:X,9,FALSE())</f>
        <v>24.91060748</v>
      </c>
      <c r="U43" s="83"/>
      <c r="V43" s="61">
        <f>IFERROR(VLOOKUP(DraftSheet!$W43,Aggregate!$AD:$AO,11,FALSE()),"")</f>
        <v>5</v>
      </c>
      <c r="W43" s="63" t="str">
        <f>Aggregate!AD40</f>
        <v>Michael Wilson</v>
      </c>
      <c r="X43" s="63" t="str">
        <f>VLOOKUP(DraftSheet!$W43,Aggregate!AD:AO,4,FALSE())</f>
        <v>ARI/14</v>
      </c>
      <c r="Y43" s="61">
        <f>IFERROR(VLOOKUP(DraftSheet!$W43,Aggregate!$AD:$AO,8,FALSE()),"")</f>
        <v>106.1761324</v>
      </c>
      <c r="Z43" s="61">
        <f>IF(Scoring!$K$6="Auction",IFERROR(VLOOKUP(DraftSheet!$W43,Aggregate!$AD:$AO,10,FALSE()),""),IFERROR(VLOOKUP(DraftSheet!$W43,Aggregate!$AD:$AO,9,FALSE()),""))</f>
        <v>7.460241449</v>
      </c>
      <c r="AA43" s="71">
        <f>SUMIFS($AD44:AD$84,$AC44:AC$84,"&lt;&gt;x",$AC44:AC$84,"&lt;&gt;o",$AD44:AD$84,"&gt;0")/Aggregate!$AL$1</f>
        <v>0.1204093164</v>
      </c>
      <c r="AB43" s="61">
        <f t="array" ref="AB43">IFERROR(INDEX(ECR!$K:$K,MATCH(DraftSheet!$W43,ECR!$C:$C,0)),"ND")</f>
        <v>89</v>
      </c>
      <c r="AC43" s="82"/>
      <c r="AD43" s="78">
        <f>VLOOKUP(W43,Aggregate!AD:AL,9,FALSE())</f>
        <v>24.65520529</v>
      </c>
      <c r="AE43" s="3"/>
      <c r="AF43" s="3"/>
      <c r="AG43" s="3"/>
      <c r="AH43" s="3"/>
    </row>
    <row r="44" ht="14.25" customHeight="1">
      <c r="A44" s="3"/>
      <c r="B44" s="61">
        <f>IFERROR(VLOOKUP(DraftSheet!$C44,Aggregate!$B:$M,11,FALSE()),"")</f>
        <v>13</v>
      </c>
      <c r="C44" s="63" t="str">
        <f>Aggregate!B40</f>
        <v>Mac Jones</v>
      </c>
      <c r="D44" s="63" t="str">
        <f>VLOOKUP(DraftSheet!$C44,Aggregate!B:M,4,FALSE())</f>
        <v>SF/8</v>
      </c>
      <c r="E44" s="61">
        <f>IFERROR(VLOOKUP(DraftSheet!$C44,Aggregate!$B:$M,8,FALSE()),"")</f>
        <v>8.442352941</v>
      </c>
      <c r="F44" s="61">
        <f>IF(Scoring!$K$6="Auction",IFERROR(VLOOKUP(DraftSheet!$C44,Aggregate!$B:$M,10,FALSE()),""),IFERROR(VLOOKUP(DraftSheet!$C44,Aggregate!$B:$M,9,FALSE()),""))</f>
        <v>1</v>
      </c>
      <c r="G44" s="71">
        <f>SUMIFS(J44:$J$45,I44:$I$45,"&lt;&gt;x",I44:$I$45,"&lt;&gt;o",J44:$J$45,"&gt;0")/Aggregate!$J$1</f>
        <v>0</v>
      </c>
      <c r="H44" s="61">
        <f t="array" ref="H44">IFERROR(INDEX(ECR!$K:$K,MATCH(DraftSheet!$C44,ECR!$C:$C,0)),"ND")</f>
        <v>346</v>
      </c>
      <c r="I44" s="82"/>
      <c r="J44" s="78">
        <f>VLOOKUP(C44,Aggregate!B:J,9,FALSE())</f>
        <v>-213.2044531</v>
      </c>
      <c r="K44" s="79"/>
      <c r="L44" s="61">
        <f>IFERROR(VLOOKUP(DraftSheet!$M44,Aggregate!$P:$AA,11,FALSE()),"")</f>
        <v>6</v>
      </c>
      <c r="M44" s="63" t="str">
        <f>Aggregate!P39</f>
        <v>Jordan Mason</v>
      </c>
      <c r="N44" s="63" t="str">
        <f>VLOOKUP(DraftSheet!$M44,Aggregate!P:AA,4,FALSE())</f>
        <v>MIN/6</v>
      </c>
      <c r="O44" s="61">
        <f>IFERROR(VLOOKUP(DraftSheet!$M44,Aggregate!$P:$AA,8,FALSE()),"")</f>
        <v>102.7682678</v>
      </c>
      <c r="P44" s="61">
        <f>IF(Scoring!$K$6="Auction",IFERROR(VLOOKUP(DraftSheet!$M44,Aggregate!$P:$AA,10,FALSE()),""),IFERROR(VLOOKUP(DraftSheet!$M44,Aggregate!$P:$AA,9,FALSE()),""))</f>
        <v>7.387444378</v>
      </c>
      <c r="Q44" s="71">
        <f>SUMIFS($T45:T$84,$S45:S$84,"&lt;&gt;x",$S45:S$84,"&lt;&gt;o",$T45:T$84,"&gt;0")/Aggregate!$X$1</f>
        <v>0.0193411047</v>
      </c>
      <c r="R44" s="61">
        <f t="array" ref="R44">IFERROR(INDEX(ECR!$K:$K,MATCH(DraftSheet!$M44,ECR!$C:$C,0)),"ND")</f>
        <v>107</v>
      </c>
      <c r="S44" s="82"/>
      <c r="T44" s="78">
        <f>VLOOKUP(M44,Aggregate!P:X,9,FALSE())</f>
        <v>24.37737872</v>
      </c>
      <c r="U44" s="83"/>
      <c r="V44" s="61">
        <f>IFERROR(VLOOKUP(DraftSheet!$W44,Aggregate!$AD:$AO,11,FALSE()),"")</f>
        <v>5</v>
      </c>
      <c r="W44" s="63" t="str">
        <f>Aggregate!AD49</f>
        <v>Makai Lemon</v>
      </c>
      <c r="X44" s="63" t="str">
        <f>VLOOKUP(DraftSheet!$W44,Aggregate!AD:AO,4,FALSE())</f>
        <v>PHI/10</v>
      </c>
      <c r="Y44" s="61">
        <f>IFERROR(VLOOKUP(DraftSheet!$W44,Aggregate!$AD:$AO,8,FALSE()),"")</f>
        <v>105.2278024</v>
      </c>
      <c r="Z44" s="61">
        <f>IF(Scoring!$K$6="Auction",IFERROR(VLOOKUP(DraftSheet!$W44,Aggregate!$AD:$AO,10,FALSE()),""),IFERROR(VLOOKUP(DraftSheet!$W44,Aggregate!$AD:$AO,9,FALSE()),""))</f>
        <v>7.21175677</v>
      </c>
      <c r="AA44" s="71">
        <f>SUMIFS($AD45:AD$84,$AC45:AC$84,"&lt;&gt;x",$AC45:AC$84,"&lt;&gt;o",$AD45:AD$84,"&gt;0")/Aggregate!$AL$1</f>
        <v>0.1126773907</v>
      </c>
      <c r="AB44" s="61">
        <f t="array" ref="AB44">IFERROR(INDEX(ECR!$K:$K,MATCH(DraftSheet!$W44,ECR!$C:$C,0)),"ND")</f>
        <v>116</v>
      </c>
      <c r="AC44" s="82"/>
      <c r="AD44" s="78">
        <f>VLOOKUP(W44,Aggregate!AD:AL,9,FALSE())</f>
        <v>23.70687529</v>
      </c>
      <c r="AE44" s="3"/>
      <c r="AF44" s="3"/>
      <c r="AG44" s="3"/>
      <c r="AH44" s="3"/>
    </row>
    <row r="45" ht="14.25" customHeight="1">
      <c r="A45" s="3"/>
      <c r="B45" s="110"/>
      <c r="C45" s="110"/>
      <c r="D45" s="79"/>
      <c r="E45" s="79"/>
      <c r="F45" s="79"/>
      <c r="G45" s="79"/>
      <c r="H45" s="79"/>
      <c r="I45" s="8"/>
      <c r="J45" s="79"/>
      <c r="K45" s="79"/>
      <c r="L45" s="61">
        <f>IFERROR(VLOOKUP(DraftSheet!$M45,Aggregate!$P:$AA,11,FALSE()),"")</f>
        <v>6</v>
      </c>
      <c r="M45" s="63" t="str">
        <f>Aggregate!P36</f>
        <v>Blake Corum</v>
      </c>
      <c r="N45" s="63" t="str">
        <f>VLOOKUP(DraftSheet!$M45,Aggregate!P:AA,4,FALSE())</f>
        <v>LAR/11</v>
      </c>
      <c r="O45" s="61">
        <f>IFERROR(VLOOKUP(DraftSheet!$M45,Aggregate!$P:$AA,8,FALSE()),"")</f>
        <v>101.5000397</v>
      </c>
      <c r="P45" s="61">
        <f>IF(Scoring!$K$6="Auction",IFERROR(VLOOKUP(DraftSheet!$M45,Aggregate!$P:$AA,10,FALSE()),""),IFERROR(VLOOKUP(DraftSheet!$M45,Aggregate!$P:$AA,9,FALSE()),""))</f>
        <v>7.055138897</v>
      </c>
      <c r="Q45" s="71">
        <f>SUMIFS($T46:T$84,$S46:S$84,"&lt;&gt;x",$S46:S$84,"&lt;&gt;o",$T46:T$84,"&gt;0")/Aggregate!$X$1</f>
        <v>0.01215146406</v>
      </c>
      <c r="R45" s="61">
        <f t="array" ref="R45">IFERROR(INDEX(ECR!$K:$K,MATCH(DraftSheet!$M45,ECR!$C:$C,0)),"ND")</f>
        <v>94</v>
      </c>
      <c r="S45" s="82"/>
      <c r="T45" s="78">
        <f>VLOOKUP(M45,Aggregate!P:X,9,FALSE())</f>
        <v>23.1091506</v>
      </c>
      <c r="U45" s="83"/>
      <c r="V45" s="61">
        <f>IFERROR(VLOOKUP(DraftSheet!$W45,Aggregate!$AD:$AO,11,FALSE()),"")</f>
        <v>5</v>
      </c>
      <c r="W45" s="63" t="str">
        <f>Aggregate!AD47</f>
        <v>Jayden Reed</v>
      </c>
      <c r="X45" s="63" t="str">
        <f>VLOOKUP(DraftSheet!$W45,Aggregate!AD:AO,4,FALSE())</f>
        <v>GB/11</v>
      </c>
      <c r="Y45" s="61">
        <f>IFERROR(VLOOKUP(DraftSheet!$W45,Aggregate!$AD:$AO,8,FALSE()),"")</f>
        <v>105.1704265</v>
      </c>
      <c r="Z45" s="61">
        <f>IF(Scoring!$K$6="Auction",IFERROR(VLOOKUP(DraftSheet!$W45,Aggregate!$AD:$AO,10,FALSE()),""),IFERROR(VLOOKUP(DraftSheet!$W45,Aggregate!$AD:$AO,9,FALSE()),""))</f>
        <v>7.196722945</v>
      </c>
      <c r="AA45" s="71">
        <f>SUMIFS($AD46:AD$84,$AC46:AC$84,"&lt;&gt;x",$AC46:AC$84,"&lt;&gt;o",$AD46:AD$84,"&gt;0")/Aggregate!$AL$1</f>
        <v>0.1049641779</v>
      </c>
      <c r="AB45" s="61">
        <f t="array" ref="AB45">IFERROR(INDEX(ECR!$K:$K,MATCH(DraftSheet!$W45,ECR!$C:$C,0)),"ND")</f>
        <v>108</v>
      </c>
      <c r="AC45" s="82"/>
      <c r="AD45" s="78">
        <f>VLOOKUP(W45,Aggregate!AD:AL,9,FALSE())</f>
        <v>23.64949941</v>
      </c>
      <c r="AE45" s="3"/>
      <c r="AF45" s="3"/>
      <c r="AG45" s="3"/>
      <c r="AH45" s="3"/>
    </row>
    <row r="46" ht="14.25" customHeight="1">
      <c r="A46" s="3"/>
      <c r="B46" s="12" t="s">
        <v>327</v>
      </c>
      <c r="C46" s="13"/>
      <c r="D46" s="13"/>
      <c r="E46" s="13"/>
      <c r="F46" s="13"/>
      <c r="G46" s="13"/>
      <c r="H46" s="13"/>
      <c r="I46" s="13"/>
      <c r="J46" s="8"/>
      <c r="K46" s="79"/>
      <c r="L46" s="61">
        <f>IFERROR(VLOOKUP(DraftSheet!$M46,Aggregate!$P:$AA,11,FALSE()),"")</f>
        <v>7</v>
      </c>
      <c r="M46" s="63" t="str">
        <f>Aggregate!P59</f>
        <v>Mike Washington Jr.</v>
      </c>
      <c r="N46" s="63" t="str">
        <f>VLOOKUP(DraftSheet!$M46,Aggregate!P:AA,4,FALSE())</f>
        <v>LV/13</v>
      </c>
      <c r="O46" s="61">
        <f>IFERROR(VLOOKUP(DraftSheet!$M46,Aggregate!$P:$AA,8,FALSE()),"")</f>
        <v>91.05915409</v>
      </c>
      <c r="P46" s="61">
        <f>IF(Scoring!$K$6="Auction",IFERROR(VLOOKUP(DraftSheet!$M46,Aggregate!$P:$AA,10,FALSE()),""),IFERROR(VLOOKUP(DraftSheet!$M46,Aggregate!$P:$AA,9,FALSE()),""))</f>
        <v>4.319382239</v>
      </c>
      <c r="Q46" s="71">
        <f>SUMIFS($T47:T$84,$S47:S$84,"&lt;&gt;x",$S47:S$84,"&lt;&gt;o",$T47:T$84,"&gt;0")/Aggregate!$X$1</f>
        <v>0.008210156371</v>
      </c>
      <c r="R46" s="61">
        <f t="array" ref="R46">IFERROR(INDEX(ECR!$K:$K,MATCH(DraftSheet!$M46,ECR!$C:$C,0)),"ND")</f>
        <v>167</v>
      </c>
      <c r="S46" s="82"/>
      <c r="T46" s="78">
        <f>VLOOKUP(M46,Aggregate!P:X,9,FALSE())</f>
        <v>12.66826499</v>
      </c>
      <c r="U46" s="83"/>
      <c r="V46" s="61">
        <f>IFERROR(VLOOKUP(DraftSheet!$W46,Aggregate!$AD:$AO,11,FALSE()),"")</f>
        <v>5</v>
      </c>
      <c r="W46" s="63" t="str">
        <f>Aggregate!AD37</f>
        <v>Chris Godwin Jr.</v>
      </c>
      <c r="X46" s="63" t="str">
        <f>VLOOKUP(DraftSheet!$W46,Aggregate!AD:AO,4,FALSE())</f>
        <v>TB/10</v>
      </c>
      <c r="Y46" s="61">
        <f>IFERROR(VLOOKUP(DraftSheet!$W46,Aggregate!$AD:$AO,8,FALSE()),"")</f>
        <v>105.0852276</v>
      </c>
      <c r="Z46" s="61">
        <f>IF(Scoring!$K$6="Auction",IFERROR(VLOOKUP(DraftSheet!$W46,Aggregate!$AD:$AO,10,FALSE()),""),IFERROR(VLOOKUP(DraftSheet!$W46,Aggregate!$AD:$AO,9,FALSE()),""))</f>
        <v>7.174398857</v>
      </c>
      <c r="AA46" s="71">
        <f>SUMIFS($AD47:AD$84,$AC47:AC$84,"&lt;&gt;x",$AC47:AC$84,"&lt;&gt;o",$AD47:AD$84,"&gt;0")/Aggregate!$AL$1</f>
        <v>0.09727875249</v>
      </c>
      <c r="AB46" s="61">
        <f t="array" ref="AB46">IFERROR(INDEX(ECR!$K:$K,MATCH(DraftSheet!$W46,ECR!$C:$C,0)),"ND")</f>
        <v>83</v>
      </c>
      <c r="AC46" s="82"/>
      <c r="AD46" s="78">
        <f>VLOOKUP(W46,Aggregate!AD:AL,9,FALSE())</f>
        <v>23.56430059</v>
      </c>
      <c r="AE46" s="3"/>
      <c r="AF46" s="3"/>
      <c r="AG46" s="3"/>
      <c r="AH46" s="3"/>
    </row>
    <row r="47" ht="14.25" customHeight="1">
      <c r="A47" s="3"/>
      <c r="B47" s="44" t="s">
        <v>41</v>
      </c>
      <c r="C47" s="44" t="s">
        <v>43</v>
      </c>
      <c r="D47" s="111" t="s">
        <v>45</v>
      </c>
      <c r="E47" s="111" t="s">
        <v>47</v>
      </c>
      <c r="F47" s="111" t="s">
        <v>49</v>
      </c>
      <c r="G47" s="111" t="s">
        <v>51</v>
      </c>
      <c r="H47" s="111" t="s">
        <v>54</v>
      </c>
      <c r="I47" s="44" t="s">
        <v>56</v>
      </c>
      <c r="J47" s="111"/>
      <c r="K47" s="79"/>
      <c r="L47" s="61">
        <f>IFERROR(VLOOKUP(DraftSheet!$M47,Aggregate!$P:$AA,11,FALSE()),"")</f>
        <v>7</v>
      </c>
      <c r="M47" s="63" t="str">
        <f>Aggregate!P45</f>
        <v>Woody Marks</v>
      </c>
      <c r="N47" s="63" t="str">
        <f>VLOOKUP(DraftSheet!$M47,Aggregate!P:AA,4,FALSE())</f>
        <v>HOU/8</v>
      </c>
      <c r="O47" s="61">
        <f>IFERROR(VLOOKUP(DraftSheet!$M47,Aggregate!$P:$AA,8,FALSE()),"")</f>
        <v>86.28327354</v>
      </c>
      <c r="P47" s="61">
        <f>IF(Scoring!$K$6="Auction",IFERROR(VLOOKUP(DraftSheet!$M47,Aggregate!$P:$AA,10,FALSE()),""),IFERROR(VLOOKUP(DraftSheet!$M47,Aggregate!$P:$AA,9,FALSE()),""))</f>
        <v>3.067989637</v>
      </c>
      <c r="Q47" s="71">
        <f>SUMIFS($T48:T$84,$S48:S$84,"&lt;&gt;x",$S48:S$84,"&lt;&gt;o",$T48:T$84,"&gt;0")/Aggregate!$X$1</f>
        <v>0.005754704464</v>
      </c>
      <c r="R47" s="61">
        <f t="array" ref="R47">IFERROR(INDEX(ECR!$K:$K,MATCH(DraftSheet!$M47,ECR!$C:$C,0)),"ND")</f>
        <v>130</v>
      </c>
      <c r="S47" s="82"/>
      <c r="T47" s="78">
        <f>VLOOKUP(M47,Aggregate!P:X,9,FALSE())</f>
        <v>7.892384433</v>
      </c>
      <c r="U47" s="83"/>
      <c r="V47" s="61">
        <f>IFERROR(VLOOKUP(DraftSheet!$W47,Aggregate!$AD:$AO,11,FALSE()),"")</f>
        <v>5</v>
      </c>
      <c r="W47" s="63" t="str">
        <f>Aggregate!AD41</f>
        <v>Quentin Johnston</v>
      </c>
      <c r="X47" s="63" t="str">
        <f>VLOOKUP(DraftSheet!$W47,Aggregate!AD:AO,4,FALSE())</f>
        <v>LAC/7</v>
      </c>
      <c r="Y47" s="61">
        <f>IFERROR(VLOOKUP(DraftSheet!$W47,Aggregate!$AD:$AO,8,FALSE()),"")</f>
        <v>104.9689235</v>
      </c>
      <c r="Z47" s="61">
        <f>IF(Scoring!$K$6="Auction",IFERROR(VLOOKUP(DraftSheet!$W47,Aggregate!$AD:$AO,10,FALSE()),""),IFERROR(VLOOKUP(DraftSheet!$W47,Aggregate!$AD:$AO,9,FALSE()),""))</f>
        <v>7.143924453</v>
      </c>
      <c r="AA47" s="71">
        <f>SUMIFS($AD48:AD$84,$AC48:AC$84,"&lt;&gt;x",$AC48:AC$84,"&lt;&gt;o",$AD48:AD$84,"&gt;0")/Aggregate!$AL$1</f>
        <v>0.0896312593</v>
      </c>
      <c r="AB47" s="61">
        <f t="array" ref="AB47">IFERROR(INDEX(ECR!$K:$K,MATCH(DraftSheet!$W47,ECR!$C:$C,0)),"ND")</f>
        <v>90</v>
      </c>
      <c r="AC47" s="82"/>
      <c r="AD47" s="78">
        <f>VLOOKUP(W47,Aggregate!AD:AL,9,FALSE())</f>
        <v>23.44799647</v>
      </c>
      <c r="AE47" s="3"/>
      <c r="AF47" s="3"/>
      <c r="AG47" s="3"/>
      <c r="AH47" s="3"/>
    </row>
    <row r="48" ht="14.25" customHeight="1">
      <c r="A48" s="3"/>
      <c r="B48" s="61">
        <f>IFERROR(VLOOKUP(DraftSheet!$C48,Aggregate!$AR:$BC,11,FALSE()),"")</f>
        <v>1</v>
      </c>
      <c r="C48" s="63" t="str">
        <f>Aggregate!AR3</f>
        <v>Brock Bowers</v>
      </c>
      <c r="D48" s="63" t="str">
        <f>VLOOKUP(DraftSheet!$C48,Aggregate!AR:BD,4,FALSE())</f>
        <v>LV/13</v>
      </c>
      <c r="E48" s="61">
        <f>IFERROR(VLOOKUP(DraftSheet!$C48,Aggregate!$AR:$BC,8,FALSE()),"")</f>
        <v>163.7618934</v>
      </c>
      <c r="F48" s="61">
        <f>IF(Scoring!$K$6="Auction",IFERROR(VLOOKUP($C48,Aggregate!$AR:$BC,10,FALSE()),""),IFERROR(VLOOKUP($C48,Aggregate!$AR:$BC,9,FALSE()),""))</f>
        <v>22.54449971</v>
      </c>
      <c r="G48" s="71">
        <f>SUMIFS($J49:J$84,$I49:I$84,"&lt;&gt;x",$I49:I$84,"&lt;&gt;o",$J49:J$84,"&gt;0")/Aggregate!$AZ$1</f>
        <v>0.8762067012</v>
      </c>
      <c r="H48" s="61">
        <f t="array" ref="H48">IFERROR(INDEX(ECR!$K:$K,MATCH(DraftSheet!$C48,ECR!$C:$C,0)),"ND")</f>
        <v>18</v>
      </c>
      <c r="I48" s="82"/>
      <c r="J48" s="78">
        <f>VLOOKUP(C48,Aggregate!AR:AZ,9,FALSE())</f>
        <v>82.22356199</v>
      </c>
      <c r="K48" s="79"/>
      <c r="L48" s="61">
        <f>IFERROR(VLOOKUP(DraftSheet!$M48,Aggregate!$P:$AA,11,FALSE()),"")</f>
        <v>7</v>
      </c>
      <c r="M48" s="63" t="str">
        <f>Aggregate!P47</f>
        <v>Tyjae Spears</v>
      </c>
      <c r="N48" s="63" t="str">
        <f>VLOOKUP(DraftSheet!$M48,Aggregate!P:AA,4,FALSE())</f>
        <v>TEN/9</v>
      </c>
      <c r="O48" s="61">
        <f>IFERROR(VLOOKUP(DraftSheet!$M48,Aggregate!$P:$AA,8,FALSE()),"")</f>
        <v>85.45328798</v>
      </c>
      <c r="P48" s="61">
        <f>IF(Scoring!$K$6="Auction",IFERROR(VLOOKUP(DraftSheet!$M48,Aggregate!$P:$AA,10,FALSE()),""),IFERROR(VLOOKUP(DraftSheet!$M48,Aggregate!$P:$AA,9,FALSE()),""))</f>
        <v>2.850513974</v>
      </c>
      <c r="Q48" s="71">
        <f>SUMIFS($T49:T$84,$S49:S$84,"&lt;&gt;x",$S49:S$84,"&lt;&gt;o",$T49:T$84,"&gt;0")/Aggregate!$X$1</f>
        <v>0.003557474853</v>
      </c>
      <c r="R48" s="61">
        <f t="array" ref="R48">IFERROR(INDEX(ECR!$K:$K,MATCH(DraftSheet!$M48,ECR!$C:$C,0)),"ND")</f>
        <v>136</v>
      </c>
      <c r="S48" s="82"/>
      <c r="T48" s="78">
        <f>VLOOKUP(M48,Aggregate!P:X,9,FALSE())</f>
        <v>7.062398873</v>
      </c>
      <c r="U48" s="83"/>
      <c r="V48" s="61">
        <f>IFERROR(VLOOKUP(DraftSheet!$W48,Aggregate!$AD:$AO,11,FALSE()),"")</f>
        <v>5</v>
      </c>
      <c r="W48" s="63" t="str">
        <f>Aggregate!AD48</f>
        <v>Jakobi Meyers</v>
      </c>
      <c r="X48" s="63" t="str">
        <f>VLOOKUP(DraftSheet!$W48,Aggregate!AD:AO,4,FALSE())</f>
        <v>JAC/7</v>
      </c>
      <c r="Y48" s="61">
        <f>IFERROR(VLOOKUP(DraftSheet!$W48,Aggregate!$AD:$AO,8,FALSE()),"")</f>
        <v>104.5355294</v>
      </c>
      <c r="Z48" s="61">
        <f>IF(Scoring!$K$6="Auction",IFERROR(VLOOKUP(DraftSheet!$W48,Aggregate!$AD:$AO,10,FALSE()),""),IFERROR(VLOOKUP(DraftSheet!$W48,Aggregate!$AD:$AO,9,FALSE()),""))</f>
        <v>7.03036504</v>
      </c>
      <c r="AA48" s="71">
        <f>SUMIFS($AD49:AD$84,$AC49:AC$84,"&lt;&gt;x",$AC49:AC$84,"&lt;&gt;o",$AD49:AD$84,"&gt;0")/Aggregate!$AL$1</f>
        <v>0.0821251163</v>
      </c>
      <c r="AB48" s="61">
        <f t="array" ref="AB48">IFERROR(INDEX(ECR!$K:$K,MATCH(DraftSheet!$W48,ECR!$C:$C,0)),"ND")</f>
        <v>113</v>
      </c>
      <c r="AC48" s="82"/>
      <c r="AD48" s="78">
        <f>VLOOKUP(W48,Aggregate!AD:AL,9,FALSE())</f>
        <v>23.01460235</v>
      </c>
      <c r="AE48" s="3"/>
      <c r="AF48" s="3"/>
      <c r="AG48" s="3"/>
      <c r="AH48" s="3"/>
    </row>
    <row r="49" ht="14.25" customHeight="1">
      <c r="A49" s="3"/>
      <c r="B49" s="61">
        <f>IFERROR(VLOOKUP(DraftSheet!$C49,Aggregate!$AR:$BC,11,FALSE()),"")</f>
        <v>1</v>
      </c>
      <c r="C49" s="63" t="str">
        <f>Aggregate!AR4</f>
        <v>Trey McBride</v>
      </c>
      <c r="D49" s="63" t="str">
        <f>VLOOKUP(DraftSheet!$C49,Aggregate!AR:BD,4,FALSE())</f>
        <v>ARI/14</v>
      </c>
      <c r="E49" s="61">
        <f>IFERROR(VLOOKUP($C49,Aggregate!$AR:$BC,8,FALSE()),"")</f>
        <v>162.1539676</v>
      </c>
      <c r="F49" s="61">
        <f>IF(Scoring!$K$6="Auction",IFERROR(VLOOKUP($C49,Aggregate!$AR:$BC,10,FALSE()),""),IFERROR(VLOOKUP($C49,Aggregate!$AR:$BC,9,FALSE()),""))</f>
        <v>22.12318549</v>
      </c>
      <c r="G49" s="71">
        <f>SUMIFS($J50:J$84,$I50:I$84,"&lt;&gt;x",$I50:I$84,"&lt;&gt;o",$J50:J$84,"&gt;0")/Aggregate!$AZ$1</f>
        <v>0.7548342466</v>
      </c>
      <c r="H49" s="61">
        <f t="array" ref="H49">IFERROR(INDEX(ECR!$K:$K,MATCH(DraftSheet!$C49,ECR!$C:$C,0)),"ND")</f>
        <v>25</v>
      </c>
      <c r="I49" s="82"/>
      <c r="J49" s="78">
        <f>VLOOKUP(C49,Aggregate!AR:AZ,9,FALSE())</f>
        <v>80.61563625</v>
      </c>
      <c r="K49" s="79"/>
      <c r="L49" s="61">
        <f>IFERROR(VLOOKUP(DraftSheet!$M49,Aggregate!$P:$AA,11,FALSE()),"")</f>
        <v>7</v>
      </c>
      <c r="M49" s="63" t="str">
        <f>Aggregate!P50</f>
        <v>Jonah Coleman</v>
      </c>
      <c r="N49" s="63" t="str">
        <f>VLOOKUP(DraftSheet!$M49,Aggregate!P:AA,4,FALSE())</f>
        <v>DEN/10</v>
      </c>
      <c r="O49" s="61">
        <f>IFERROR(VLOOKUP(DraftSheet!$M49,Aggregate!$P:$AA,8,FALSE()),"")</f>
        <v>84.13025688</v>
      </c>
      <c r="P49" s="61">
        <f>IF(Scoring!$K$6="Auction",IFERROR(VLOOKUP(DraftSheet!$M49,Aggregate!$P:$AA,10,FALSE()),""),IFERROR(VLOOKUP(DraftSheet!$M49,Aggregate!$P:$AA,9,FALSE()),""))</f>
        <v>2.503848829</v>
      </c>
      <c r="Q49" s="71">
        <f>SUMIFS($T50:T$84,$S50:S$84,"&lt;&gt;x",$S50:S$84,"&lt;&gt;o",$T50:T$84,"&gt;0")/Aggregate!$X$1</f>
        <v>0.001771862195</v>
      </c>
      <c r="R49" s="61">
        <f t="array" ref="R49">IFERROR(INDEX(ECR!$K:$K,MATCH(DraftSheet!$M49,ECR!$C:$C,0)),"ND")</f>
        <v>143</v>
      </c>
      <c r="S49" s="82"/>
      <c r="T49" s="78">
        <f>VLOOKUP(M49,Aggregate!P:X,9,FALSE())</f>
        <v>5.739367776</v>
      </c>
      <c r="U49" s="83"/>
      <c r="V49" s="61">
        <f>IFERROR(VLOOKUP(DraftSheet!$W49,Aggregate!$AD:$AO,11,FALSE()),"")</f>
        <v>5</v>
      </c>
      <c r="W49" s="63" t="str">
        <f>Aggregate!AD46</f>
        <v>Jordan Addison</v>
      </c>
      <c r="X49" s="63" t="str">
        <f>VLOOKUP(DraftSheet!$W49,Aggregate!AD:AO,4,FALSE())</f>
        <v>MIN/6</v>
      </c>
      <c r="Y49" s="61">
        <f>IFERROR(VLOOKUP(DraftSheet!$W49,Aggregate!$AD:$AO,8,FALSE()),"")</f>
        <v>103.5135441</v>
      </c>
      <c r="Z49" s="61">
        <f>IF(Scoring!$K$6="Auction",IFERROR(VLOOKUP(DraftSheet!$W49,Aggregate!$AD:$AO,10,FALSE()),""),IFERROR(VLOOKUP(DraftSheet!$W49,Aggregate!$AD:$AO,9,FALSE()),""))</f>
        <v>6.762580948</v>
      </c>
      <c r="AA49" s="71">
        <f>SUMIFS($AD50:AD$84,$AC50:AC$84,"&lt;&gt;x",$AC50:AC$84,"&lt;&gt;o",$AD50:AD$84,"&gt;0")/Aggregate!$AL$1</f>
        <v>0.07495229071</v>
      </c>
      <c r="AB49" s="61">
        <f t="array" ref="AB49">IFERROR(INDEX(ECR!$K:$K,MATCH(DraftSheet!$W49,ECR!$C:$C,0)),"ND")</f>
        <v>106</v>
      </c>
      <c r="AC49" s="82"/>
      <c r="AD49" s="78">
        <f>VLOOKUP(W49,Aggregate!AD:AL,9,FALSE())</f>
        <v>21.99261706</v>
      </c>
      <c r="AE49" s="3"/>
      <c r="AF49" s="3"/>
      <c r="AG49" s="3"/>
      <c r="AH49" s="3"/>
    </row>
    <row r="50" ht="14.25" customHeight="1">
      <c r="A50" s="3"/>
      <c r="B50" s="61">
        <f>IFERROR(VLOOKUP(DraftSheet!$C50,Aggregate!$AR:$BC,11,FALSE()),"")</f>
        <v>2</v>
      </c>
      <c r="C50" s="63" t="str">
        <f>Aggregate!AR5</f>
        <v>Colston Loveland</v>
      </c>
      <c r="D50" s="63" t="str">
        <f>VLOOKUP(DraftSheet!$C50,Aggregate!AR:BD,4,FALSE())</f>
        <v>CHI/10</v>
      </c>
      <c r="E50" s="61">
        <f>IFERROR(VLOOKUP($C50,Aggregate!$AR:$BC,8,FALSE()),"")</f>
        <v>138.5244546</v>
      </c>
      <c r="F50" s="61">
        <f>IF(Scoring!$K$6="Auction",IFERROR(VLOOKUP($C50,Aggregate!$AR:$BC,10,FALSE()),""),IFERROR(VLOOKUP($C50,Aggregate!$AR:$BC,9,FALSE()),""))</f>
        <v>15.93169945</v>
      </c>
      <c r="G50" s="71">
        <f>SUMIFS($J51:J$84,$I51:I$84,"&lt;&gt;x",$I51:I$84,"&lt;&gt;o",$J51:J$84,"&gt;0")/Aggregate!$AZ$1</f>
        <v>0.6690376695</v>
      </c>
      <c r="H50" s="61">
        <f t="array" ref="H50">IFERROR(INDEX(ECR!$K:$K,MATCH(DraftSheet!$C50,ECR!$C:$C,0)),"ND")</f>
        <v>42</v>
      </c>
      <c r="I50" s="82"/>
      <c r="J50" s="78">
        <f>VLOOKUP(C50,Aggregate!AR:AZ,9,FALSE())</f>
        <v>56.98612322</v>
      </c>
      <c r="K50" s="79"/>
      <c r="L50" s="61">
        <f>IFERROR(VLOOKUP(DraftSheet!$M50,Aggregate!$P:$AA,11,FALSE()),"")</f>
        <v>7</v>
      </c>
      <c r="M50" s="63" t="str">
        <f>Aggregate!P51</f>
        <v>Zach Charbonnet</v>
      </c>
      <c r="N50" s="63" t="str">
        <f>VLOOKUP(DraftSheet!$M50,Aggregate!P:AA,4,FALSE())</f>
        <v>SEA/11</v>
      </c>
      <c r="O50" s="61">
        <f>IFERROR(VLOOKUP(DraftSheet!$M50,Aggregate!$P:$AA,8,FALSE()),"")</f>
        <v>81.24605176</v>
      </c>
      <c r="P50" s="61">
        <f>IF(Scoring!$K$6="Auction",IFERROR(VLOOKUP(DraftSheet!$M50,Aggregate!$P:$AA,10,FALSE()),""),IFERROR(VLOOKUP(DraftSheet!$M50,Aggregate!$P:$AA,9,FALSE()),""))</f>
        <v>1.748119513</v>
      </c>
      <c r="Q50" s="71">
        <f>SUMIFS($T50:T$85,$S50:S$85,"&lt;&gt;x",$S50:S$85,"&lt;&gt;o",$T50:T$85,"&gt;0")/Aggregate!$X$1</f>
        <v>0.001771862195</v>
      </c>
      <c r="R50" s="61">
        <f t="array" ref="R50">IFERROR(INDEX(ECR!$K:$K,MATCH(DraftSheet!$M50,ECR!$C:$C,0)),"ND")</f>
        <v>145</v>
      </c>
      <c r="S50" s="82"/>
      <c r="T50" s="78">
        <f>VLOOKUP(M50,Aggregate!P:X,9,FALSE())</f>
        <v>2.855162661</v>
      </c>
      <c r="U50" s="83"/>
      <c r="V50" s="61">
        <f>IFERROR(VLOOKUP(DraftSheet!$W50,Aggregate!$AD:$AO,11,FALSE()),"")</f>
        <v>5</v>
      </c>
      <c r="W50" s="63" t="str">
        <f>Aggregate!AD58</f>
        <v>De'Zhaun Stribling</v>
      </c>
      <c r="X50" s="63" t="str">
        <f>VLOOKUP(DraftSheet!$W50,Aggregate!AD:AO,4,FALSE())</f>
        <v>SF/8</v>
      </c>
      <c r="Y50" s="61">
        <f>IFERROR(VLOOKUP(DraftSheet!$W50,Aggregate!$AD:$AO,8,FALSE()),"")</f>
        <v>103.4354029</v>
      </c>
      <c r="Z50" s="61">
        <f>IF(Scoring!$K$6="Auction",IFERROR(VLOOKUP(DraftSheet!$W50,Aggregate!$AD:$AO,10,FALSE()),""),IFERROR(VLOOKUP(DraftSheet!$W50,Aggregate!$AD:$AO,9,FALSE()),""))</f>
        <v>6.742106129</v>
      </c>
      <c r="AA50" s="71">
        <f>SUMIFS($AD51:AD$84,$AC51:AC$84,"&lt;&gt;x",$AC51:AC$84,"&lt;&gt;o",$AD51:AD$84,"&gt;0")/Aggregate!$AL$1</f>
        <v>0.06780495063</v>
      </c>
      <c r="AB50" s="61">
        <f t="array" ref="AB50">IFERROR(INDEX(ECR!$K:$K,MATCH(DraftSheet!$W50,ECR!$C:$C,0)),"ND")</f>
        <v>146</v>
      </c>
      <c r="AC50" s="82"/>
      <c r="AD50" s="78">
        <f>VLOOKUP(W50,Aggregate!AD:AL,9,FALSE())</f>
        <v>21.91447588</v>
      </c>
      <c r="AE50" s="3"/>
      <c r="AF50" s="3"/>
      <c r="AG50" s="3"/>
      <c r="AH50" s="3"/>
    </row>
    <row r="51" ht="14.25" customHeight="1">
      <c r="A51" s="3"/>
      <c r="B51" s="61">
        <f>IFERROR(VLOOKUP(DraftSheet!$C51,Aggregate!$AR:$BC,11,FALSE()),"")</f>
        <v>2</v>
      </c>
      <c r="C51" s="63" t="str">
        <f>Aggregate!AR6</f>
        <v>Tyler Warren</v>
      </c>
      <c r="D51" s="63" t="str">
        <f>VLOOKUP(DraftSheet!$C51,Aggregate!AR:BD,4,FALSE())</f>
        <v>IND/13</v>
      </c>
      <c r="E51" s="61">
        <f>IFERROR(VLOOKUP($C51,Aggregate!$AR:$BC,8,FALSE()),"")</f>
        <v>126.655045</v>
      </c>
      <c r="F51" s="61">
        <f>IF(Scoring!$K$6="Auction",IFERROR(VLOOKUP($C51,Aggregate!$AR:$BC,10,FALSE()),""),IFERROR(VLOOKUP($C51,Aggregate!$AR:$BC,9,FALSE()),""))</f>
        <v>12.82163603</v>
      </c>
      <c r="G51" s="71">
        <f>SUMIFS($J52:J$84,$I52:I$84,"&lt;&gt;x",$I52:I$84,"&lt;&gt;o",$J52:J$84,"&gt;0")/Aggregate!$AZ$1</f>
        <v>0.6011113151</v>
      </c>
      <c r="H51" s="61">
        <f t="array" ref="H51">IFERROR(INDEX(ECR!$K:$K,MATCH(DraftSheet!$C51,ECR!$C:$C,0)),"ND")</f>
        <v>53</v>
      </c>
      <c r="I51" s="82"/>
      <c r="J51" s="78">
        <f>VLOOKUP(C51,Aggregate!AR:AZ,9,FALSE())</f>
        <v>45.1167136</v>
      </c>
      <c r="K51" s="79"/>
      <c r="L51" s="61">
        <f>IFERROR(VLOOKUP(DraftSheet!$M51,Aggregate!$P:$AA,11,FALSE()),"")</f>
        <v>7</v>
      </c>
      <c r="M51" s="63" t="str">
        <f>Aggregate!P72</f>
        <v>Kaelon Black</v>
      </c>
      <c r="N51" s="63" t="str">
        <f>VLOOKUP(DraftSheet!$M51,Aggregate!P:AA,4,FALSE())</f>
        <v>SF/8</v>
      </c>
      <c r="O51" s="61">
        <f>IFERROR(VLOOKUP(DraftSheet!$M51,Aggregate!$P:$AA,8,FALSE()),"")</f>
        <v>81.23089708</v>
      </c>
      <c r="P51" s="61">
        <f>IF(Scoring!$K$6="Auction",IFERROR(VLOOKUP(DraftSheet!$M51,Aggregate!$P:$AA,10,FALSE()),""),IFERROR(VLOOKUP(DraftSheet!$M51,Aggregate!$P:$AA,9,FALSE()),""))</f>
        <v>1.74414863</v>
      </c>
      <c r="Q51" s="71">
        <f>SUMIFS($T51:T$85,$S51:S$85,"&lt;&gt;x",$S51:S$85,"&lt;&gt;o",$T51:T$85,"&gt;0")/Aggregate!$X$1</f>
        <v>0.0008835736602</v>
      </c>
      <c r="R51" s="61">
        <f t="array" ref="R51">IFERROR(INDEX(ECR!$K:$K,MATCH(DraftSheet!$M51,ECR!$C:$C,0)),"ND")</f>
        <v>243</v>
      </c>
      <c r="S51" s="82"/>
      <c r="T51" s="78">
        <f>VLOOKUP(M51,Aggregate!P:X,9,FALSE())</f>
        <v>2.840007976</v>
      </c>
      <c r="U51" s="83"/>
      <c r="V51" s="61">
        <f>IFERROR(VLOOKUP(DraftSheet!$W51,Aggregate!$AD:$AO,11,FALSE()),"")</f>
        <v>5</v>
      </c>
      <c r="W51" s="63" t="str">
        <f>Aggregate!AD44</f>
        <v>Wan'Dale Robinson</v>
      </c>
      <c r="X51" s="63" t="str">
        <f>VLOOKUP(DraftSheet!$W51,Aggregate!AD:AO,4,FALSE())</f>
        <v>TEN/9</v>
      </c>
      <c r="Y51" s="61">
        <f>IFERROR(VLOOKUP(DraftSheet!$W51,Aggregate!$AD:$AO,8,FALSE()),"")</f>
        <v>102.1949118</v>
      </c>
      <c r="Z51" s="61">
        <f>IF(Scoring!$K$6="Auction",IFERROR(VLOOKUP(DraftSheet!$W51,Aggregate!$AD:$AO,10,FALSE()),""),IFERROR(VLOOKUP(DraftSheet!$W51,Aggregate!$AD:$AO,9,FALSE()),""))</f>
        <v>6.417068377</v>
      </c>
      <c r="AA51" s="71">
        <f>SUMIFS($AD52:AD$84,$AC52:AC$84,"&lt;&gt;x",$AC52:AC$84,"&lt;&gt;o",$AD52:AD$84,"&gt;0")/Aggregate!$AL$1</f>
        <v>0.061062193</v>
      </c>
      <c r="AB51" s="61">
        <f t="array" ref="AB51">IFERROR(INDEX(ECR!$K:$K,MATCH(DraftSheet!$W51,ECR!$C:$C,0)),"ND")</f>
        <v>101</v>
      </c>
      <c r="AC51" s="82"/>
      <c r="AD51" s="78">
        <f>VLOOKUP(W51,Aggregate!AD:AL,9,FALSE())</f>
        <v>20.67398471</v>
      </c>
      <c r="AE51" s="3"/>
      <c r="AF51" s="3"/>
      <c r="AG51" s="3"/>
      <c r="AH51" s="3"/>
    </row>
    <row r="52" ht="14.25" customHeight="1">
      <c r="A52" s="3"/>
      <c r="B52" s="61">
        <f>IFERROR(VLOOKUP(DraftSheet!$C52,Aggregate!$AR:$BC,11,FALSE()),"")</f>
        <v>3</v>
      </c>
      <c r="C52" s="63" t="str">
        <f>Aggregate!AR8</f>
        <v>Harold Fannin Jr.</v>
      </c>
      <c r="D52" s="63" t="str">
        <f>VLOOKUP(DraftSheet!$C52,Aggregate!AR:BD,4,FALSE())</f>
        <v>CLE/11</v>
      </c>
      <c r="E52" s="61">
        <f>IFERROR(VLOOKUP($C52,Aggregate!$AR:$BC,8,FALSE()),"")</f>
        <v>119.6735791</v>
      </c>
      <c r="F52" s="61">
        <f>IF(Scoring!$K$6="Auction",IFERROR(VLOOKUP($C52,Aggregate!$AR:$BC,10,FALSE()),""),IFERROR(VLOOKUP($C52,Aggregate!$AR:$BC,9,FALSE()),""))</f>
        <v>10.9923284</v>
      </c>
      <c r="G52" s="71">
        <f>SUMIFS($J53:J$84,$I53:I$84,"&lt;&gt;x",$I53:I$84,"&lt;&gt;o",$J53:J$84,"&gt;0")/Aggregate!$AZ$1</f>
        <v>0.5436960438</v>
      </c>
      <c r="H52" s="61">
        <f t="array" ref="H52">IFERROR(INDEX(ECR!$K:$K,MATCH(DraftSheet!$C52,ECR!$C:$C,0)),"ND")</f>
        <v>80</v>
      </c>
      <c r="I52" s="82"/>
      <c r="J52" s="78">
        <f>VLOOKUP(C52,Aggregate!AR:AZ,9,FALSE())</f>
        <v>38.13524774</v>
      </c>
      <c r="K52" s="79"/>
      <c r="L52" s="61">
        <f>IFERROR(VLOOKUP(DraftSheet!$M52,Aggregate!$P:$AA,11,FALSE()),"")</f>
        <v>7</v>
      </c>
      <c r="M52" s="63" t="str">
        <f>Aggregate!P44</f>
        <v>Chris Rodriguez Jr.</v>
      </c>
      <c r="N52" s="63" t="str">
        <f>VLOOKUP(DraftSheet!$M52,Aggregate!P:AA,4,FALSE())</f>
        <v>JAC/7</v>
      </c>
      <c r="O52" s="61">
        <f>IFERROR(VLOOKUP(DraftSheet!$M52,Aggregate!$P:$AA,8,FALSE()),"")</f>
        <v>78.3908891</v>
      </c>
      <c r="P52" s="61">
        <f>IF(Scoring!$K$6="Auction",IFERROR(VLOOKUP(DraftSheet!$M52,Aggregate!$P:$AA,10,FALSE()),""),IFERROR(VLOOKUP(DraftSheet!$M52,Aggregate!$P:$AA,9,FALSE()),""))</f>
        <v>1</v>
      </c>
      <c r="Q52" s="71">
        <f>SUMIFS($T53:T$84,$S53:S$84,"&lt;&gt;x",$S53:S$84,"&lt;&gt;o",$T53:T$84,"&gt;0")/Aggregate!$X$1</f>
        <v>0</v>
      </c>
      <c r="R52" s="61">
        <f t="array" ref="R52">IFERROR(INDEX(ECR!$K:$K,MATCH(DraftSheet!$M52,ECR!$C:$C,0)),"ND")</f>
        <v>124</v>
      </c>
      <c r="S52" s="82"/>
      <c r="T52" s="78">
        <f>VLOOKUP(M52,Aggregate!P:X,9,FALSE())</f>
        <v>0</v>
      </c>
      <c r="U52" s="83"/>
      <c r="V52" s="61">
        <f>IFERROR(VLOOKUP(DraftSheet!$W52,Aggregate!$AD:$AO,11,FALSE()),"")</f>
        <v>5</v>
      </c>
      <c r="W52" s="63" t="str">
        <f>Aggregate!AD51</f>
        <v>Xavier Worthy</v>
      </c>
      <c r="X52" s="63" t="str">
        <f>VLOOKUP(DraftSheet!$W52,Aggregate!AD:AO,4,FALSE())</f>
        <v>KC/5</v>
      </c>
      <c r="Y52" s="61">
        <f>IFERROR(VLOOKUP(DraftSheet!$W52,Aggregate!$AD:$AO,8,FALSE()),"")</f>
        <v>101.4243529</v>
      </c>
      <c r="Z52" s="61">
        <f>IF(Scoring!$K$6="Auction",IFERROR(VLOOKUP(DraftSheet!$W52,Aggregate!$AD:$AO,10,FALSE()),""),IFERROR(VLOOKUP(DraftSheet!$W52,Aggregate!$AD:$AO,9,FALSE()),""))</f>
        <v>6.215163911</v>
      </c>
      <c r="AA52" s="71">
        <f>SUMIFS(AD$64:$AD73,AC$64:$AC73,"&lt;&gt;x",AC$64:$AC73,"&lt;&gt;o",AD$64:$AD73,"&gt;0")/Aggregate!$AL$1</f>
        <v>0.003891589961</v>
      </c>
      <c r="AB52" s="61">
        <f t="array" ref="AB52">IFERROR(INDEX(ECR!$K:$K,MATCH(DraftSheet!$W52,ECR!$C:$C,0)),"ND")</f>
        <v>126</v>
      </c>
      <c r="AC52" s="82"/>
      <c r="AD52" s="78">
        <f>VLOOKUP(W52,Aggregate!AD:AL,9,FALSE())</f>
        <v>19.90342588</v>
      </c>
      <c r="AE52" s="3"/>
      <c r="AF52" s="3"/>
      <c r="AG52" s="3"/>
      <c r="AH52" s="3"/>
    </row>
    <row r="53" ht="14.25" customHeight="1">
      <c r="A53" s="3"/>
      <c r="B53" s="61">
        <f>IFERROR(VLOOKUP(DraftSheet!$C53,Aggregate!$AR:$BC,11,FALSE()),"")</f>
        <v>3</v>
      </c>
      <c r="C53" s="63" t="str">
        <f>Aggregate!AR7</f>
        <v>Tucker Kraft</v>
      </c>
      <c r="D53" s="63" t="str">
        <f>VLOOKUP(DraftSheet!$C53,Aggregate!AR:BD,4,FALSE())</f>
        <v>GB/11</v>
      </c>
      <c r="E53" s="61">
        <f>IFERROR(VLOOKUP($C53,Aggregate!$AR:$BC,8,FALSE()),"")</f>
        <v>119.1722723</v>
      </c>
      <c r="F53" s="61">
        <f>IF(Scoring!$K$6="Auction",IFERROR(VLOOKUP($C53,Aggregate!$AR:$BC,10,FALSE()),""),IFERROR(VLOOKUP($C53,Aggregate!$AR:$BC,9,FALSE()),""))</f>
        <v>10.86097426</v>
      </c>
      <c r="G53" s="71">
        <f>SUMIFS($J54:J$84,$I54:I$84,"&lt;&gt;x",$I54:I$84,"&lt;&gt;o",$J54:J$84,"&gt;0")/Aggregate!$AZ$1</f>
        <v>0.4870355249</v>
      </c>
      <c r="H53" s="61">
        <f t="array" ref="H53">IFERROR(INDEX(ECR!$K:$K,MATCH(DraftSheet!$C53,ECR!$C:$C,0)),"ND")</f>
        <v>69</v>
      </c>
      <c r="I53" s="82"/>
      <c r="J53" s="78">
        <f>VLOOKUP(C53,Aggregate!AR:AZ,9,FALSE())</f>
        <v>37.63394088</v>
      </c>
      <c r="K53" s="79"/>
      <c r="L53" s="61">
        <f>IFERROR(VLOOKUP(DraftSheet!$M53,Aggregate!$P:$AA,11,FALSE()),"")</f>
        <v>7</v>
      </c>
      <c r="M53" s="63" t="str">
        <f>Aggregate!P54</f>
        <v>Alvin Kamara</v>
      </c>
      <c r="N53" s="63" t="str">
        <f>VLOOKUP(DraftSheet!$M53,Aggregate!P:AA,4,FALSE())</f>
        <v>NO/8</v>
      </c>
      <c r="O53" s="61">
        <f>IFERROR(VLOOKUP(DraftSheet!$M53,Aggregate!$P:$AA,8,FALSE()),"")</f>
        <v>76.09293882</v>
      </c>
      <c r="P53" s="61">
        <f>IF(Scoring!$K$6="Auction",IFERROR(VLOOKUP(DraftSheet!$M53,Aggregate!$P:$AA,10,FALSE()),""),IFERROR(VLOOKUP(DraftSheet!$M53,Aggregate!$P:$AA,9,FALSE()),""))</f>
        <v>1</v>
      </c>
      <c r="Q53" s="71">
        <f>SUMIFS($T54:T$84,$S54:S$84,"&lt;&gt;x",$S54:S$84,"&lt;&gt;o",$T54:T$84,"&gt;0")/Aggregate!$X$1</f>
        <v>0</v>
      </c>
      <c r="R53" s="61">
        <f t="array" ref="R53">IFERROR(INDEX(ECR!$K:$K,MATCH(DraftSheet!$M53,ECR!$C:$C,0)),"ND")</f>
        <v>151</v>
      </c>
      <c r="S53" s="82"/>
      <c r="T53" s="78">
        <f>VLOOKUP(M53,Aggregate!P:X,9,FALSE())</f>
        <v>-2.29795028</v>
      </c>
      <c r="U53" s="83"/>
      <c r="V53" s="61">
        <f>IFERROR(VLOOKUP(DraftSheet!$W53,Aggregate!$AD:$AO,11,FALSE()),"")</f>
        <v>5</v>
      </c>
      <c r="W53" s="63" t="str">
        <f>Aggregate!AD61</f>
        <v>Denzel Boston</v>
      </c>
      <c r="X53" s="63" t="str">
        <f>VLOOKUP(DraftSheet!$W53,Aggregate!AD:AO,4,FALSE())</f>
        <v>CLE/11</v>
      </c>
      <c r="Y53" s="61">
        <f>IFERROR(VLOOKUP(DraftSheet!$W53,Aggregate!$AD:$AO,8,FALSE()),"")</f>
        <v>101.3143765</v>
      </c>
      <c r="Z53" s="61">
        <f>IF(Scoring!$K$6="Auction",IFERROR(VLOOKUP(DraftSheet!$W53,Aggregate!$AD:$AO,10,FALSE()),""),IFERROR(VLOOKUP(DraftSheet!$W53,Aggregate!$AD:$AO,9,FALSE()),""))</f>
        <v>6.186347499</v>
      </c>
      <c r="AA53" s="71">
        <f>SUMIFS($AD54:AD$84,$AC54:AC$84,"&lt;&gt;x",$AC54:AC$84,"&lt;&gt;o",$AD54:AD$84,"&gt;0")/Aggregate!$AL$1</f>
        <v>0.04811517709</v>
      </c>
      <c r="AB53" s="61">
        <f t="array" ref="AB53">IFERROR(INDEX(ECR!$K:$K,MATCH(DraftSheet!$W53,ECR!$C:$C,0)),"ND")</f>
        <v>161</v>
      </c>
      <c r="AC53" s="82"/>
      <c r="AD53" s="78">
        <f>VLOOKUP(W53,Aggregate!AD:AL,9,FALSE())</f>
        <v>19.79344941</v>
      </c>
      <c r="AE53" s="3"/>
      <c r="AF53" s="3"/>
      <c r="AG53" s="3"/>
      <c r="AH53" s="3"/>
    </row>
    <row r="54" ht="14.25" customHeight="1">
      <c r="A54" s="3"/>
      <c r="B54" s="61">
        <f>IFERROR(VLOOKUP(DraftSheet!$C54,Aggregate!$AR:$BC,11,FALSE()),"")</f>
        <v>3</v>
      </c>
      <c r="C54" s="63" t="str">
        <f>Aggregate!AR9</f>
        <v>Sam LaPorta</v>
      </c>
      <c r="D54" s="63" t="str">
        <f>VLOOKUP(DraftSheet!$C54,Aggregate!AR:BD,4,FALSE())</f>
        <v>DET/6</v>
      </c>
      <c r="E54" s="61">
        <f>IFERROR(VLOOKUP($C54,Aggregate!$AR:$BC,8,FALSE()),"")</f>
        <v>117.4143049</v>
      </c>
      <c r="F54" s="61">
        <f>IF(Scoring!$K$6="Auction",IFERROR(VLOOKUP($C54,Aggregate!$AR:$BC,10,FALSE()),""),IFERROR(VLOOKUP($C54,Aggregate!$AR:$BC,9,FALSE()),""))</f>
        <v>10.40034561</v>
      </c>
      <c r="G54" s="71">
        <f>SUMIFS($J55:J$84,$I55:I$84,"&lt;&gt;x",$I55:I$84,"&lt;&gt;o",$J55:J$84,"&gt;0")/Aggregate!$AZ$1</f>
        <v>0.4330217484</v>
      </c>
      <c r="H54" s="61">
        <f t="array" ref="H54">IFERROR(INDEX(ECR!$K:$K,MATCH(DraftSheet!$C54,ECR!$C:$C,0)),"ND")</f>
        <v>81</v>
      </c>
      <c r="I54" s="82"/>
      <c r="J54" s="78">
        <f>VLOOKUP(C54,Aggregate!AR:AZ,9,FALSE())</f>
        <v>35.87597347</v>
      </c>
      <c r="K54" s="79"/>
      <c r="L54" s="61">
        <f>IFERROR(VLOOKUP(DraftSheet!$M54,Aggregate!$P:$AA,11,FALSE()),"")</f>
        <v>7</v>
      </c>
      <c r="M54" s="63" t="str">
        <f>Aggregate!P55</f>
        <v>Isiah Pacheco</v>
      </c>
      <c r="N54" s="63" t="str">
        <f>VLOOKUP(DraftSheet!$M54,Aggregate!P:AA,4,FALSE())</f>
        <v>DET/6</v>
      </c>
      <c r="O54" s="61">
        <f>IFERROR(VLOOKUP(DraftSheet!$M54,Aggregate!$P:$AA,8,FALSE()),"")</f>
        <v>75.36102588</v>
      </c>
      <c r="P54" s="61">
        <f>IF(Scoring!$K$6="Auction",IFERROR(VLOOKUP(DraftSheet!$M54,Aggregate!$P:$AA,10,FALSE()),""),IFERROR(VLOOKUP(DraftSheet!$M54,Aggregate!$P:$AA,9,FALSE()),""))</f>
        <v>1</v>
      </c>
      <c r="Q54" s="71">
        <f>SUMIFS($T55:T$84,$S55:S$84,"&lt;&gt;x",$S55:S$84,"&lt;&gt;o",$T55:T$84,"&gt;0")/Aggregate!$X$1</f>
        <v>0</v>
      </c>
      <c r="R54" s="61">
        <f t="array" ref="R54">IFERROR(INDEX(ECR!$K:$K,MATCH(DraftSheet!$M54,ECR!$C:$C,0)),"ND")</f>
        <v>152</v>
      </c>
      <c r="S54" s="82"/>
      <c r="T54" s="78">
        <f>VLOOKUP(M54,Aggregate!P:X,9,FALSE())</f>
        <v>-3.029863221</v>
      </c>
      <c r="U54" s="83"/>
      <c r="V54" s="61">
        <f>IFERROR(VLOOKUP(DraftSheet!$W54,Aggregate!$AD:$AO,11,FALSE()),"")</f>
        <v>5</v>
      </c>
      <c r="W54" s="63" t="str">
        <f>Aggregate!AD57</f>
        <v>Deebo Samuel Sr.</v>
      </c>
      <c r="X54" s="63" t="str">
        <f>VLOOKUP(DraftSheet!$W54,Aggregate!AD:AO,4,FALSE())</f>
        <v>SF/8</v>
      </c>
      <c r="Y54" s="61">
        <f>IFERROR(VLOOKUP(DraftSheet!$W54,Aggregate!$AD:$AO,8,FALSE()),"")</f>
        <v>99.58297059</v>
      </c>
      <c r="Z54" s="61">
        <f>IF(Scoring!$K$6="Auction",IFERROR(VLOOKUP(DraftSheet!$W54,Aggregate!$AD:$AO,10,FALSE()),""),IFERROR(VLOOKUP(DraftSheet!$W54,Aggregate!$AD:$AO,9,FALSE()),""))</f>
        <v>5.732678592</v>
      </c>
      <c r="AA54" s="71">
        <f>SUMIFS($AD55:AD$84,$AC55:AC$84,"&lt;&gt;x",$AC55:AC$84,"&lt;&gt;o",$AD55:AD$84,"&gt;0")/Aggregate!$AL$1</f>
        <v>0.04222429618</v>
      </c>
      <c r="AB54" s="61">
        <f t="array" ref="AB54">IFERROR(INDEX(ECR!$K:$K,MATCH(DraftSheet!$W54,ECR!$C:$C,0)),"ND")</f>
        <v>138</v>
      </c>
      <c r="AC54" s="82"/>
      <c r="AD54" s="78">
        <f>VLOOKUP(W54,Aggregate!AD:AL,9,FALSE())</f>
        <v>18.06204353</v>
      </c>
      <c r="AE54" s="3"/>
      <c r="AF54" s="3"/>
      <c r="AG54" s="3"/>
      <c r="AH54" s="3"/>
    </row>
    <row r="55" ht="14.25" customHeight="1">
      <c r="A55" s="3"/>
      <c r="B55" s="61">
        <f>IFERROR(VLOOKUP(DraftSheet!$C55,Aggregate!$AR:$BC,11,FALSE()),"")</f>
        <v>3</v>
      </c>
      <c r="C55" s="63" t="str">
        <f>Aggregate!AR10</f>
        <v>Kyle Pitts Sr.</v>
      </c>
      <c r="D55" s="63" t="str">
        <f>VLOOKUP(DraftSheet!$C55,Aggregate!AR:BD,4,FALSE())</f>
        <v>ATL/11</v>
      </c>
      <c r="E55" s="61">
        <f>IFERROR(VLOOKUP($C55,Aggregate!$AR:$BC,8,FALSE()),"")</f>
        <v>117.1141028</v>
      </c>
      <c r="F55" s="61">
        <f>IF(Scoring!$K$6="Auction",IFERROR(VLOOKUP($C55,Aggregate!$AR:$BC,10,FALSE()),""),IFERROR(VLOOKUP($C55,Aggregate!$AR:$BC,9,FALSE()),""))</f>
        <v>10.32168563</v>
      </c>
      <c r="G55" s="71">
        <f>SUMIFS($J56:J$84,$I56:I$84,"&lt;&gt;x",$I56:I$84,"&lt;&gt;o",$J56:J$84,"&gt;0")/Aggregate!$AZ$1</f>
        <v>0.379459947</v>
      </c>
      <c r="H55" s="61">
        <f t="array" ref="H55">IFERROR(INDEX(ECR!$K:$K,MATCH(DraftSheet!$C55,ECR!$C:$C,0)),"ND")</f>
        <v>84</v>
      </c>
      <c r="I55" s="82"/>
      <c r="J55" s="78">
        <f>VLOOKUP(C55,Aggregate!AR:AZ,9,FALSE())</f>
        <v>35.5757714</v>
      </c>
      <c r="K55" s="79"/>
      <c r="L55" s="61">
        <f>IFERROR(VLOOKUP(DraftSheet!$M55,Aggregate!$P:$AA,11,FALSE()),"")</f>
        <v>7</v>
      </c>
      <c r="M55" s="63" t="str">
        <f>Aggregate!P46</f>
        <v>Tyler Allgeier</v>
      </c>
      <c r="N55" s="63" t="str">
        <f>VLOOKUP(DraftSheet!$M55,Aggregate!P:AA,4,FALSE())</f>
        <v>ARI/14</v>
      </c>
      <c r="O55" s="61">
        <f>IFERROR(VLOOKUP(DraftSheet!$M55,Aggregate!$P:$AA,8,FALSE()),"")</f>
        <v>71.66616588</v>
      </c>
      <c r="P55" s="61">
        <f>IF(Scoring!$K$6="Auction",IFERROR(VLOOKUP(DraftSheet!$M55,Aggregate!$P:$AA,10,FALSE()),""),IFERROR(VLOOKUP(DraftSheet!$M55,Aggregate!$P:$AA,9,FALSE()),""))</f>
        <v>1</v>
      </c>
      <c r="Q55" s="71">
        <f>SUMIFS($T56:T$84,$S56:S$84,"&lt;&gt;x",$S56:S$84,"&lt;&gt;o",$T56:T$84,"&gt;0")/Aggregate!$X$1</f>
        <v>0</v>
      </c>
      <c r="R55" s="61">
        <f t="array" ref="R55">IFERROR(INDEX(ECR!$K:$K,MATCH(DraftSheet!$M55,ECR!$C:$C,0)),"ND")</f>
        <v>131</v>
      </c>
      <c r="S55" s="82"/>
      <c r="T55" s="78">
        <f>VLOOKUP(M55,Aggregate!P:X,9,FALSE())</f>
        <v>-6.724723221</v>
      </c>
      <c r="U55" s="83"/>
      <c r="V55" s="61">
        <f>IFERROR(VLOOKUP(DraftSheet!$W55,Aggregate!$AD:$AO,11,FALSE()),"")</f>
        <v>5</v>
      </c>
      <c r="W55" s="63" t="str">
        <f>Aggregate!AD45</f>
        <v>Stefon Diggs</v>
      </c>
      <c r="X55" s="63" t="str">
        <f>VLOOKUP(DraftSheet!$W55,Aggregate!AD:AO,4,FALSE())</f>
        <v>WAS/7</v>
      </c>
      <c r="Y55" s="61">
        <f>IFERROR(VLOOKUP(DraftSheet!$W55,Aggregate!$AD:$AO,8,FALSE()),"")</f>
        <v>98.34211765</v>
      </c>
      <c r="Z55" s="61">
        <f>IF(Scoring!$K$6="Auction",IFERROR(VLOOKUP(DraftSheet!$W55,Aggregate!$AD:$AO,10,FALSE()),""),IFERROR(VLOOKUP(DraftSheet!$W55,Aggregate!$AD:$AO,9,FALSE()),""))</f>
        <v>5.407546048</v>
      </c>
      <c r="AA55" s="71">
        <f>SUMIFS($AD56:AD$84,$AC56:AC$84,"&lt;&gt;x",$AC56:AC$84,"&lt;&gt;o",$AD56:AD$84,"&gt;0")/Aggregate!$AL$1</f>
        <v>0.0367381157</v>
      </c>
      <c r="AB55" s="61">
        <f t="array" ref="AB55">IFERROR(INDEX(ECR!$K:$K,MATCH(DraftSheet!$W55,ECR!$C:$C,0)),"ND")</f>
        <v>102</v>
      </c>
      <c r="AC55" s="82"/>
      <c r="AD55" s="78">
        <f>VLOOKUP(W55,Aggregate!AD:AL,9,FALSE())</f>
        <v>16.82119059</v>
      </c>
      <c r="AE55" s="3"/>
      <c r="AF55" s="3"/>
      <c r="AG55" s="3"/>
      <c r="AH55" s="3"/>
    </row>
    <row r="56" ht="14.25" customHeight="1">
      <c r="A56" s="3"/>
      <c r="B56" s="61">
        <f>IFERROR(VLOOKUP(DraftSheet!$C56,Aggregate!$AR:$BC,11,FALSE()),"")</f>
        <v>3</v>
      </c>
      <c r="C56" s="63" t="str">
        <f>Aggregate!AR11</f>
        <v>George Kittle</v>
      </c>
      <c r="D56" s="63" t="str">
        <f>VLOOKUP(DraftSheet!$C56,Aggregate!AR:BD,4,FALSE())</f>
        <v>SF/8</v>
      </c>
      <c r="E56" s="61">
        <f>IFERROR(VLOOKUP($C56,Aggregate!$AR:$BC,8,FALSE()),"")</f>
        <v>115.8807647</v>
      </c>
      <c r="F56" s="61">
        <f>IF(Scoring!$K$6="Auction",IFERROR(VLOOKUP($C56,Aggregate!$AR:$BC,10,FALSE()),""),IFERROR(VLOOKUP($C56,Aggregate!$AR:$BC,9,FALSE()),""))</f>
        <v>9.99852215</v>
      </c>
      <c r="G56" s="71">
        <f>SUMIFS($J57:J$84,$I57:I$84,"&lt;&gt;x",$I57:I$84,"&lt;&gt;o",$J57:J$84,"&gt;0")/Aggregate!$AZ$1</f>
        <v>0.327755022</v>
      </c>
      <c r="H56" s="61">
        <f t="array" ref="H56">IFERROR(INDEX(ECR!$K:$K,MATCH(DraftSheet!$C56,ECR!$C:$C,0)),"ND")</f>
        <v>95</v>
      </c>
      <c r="I56" s="82"/>
      <c r="J56" s="78">
        <f>VLOOKUP(C56,Aggregate!AR:AZ,9,FALSE())</f>
        <v>34.34243328</v>
      </c>
      <c r="K56" s="79"/>
      <c r="L56" s="61">
        <f>IFERROR(VLOOKUP(DraftSheet!$M56,Aggregate!$P:$AA,11,FALSE()),"")</f>
        <v>7</v>
      </c>
      <c r="M56" s="63" t="str">
        <f>Aggregate!P52</f>
        <v>Dylan Sampson</v>
      </c>
      <c r="N56" s="63" t="str">
        <f>VLOOKUP(DraftSheet!$M56,Aggregate!P:AA,4,FALSE())</f>
        <v>CLE/11</v>
      </c>
      <c r="O56" s="61">
        <f>IFERROR(VLOOKUP(DraftSheet!$M56,Aggregate!$P:$AA,8,FALSE()),"")</f>
        <v>69.55216353</v>
      </c>
      <c r="P56" s="61">
        <f>IF(Scoring!$K$6="Auction",IFERROR(VLOOKUP(DraftSheet!$M56,Aggregate!$P:$AA,10,FALSE()),""),IFERROR(VLOOKUP(DraftSheet!$M56,Aggregate!$P:$AA,9,FALSE()),""))</f>
        <v>1</v>
      </c>
      <c r="Q56" s="71">
        <f>SUMIFS($T57:T$84,$S57:S$84,"&lt;&gt;x",$S57:S$84,"&lt;&gt;o",$T57:T$84,"&gt;0")/Aggregate!$X$1</f>
        <v>0</v>
      </c>
      <c r="R56" s="61">
        <f t="array" ref="R56">IFERROR(INDEX(ECR!$K:$K,MATCH(DraftSheet!$M56,ECR!$C:$C,0)),"ND")</f>
        <v>148</v>
      </c>
      <c r="S56" s="82"/>
      <c r="T56" s="78">
        <f>VLOOKUP(M56,Aggregate!P:X,9,FALSE())</f>
        <v>-8.838725574</v>
      </c>
      <c r="U56" s="83"/>
      <c r="V56" s="61">
        <f>IFERROR(VLOOKUP(DraftSheet!$W56,Aggregate!$AD:$AO,11,FALSE()),"")</f>
        <v>5</v>
      </c>
      <c r="W56" s="63" t="str">
        <f>Aggregate!AD53</f>
        <v>Matthew Golden</v>
      </c>
      <c r="X56" s="63" t="str">
        <f>VLOOKUP(DraftSheet!$W56,Aggregate!AD:AO,4,FALSE())</f>
        <v>GB/11</v>
      </c>
      <c r="Y56" s="61">
        <f>IFERROR(VLOOKUP(DraftSheet!$W56,Aggregate!$AD:$AO,8,FALSE()),"")</f>
        <v>98.09973529</v>
      </c>
      <c r="Z56" s="61">
        <f>IF(Scoring!$K$6="Auction",IFERROR(VLOOKUP(DraftSheet!$W56,Aggregate!$AD:$AO,10,FALSE()),""),IFERROR(VLOOKUP(DraftSheet!$W56,Aggregate!$AD:$AO,9,FALSE()),""))</f>
        <v>5.344036193</v>
      </c>
      <c r="AA56" s="71">
        <f>SUMIFS($AD57:AD$84,$AC57:AC$84,"&lt;&gt;x",$AC57:AC$84,"&lt;&gt;o",$AD57:AD$84,"&gt;0")/Aggregate!$AL$1</f>
        <v>0.0313309875</v>
      </c>
      <c r="AB56" s="61">
        <f t="array" ref="AB56">IFERROR(INDEX(ECR!$K:$K,MATCH(DraftSheet!$W56,ECR!$C:$C,0)),"ND")</f>
        <v>129</v>
      </c>
      <c r="AC56" s="82"/>
      <c r="AD56" s="78">
        <f>VLOOKUP(W56,Aggregate!AD:AL,9,FALSE())</f>
        <v>16.57880824</v>
      </c>
      <c r="AE56" s="3"/>
      <c r="AF56" s="3"/>
      <c r="AG56" s="3"/>
      <c r="AH56" s="3"/>
    </row>
    <row r="57" ht="14.25" customHeight="1">
      <c r="A57" s="3"/>
      <c r="B57" s="61">
        <f>IFERROR(VLOOKUP(DraftSheet!$C57,Aggregate!$AR:$BC,11,FALSE()),"")</f>
        <v>3</v>
      </c>
      <c r="C57" s="63" t="str">
        <f>Aggregate!AR12</f>
        <v>Travis Kelce</v>
      </c>
      <c r="D57" s="63" t="str">
        <f>VLOOKUP(DraftSheet!$C57,Aggregate!AR:BD,4,FALSE())</f>
        <v>KC/5</v>
      </c>
      <c r="E57" s="61">
        <f>IFERROR(VLOOKUP($C57,Aggregate!$AR:$BC,8,FALSE()),"")</f>
        <v>113.7293426</v>
      </c>
      <c r="F57" s="61">
        <f>IF(Scoring!$K$6="Auction",IFERROR(VLOOKUP($C57,Aggregate!$AR:$BC,10,FALSE()),""),IFERROR(VLOOKUP($C57,Aggregate!$AR:$BC,9,FALSE()),""))</f>
        <v>9.434799163</v>
      </c>
      <c r="G57" s="71">
        <f>SUMIFS($J58:J$84,$I58:I$84,"&lt;&gt;x",$I58:I$84,"&lt;&gt;o",$J58:J$84,"&gt;0")/Aggregate!$AZ$1</f>
        <v>0.2792892127</v>
      </c>
      <c r="H57" s="61">
        <f t="array" ref="H57">IFERROR(INDEX(ECR!$K:$K,MATCH(DraftSheet!$C57,ECR!$C:$C,0)),"ND")</f>
        <v>105</v>
      </c>
      <c r="I57" s="82"/>
      <c r="J57" s="78">
        <f>VLOOKUP(C57,Aggregate!AR:AZ,9,FALSE())</f>
        <v>32.19101122</v>
      </c>
      <c r="K57" s="79"/>
      <c r="L57" s="61">
        <f>IFERROR(VLOOKUP(DraftSheet!$M57,Aggregate!$P:$AA,11,FALSE()),"")</f>
        <v>7</v>
      </c>
      <c r="M57" s="63" t="str">
        <f>Aggregate!P53</f>
        <v>Tyrone Tracy Jr.</v>
      </c>
      <c r="N57" s="63" t="str">
        <f>VLOOKUP(DraftSheet!$M57,Aggregate!P:AA,4,FALSE())</f>
        <v>NYG/8</v>
      </c>
      <c r="O57" s="61">
        <f>IFERROR(VLOOKUP(DraftSheet!$M57,Aggregate!$P:$AA,8,FALSE()),"")</f>
        <v>68.53417294</v>
      </c>
      <c r="P57" s="61">
        <f>IF(Scoring!$K$6="Auction",IFERROR(VLOOKUP(DraftSheet!$M57,Aggregate!$P:$AA,10,FALSE()),""),IFERROR(VLOOKUP(DraftSheet!$M57,Aggregate!$P:$AA,9,FALSE()),""))</f>
        <v>1</v>
      </c>
      <c r="Q57" s="71">
        <f>SUMIFS($T58:T$84,$S58:S$84,"&lt;&gt;x",$S58:S$84,"&lt;&gt;o",$T58:T$84,"&gt;0")/Aggregate!$X$1</f>
        <v>0</v>
      </c>
      <c r="R57" s="61">
        <f t="array" ref="R57">IFERROR(INDEX(ECR!$K:$K,MATCH(DraftSheet!$M57,ECR!$C:$C,0)),"ND")</f>
        <v>149</v>
      </c>
      <c r="S57" s="82"/>
      <c r="T57" s="78">
        <f>VLOOKUP(M57,Aggregate!P:X,9,FALSE())</f>
        <v>-9.856716162</v>
      </c>
      <c r="U57" s="83"/>
      <c r="V57" s="61">
        <f>IFERROR(VLOOKUP(DraftSheet!$W57,Aggregate!$AD:$AO,11,FALSE()),"")</f>
        <v>5</v>
      </c>
      <c r="W57" s="63" t="str">
        <f>Aggregate!AD56</f>
        <v>Romeo Doubs</v>
      </c>
      <c r="X57" s="63" t="str">
        <f>VLOOKUP(DraftSheet!$W57,Aggregate!AD:AO,4,FALSE())</f>
        <v>NE/11</v>
      </c>
      <c r="Y57" s="61">
        <f>IFERROR(VLOOKUP(DraftSheet!$W57,Aggregate!$AD:$AO,8,FALSE()),"")</f>
        <v>97.15191176</v>
      </c>
      <c r="Z57" s="61">
        <f>IF(Scoring!$K$6="Auction",IFERROR(VLOOKUP(DraftSheet!$W57,Aggregate!$AD:$AO,10,FALSE()),""),IFERROR(VLOOKUP(DraftSheet!$W57,Aggregate!$AD:$AO,9,FALSE()),""))</f>
        <v>5.095684221</v>
      </c>
      <c r="AA57" s="71">
        <f>SUMIFS($AD58:AD$84,$AC58:AC$84,"&lt;&gt;x",$AC58:AC$84,"&lt;&gt;o",$AD58:AD$84,"&gt;0")/Aggregate!$AL$1</f>
        <v>0.02623298908</v>
      </c>
      <c r="AB57" s="61">
        <f t="array" ref="AB57">IFERROR(INDEX(ECR!$K:$K,MATCH(DraftSheet!$W57,ECR!$C:$C,0)),"ND")</f>
        <v>135</v>
      </c>
      <c r="AC57" s="82"/>
      <c r="AD57" s="78">
        <f>VLOOKUP(W57,Aggregate!AD:AL,9,FALSE())</f>
        <v>15.63098471</v>
      </c>
      <c r="AE57" s="3"/>
      <c r="AF57" s="3"/>
      <c r="AG57" s="3"/>
      <c r="AH57" s="3"/>
    </row>
    <row r="58" ht="14.25" customHeight="1">
      <c r="A58" s="3"/>
      <c r="B58" s="61">
        <f>IFERROR(VLOOKUP(DraftSheet!$C58,Aggregate!$AR:$BC,11,FALSE()),"")</f>
        <v>3</v>
      </c>
      <c r="C58" s="63" t="str">
        <f>Aggregate!AR14</f>
        <v>Dallas Goedert</v>
      </c>
      <c r="D58" s="63" t="str">
        <f>VLOOKUP(DraftSheet!$C58,Aggregate!AR:BD,4,FALSE())</f>
        <v>PHI/10</v>
      </c>
      <c r="E58" s="61">
        <f>IFERROR(VLOOKUP($C58,Aggregate!$AR:$BC,8,FALSE()),"")</f>
        <v>113.0838664</v>
      </c>
      <c r="F58" s="61">
        <f>IF(Scoring!$K$6="Auction",IFERROR(VLOOKUP($C58,Aggregate!$AR:$BC,10,FALSE()),""),IFERROR(VLOOKUP($C58,Aggregate!$AR:$BC,9,FALSE()),""))</f>
        <v>9.265669259</v>
      </c>
      <c r="G58" s="71">
        <f>SUMIFS($J59:J$84,$I59:I$84,"&lt;&gt;x",$I59:I$84,"&lt;&gt;o",$J59:J$84,"&gt;0")/Aggregate!$AZ$1</f>
        <v>0.231795213</v>
      </c>
      <c r="H58" s="61">
        <f t="array" ref="H58">IFERROR(INDEX(ECR!$K:$K,MATCH(DraftSheet!$C58,ECR!$C:$C,0)),"ND")</f>
        <v>118</v>
      </c>
      <c r="I58" s="82"/>
      <c r="J58" s="78">
        <f>VLOOKUP(C58,Aggregate!AR:AZ,9,FALSE())</f>
        <v>31.54553496</v>
      </c>
      <c r="K58" s="79"/>
      <c r="L58" s="61">
        <f>IFERROR(VLOOKUP(DraftSheet!$M58,Aggregate!$P:$AA,11,FALSE()),"")</f>
        <v>7</v>
      </c>
      <c r="M58" s="63" t="str">
        <f>Aggregate!P57</f>
        <v>Braelon Allen</v>
      </c>
      <c r="N58" s="63" t="str">
        <f>VLOOKUP(DraftSheet!$M58,Aggregate!P:AA,4,FALSE())</f>
        <v>NYJ/13</v>
      </c>
      <c r="O58" s="61">
        <f>IFERROR(VLOOKUP(DraftSheet!$M58,Aggregate!$P:$AA,8,FALSE()),"")</f>
        <v>66.67281059</v>
      </c>
      <c r="P58" s="61">
        <f>IF(Scoring!$K$6="Auction",IFERROR(VLOOKUP(DraftSheet!$M58,Aggregate!$P:$AA,10,FALSE()),""),IFERROR(VLOOKUP(DraftSheet!$M58,Aggregate!$P:$AA,9,FALSE()),""))</f>
        <v>1</v>
      </c>
      <c r="Q58" s="71">
        <f>SUMIFS($T59:T$84,$S59:S$84,"&lt;&gt;x",$S59:S$84,"&lt;&gt;o",$T59:T$84,"&gt;0")/Aggregate!$X$1</f>
        <v>0</v>
      </c>
      <c r="R58" s="61">
        <f t="array" ref="R58">IFERROR(INDEX(ECR!$K:$K,MATCH(DraftSheet!$M58,ECR!$C:$C,0)),"ND")</f>
        <v>160</v>
      </c>
      <c r="S58" s="82"/>
      <c r="T58" s="78">
        <f>VLOOKUP(M58,Aggregate!P:X,9,FALSE())</f>
        <v>-11.71807852</v>
      </c>
      <c r="U58" s="83"/>
      <c r="V58" s="61">
        <f>IFERROR(VLOOKUP(DraftSheet!$W58,Aggregate!$AD:$AO,11,FALSE()),"")</f>
        <v>5</v>
      </c>
      <c r="W58" s="63" t="str">
        <f>Aggregate!AD42</f>
        <v>Josh Downs</v>
      </c>
      <c r="X58" s="63" t="str">
        <f>VLOOKUP(DraftSheet!$W58,Aggregate!AD:AO,4,FALSE())</f>
        <v>IND/13</v>
      </c>
      <c r="Y58" s="61">
        <f>IFERROR(VLOOKUP(DraftSheet!$W58,Aggregate!$AD:$AO,8,FALSE()),"")</f>
        <v>97.04200765</v>
      </c>
      <c r="Z58" s="61">
        <f>IF(Scoring!$K$6="Auction",IFERROR(VLOOKUP(DraftSheet!$W58,Aggregate!$AD:$AO,10,FALSE()),""),IFERROR(VLOOKUP(DraftSheet!$W58,Aggregate!$AD:$AO,9,FALSE()),""))</f>
        <v>5.066886767</v>
      </c>
      <c r="AA58" s="71">
        <f>SUMIFS($AD59:AD$84,$AC59:AC$84,"&lt;&gt;x",$AC59:AC$84,"&lt;&gt;o",$AD59:AD$84,"&gt;0")/Aggregate!$AL$1</f>
        <v>0.02117083555</v>
      </c>
      <c r="AB58" s="61">
        <f t="array" ref="AB58">IFERROR(INDEX(ECR!$K:$K,MATCH(DraftSheet!$W58,ECR!$C:$C,0)),"ND")</f>
        <v>96</v>
      </c>
      <c r="AC58" s="82"/>
      <c r="AD58" s="78">
        <f>VLOOKUP(W58,Aggregate!AD:AL,9,FALSE())</f>
        <v>15.52108059</v>
      </c>
      <c r="AE58" s="3"/>
      <c r="AF58" s="3"/>
      <c r="AG58" s="3"/>
      <c r="AH58" s="3"/>
    </row>
    <row r="59" ht="14.25" customHeight="1">
      <c r="A59" s="3"/>
      <c r="B59" s="61">
        <f>IFERROR(VLOOKUP(DraftSheet!$C59,Aggregate!$AR:$BC,11,FALSE()),"")</f>
        <v>3</v>
      </c>
      <c r="C59" s="63" t="str">
        <f>Aggregate!AR16</f>
        <v>Mark Andrews</v>
      </c>
      <c r="D59" s="63" t="str">
        <f>VLOOKUP(DraftSheet!$C59,Aggregate!AR:BD,4,FALSE())</f>
        <v>BAL/13</v>
      </c>
      <c r="E59" s="61">
        <f>IFERROR(VLOOKUP($C59,Aggregate!$AR:$BC,8,FALSE()),"")</f>
        <v>106.1915865</v>
      </c>
      <c r="F59" s="61">
        <f>IF(Scoring!$K$6="Auction",IFERROR(VLOOKUP($C59,Aggregate!$AR:$BC,10,FALSE()),""),IFERROR(VLOOKUP($C59,Aggregate!$AR:$BC,9,FALSE()),""))</f>
        <v>7.45973045</v>
      </c>
      <c r="G59" s="71">
        <f>SUMIFS($J60:J$84,$I60:I$84,"&lt;&gt;x",$I60:I$84,"&lt;&gt;o",$J60:J$84,"&gt;0")/Aggregate!$AZ$1</f>
        <v>0.1946780205</v>
      </c>
      <c r="H59" s="61">
        <f t="array" ref="H59">IFERROR(INDEX(ECR!$K:$K,MATCH(DraftSheet!$C59,ECR!$C:$C,0)),"ND")</f>
        <v>125</v>
      </c>
      <c r="I59" s="82"/>
      <c r="J59" s="78">
        <f>VLOOKUP(C59,Aggregate!AR:AZ,9,FALSE())</f>
        <v>24.65325509</v>
      </c>
      <c r="K59" s="79"/>
      <c r="L59" s="61">
        <f>IFERROR(VLOOKUP(DraftSheet!$M59,Aggregate!$P:$AA,11,FALSE()),"")</f>
        <v>8</v>
      </c>
      <c r="M59" s="63" t="str">
        <f>Aggregate!P49</f>
        <v>Tank Bigsby</v>
      </c>
      <c r="N59" s="63" t="str">
        <f>VLOOKUP(DraftSheet!$M59,Aggregate!P:AA,4,FALSE())</f>
        <v>PHI/10</v>
      </c>
      <c r="O59" s="61">
        <f>IFERROR(VLOOKUP(DraftSheet!$M59,Aggregate!$P:$AA,8,FALSE()),"")</f>
        <v>65.73469882</v>
      </c>
      <c r="P59" s="61">
        <f>IF(Scoring!$K$6="Auction",IFERROR(VLOOKUP(DraftSheet!$M59,Aggregate!$P:$AA,10,FALSE()),""),IFERROR(VLOOKUP(DraftSheet!$M59,Aggregate!$P:$AA,9,FALSE()),""))</f>
        <v>1</v>
      </c>
      <c r="Q59" s="71">
        <f>SUMIFS($T60:T$84,$S60:S$84,"&lt;&gt;x",$S60:S$84,"&lt;&gt;o",$T60:T$84,"&gt;0")/Aggregate!$X$1</f>
        <v>0</v>
      </c>
      <c r="R59" s="61">
        <f t="array" ref="R59">IFERROR(INDEX(ECR!$K:$K,MATCH(DraftSheet!$M59,ECR!$C:$C,0)),"ND")</f>
        <v>141</v>
      </c>
      <c r="S59" s="82"/>
      <c r="T59" s="78">
        <f>VLOOKUP(M59,Aggregate!P:X,9,FALSE())</f>
        <v>-12.65619028</v>
      </c>
      <c r="U59" s="83"/>
      <c r="V59" s="61">
        <f>IFERROR(VLOOKUP(DraftSheet!$W59,Aggregate!$AD:$AO,11,FALSE()),"")</f>
        <v>5</v>
      </c>
      <c r="W59" s="63" t="str">
        <f>Aggregate!AD59</f>
        <v>Rashid Shaheed</v>
      </c>
      <c r="X59" s="63" t="str">
        <f>VLOOKUP(DraftSheet!$W59,Aggregate!AD:AO,4,FALSE())</f>
        <v>SEA/11</v>
      </c>
      <c r="Y59" s="61">
        <f>IFERROR(VLOOKUP(DraftSheet!$W59,Aggregate!$AD:$AO,8,FALSE()),"")</f>
        <v>94.95419118</v>
      </c>
      <c r="Z59" s="61">
        <f>IF(Scoring!$K$6="Auction",IFERROR(VLOOKUP(DraftSheet!$W59,Aggregate!$AD:$AO,10,FALSE()),""),IFERROR(VLOOKUP(DraftSheet!$W59,Aggregate!$AD:$AO,9,FALSE()),""))</f>
        <v>4.519829935</v>
      </c>
      <c r="AA59" s="71">
        <f>SUMIFS($AD60:AD$84,$AC60:AC$84,"&lt;&gt;x",$AC60:AC$84,"&lt;&gt;o",$AD60:AD$84,"&gt;0")/Aggregate!$AL$1</f>
        <v>0.01678961706</v>
      </c>
      <c r="AB59" s="61">
        <f t="array" ref="AB59">IFERROR(INDEX(ECR!$K:$K,MATCH(DraftSheet!$W59,ECR!$C:$C,0)),"ND")</f>
        <v>153</v>
      </c>
      <c r="AC59" s="82"/>
      <c r="AD59" s="78">
        <f>VLOOKUP(W59,Aggregate!AD:AL,9,FALSE())</f>
        <v>13.43326412</v>
      </c>
      <c r="AE59" s="3"/>
      <c r="AF59" s="3"/>
      <c r="AG59" s="3"/>
      <c r="AH59" s="3"/>
    </row>
    <row r="60" ht="14.25" customHeight="1">
      <c r="A60" s="3"/>
      <c r="B60" s="61">
        <f>IFERROR(VLOOKUP(DraftSheet!$C60,Aggregate!$AR:$BC,11,FALSE()),"")</f>
        <v>3</v>
      </c>
      <c r="C60" s="63" t="str">
        <f>Aggregate!AR15</f>
        <v>Isaiah Likely</v>
      </c>
      <c r="D60" s="63" t="str">
        <f>VLOOKUP(DraftSheet!$C60,Aggregate!AR:BD,4,FALSE())</f>
        <v>NYG/8</v>
      </c>
      <c r="E60" s="61">
        <f>IFERROR(VLOOKUP($C60,Aggregate!$AR:$BC,8,FALSE()),"")</f>
        <v>105.5898043</v>
      </c>
      <c r="F60" s="61">
        <f>IF(Scoring!$K$6="Auction",IFERROR(VLOOKUP($C60,Aggregate!$AR:$BC,10,FALSE()),""),IFERROR(VLOOKUP($C60,Aggregate!$AR:$BC,9,FALSE()),""))</f>
        <v>7.302049424</v>
      </c>
      <c r="G60" s="71">
        <f>SUMIFS($J61:J$84,$I61:I$84,"&lt;&gt;x",$I61:I$84,"&lt;&gt;o",$J61:J$84,"&gt;0")/Aggregate!$AZ$1</f>
        <v>0.158466853</v>
      </c>
      <c r="H60" s="61">
        <f t="array" ref="H60">IFERROR(INDEX(ECR!$K:$K,MATCH(DraftSheet!$C60,ECR!$C:$C,0)),"ND")</f>
        <v>119</v>
      </c>
      <c r="I60" s="82"/>
      <c r="J60" s="78">
        <f>VLOOKUP(C60,Aggregate!AR:AZ,9,FALSE())</f>
        <v>24.05147293</v>
      </c>
      <c r="K60" s="79"/>
      <c r="L60" s="61">
        <f>IFERROR(VLOOKUP(DraftSheet!$M60,Aggregate!$P:$AA,11,FALSE()),"")</f>
        <v>8</v>
      </c>
      <c r="M60" s="63" t="str">
        <f>Aggregate!P61</f>
        <v>Emmett Johnson</v>
      </c>
      <c r="N60" s="63" t="str">
        <f>VLOOKUP(DraftSheet!$M60,Aggregate!P:AA,4,FALSE())</f>
        <v>KC/5</v>
      </c>
      <c r="O60" s="61">
        <f>IFERROR(VLOOKUP(DraftSheet!$M60,Aggregate!$P:$AA,8,FALSE()),"")</f>
        <v>65.37512151</v>
      </c>
      <c r="P60" s="61">
        <f>IF(Scoring!$K$6="Auction",IFERROR(VLOOKUP(DraftSheet!$M60,Aggregate!$P:$AA,10,FALSE()),""),IFERROR(VLOOKUP(DraftSheet!$M60,Aggregate!$P:$AA,9,FALSE()),""))</f>
        <v>1</v>
      </c>
      <c r="Q60" s="71">
        <f>SUMIFS($T61:T$84,$S61:S$84,"&lt;&gt;x",$S61:S$84,"&lt;&gt;o",$T61:T$84,"&gt;0")/Aggregate!$X$1</f>
        <v>0</v>
      </c>
      <c r="R60" s="61">
        <f t="array" ref="R60">IFERROR(INDEX(ECR!$K:$K,MATCH(DraftSheet!$M60,ECR!$C:$C,0)),"ND")</f>
        <v>176</v>
      </c>
      <c r="S60" s="82"/>
      <c r="T60" s="78">
        <f>VLOOKUP(M60,Aggregate!P:X,9,FALSE())</f>
        <v>-13.01576759</v>
      </c>
      <c r="U60" s="83"/>
      <c r="V60" s="61">
        <f>IFERROR(VLOOKUP(DraftSheet!$W60,Aggregate!$AD:$AO,11,FALSE()),"")</f>
        <v>5</v>
      </c>
      <c r="W60" s="63" t="str">
        <f>Aggregate!AD52</f>
        <v>Jalen Coker</v>
      </c>
      <c r="X60" s="63" t="str">
        <f>VLOOKUP(DraftSheet!$W60,Aggregate!AD:AO,4,FALSE())</f>
        <v>CAR/5</v>
      </c>
      <c r="Y60" s="61">
        <f>IFERROR(VLOOKUP(DraftSheet!$W60,Aggregate!$AD:$AO,8,FALSE()),"")</f>
        <v>94.44048529</v>
      </c>
      <c r="Z60" s="61">
        <f>IF(Scoring!$K$6="Auction",IFERROR(VLOOKUP(DraftSheet!$W60,Aggregate!$AD:$AO,10,FALSE()),""),IFERROR(VLOOKUP(DraftSheet!$W60,Aggregate!$AD:$AO,9,FALSE()),""))</f>
        <v>4.385226958</v>
      </c>
      <c r="AA60" s="71">
        <f>SUMIFS($AD61:AD$84,$AC61:AC$84,"&lt;&gt;x",$AC61:AC$84,"&lt;&gt;o",$AD61:AD$84,"&gt;0")/Aggregate!$AL$1</f>
        <v>0.01257594218</v>
      </c>
      <c r="AB60" s="61">
        <f t="array" ref="AB60">IFERROR(INDEX(ECR!$K:$K,MATCH(DraftSheet!$W60,ECR!$C:$C,0)),"ND")</f>
        <v>128</v>
      </c>
      <c r="AC60" s="82"/>
      <c r="AD60" s="78">
        <f>VLOOKUP(W60,Aggregate!AD:AL,9,FALSE())</f>
        <v>12.91955824</v>
      </c>
      <c r="AE60" s="3"/>
      <c r="AF60" s="3"/>
      <c r="AG60" s="3"/>
      <c r="AH60" s="3"/>
    </row>
    <row r="61" ht="14.25" customHeight="1">
      <c r="A61" s="3"/>
      <c r="B61" s="61">
        <f>IFERROR(VLOOKUP(DraftSheet!$C61,Aggregate!$AR:$BC,11,FALSE()),"")</f>
        <v>3</v>
      </c>
      <c r="C61" s="63" t="str">
        <f>Aggregate!AR13</f>
        <v>Dalton Kincaid</v>
      </c>
      <c r="D61" s="63" t="str">
        <f>VLOOKUP(DraftSheet!$C61,Aggregate!AR:BD,4,FALSE())</f>
        <v>BUF/7</v>
      </c>
      <c r="E61" s="61">
        <f>IFERROR(VLOOKUP($C61,Aggregate!$AR:$BC,8,FALSE()),"")</f>
        <v>105.3255585</v>
      </c>
      <c r="F61" s="61">
        <f>IF(Scoring!$K$6="Auction",IFERROR(VLOOKUP($C61,Aggregate!$AR:$BC,10,FALSE()),""),IFERROR(VLOOKUP($C61,Aggregate!$AR:$BC,9,FALSE()),""))</f>
        <v>7.232810815</v>
      </c>
      <c r="G61" s="71">
        <f>SUMIFS($J62:J$84,$I62:I$84,"&lt;&gt;x",$I62:I$84,"&lt;&gt;o",$J62:J$84,"&gt;0")/Aggregate!$AZ$1</f>
        <v>0.1226535261</v>
      </c>
      <c r="H61" s="61">
        <f t="array" ref="H61">IFERROR(INDEX(ECR!$K:$K,MATCH(DraftSheet!$C61,ECR!$C:$C,0)),"ND")</f>
        <v>115</v>
      </c>
      <c r="I61" s="82"/>
      <c r="J61" s="78">
        <f>VLOOKUP(C61,Aggregate!AR:AZ,9,FALSE())</f>
        <v>23.78722706</v>
      </c>
      <c r="K61" s="79"/>
      <c r="L61" s="61">
        <f>IFERROR(VLOOKUP(DraftSheet!$M61,Aggregate!$P:$AA,11,FALSE()),"")</f>
        <v>8</v>
      </c>
      <c r="M61" s="63" t="str">
        <f>Aggregate!P48</f>
        <v>Keaton Mitchell</v>
      </c>
      <c r="N61" s="63" t="str">
        <f>VLOOKUP(DraftSheet!$M61,Aggregate!P:AA,4,FALSE())</f>
        <v>LAC/7</v>
      </c>
      <c r="O61" s="61">
        <f>IFERROR(VLOOKUP(DraftSheet!$M61,Aggregate!$P:$AA,8,FALSE()),"")</f>
        <v>63.71543647</v>
      </c>
      <c r="P61" s="61">
        <f>IF(Scoring!$K$6="Auction",IFERROR(VLOOKUP(DraftSheet!$M61,Aggregate!$P:$AA,10,FALSE()),""),IFERROR(VLOOKUP(DraftSheet!$M61,Aggregate!$P:$AA,9,FALSE()),""))</f>
        <v>1</v>
      </c>
      <c r="Q61" s="71">
        <f>SUMIFS($T62:T$84,$S62:S$84,"&lt;&gt;x",$S62:S$84,"&lt;&gt;o",$T62:T$84,"&gt;0")/Aggregate!$X$1</f>
        <v>0</v>
      </c>
      <c r="R61" s="61">
        <f t="array" ref="R61">IFERROR(INDEX(ECR!$K:$K,MATCH(DraftSheet!$M61,ECR!$C:$C,0)),"ND")</f>
        <v>139</v>
      </c>
      <c r="S61" s="82"/>
      <c r="T61" s="78">
        <f>VLOOKUP(M61,Aggregate!P:X,9,FALSE())</f>
        <v>-14.67545263</v>
      </c>
      <c r="U61" s="83"/>
      <c r="V61" s="61">
        <f>IFERROR(VLOOKUP(DraftSheet!$W61,Aggregate!$AD:$AO,11,FALSE()),"")</f>
        <v>5</v>
      </c>
      <c r="W61" s="63" t="str">
        <f>Aggregate!AD54</f>
        <v>Khalil Shakir</v>
      </c>
      <c r="X61" s="63" t="str">
        <f>VLOOKUP(DraftSheet!$W61,Aggregate!AD:AO,4,FALSE())</f>
        <v>BUF/7</v>
      </c>
      <c r="Y61" s="61">
        <f>IFERROR(VLOOKUP(DraftSheet!$W61,Aggregate!$AD:$AO,8,FALSE()),"")</f>
        <v>93.97380882</v>
      </c>
      <c r="Z61" s="61">
        <f>IF(Scoring!$K$6="Auction",IFERROR(VLOOKUP(DraftSheet!$W61,Aggregate!$AD:$AO,10,FALSE()),""),IFERROR(VLOOKUP(DraftSheet!$W61,Aggregate!$AD:$AO,9,FALSE()),""))</f>
        <v>4.262946789</v>
      </c>
      <c r="AA61" s="71">
        <f>SUMIFS($AD62:AD$84,$AC62:AC$84,"&lt;&gt;x",$AC62:AC$84,"&lt;&gt;o",$AD62:AD$84,"&gt;0")/Aggregate!$AL$1</f>
        <v>0.00851447243</v>
      </c>
      <c r="AB61" s="61">
        <f t="array" ref="AB61">IFERROR(INDEX(ECR!$K:$K,MATCH(DraftSheet!$W61,ECR!$C:$C,0)),"ND")</f>
        <v>133</v>
      </c>
      <c r="AC61" s="82"/>
      <c r="AD61" s="78">
        <f>VLOOKUP(W61,Aggregate!AD:AL,9,FALSE())</f>
        <v>12.45288176</v>
      </c>
      <c r="AE61" s="3"/>
      <c r="AF61" s="3"/>
      <c r="AG61" s="3"/>
      <c r="AH61" s="3"/>
    </row>
    <row r="62" ht="14.25" customHeight="1">
      <c r="A62" s="3"/>
      <c r="B62" s="61">
        <f>IFERROR(VLOOKUP(DraftSheet!$C62,Aggregate!$AR:$BC,11,FALSE()),"")</f>
        <v>4</v>
      </c>
      <c r="C62" s="63" t="str">
        <f>Aggregate!AR17</f>
        <v>Jake Ferguson</v>
      </c>
      <c r="D62" s="63" t="str">
        <f>VLOOKUP(DraftSheet!$C62,Aggregate!AR:BD,4,FALSE())</f>
        <v>DAL/14</v>
      </c>
      <c r="E62" s="61">
        <f>IFERROR(VLOOKUP($C62,Aggregate!$AR:$BC,8,FALSE()),"")</f>
        <v>101.4702975</v>
      </c>
      <c r="F62" s="61">
        <f>IF(Scoring!$K$6="Auction",IFERROR(VLOOKUP($C62,Aggregate!$AR:$BC,10,FALSE()),""),IFERROR(VLOOKUP($C62,Aggregate!$AR:$BC,9,FALSE()),""))</f>
        <v>6.222642118</v>
      </c>
      <c r="G62" s="71">
        <f>SUMIFS($J63:J$84,$I63:I$84,"&lt;&gt;x",$I63:I$84,"&lt;&gt;o",$J63:J$84,"&gt;0")/Aggregate!$AZ$1</f>
        <v>0.09264456304</v>
      </c>
      <c r="H62" s="61">
        <f t="array" ref="H62">IFERROR(INDEX(ECR!$K:$K,MATCH(DraftSheet!$C62,ECR!$C:$C,0)),"ND")</f>
        <v>132</v>
      </c>
      <c r="I62" s="82"/>
      <c r="J62" s="78">
        <f>VLOOKUP(C62,Aggregate!AR:AZ,9,FALSE())</f>
        <v>19.9319661</v>
      </c>
      <c r="K62" s="79"/>
      <c r="L62" s="61">
        <f>IFERROR(VLOOKUP(DraftSheet!$M62,Aggregate!$P:$AA,11,FALSE()),"")</f>
        <v>8</v>
      </c>
      <c r="M62" s="63" t="str">
        <f>Aggregate!P56</f>
        <v>Brian Robinson Jr.</v>
      </c>
      <c r="N62" s="63" t="str">
        <f>VLOOKUP(DraftSheet!$M62,Aggregate!P:AA,4,FALSE())</f>
        <v>ATL/11</v>
      </c>
      <c r="O62" s="61">
        <f>IFERROR(VLOOKUP(DraftSheet!$M62,Aggregate!$P:$AA,8,FALSE()),"")</f>
        <v>63.70800588</v>
      </c>
      <c r="P62" s="61">
        <f>IF(Scoring!$K$6="Auction",IFERROR(VLOOKUP(DraftSheet!$M62,Aggregate!$P:$AA,10,FALSE()),""),IFERROR(VLOOKUP(DraftSheet!$M62,Aggregate!$P:$AA,9,FALSE()),""))</f>
        <v>1</v>
      </c>
      <c r="Q62" s="71">
        <f>SUMIFS($T63:T$84,$S63:S$84,"&lt;&gt;x",$S63:S$84,"&lt;&gt;o",$T63:T$84,"&gt;0")/Aggregate!$X$1</f>
        <v>0</v>
      </c>
      <c r="R62" s="61">
        <f t="array" ref="R62">IFERROR(INDEX(ECR!$K:$K,MATCH(DraftSheet!$M62,ECR!$C:$C,0)),"ND")</f>
        <v>158</v>
      </c>
      <c r="S62" s="82"/>
      <c r="T62" s="78">
        <f>VLOOKUP(M62,Aggregate!P:X,9,FALSE())</f>
        <v>-14.68288322</v>
      </c>
      <c r="U62" s="83"/>
      <c r="V62" s="61">
        <f>IFERROR(VLOOKUP(DraftSheet!$W62,Aggregate!$AD:$AO,11,FALSE()),"")</f>
        <v>5</v>
      </c>
      <c r="W62" s="63" t="str">
        <f>Aggregate!AD55</f>
        <v>Jordyn Tyson</v>
      </c>
      <c r="X62" s="63" t="str">
        <f>VLOOKUP(DraftSheet!$W62,Aggregate!AD:AO,4,FALSE())</f>
        <v>NO/8</v>
      </c>
      <c r="Y62" s="61">
        <f>IFERROR(VLOOKUP(DraftSheet!$W62,Aggregate!$AD:$AO,8,FALSE()),"")</f>
        <v>89.53155529</v>
      </c>
      <c r="Z62" s="61">
        <f>IF(Scoring!$K$6="Auction",IFERROR(VLOOKUP(DraftSheet!$W62,Aggregate!$AD:$AO,10,FALSE()),""),IFERROR(VLOOKUP(DraftSheet!$W62,Aggregate!$AD:$AO,9,FALSE()),""))</f>
        <v>3.098972284</v>
      </c>
      <c r="AA62" s="71">
        <f>SUMIFS($AD63:AD$84,$AC63:AC$84,"&lt;&gt;x",$AC63:AC$84,"&lt;&gt;o",$AD63:AD$84,"&gt;0")/Aggregate!$AL$1</f>
        <v>0.005901830241</v>
      </c>
      <c r="AB62" s="61">
        <f t="array" ref="AB62">IFERROR(INDEX(ECR!$K:$K,MATCH(DraftSheet!$W62,ECR!$C:$C,0)),"ND")</f>
        <v>134</v>
      </c>
      <c r="AC62" s="82"/>
      <c r="AD62" s="78">
        <f>VLOOKUP(W62,Aggregate!AD:AL,9,FALSE())</f>
        <v>8.010628235</v>
      </c>
      <c r="AE62" s="3"/>
      <c r="AF62" s="3"/>
      <c r="AG62" s="3"/>
      <c r="AH62" s="3"/>
    </row>
    <row r="63" ht="14.25" customHeight="1">
      <c r="A63" s="3"/>
      <c r="B63" s="61">
        <f>IFERROR(VLOOKUP(DraftSheet!$C63,Aggregate!$AR:$BC,11,FALSE()),"")</f>
        <v>4</v>
      </c>
      <c r="C63" s="63" t="str">
        <f>Aggregate!AR19</f>
        <v>Hunter Henry</v>
      </c>
      <c r="D63" s="63" t="str">
        <f>VLOOKUP(DraftSheet!$C63,Aggregate!AR:BD,4,FALSE())</f>
        <v>NE/11</v>
      </c>
      <c r="E63" s="61">
        <f>IFERROR(VLOOKUP($C63,Aggregate!$AR:$BC,8,FALSE()),"")</f>
        <v>97.28985115</v>
      </c>
      <c r="F63" s="61">
        <f>IF(Scoring!$K$6="Auction",IFERROR(VLOOKUP($C63,Aggregate!$AR:$BC,10,FALSE()),""),IFERROR(VLOOKUP($C63,Aggregate!$AR:$BC,9,FALSE()),""))</f>
        <v>5.127267227</v>
      </c>
      <c r="G63" s="71">
        <f>SUMIFS($J64:J$84,$I64:I$84,"&lt;&gt;x",$I64:I$84,"&lt;&gt;o",$J64:J$84,"&gt;0")/Aggregate!$AZ$1</f>
        <v>0.06892955309</v>
      </c>
      <c r="H63" s="61">
        <f t="array" ref="H63">IFERROR(INDEX(ECR!$K:$K,MATCH(DraftSheet!$C63,ECR!$C:$C,0)),"ND")</f>
        <v>144</v>
      </c>
      <c r="I63" s="82"/>
      <c r="J63" s="78">
        <f>VLOOKUP(C63,Aggregate!AR:AZ,9,FALSE())</f>
        <v>15.75151975</v>
      </c>
      <c r="K63" s="79"/>
      <c r="L63" s="61">
        <f>IFERROR(VLOOKUP(DraftSheet!$M63,Aggregate!$P:$AA,11,FALSE()),"")</f>
        <v>8</v>
      </c>
      <c r="M63" s="63" t="str">
        <f>Aggregate!P73</f>
        <v>Justice Hill</v>
      </c>
      <c r="N63" s="63" t="str">
        <f>VLOOKUP(DraftSheet!$M63,Aggregate!P:AA,4,FALSE())</f>
        <v>BAL/13</v>
      </c>
      <c r="O63" s="61">
        <f>IFERROR(VLOOKUP(DraftSheet!$M63,Aggregate!$P:$AA,8,FALSE()),"")</f>
        <v>63.33833412</v>
      </c>
      <c r="P63" s="61">
        <f>IF(Scoring!$K$6="Auction",IFERROR(VLOOKUP(DraftSheet!$M63,Aggregate!$P:$AA,10,FALSE()),""),IFERROR(VLOOKUP(DraftSheet!$M63,Aggregate!$P:$AA,9,FALSE()),""))</f>
        <v>1</v>
      </c>
      <c r="Q63" s="71">
        <f>SUMIFS(T63:$T$85,S63:$S$85,"&lt;&gt;x",S63:$S$85,"&lt;&gt;o",T63:$T$85,"&gt;0")/Aggregate!$X$1</f>
        <v>0</v>
      </c>
      <c r="R63" s="61">
        <f t="array" ref="R63">IFERROR(INDEX(ECR!$K:$K,MATCH(DraftSheet!$M63,ECR!$C:$C,0)),"ND")</f>
        <v>244</v>
      </c>
      <c r="S63" s="82"/>
      <c r="T63" s="78">
        <f>VLOOKUP(M63,Aggregate!P:X,9,FALSE())</f>
        <v>-15.05255499</v>
      </c>
      <c r="U63" s="83"/>
      <c r="V63" s="61">
        <f>IFERROR(VLOOKUP(DraftSheet!$W63,Aggregate!$AD:$AO,11,FALSE()),"")</f>
        <v>5</v>
      </c>
      <c r="W63" s="63" t="str">
        <f>Aggregate!AD74</f>
        <v>Calvin Ridley</v>
      </c>
      <c r="X63" s="63" t="str">
        <f>VLOOKUP(DraftSheet!$W63,Aggregate!AD:AO,4,FALSE())</f>
        <v>TEN/9</v>
      </c>
      <c r="Y63" s="61">
        <f>IFERROR(VLOOKUP(DraftSheet!$W63,Aggregate!$AD:$AO,8,FALSE()),"")</f>
        <v>87.68452941</v>
      </c>
      <c r="Z63" s="61">
        <f>IF(Scoring!$K$6="Auction",IFERROR(VLOOKUP(DraftSheet!$W63,Aggregate!$AD:$AO,10,FALSE()),""),IFERROR(VLOOKUP(DraftSheet!$W63,Aggregate!$AD:$AO,9,FALSE()),""))</f>
        <v>2.615008227</v>
      </c>
      <c r="AA63" s="71">
        <f>SUMIFS($AD64:AD$84,$AC64:AC$84,"&lt;&gt;x",$AC64:AC$84,"&lt;&gt;o",$AD64:AD$84,"&gt;0")/Aggregate!$AL$1</f>
        <v>0.003891589961</v>
      </c>
      <c r="AB63" s="61">
        <f t="array" ref="AB63">IFERROR(INDEX(ECR!$K:$K,MATCH(DraftSheet!$W63,ECR!$C:$C,0)),"ND")</f>
        <v>186</v>
      </c>
      <c r="AC63" s="82"/>
      <c r="AD63" s="78">
        <f>VLOOKUP(W63,Aggregate!AD:AL,9,FALSE())</f>
        <v>6.163602353</v>
      </c>
      <c r="AE63" s="3"/>
      <c r="AF63" s="3"/>
      <c r="AG63" s="3"/>
      <c r="AH63" s="3"/>
    </row>
    <row r="64" ht="14.25" customHeight="1">
      <c r="A64" s="3"/>
      <c r="B64" s="61">
        <f>IFERROR(VLOOKUP(DraftSheet!$C64,Aggregate!$AR:$BC,11,FALSE()),"")</f>
        <v>4</v>
      </c>
      <c r="C64" s="63" t="str">
        <f>Aggregate!AR18</f>
        <v>Juwan Johnson</v>
      </c>
      <c r="D64" s="63" t="str">
        <f>VLOOKUP(DraftSheet!$C64,Aggregate!AR:BD,4,FALSE())</f>
        <v>NO/8</v>
      </c>
      <c r="E64" s="61">
        <f>IFERROR(VLOOKUP($C64,Aggregate!$AR:$BC,8,FALSE()),"")</f>
        <v>97.07150821</v>
      </c>
      <c r="F64" s="61">
        <f>IF(Scoring!$K$6="Auction",IFERROR(VLOOKUP($C64,Aggregate!$AR:$BC,10,FALSE()),""),IFERROR(VLOOKUP($C64,Aggregate!$AR:$BC,9,FALSE()),""))</f>
        <v>5.070056261</v>
      </c>
      <c r="G64" s="71">
        <f>SUMIFS($J65:J$84,$I65:I$84,"&lt;&gt;x",$I65:I$84,"&lt;&gt;o",$J65:J$84,"&gt;0")/Aggregate!$AZ$1</f>
        <v>0.04554327364</v>
      </c>
      <c r="H64" s="61">
        <f t="array" ref="H64">IFERROR(INDEX(ECR!$K:$K,MATCH(DraftSheet!$C64,ECR!$C:$C,0)),"ND")</f>
        <v>140</v>
      </c>
      <c r="I64" s="82"/>
      <c r="J64" s="78">
        <f>VLOOKUP(C64,Aggregate!AR:AZ,9,FALSE())</f>
        <v>15.53317681</v>
      </c>
      <c r="K64" s="79"/>
      <c r="L64" s="61">
        <f>IFERROR(VLOOKUP(DraftSheet!$M64,Aggregate!$P:$AA,11,FALSE()),"")</f>
        <v>8</v>
      </c>
      <c r="M64" s="63" t="str">
        <f>Aggregate!P66</f>
        <v>Kaytron Allen</v>
      </c>
      <c r="N64" s="63" t="str">
        <f>VLOOKUP(DraftSheet!$M64,Aggregate!P:AA,4,FALSE())</f>
        <v>WAS/7</v>
      </c>
      <c r="O64" s="61">
        <f>IFERROR(VLOOKUP(DraftSheet!$M64,Aggregate!$P:$AA,8,FALSE()),"")</f>
        <v>59.34679302</v>
      </c>
      <c r="P64" s="61">
        <f>IF(Scoring!$K$6="Auction",IFERROR(VLOOKUP(DraftSheet!$M64,Aggregate!$P:$AA,10,FALSE()),""),IFERROR(VLOOKUP(DraftSheet!$M64,Aggregate!$P:$AA,9,FALSE()),""))</f>
        <v>1</v>
      </c>
      <c r="Q64" s="71">
        <f>SUMIFS(T65:$T$84,S65:$S$84,"&lt;&gt;x",S65:$S$84,"&lt;&gt;o",T65:$T$84,"&gt;0")/Aggregate!$X$1</f>
        <v>0</v>
      </c>
      <c r="R64" s="61">
        <f t="array" ref="R64">IFERROR(INDEX(ECR!$K:$K,MATCH(DraftSheet!$M64,ECR!$C:$C,0)),"ND")</f>
        <v>203</v>
      </c>
      <c r="S64" s="82"/>
      <c r="T64" s="78">
        <f>VLOOKUP(M64,Aggregate!P:X,9,FALSE())</f>
        <v>-19.04409608</v>
      </c>
      <c r="U64" s="83"/>
      <c r="V64" s="61">
        <f>IFERROR(VLOOKUP(DraftSheet!$W64,Aggregate!$AD:$AO,11,FALSE()),"")</f>
        <v>5</v>
      </c>
      <c r="W64" s="63" t="str">
        <f>Aggregate!AD63</f>
        <v>Jerry Jeudy</v>
      </c>
      <c r="X64" s="63" t="str">
        <f>VLOOKUP(DraftSheet!$W64,Aggregate!AD:AO,4,FALSE())</f>
        <v>CLE/11</v>
      </c>
      <c r="Y64" s="61">
        <f>IFERROR(VLOOKUP(DraftSheet!$W64,Aggregate!$AD:$AO,8,FALSE()),"")</f>
        <v>86.25555882</v>
      </c>
      <c r="Z64" s="61">
        <f>IF(Scoring!$K$6="Auction",IFERROR(VLOOKUP(DraftSheet!$W64,Aggregate!$AD:$AO,10,FALSE()),""),IFERROR(VLOOKUP(DraftSheet!$W64,Aggregate!$AD:$AO,9,FALSE()),""))</f>
        <v>2.240584453</v>
      </c>
      <c r="AA64" s="71">
        <f>SUMIFS($AD65:AD$84,$AC65:AC$84,"&lt;&gt;x",$AC65:AC$84,"&lt;&gt;o",$AD65:AD$84,"&gt;0")/Aggregate!$AL$1</f>
        <v>0.002347404119</v>
      </c>
      <c r="AB64" s="61">
        <f t="array" ref="AB64">IFERROR(INDEX(ECR!$K:$K,MATCH(DraftSheet!$W64,ECR!$C:$C,0)),"ND")</f>
        <v>164</v>
      </c>
      <c r="AC64" s="82"/>
      <c r="AD64" s="78">
        <f>VLOOKUP(W64,Aggregate!AD:AL,9,FALSE())</f>
        <v>4.734631765</v>
      </c>
      <c r="AE64" s="3"/>
      <c r="AF64" s="3"/>
      <c r="AG64" s="3"/>
      <c r="AH64" s="3"/>
    </row>
    <row r="65" ht="14.25" customHeight="1">
      <c r="A65" s="3"/>
      <c r="B65" s="61">
        <f>IFERROR(VLOOKUP(DraftSheet!$C65,Aggregate!$AR:$BC,11,FALSE()),"")</f>
        <v>4</v>
      </c>
      <c r="C65" s="63" t="str">
        <f>Aggregate!AR20</f>
        <v>Brenton Strange</v>
      </c>
      <c r="D65" s="63" t="str">
        <f>VLOOKUP(DraftSheet!$C65,Aggregate!AR:BD,4,FALSE())</f>
        <v>JAC/7</v>
      </c>
      <c r="E65" s="61">
        <f>IFERROR(VLOOKUP($C65,Aggregate!$AR:$BC,8,FALSE()),"")</f>
        <v>96.36205129</v>
      </c>
      <c r="F65" s="61">
        <f>IF(Scoring!$K$6="Auction",IFERROR(VLOOKUP($C65,Aggregate!$AR:$BC,10,FALSE()),""),IFERROR(VLOOKUP($C65,Aggregate!$AR:$BC,9,FALSE()),""))</f>
        <v>4.884161927</v>
      </c>
      <c r="G65" s="71">
        <f>SUMIFS($J66:J$84,$I66:I$84,"&lt;&gt;x",$I66:I$84,"&lt;&gt;o",$J66:J$84,"&gt;0")/Aggregate!$AZ$1</f>
        <v>0.02322513098</v>
      </c>
      <c r="H65" s="61">
        <f t="array" ref="H65">IFERROR(INDEX(ECR!$K:$K,MATCH(DraftSheet!$C65,ECR!$C:$C,0)),"ND")</f>
        <v>150</v>
      </c>
      <c r="I65" s="82"/>
      <c r="J65" s="78">
        <f>VLOOKUP(C65,Aggregate!AR:AZ,9,FALSE())</f>
        <v>14.8237199</v>
      </c>
      <c r="K65" s="79"/>
      <c r="L65" s="61">
        <f>IFERROR(VLOOKUP(DraftSheet!$M65,Aggregate!$P:$AA,11,FALSE()),"")</f>
        <v>8</v>
      </c>
      <c r="M65" s="63" t="str">
        <f>Aggregate!P64</f>
        <v>Nicholas Singleton</v>
      </c>
      <c r="N65" s="63" t="str">
        <f>VLOOKUP(DraftSheet!$M65,Aggregate!P:AA,4,FALSE())</f>
        <v>TEN/9</v>
      </c>
      <c r="O65" s="61">
        <f>IFERROR(VLOOKUP(DraftSheet!$M65,Aggregate!$P:$AA,8,FALSE()),"")</f>
        <v>58.8881251</v>
      </c>
      <c r="P65" s="61">
        <f>IF(Scoring!$K$6="Auction",IFERROR(VLOOKUP(DraftSheet!$M65,Aggregate!$P:$AA,10,FALSE()),""),IFERROR(VLOOKUP(DraftSheet!$M65,Aggregate!$P:$AA,9,FALSE()),""))</f>
        <v>1</v>
      </c>
      <c r="Q65" s="71">
        <f>SUMIFS($T65:T$85,$S65:S$85,"&lt;&gt;x",$S65:S$85,"&lt;&gt;o",$T65:T$85,"&gt;0")/Aggregate!$X$1</f>
        <v>0</v>
      </c>
      <c r="R65" s="61">
        <f t="array" ref="R65">IFERROR(INDEX(ECR!$K:$K,MATCH(DraftSheet!$M65,ECR!$C:$C,0)),"ND")</f>
        <v>190</v>
      </c>
      <c r="S65" s="82"/>
      <c r="T65" s="78">
        <f>VLOOKUP(M65,Aggregate!P:X,9,FALSE())</f>
        <v>-19.502764</v>
      </c>
      <c r="U65" s="83"/>
      <c r="V65" s="61">
        <f>IFERROR(VLOOKUP(DraftSheet!$W65,Aggregate!$AD:$AO,11,FALSE()),"")</f>
        <v>5</v>
      </c>
      <c r="W65" s="63" t="str">
        <f>Aggregate!AD62</f>
        <v>Tre Tucker</v>
      </c>
      <c r="X65" s="63" t="str">
        <f>VLOOKUP(DraftSheet!$W65,Aggregate!AD:AO,4,FALSE())</f>
        <v>LV/13</v>
      </c>
      <c r="Y65" s="61">
        <f>IFERROR(VLOOKUP(DraftSheet!$W65,Aggregate!$AD:$AO,8,FALSE()),"")</f>
        <v>85.41083824</v>
      </c>
      <c r="Z65" s="61">
        <f>IF(Scoring!$K$6="Auction",IFERROR(VLOOKUP(DraftSheet!$W65,Aggregate!$AD:$AO,10,FALSE()),""),IFERROR(VLOOKUP(DraftSheet!$W65,Aggregate!$AD:$AO,9,FALSE()),""))</f>
        <v>2.019247867</v>
      </c>
      <c r="AA65" s="71">
        <f>SUMIFS(AD65:$AD$85,AC65:$AC$85,"&lt;&gt;x",AC65:$AC$85,"&lt;&gt;o",AD65:$AD$85,"&gt;0")/Aggregate!$AL$1</f>
        <v>0.002347404119</v>
      </c>
      <c r="AB65" s="61">
        <f t="array" ref="AB65">IFERROR(INDEX(ECR!$K:$K,MATCH(DraftSheet!$W65,ECR!$C:$C,0)),"ND")</f>
        <v>163</v>
      </c>
      <c r="AC65" s="82"/>
      <c r="AD65" s="78">
        <f>VLOOKUP(W65,Aggregate!AD:AL,9,FALSE())</f>
        <v>3.889911176</v>
      </c>
      <c r="AE65" s="3"/>
      <c r="AF65" s="3"/>
      <c r="AG65" s="3"/>
      <c r="AH65" s="3"/>
    </row>
    <row r="66" ht="14.25" customHeight="1">
      <c r="A66" s="3"/>
      <c r="B66" s="61">
        <f>IFERROR(VLOOKUP(DraftSheet!$C66,Aggregate!$AR:$BC,11,FALSE()),"")</f>
        <v>4</v>
      </c>
      <c r="C66" s="63" t="str">
        <f>Aggregate!AR22</f>
        <v>Dalton Schultz</v>
      </c>
      <c r="D66" s="63" t="str">
        <f>VLOOKUP(DraftSheet!$C66,Aggregate!AR:BD,4,FALSE())</f>
        <v>HOU/8</v>
      </c>
      <c r="E66" s="61">
        <f>IFERROR(VLOOKUP($C66,Aggregate!$AR:$BC,8,FALSE()),"")</f>
        <v>89.52595191</v>
      </c>
      <c r="F66" s="61">
        <f>IF(Scoring!$K$6="Auction",IFERROR(VLOOKUP($C66,Aggregate!$AR:$BC,10,FALSE()),""),IFERROR(VLOOKUP($C66,Aggregate!$AR:$BC,9,FALSE()),""))</f>
        <v>3.092943722</v>
      </c>
      <c r="G66" s="71">
        <f>SUMIFS(J66:$J$85,I66:$I$85,"&lt;&gt;x",I66:$I$85,"&lt;&gt;o",J66:$J$85,"&gt;0")/Aggregate!$AZ$1</f>
        <v>0.02322513098</v>
      </c>
      <c r="H66" s="61">
        <f t="array" ref="H66">IFERROR(INDEX(ECR!$K:$K,MATCH(DraftSheet!$C66,ECR!$C:$C,0)),"ND")</f>
        <v>156</v>
      </c>
      <c r="I66" s="82"/>
      <c r="J66" s="78">
        <f>VLOOKUP(C66,Aggregate!AR:AZ,9,FALSE())</f>
        <v>7.987620515</v>
      </c>
      <c r="K66" s="79"/>
      <c r="L66" s="61">
        <f>IFERROR(VLOOKUP(DraftSheet!$M66,Aggregate!$P:$AA,11,FALSE()),"")</f>
        <v>8</v>
      </c>
      <c r="M66" s="63" t="str">
        <f>Aggregate!P79</f>
        <v>Samaje Perine</v>
      </c>
      <c r="N66" s="63" t="str">
        <f>VLOOKUP(DraftSheet!$M66,Aggregate!P:AA,4,FALSE())</f>
        <v>CIN/6</v>
      </c>
      <c r="O66" s="61">
        <f>IFERROR(VLOOKUP(DraftSheet!$M66,Aggregate!$P:$AA,8,FALSE()),"")</f>
        <v>56.95545882</v>
      </c>
      <c r="P66" s="61">
        <f>IF(Scoring!$K$6="Auction",IFERROR(VLOOKUP(DraftSheet!$M66,Aggregate!$P:$AA,10,FALSE()),""),IFERROR(VLOOKUP(DraftSheet!$M66,Aggregate!$P:$AA,9,FALSE()),""))</f>
        <v>1</v>
      </c>
      <c r="Q66" s="71">
        <f>SUMIFS($T66:T$85,$S66:S$85,"&lt;&gt;x",$S66:S$85,"&lt;&gt;o",$T66:T$85,"&gt;0")/Aggregate!$X$1</f>
        <v>0</v>
      </c>
      <c r="R66" s="61">
        <f t="array" ref="R66">IFERROR(INDEX(ECR!$K:$K,MATCH(DraftSheet!$M66,ECR!$C:$C,0)),"ND")</f>
        <v>260</v>
      </c>
      <c r="S66" s="82"/>
      <c r="T66" s="78">
        <f>VLOOKUP(M66,Aggregate!P:X,9,FALSE())</f>
        <v>-21.43543028</v>
      </c>
      <c r="U66" s="83"/>
      <c r="V66" s="61">
        <f>IFERROR(VLOOKUP(DraftSheet!$W66,Aggregate!$AD:$AO,11,FALSE()),"")</f>
        <v>6</v>
      </c>
      <c r="W66" s="63" t="str">
        <f>Aggregate!AD76</f>
        <v>Tank Dell</v>
      </c>
      <c r="X66" s="63" t="str">
        <f>VLOOKUP(DraftSheet!$W66,Aggregate!AD:AO,4,FALSE())</f>
        <v>HOU/8</v>
      </c>
      <c r="Y66" s="61">
        <f>IFERROR(VLOOKUP(DraftSheet!$W66,Aggregate!$AD:$AO,8,FALSE()),"")</f>
        <v>84.82839706</v>
      </c>
      <c r="Z66" s="61">
        <f>IF(Scoring!$K$6="Auction",IFERROR(VLOOKUP(DraftSheet!$W66,Aggregate!$AD:$AO,10,FALSE()),""),IFERROR(VLOOKUP(DraftSheet!$W66,Aggregate!$AD:$AO,9,FALSE()),""))</f>
        <v>1.866634633</v>
      </c>
      <c r="AA66" s="71">
        <f>SUMIFS($AD67:AD$84,$AC67:AC$84,"&lt;&gt;x",$AC67:AC$84,"&lt;&gt;o",$AD67:AD$84,"&gt;0")/Aggregate!$AL$1</f>
        <v>0</v>
      </c>
      <c r="AB66" s="61">
        <f t="array" ref="AB66">IFERROR(INDEX(ECR!$K:$K,MATCH(DraftSheet!$W66,ECR!$C:$C,0)),"ND")</f>
        <v>189</v>
      </c>
      <c r="AC66" s="82"/>
      <c r="AD66" s="78">
        <f>VLOOKUP(W66,Aggregate!AD:AL,9,FALSE())</f>
        <v>3.30747</v>
      </c>
      <c r="AE66" s="3"/>
      <c r="AF66" s="3"/>
      <c r="AG66" s="3"/>
      <c r="AH66" s="3"/>
    </row>
    <row r="67" ht="14.25" customHeight="1">
      <c r="A67" s="3"/>
      <c r="B67" s="61">
        <f>IFERROR(VLOOKUP(DraftSheet!$C67,Aggregate!$AR:$BC,11,FALSE()),"")</f>
        <v>4</v>
      </c>
      <c r="C67" s="63" t="str">
        <f>Aggregate!AR24</f>
        <v>T.J. Hockenson</v>
      </c>
      <c r="D67" s="63" t="str">
        <f>VLOOKUP(DraftSheet!$C67,Aggregate!AR:BD,4,FALSE())</f>
        <v>MIN/6</v>
      </c>
      <c r="E67" s="61">
        <f>IFERROR(VLOOKUP($C67,Aggregate!$AR:$BC,8,FALSE()),"")</f>
        <v>86.54392406</v>
      </c>
      <c r="F67" s="61">
        <f>IF(Scoring!$K$6="Auction",IFERROR(VLOOKUP($C67,Aggregate!$AR:$BC,10,FALSE()),""),IFERROR(VLOOKUP($C67,Aggregate!$AR:$BC,9,FALSE()),""))</f>
        <v>2.311582557</v>
      </c>
      <c r="G67" s="71">
        <f>SUMIFS($J68:J$84,$I68:I$84,"&lt;&gt;x",$I68:I$84,"&lt;&gt;o",$J68:J$84,"&gt;0")/Aggregate!$AZ$1</f>
        <v>0.003662943667</v>
      </c>
      <c r="H67" s="61">
        <f t="array" ref="H67">IFERROR(INDEX(ECR!$K:$K,MATCH(DraftSheet!$C67,ECR!$C:$C,0)),"ND")</f>
        <v>173</v>
      </c>
      <c r="I67" s="82"/>
      <c r="J67" s="78">
        <f>VLOOKUP(C67,Aggregate!AR:AZ,9,FALSE())</f>
        <v>5.005592662</v>
      </c>
      <c r="K67" s="79"/>
      <c r="L67" s="61">
        <f>IFERROR(VLOOKUP(DraftSheet!$M67,Aggregate!$P:$AA,11,FALSE()),"")</f>
        <v>8</v>
      </c>
      <c r="M67" s="63" t="str">
        <f>Aggregate!P74</f>
        <v>Demond Claiborne</v>
      </c>
      <c r="N67" s="63" t="str">
        <f>VLOOKUP(DraftSheet!$M67,Aggregate!P:AA,4,FALSE())</f>
        <v>MIN/6</v>
      </c>
      <c r="O67" s="61">
        <f>IFERROR(VLOOKUP(DraftSheet!$M67,Aggregate!$P:$AA,8,FALSE()),"")</f>
        <v>53.93181872</v>
      </c>
      <c r="P67" s="61">
        <f>IF(Scoring!$K$6="Auction",IFERROR(VLOOKUP(DraftSheet!$M67,Aggregate!$P:$AA,10,FALSE()),""),IFERROR(VLOOKUP(DraftSheet!$M67,Aggregate!$P:$AA,9,FALSE()),""))</f>
        <v>1</v>
      </c>
      <c r="Q67" s="71">
        <f>SUMIFS($T68:T$84,$S68:S$84,"&lt;&gt;x",$S68:S$84,"&lt;&gt;o",$T68:T$84,"&gt;0")/Aggregate!$X$1</f>
        <v>0</v>
      </c>
      <c r="R67" s="61">
        <f t="array" ref="R67">IFERROR(INDEX(ECR!$K:$K,MATCH(DraftSheet!$M67,ECR!$C:$C,0)),"ND")</f>
        <v>245</v>
      </c>
      <c r="S67" s="82"/>
      <c r="T67" s="78">
        <f>VLOOKUP(M67,Aggregate!P:X,9,FALSE())</f>
        <v>-24.45907038</v>
      </c>
      <c r="U67" s="83"/>
      <c r="V67" s="61">
        <f>IFERROR(VLOOKUP(DraftSheet!$W67,Aggregate!$AD:$AO,11,FALSE()),"")</f>
        <v>6</v>
      </c>
      <c r="W67" s="63" t="str">
        <f>Aggregate!AD65</f>
        <v>Jalen McMillan</v>
      </c>
      <c r="X67" s="63" t="str">
        <f>VLOOKUP(DraftSheet!$W67,Aggregate!AD:AO,4,FALSE())</f>
        <v>TB/10</v>
      </c>
      <c r="Y67" s="61">
        <f>IFERROR(VLOOKUP(DraftSheet!$W67,Aggregate!$AD:$AO,8,FALSE()),"")</f>
        <v>81.52092706</v>
      </c>
      <c r="Z67" s="61">
        <f>IF(Scoring!$K$6="Auction",IFERROR(VLOOKUP(DraftSheet!$W67,Aggregate!$AD:$AO,10,FALSE()),""),IFERROR(VLOOKUP(DraftSheet!$W67,Aggregate!$AD:$AO,9,FALSE()),""))</f>
        <v>1</v>
      </c>
      <c r="AA67" s="71">
        <f>SUMIFS($AD68:AD$84,$AC68:AC$84,"&lt;&gt;x",$AC68:AC$84,"&lt;&gt;o",$AD68:AD$84,"&gt;0")/Aggregate!$AL$1</f>
        <v>0</v>
      </c>
      <c r="AB67" s="61">
        <f t="array" ref="AB67">IFERROR(INDEX(ECR!$K:$K,MATCH(DraftSheet!$W67,ECR!$C:$C,0)),"ND")</f>
        <v>166</v>
      </c>
      <c r="AC67" s="82"/>
      <c r="AD67" s="78">
        <f>VLOOKUP(W67,Aggregate!AD:AL,9,FALSE())</f>
        <v>0</v>
      </c>
      <c r="AE67" s="3"/>
      <c r="AF67" s="3"/>
      <c r="AG67" s="3"/>
      <c r="AH67" s="3"/>
    </row>
    <row r="68" ht="14.25" customHeight="1">
      <c r="A68" s="3"/>
      <c r="B68" s="61">
        <f>IFERROR(VLOOKUP(DraftSheet!$C68,Aggregate!$AR:$BC,11,FALSE()),"")</f>
        <v>5</v>
      </c>
      <c r="C68" s="63" t="str">
        <f>Aggregate!AR30</f>
        <v>Pat Freiermuth</v>
      </c>
      <c r="D68" s="63" t="str">
        <f>VLOOKUP(DraftSheet!$C68,Aggregate!AR:BD,4,FALSE())</f>
        <v>PIT/9</v>
      </c>
      <c r="E68" s="61">
        <f>IFERROR(VLOOKUP($C68,Aggregate!$AR:$BC,8,FALSE()),"")</f>
        <v>83.12144529</v>
      </c>
      <c r="F68" s="61">
        <f>IF(Scoring!$K$6="Auction",IFERROR(VLOOKUP($C68,Aggregate!$AR:$BC,10,FALSE()),""),IFERROR(VLOOKUP($C68,Aggregate!$AR:$BC,9,FALSE()),""))</f>
        <v>1.414812933</v>
      </c>
      <c r="G68" s="71">
        <f>SUMIFS($J69:J$84,$I69:I$84,"&lt;&gt;x",$I69:I$84,"&lt;&gt;o",$J69:J$84,"&gt;0")/Aggregate!$AZ$1</f>
        <v>0.001279455444</v>
      </c>
      <c r="H68" s="61">
        <f t="array" ref="H68">IFERROR(INDEX(ECR!$K:$K,MATCH(DraftSheet!$C68,ECR!$C:$C,0)),"ND")</f>
        <v>204</v>
      </c>
      <c r="I68" s="82"/>
      <c r="J68" s="78">
        <f>VLOOKUP(C68,Aggregate!AR:AZ,9,FALSE())</f>
        <v>1.583113897</v>
      </c>
      <c r="K68" s="79"/>
      <c r="L68" s="61">
        <f>IFERROR(VLOOKUP(DraftSheet!$M68,Aggregate!$P:$AA,11,FALSE()),"")</f>
        <v>8</v>
      </c>
      <c r="M68" s="63" t="str">
        <f>Aggregate!P80</f>
        <v>Ty Johnson</v>
      </c>
      <c r="N68" s="63" t="str">
        <f>VLOOKUP(DraftSheet!$M68,Aggregate!P:AA,4,FALSE())</f>
        <v>BUF/7</v>
      </c>
      <c r="O68" s="61">
        <f>IFERROR(VLOOKUP(DraftSheet!$M68,Aggregate!$P:$AA,8,FALSE()),"")</f>
        <v>52.36521294</v>
      </c>
      <c r="P68" s="61">
        <f>IF(Scoring!$K$6="Auction",IFERROR(VLOOKUP(DraftSheet!$M68,Aggregate!$P:$AA,10,FALSE()),""),IFERROR(VLOOKUP(DraftSheet!$M68,Aggregate!$P:$AA,9,FALSE()),""))</f>
        <v>1</v>
      </c>
      <c r="Q68" s="71">
        <f>SUMIFS($T69:T$84,$S69:S$84,"&lt;&gt;x",$S69:S$84,"&lt;&gt;o",$T69:T$84,"&gt;0")/Aggregate!$X$1</f>
        <v>0</v>
      </c>
      <c r="R68" s="61">
        <f t="array" ref="R68">IFERROR(INDEX(ECR!$K:$K,MATCH(DraftSheet!$M68,ECR!$C:$C,0)),"ND")</f>
        <v>264</v>
      </c>
      <c r="S68" s="82"/>
      <c r="T68" s="78">
        <f>VLOOKUP(M68,Aggregate!P:X,9,FALSE())</f>
        <v>-26.02567616</v>
      </c>
      <c r="U68" s="83"/>
      <c r="V68" s="61">
        <f>IFERROR(VLOOKUP(DraftSheet!$W68,Aggregate!$AD:$AO,11,FALSE()),"")</f>
        <v>6</v>
      </c>
      <c r="W68" s="63" t="str">
        <f>Aggregate!AD64</f>
        <v>Jauan Jennings</v>
      </c>
      <c r="X68" s="63" t="str">
        <f>VLOOKUP(DraftSheet!$W68,Aggregate!AD:AO,4,FALSE())</f>
        <v>MIN/6</v>
      </c>
      <c r="Y68" s="61">
        <f>IFERROR(VLOOKUP(DraftSheet!$W68,Aggregate!$AD:$AO,8,FALSE()),"")</f>
        <v>81.32383765</v>
      </c>
      <c r="Z68" s="61">
        <f>IF(Scoring!$K$6="Auction",IFERROR(VLOOKUP(DraftSheet!$W68,Aggregate!$AD:$AO,10,FALSE()),""),IFERROR(VLOOKUP(DraftSheet!$W68,Aggregate!$AD:$AO,9,FALSE()),""))</f>
        <v>1</v>
      </c>
      <c r="AA68" s="71">
        <f>SUMIFS($AD69:AD$84,$AC69:AC$84,"&lt;&gt;x",$AC69:AC$84,"&lt;&gt;o",$AD69:AD$84,"&gt;0")/Aggregate!$AL$1</f>
        <v>0</v>
      </c>
      <c r="AB68" s="61">
        <f t="array" ref="AB68">IFERROR(INDEX(ECR!$K:$K,MATCH(DraftSheet!$W68,ECR!$C:$C,0)),"ND")</f>
        <v>165</v>
      </c>
      <c r="AC68" s="82"/>
      <c r="AD68" s="78">
        <f>VLOOKUP(W68,Aggregate!AD:AL,9,FALSE())</f>
        <v>-0.1970894118</v>
      </c>
      <c r="AE68" s="3"/>
      <c r="AF68" s="3"/>
      <c r="AG68" s="3"/>
      <c r="AH68" s="3"/>
    </row>
    <row r="69" ht="14.25" customHeight="1">
      <c r="A69" s="3"/>
      <c r="B69" s="61">
        <f>IFERROR(VLOOKUP(DraftSheet!$C69,Aggregate!$AR:$BC,11,FALSE()),"")</f>
        <v>5</v>
      </c>
      <c r="C69" s="63" t="str">
        <f>Aggregate!AR27</f>
        <v>Kenyon Sadiq</v>
      </c>
      <c r="D69" s="63" t="str">
        <f>VLOOKUP(DraftSheet!$C69,Aggregate!AR:BD,4,FALSE())</f>
        <v>NYJ/13</v>
      </c>
      <c r="E69" s="61">
        <f>IFERROR(VLOOKUP($C69,Aggregate!$AR:$BC,8,FALSE()),"")</f>
        <v>82.04916465</v>
      </c>
      <c r="F69" s="61">
        <f>IF(Scoring!$K$6="Auction",IFERROR(VLOOKUP($C69,Aggregate!$AR:$BC,10,FALSE()),""),IFERROR(VLOOKUP($C69,Aggregate!$AR:$BC,9,FALSE()),""))</f>
        <v>1.13385028</v>
      </c>
      <c r="G69" s="71">
        <f>SUMIFS(J69:$J$84,I69:$I$84,"&lt;&gt;x",I69:$I$84,"&lt;&gt;o",J69:$J$84,"&gt;0")/Aggregate!$AZ$1</f>
        <v>0.001279455444</v>
      </c>
      <c r="H69" s="61">
        <f t="array" ref="H69">IFERROR(INDEX(ECR!$K:$K,MATCH(DraftSheet!$C69,ECR!$C:$C,0)),"ND")</f>
        <v>187</v>
      </c>
      <c r="I69" s="82"/>
      <c r="J69" s="78">
        <f>VLOOKUP(C69,Aggregate!AR:AZ,9,FALSE())</f>
        <v>0.51083325</v>
      </c>
      <c r="K69" s="79"/>
      <c r="L69" s="61">
        <f>IFERROR(VLOOKUP(DraftSheet!$M69,Aggregate!$P:$AA,11,FALSE()),"")</f>
        <v>8</v>
      </c>
      <c r="M69" s="63" t="str">
        <f>Aggregate!P78</f>
        <v>Jordan James</v>
      </c>
      <c r="N69" s="63" t="str">
        <f>VLOOKUP(DraftSheet!$M69,Aggregate!P:AA,4,FALSE())</f>
        <v>SF/8</v>
      </c>
      <c r="O69" s="61">
        <f>IFERROR(VLOOKUP(DraftSheet!$M69,Aggregate!$P:$AA,8,FALSE()),"")</f>
        <v>47.08392235</v>
      </c>
      <c r="P69" s="61">
        <f>IF(Scoring!$K$6="Auction",IFERROR(VLOOKUP(DraftSheet!$M69,Aggregate!$P:$AA,10,FALSE()),""),IFERROR(VLOOKUP(DraftSheet!$M69,Aggregate!$P:$AA,9,FALSE()),""))</f>
        <v>1</v>
      </c>
      <c r="Q69" s="71">
        <f>SUMIFS(T$66:$T88,S$66:$S88,"&lt;&gt;x",S$66:$S88,"&lt;&gt;o",T$66:$T88,"&gt;0")/Aggregate!$X$1</f>
        <v>0</v>
      </c>
      <c r="R69" s="61">
        <f t="array" ref="R69">IFERROR(INDEX(ECR!$K:$K,MATCH(DraftSheet!$M69,ECR!$C:$C,0)),"ND")</f>
        <v>259</v>
      </c>
      <c r="S69" s="82"/>
      <c r="T69" s="78">
        <f>VLOOKUP(M69,Aggregate!P:X,9,FALSE())</f>
        <v>-31.30696675</v>
      </c>
      <c r="U69" s="83"/>
      <c r="V69" s="61">
        <f>IFERROR(VLOOKUP(DraftSheet!$W69,Aggregate!$AD:$AO,11,FALSE()),"")</f>
        <v>6</v>
      </c>
      <c r="W69" s="63" t="str">
        <f>Aggregate!AD72</f>
        <v>Omar Cooper Jr.</v>
      </c>
      <c r="X69" s="63" t="str">
        <f>VLOOKUP(DraftSheet!$W69,Aggregate!AD:AO,4,FALSE())</f>
        <v>NYJ/13</v>
      </c>
      <c r="Y69" s="61">
        <f>IFERROR(VLOOKUP(DraftSheet!$W69,Aggregate!$AD:$AO,8,FALSE()),"")</f>
        <v>80.89210765</v>
      </c>
      <c r="Z69" s="61">
        <f>IF(Scoring!$K$6="Auction",IFERROR(VLOOKUP(DraftSheet!$W69,Aggregate!$AD:$AO,10,FALSE()),""),IFERROR(VLOOKUP(DraftSheet!$W69,Aggregate!$AD:$AO,9,FALSE()),""))</f>
        <v>1</v>
      </c>
      <c r="AA69" s="71">
        <f>SUMIFS($AD70:AD$84,$AC70:AC$84,"&lt;&gt;x",$AC70:AC$84,"&lt;&gt;o",$AD70:AD$84,"&gt;0")/Aggregate!$AL$1</f>
        <v>0</v>
      </c>
      <c r="AB69" s="61">
        <f t="array" ref="AB69">IFERROR(INDEX(ECR!$K:$K,MATCH(DraftSheet!$W69,ECR!$C:$C,0)),"ND")</f>
        <v>181</v>
      </c>
      <c r="AC69" s="82"/>
      <c r="AD69" s="78">
        <f>VLOOKUP(W69,Aggregate!AD:AL,9,FALSE())</f>
        <v>-0.6288194118</v>
      </c>
      <c r="AE69" s="3"/>
      <c r="AF69" s="3"/>
      <c r="AG69" s="3"/>
      <c r="AH69" s="3"/>
    </row>
    <row r="70" ht="14.25" customHeight="1">
      <c r="A70" s="3"/>
      <c r="B70" s="61">
        <f>IFERROR(VLOOKUP(DraftSheet!$C70,Aggregate!$AR:$BC,11,FALSE()),"")</f>
        <v>5</v>
      </c>
      <c r="C70" s="63" t="str">
        <f>Aggregate!AR29</f>
        <v>Cade Otton</v>
      </c>
      <c r="D70" s="63" t="str">
        <f>VLOOKUP(DraftSheet!$C70,Aggregate!AR:BD,4,FALSE())</f>
        <v>TB/10</v>
      </c>
      <c r="E70" s="61">
        <f>IFERROR(VLOOKUP($C70,Aggregate!$AR:$BC,8,FALSE()),"")</f>
        <v>81.877313</v>
      </c>
      <c r="F70" s="61">
        <f>IF(Scoring!$K$6="Auction",IFERROR(VLOOKUP($C70,Aggregate!$AR:$BC,10,FALSE()),""),IFERROR(VLOOKUP($C70,Aggregate!$AR:$BC,9,FALSE()),""))</f>
        <v>1.088821122</v>
      </c>
      <c r="G70" s="71">
        <f>SUMIFS($J71:J$84,$I71:I$84,"&lt;&gt;x",$I71:I$84,"&lt;&gt;o",$J71:J$84,"&gt;0")/Aggregate!$AZ$1</f>
        <v>0</v>
      </c>
      <c r="H70" s="61">
        <f t="array" ref="H70">IFERROR(INDEX(ECR!$K:$K,MATCH(DraftSheet!$C70,ECR!$C:$C,0)),"ND")</f>
        <v>202</v>
      </c>
      <c r="I70" s="82"/>
      <c r="J70" s="78">
        <f>VLOOKUP(C70,Aggregate!AR:AZ,9,FALSE())</f>
        <v>0.3389816029</v>
      </c>
      <c r="K70" s="79"/>
      <c r="L70" s="61">
        <f>IFERROR(VLOOKUP(DraftSheet!$M70,Aggregate!$P:$AA,11,FALSE()),"")</f>
        <v>8</v>
      </c>
      <c r="M70" s="63" t="str">
        <f>Aggregate!P63</f>
        <v>Kimani Vidal</v>
      </c>
      <c r="N70" s="63" t="str">
        <f>VLOOKUP(DraftSheet!$M70,Aggregate!P:AA,4,FALSE())</f>
        <v>LAC/7</v>
      </c>
      <c r="O70" s="61">
        <f>IFERROR(VLOOKUP(DraftSheet!$M70,Aggregate!$P:$AA,8,FALSE()),"")</f>
        <v>44.77203229</v>
      </c>
      <c r="P70" s="61">
        <f>IF(Scoring!$K$6="Auction",IFERROR(VLOOKUP(DraftSheet!$M70,Aggregate!$P:$AA,10,FALSE()),""),IFERROR(VLOOKUP(DraftSheet!$M70,Aggregate!$P:$AA,9,FALSE()),""))</f>
        <v>1</v>
      </c>
      <c r="Q70" s="71">
        <f>SUMIFS(T71:$T$84,S71:$S$84,"&lt;&gt;x",S71:$S$84,"&lt;&gt;o",T71:$T$84,"&gt;0")/Aggregate!$X$1</f>
        <v>0</v>
      </c>
      <c r="R70" s="61">
        <f t="array" ref="R70">IFERROR(INDEX(ECR!$K:$K,MATCH(DraftSheet!$M70,ECR!$C:$C,0)),"ND")</f>
        <v>185</v>
      </c>
      <c r="S70" s="82"/>
      <c r="T70" s="78">
        <f>VLOOKUP(M70,Aggregate!P:X,9,FALSE())</f>
        <v>-33.61885681</v>
      </c>
      <c r="U70" s="83"/>
      <c r="V70" s="61">
        <f>IFERROR(VLOOKUP(DraftSheet!$W70,Aggregate!$AD:$AO,11,FALSE()),"")</f>
        <v>6</v>
      </c>
      <c r="W70" s="63" t="str">
        <f>Aggregate!AD79</f>
        <v>Rashod Bateman</v>
      </c>
      <c r="X70" s="63" t="str">
        <f>VLOOKUP(DraftSheet!$W70,Aggregate!AD:AO,4,FALSE())</f>
        <v>BAL/13</v>
      </c>
      <c r="Y70" s="61">
        <f>IFERROR(VLOOKUP(DraftSheet!$W70,Aggregate!$AD:$AO,8,FALSE()),"")</f>
        <v>80.70427941</v>
      </c>
      <c r="Z70" s="61">
        <f>IF(Scoring!$K$6="Auction",IFERROR(VLOOKUP(DraftSheet!$W70,Aggregate!$AD:$AO,10,FALSE()),""),IFERROR(VLOOKUP(DraftSheet!$W70,Aggregate!$AD:$AO,9,FALSE()),""))</f>
        <v>1</v>
      </c>
      <c r="AA70" s="71">
        <f>SUMIFS(AD70:$AD$85,AC70:$AC$85,"&lt;&gt;x",AC70:$AC$85,"&lt;&gt;o",AD70:$AD$85,"&gt;0")/Aggregate!$AL$1</f>
        <v>0</v>
      </c>
      <c r="AB70" s="61">
        <f t="array" ref="AB70">IFERROR(INDEX(ECR!$K:$K,MATCH(DraftSheet!$W70,ECR!$C:$C,0)),"ND")</f>
        <v>198</v>
      </c>
      <c r="AC70" s="82"/>
      <c r="AD70" s="78">
        <f>VLOOKUP(W70,Aggregate!AD:AL,9,FALSE())</f>
        <v>-0.8166476471</v>
      </c>
      <c r="AE70" s="3"/>
      <c r="AF70" s="3"/>
      <c r="AG70" s="3"/>
      <c r="AH70" s="3"/>
    </row>
    <row r="71" ht="14.25" customHeight="1">
      <c r="A71" s="3"/>
      <c r="B71" s="61">
        <f>IFERROR(VLOOKUP(DraftSheet!$C71,Aggregate!$AR:$BC,11,FALSE()),"")</f>
        <v>5</v>
      </c>
      <c r="C71" s="63" t="str">
        <f>Aggregate!AR23</f>
        <v>AJ Barner</v>
      </c>
      <c r="D71" s="63" t="str">
        <f>VLOOKUP(DraftSheet!$C71,Aggregate!AR:BD,4,FALSE())</f>
        <v>SEA/11</v>
      </c>
      <c r="E71" s="61">
        <f>IFERROR(VLOOKUP($C71,Aggregate!$AR:$BC,8,FALSE()),"")</f>
        <v>81.5383314</v>
      </c>
      <c r="F71" s="61">
        <f>IF(Scoring!$K$6="Auction",IFERROR(VLOOKUP($C71,Aggregate!$AR:$BC,10,FALSE()),""),IFERROR(VLOOKUP($C71,Aggregate!$AR:$BC,9,FALSE()),""))</f>
        <v>1</v>
      </c>
      <c r="G71" s="71">
        <f>SUMIFS($J72:J$84,$I72:I$84,"&lt;&gt;x",$I72:I$84,"&lt;&gt;o",$J72:J$84,"&gt;0")/Aggregate!$AZ$1</f>
        <v>0</v>
      </c>
      <c r="H71" s="61">
        <f t="array" ref="H71">IFERROR(INDEX(ECR!$K:$K,MATCH(DraftSheet!$C71,ECR!$C:$C,0)),"ND")</f>
        <v>169</v>
      </c>
      <c r="I71" s="82"/>
      <c r="J71" s="78">
        <f>VLOOKUP(C71,Aggregate!AR:AZ,9,FALSE())</f>
        <v>0</v>
      </c>
      <c r="K71" s="79"/>
      <c r="L71" s="61">
        <f>IFERROR(VLOOKUP(DraftSheet!$M71,Aggregate!$P:$AA,11,FALSE()),"")</f>
        <v>8</v>
      </c>
      <c r="M71" s="63" t="str">
        <f>Aggregate!P58</f>
        <v>MarShawn Lloyd</v>
      </c>
      <c r="N71" s="63" t="str">
        <f>VLOOKUP(DraftSheet!$M71,Aggregate!P:AA,4,FALSE())</f>
        <v>GB/11</v>
      </c>
      <c r="O71" s="61">
        <f>IFERROR(VLOOKUP(DraftSheet!$M71,Aggregate!$P:$AA,8,FALSE()),"")</f>
        <v>44.34017765</v>
      </c>
      <c r="P71" s="61">
        <f>IF(Scoring!$K$6="Auction",IFERROR(VLOOKUP(DraftSheet!$M71,Aggregate!$P:$AA,10,FALSE()),""),IFERROR(VLOOKUP(DraftSheet!$M71,Aggregate!$P:$AA,9,FALSE()),""))</f>
        <v>1</v>
      </c>
      <c r="Q71" s="71">
        <f>SUMIFS(T71:$T$85,S71:$S$85,"&lt;&gt;x",S71:$S$85,"&lt;&gt;o",T71:$T$85,"&gt;0")/Aggregate!$X$1</f>
        <v>0</v>
      </c>
      <c r="R71" s="61">
        <f t="array" ref="R71">IFERROR(INDEX(ECR!$K:$K,MATCH(DraftSheet!$M71,ECR!$C:$C,0)),"ND")</f>
        <v>162</v>
      </c>
      <c r="S71" s="82"/>
      <c r="T71" s="78">
        <f>VLOOKUP(M71,Aggregate!P:X,9,FALSE())</f>
        <v>-34.05071146</v>
      </c>
      <c r="U71" s="83"/>
      <c r="V71" s="61">
        <f>IFERROR(VLOOKUP(DraftSheet!$W71,Aggregate!$AD:$AO,11,FALSE()),"")</f>
        <v>6</v>
      </c>
      <c r="W71" s="63" t="str">
        <f>Aggregate!AD75</f>
        <v>Keenan Allen</v>
      </c>
      <c r="X71" s="63" t="str">
        <f>VLOOKUP(DraftSheet!$W71,Aggregate!AD:AO,4,FALSE())</f>
        <v>IND/13</v>
      </c>
      <c r="Y71" s="61">
        <f>IFERROR(VLOOKUP(DraftSheet!$W71,Aggregate!$AD:$AO,8,FALSE()),"")</f>
        <v>80.25077118</v>
      </c>
      <c r="Z71" s="61">
        <f>IF(Scoring!$K$6="Auction",IFERROR(VLOOKUP(DraftSheet!$W71,Aggregate!$AD:$AO,10,FALSE()),""),IFERROR(VLOOKUP(DraftSheet!$W71,Aggregate!$AD:$AO,9,FALSE()),""))</f>
        <v>1</v>
      </c>
      <c r="AA71" s="71">
        <f>SUMIFS($AD72:AD$84,$AC72:AC$84,"&lt;&gt;x",$AC72:AC$84,"&lt;&gt;o",$AD72:AD$84,"&gt;0")/Aggregate!$AL$1</f>
        <v>0</v>
      </c>
      <c r="AB71" s="61">
        <f t="array" ref="AB71">IFERROR(INDEX(ECR!$K:$K,MATCH(DraftSheet!$W71,ECR!$C:$C,0)),"ND")</f>
        <v>188</v>
      </c>
      <c r="AC71" s="82"/>
      <c r="AD71" s="78">
        <f>VLOOKUP(W71,Aggregate!AD:AL,9,FALSE())</f>
        <v>-1.270155882</v>
      </c>
      <c r="AE71" s="3"/>
      <c r="AF71" s="3"/>
      <c r="AG71" s="3"/>
      <c r="AH71" s="3"/>
    </row>
    <row r="72" ht="14.25" customHeight="1">
      <c r="A72" s="3"/>
      <c r="B72" s="61">
        <f>IFERROR(VLOOKUP(DraftSheet!$C72,Aggregate!$AR:$BC,11,FALSE()),"")</f>
        <v>5</v>
      </c>
      <c r="C72" s="63" t="str">
        <f>Aggregate!AR34</f>
        <v>Greg Dulcich</v>
      </c>
      <c r="D72" s="63" t="str">
        <f>VLOOKUP(DraftSheet!$C72,Aggregate!AR:BD,4,FALSE())</f>
        <v>MIA/6</v>
      </c>
      <c r="E72" s="61">
        <f>IFERROR(VLOOKUP($C72,Aggregate!$AR:$BC,8,FALSE()),"")</f>
        <v>81.47282259</v>
      </c>
      <c r="F72" s="61">
        <f>IF(Scoring!$K$6="Auction",IFERROR(VLOOKUP($C72,Aggregate!$AR:$BC,10,FALSE()),""),IFERROR(VLOOKUP($C72,Aggregate!$AR:$BC,9,FALSE()),""))</f>
        <v>1</v>
      </c>
      <c r="G72" s="71">
        <f>SUMIFS($J73:J$84,$I73:I$84,"&lt;&gt;x",$I73:I$84,"&lt;&gt;o",$J73:J$84,"&gt;0")/Aggregate!$AZ$1</f>
        <v>0</v>
      </c>
      <c r="H72" s="61">
        <f t="array" ref="H72">IFERROR(INDEX(ECR!$K:$K,MATCH(DraftSheet!$C72,ECR!$C:$C,0)),"ND")</f>
        <v>271</v>
      </c>
      <c r="I72" s="82"/>
      <c r="J72" s="78">
        <f>VLOOKUP(C72,Aggregate!AR:AZ,9,FALSE())</f>
        <v>-0.06550880882</v>
      </c>
      <c r="K72" s="79"/>
      <c r="L72" s="61">
        <f>IFERROR(VLOOKUP(DraftSheet!$M72,Aggregate!$P:$AA,11,FALSE()),"")</f>
        <v>8</v>
      </c>
      <c r="M72" s="63" t="str">
        <f>Aggregate!P68</f>
        <v>James Conner</v>
      </c>
      <c r="N72" s="63" t="str">
        <f>VLOOKUP(DraftSheet!$M72,Aggregate!P:AA,4,FALSE())</f>
        <v>ARI/14</v>
      </c>
      <c r="O72" s="61">
        <f>IFERROR(VLOOKUP(DraftSheet!$M72,Aggregate!$P:$AA,8,FALSE()),"")</f>
        <v>43.86462</v>
      </c>
      <c r="P72" s="61">
        <f>IF(Scoring!$K$6="Auction",IFERROR(VLOOKUP(DraftSheet!$M72,Aggregate!$P:$AA,10,FALSE()),""),IFERROR(VLOOKUP(DraftSheet!$M72,Aggregate!$P:$AA,9,FALSE()),""))</f>
        <v>1</v>
      </c>
      <c r="Q72" s="71">
        <f>SUMIFS($T73:T$84,$S73:S$84,"&lt;&gt;x",$S73:S$84,"&lt;&gt;o",$T73:T$84,"&gt;0")/Aggregate!$X$1</f>
        <v>0</v>
      </c>
      <c r="R72" s="61">
        <f t="array" ref="R72">IFERROR(INDEX(ECR!$K:$K,MATCH(DraftSheet!$M72,ECR!$C:$C,0)),"ND")</f>
        <v>213</v>
      </c>
      <c r="S72" s="82"/>
      <c r="T72" s="78">
        <f>VLOOKUP(M72,Aggregate!P:X,9,FALSE())</f>
        <v>-34.5262691</v>
      </c>
      <c r="U72" s="83"/>
      <c r="V72" s="61">
        <f>IFERROR(VLOOKUP(DraftSheet!$W72,Aggregate!$AD:$AO,11,FALSE()),"")</f>
        <v>6</v>
      </c>
      <c r="W72" s="63" t="str">
        <f>Aggregate!AD69</f>
        <v>Jalen Nailor</v>
      </c>
      <c r="X72" s="63" t="str">
        <f>VLOOKUP(DraftSheet!$W72,Aggregate!AD:AO,4,FALSE())</f>
        <v>LV/13</v>
      </c>
      <c r="Y72" s="61">
        <f>IFERROR(VLOOKUP(DraftSheet!$W72,Aggregate!$AD:$AO,8,FALSE()),"")</f>
        <v>77.91869118</v>
      </c>
      <c r="Z72" s="61">
        <f>IF(Scoring!$K$6="Auction",IFERROR(VLOOKUP(DraftSheet!$W72,Aggregate!$AD:$AO,10,FALSE()),""),IFERROR(VLOOKUP(DraftSheet!$W72,Aggregate!$AD:$AO,9,FALSE()),""))</f>
        <v>1</v>
      </c>
      <c r="AA72" s="71">
        <f>SUMIFS($AD73:AD$84,$AC73:AC$84,"&lt;&gt;x",$AC73:AC$84,"&lt;&gt;o",$AD73:AD$84,"&gt;0")/Aggregate!$AL$1</f>
        <v>0</v>
      </c>
      <c r="AB72" s="61">
        <f t="array" ref="AB72">IFERROR(INDEX(ECR!$K:$K,MATCH(DraftSheet!$W72,ECR!$C:$C,0)),"ND")</f>
        <v>177</v>
      </c>
      <c r="AC72" s="82"/>
      <c r="AD72" s="78">
        <f>VLOOKUP(W72,Aggregate!AD:AL,9,FALSE())</f>
        <v>-3.602235882</v>
      </c>
      <c r="AE72" s="3"/>
      <c r="AF72" s="3"/>
      <c r="AG72" s="3"/>
      <c r="AH72" s="3"/>
    </row>
    <row r="73" ht="15.0" customHeight="1">
      <c r="A73" s="3"/>
      <c r="B73" s="61">
        <f>IFERROR(VLOOKUP(DraftSheet!$C73,Aggregate!$AR:$BC,11,FALSE()),"")</f>
        <v>5</v>
      </c>
      <c r="C73" s="63" t="str">
        <f>Aggregate!AR25</f>
        <v>Terrance Ferguson</v>
      </c>
      <c r="D73" s="63" t="str">
        <f>VLOOKUP(DraftSheet!$C73,Aggregate!AR:BD,4,FALSE())</f>
        <v>LAR/11</v>
      </c>
      <c r="E73" s="61">
        <f>IFERROR(VLOOKUP($C73,Aggregate!$AR:$BC,8,FALSE()),"")</f>
        <v>81.02681488</v>
      </c>
      <c r="F73" s="61">
        <f>IF(Scoring!$K$6="Auction",IFERROR(VLOOKUP($C73,Aggregate!$AR:$BC,10,FALSE()),""),IFERROR(VLOOKUP($C73,Aggregate!$AR:$BC,9,FALSE()),""))</f>
        <v>1</v>
      </c>
      <c r="G73" s="71">
        <f>SUMIFS($J74:J$84,$I74:I$84,"&lt;&gt;x",$I74:I$84,"&lt;&gt;o",$J74:J$84,"&gt;0")/Aggregate!$AZ$1</f>
        <v>0</v>
      </c>
      <c r="H73" s="61">
        <f t="array" ref="H73">IFERROR(INDEX(ECR!$K:$K,MATCH(DraftSheet!$C73,ECR!$C:$C,0)),"ND")</f>
        <v>174</v>
      </c>
      <c r="I73" s="82"/>
      <c r="J73" s="78">
        <f>VLOOKUP(C73,Aggregate!AR:AZ,9,FALSE())</f>
        <v>-0.5115165147</v>
      </c>
      <c r="K73" s="79"/>
      <c r="L73" s="61">
        <f>IFERROR(VLOOKUP(DraftSheet!$M73,Aggregate!$P:$AA,11,FALSE()),"")</f>
        <v>8</v>
      </c>
      <c r="M73" s="63" t="str">
        <f>Aggregate!P65</f>
        <v>Jaydon Blue</v>
      </c>
      <c r="N73" s="63" t="str">
        <f>VLOOKUP(DraftSheet!$M73,Aggregate!P:AA,4,FALSE())</f>
        <v>DAL/14</v>
      </c>
      <c r="O73" s="61">
        <f>IFERROR(VLOOKUP(DraftSheet!$M73,Aggregate!$P:$AA,8,FALSE()),"")</f>
        <v>42.7670701</v>
      </c>
      <c r="P73" s="61">
        <f>IF(Scoring!$K$6="Auction",IFERROR(VLOOKUP(DraftSheet!$M73,Aggregate!$P:$AA,10,FALSE()),""),IFERROR(VLOOKUP(DraftSheet!$M73,Aggregate!$P:$AA,9,FALSE()),""))</f>
        <v>1</v>
      </c>
      <c r="Q73" s="71">
        <f>SUMIFS($T74:T$84,$S74:S$84,"&lt;&gt;x",$S74:S$84,"&lt;&gt;o",$T74:T$84,"&gt;0")/Aggregate!$X$1</f>
        <v>0</v>
      </c>
      <c r="R73" s="61">
        <f t="array" ref="R73">IFERROR(INDEX(ECR!$K:$K,MATCH(DraftSheet!$M73,ECR!$C:$C,0)),"ND")</f>
        <v>197</v>
      </c>
      <c r="S73" s="82"/>
      <c r="T73" s="78">
        <f>VLOOKUP(M73,Aggregate!P:X,9,FALSE())</f>
        <v>-35.623819</v>
      </c>
      <c r="U73" s="83"/>
      <c r="V73" s="61">
        <f>IFERROR(VLOOKUP(DraftSheet!$W73,Aggregate!$AD:$AO,11,FALSE()),"")</f>
        <v>6</v>
      </c>
      <c r="W73" s="63" t="str">
        <f>Aggregate!AD60</f>
        <v>Adonai Mitchell</v>
      </c>
      <c r="X73" s="63" t="str">
        <f>VLOOKUP(DraftSheet!$W73,Aggregate!AD:AO,4,FALSE())</f>
        <v>NYJ/13</v>
      </c>
      <c r="Y73" s="61">
        <f>IFERROR(VLOOKUP(DraftSheet!$W73,Aggregate!$AD:$AO,8,FALSE()),"")</f>
        <v>74.07313235</v>
      </c>
      <c r="Z73" s="61">
        <f>IF(Scoring!$K$6="Auction",IFERROR(VLOOKUP(DraftSheet!$W73,Aggregate!$AD:$AO,10,FALSE()),""),IFERROR(VLOOKUP(DraftSheet!$W73,Aggregate!$AD:$AO,9,FALSE()),""))</f>
        <v>1</v>
      </c>
      <c r="AA73" s="71">
        <f>SUMIFS($AD74:AD$84,$AC74:AC$84,"&lt;&gt;x",$AC74:AC$84,"&lt;&gt;o",$AD74:AD$84,"&gt;0")/Aggregate!$AL$1</f>
        <v>0</v>
      </c>
      <c r="AB73" s="61">
        <f t="array" ref="AB73">IFERROR(INDEX(ECR!$K:$K,MATCH(DraftSheet!$W73,ECR!$C:$C,0)),"ND")</f>
        <v>159</v>
      </c>
      <c r="AC73" s="82"/>
      <c r="AD73" s="78">
        <f>VLOOKUP(W73,Aggregate!AD:AL,9,FALSE())</f>
        <v>-7.447794706</v>
      </c>
      <c r="AE73" s="3"/>
      <c r="AF73" s="3"/>
      <c r="AG73" s="3"/>
      <c r="AH73" s="3"/>
    </row>
    <row r="74" ht="14.25" customHeight="1">
      <c r="A74" s="3"/>
      <c r="B74" s="61">
        <f>IFERROR(VLOOKUP(DraftSheet!$C74,Aggregate!$AR:$BC,11,FALSE()),"")</f>
        <v>5</v>
      </c>
      <c r="C74" s="63" t="str">
        <f>Aggregate!AR21</f>
        <v>Chig Okonkwo</v>
      </c>
      <c r="D74" s="63" t="str">
        <f>VLOOKUP(DraftSheet!$C74,Aggregate!AR:BD,4,FALSE())</f>
        <v>WAS/7</v>
      </c>
      <c r="E74" s="61">
        <f>IFERROR(VLOOKUP($C74,Aggregate!$AR:$BC,8,FALSE()),"")</f>
        <v>80.96461147</v>
      </c>
      <c r="F74" s="61">
        <f>IF(Scoring!$K$6="Auction",IFERROR(VLOOKUP($C74,Aggregate!$AR:$BC,10,FALSE()),""),IFERROR(VLOOKUP($C74,Aggregate!$AR:$BC,9,FALSE()),""))</f>
        <v>1</v>
      </c>
      <c r="G74" s="71">
        <f>SUMIFS($J75:J$84,$I75:I$84,"&lt;&gt;x",$I75:I$84,"&lt;&gt;o",$J75:J$84,"&gt;0")/Aggregate!$AZ$1</f>
        <v>0</v>
      </c>
      <c r="H74" s="61">
        <f t="array" ref="H74">IFERROR(INDEX(ECR!$K:$K,MATCH(DraftSheet!$C74,ECR!$C:$C,0)),"ND")</f>
        <v>154</v>
      </c>
      <c r="I74" s="82"/>
      <c r="J74" s="78">
        <f>VLOOKUP(C74,Aggregate!AR:AZ,9,FALSE())</f>
        <v>-0.5737199265</v>
      </c>
      <c r="K74" s="8"/>
      <c r="L74" s="61">
        <f>IFERROR(VLOOKUP(DraftSheet!$M74,Aggregate!$P:$AA,11,FALSE()),"")</f>
        <v>8</v>
      </c>
      <c r="M74" s="63" t="str">
        <f>Aggregate!P67</f>
        <v>Emanuel Wilson</v>
      </c>
      <c r="N74" s="63" t="str">
        <f>VLOOKUP(DraftSheet!$M74,Aggregate!P:AA,4,FALSE())</f>
        <v>SEA/11</v>
      </c>
      <c r="O74" s="61">
        <f>IFERROR(VLOOKUP(DraftSheet!$M74,Aggregate!$P:$AA,8,FALSE()),"")</f>
        <v>41.08210248</v>
      </c>
      <c r="P74" s="61">
        <f>IF(Scoring!$K$6="Auction",IFERROR(VLOOKUP(DraftSheet!$M74,Aggregate!$P:$AA,10,FALSE()),""),IFERROR(VLOOKUP(DraftSheet!$M74,Aggregate!$P:$AA,9,FALSE()),""))</f>
        <v>1</v>
      </c>
      <c r="Q74" s="71">
        <f>SUMIFS($T75:T$84,$S75:S$84,"&lt;&gt;x",$S75:S$84,"&lt;&gt;o",$T75:T$84,"&gt;0")/Aggregate!$X$1</f>
        <v>0</v>
      </c>
      <c r="R74" s="61">
        <f t="array" ref="R74">IFERROR(INDEX(ECR!$K:$K,MATCH(DraftSheet!$M74,ECR!$C:$C,0)),"ND")</f>
        <v>208</v>
      </c>
      <c r="S74" s="82"/>
      <c r="T74" s="78">
        <f>VLOOKUP(M74,Aggregate!P:X,9,FALSE())</f>
        <v>-37.30878662</v>
      </c>
      <c r="U74" s="8"/>
      <c r="V74" s="61">
        <f>IFERROR(VLOOKUP(DraftSheet!$W74,Aggregate!$AD:$AO,11,FALSE()),"")</f>
        <v>6</v>
      </c>
      <c r="W74" s="63" t="str">
        <f>Aggregate!AD68</f>
        <v>Kayshon Boutte</v>
      </c>
      <c r="X74" s="63" t="str">
        <f>VLOOKUP(DraftSheet!$W74,Aggregate!AD:AO,4,FALSE())</f>
        <v>HOU/8</v>
      </c>
      <c r="Y74" s="61">
        <f>IFERROR(VLOOKUP(DraftSheet!$W74,Aggregate!$AD:$AO,8,FALSE()),"")</f>
        <v>71.70538235</v>
      </c>
      <c r="Z74" s="61">
        <f>IF(Scoring!$K$6="Auction",IFERROR(VLOOKUP(DraftSheet!$W74,Aggregate!$AD:$AO,10,FALSE()),""),IFERROR(VLOOKUP(DraftSheet!$W74,Aggregate!$AD:$AO,9,FALSE()),""))</f>
        <v>1</v>
      </c>
      <c r="AA74" s="71">
        <f>SUMIFS($AD75:AD$84,$AC75:AC$84,"&lt;&gt;x",$AC75:AC$84,"&lt;&gt;o",$AD75:AD$84,"&gt;0")/Aggregate!$AL$1</f>
        <v>0</v>
      </c>
      <c r="AB74" s="61">
        <f t="array" ref="AB74">IFERROR(INDEX(ECR!$K:$K,MATCH(DraftSheet!$W74,ECR!$C:$C,0)),"ND")</f>
        <v>175</v>
      </c>
      <c r="AC74" s="82"/>
      <c r="AD74" s="78">
        <f>VLOOKUP(W74,Aggregate!AD:AL,9,FALSE())</f>
        <v>-9.815544706</v>
      </c>
      <c r="AE74" s="3"/>
      <c r="AF74" s="3"/>
      <c r="AG74" s="3"/>
      <c r="AH74" s="3"/>
    </row>
    <row r="75" ht="14.25" customHeight="1">
      <c r="A75" s="3"/>
      <c r="B75" s="61">
        <f>IFERROR(VLOOKUP(DraftSheet!$C75,Aggregate!$AR:$BC,11,FALSE()),"")</f>
        <v>5</v>
      </c>
      <c r="C75" s="63" t="str">
        <f>Aggregate!AR28</f>
        <v>Gunnar Helm</v>
      </c>
      <c r="D75" s="63" t="str">
        <f>VLOOKUP(DraftSheet!$C75,Aggregate!AR:BD,4,FALSE())</f>
        <v>TEN/9</v>
      </c>
      <c r="E75" s="61">
        <f>IFERROR(VLOOKUP($C75,Aggregate!$AR:$BC,8,FALSE()),"")</f>
        <v>72.34986449</v>
      </c>
      <c r="F75" s="61">
        <f>IF(Scoring!$K$6="Auction",IFERROR(VLOOKUP($C75,Aggregate!$AR:$BC,10,FALSE()),""),IFERROR(VLOOKUP($C75,Aggregate!$AR:$BC,9,FALSE()),""))</f>
        <v>1</v>
      </c>
      <c r="G75" s="71">
        <f>SUMIFS($J76:J$84,$I76:I$84,"&lt;&gt;x",$I76:I$84,"&lt;&gt;o",$J76:J$84,"&gt;0")/Aggregate!$AZ$1</f>
        <v>0</v>
      </c>
      <c r="H75" s="61">
        <f t="array" ref="H75">IFERROR(INDEX(ECR!$K:$K,MATCH(DraftSheet!$C75,ECR!$C:$C,0)),"ND")</f>
        <v>192</v>
      </c>
      <c r="I75" s="82"/>
      <c r="J75" s="78">
        <f>VLOOKUP(C75,Aggregate!AR:AZ,9,FALSE())</f>
        <v>-9.188466912</v>
      </c>
      <c r="K75" s="79"/>
      <c r="L75" s="61">
        <f>IFERROR(VLOOKUP(DraftSheet!$M75,Aggregate!$P:$AA,11,FALSE()),"")</f>
        <v>9</v>
      </c>
      <c r="M75" s="63" t="str">
        <f>Aggregate!P76</f>
        <v>Chris Brooks</v>
      </c>
      <c r="N75" s="63" t="str">
        <f>VLOOKUP(DraftSheet!$M75,Aggregate!P:AA,4,FALSE())</f>
        <v>GB/11</v>
      </c>
      <c r="O75" s="61">
        <f>IFERROR(VLOOKUP(DraftSheet!$M75,Aggregate!$P:$AA,8,FALSE()),"")</f>
        <v>40.66575176</v>
      </c>
      <c r="P75" s="61">
        <f>IF(Scoring!$K$6="Auction",IFERROR(VLOOKUP(DraftSheet!$M75,Aggregate!$P:$AA,10,FALSE()),""),IFERROR(VLOOKUP(DraftSheet!$M75,Aggregate!$P:$AA,9,FALSE()),""))</f>
        <v>1</v>
      </c>
      <c r="Q75" s="71">
        <f>SUMIFS($T76:T$84,$S76:S$84,"&lt;&gt;x",$S76:S$84,"&lt;&gt;o",$T76:T$84,"&gt;0")/Aggregate!$X$1</f>
        <v>0</v>
      </c>
      <c r="R75" s="61">
        <f t="array" ref="R75">IFERROR(INDEX(ECR!$K:$K,MATCH(DraftSheet!$M75,ECR!$C:$C,0)),"ND")</f>
        <v>255</v>
      </c>
      <c r="S75" s="82"/>
      <c r="T75" s="78">
        <f>VLOOKUP(M75,Aggregate!P:X,9,FALSE())</f>
        <v>-37.72513734</v>
      </c>
      <c r="U75" s="83"/>
      <c r="V75" s="61">
        <f>IFERROR(VLOOKUP(DraftSheet!$W75,Aggregate!$AD:$AO,11,FALSE()),"")</f>
        <v>6</v>
      </c>
      <c r="W75" s="63" t="str">
        <f>Aggregate!AD82</f>
        <v>Cooper Kupp</v>
      </c>
      <c r="X75" s="63" t="str">
        <f>VLOOKUP(DraftSheet!$W75,Aggregate!AD:AO,4,FALSE())</f>
        <v>SEA/11</v>
      </c>
      <c r="Y75" s="61">
        <f>IFERROR(VLOOKUP(DraftSheet!$W75,Aggregate!$AD:$AO,8,FALSE()),"")</f>
        <v>71.62847118</v>
      </c>
      <c r="Z75" s="61">
        <f>IF(Scoring!$K$6="Auction",IFERROR(VLOOKUP(DraftSheet!$W75,Aggregate!$AD:$AO,10,FALSE()),""),IFERROR(VLOOKUP(DraftSheet!$W75,Aggregate!$AD:$AO,9,FALSE()),""))</f>
        <v>1</v>
      </c>
      <c r="AA75" s="71">
        <f>SUMIFS(AD75:$AD$85,AC75:$AC$85,"&lt;&gt;x",AC75:$AC$85,"&lt;&gt;o",AD75:$AD$85,"&gt;0")/Aggregate!$AL$1</f>
        <v>0</v>
      </c>
      <c r="AB75" s="61">
        <f t="array" ref="AB75">IFERROR(INDEX(ECR!$K:$K,MATCH(DraftSheet!$W75,ECR!$C:$C,0)),"ND")</f>
        <v>218</v>
      </c>
      <c r="AC75" s="82"/>
      <c r="AD75" s="78">
        <f>VLOOKUP(W75,Aggregate!AD:AL,9,FALSE())</f>
        <v>-9.892455882</v>
      </c>
      <c r="AE75" s="3"/>
      <c r="AF75" s="3"/>
      <c r="AG75" s="3"/>
      <c r="AH75" s="3"/>
    </row>
    <row r="76" ht="14.25" customHeight="1">
      <c r="A76" s="3"/>
      <c r="B76" s="61">
        <f>IFERROR(VLOOKUP(DraftSheet!$C76,Aggregate!$AR:$BC,11,FALSE()),"")</f>
        <v>5</v>
      </c>
      <c r="C76" s="63" t="str">
        <f>Aggregate!AR32</f>
        <v>Evan Engram</v>
      </c>
      <c r="D76" s="63" t="str">
        <f>VLOOKUP(DraftSheet!$C76,Aggregate!AR:BD,4,FALSE())</f>
        <v>DEN/10</v>
      </c>
      <c r="E76" s="61">
        <f>IFERROR(VLOOKUP($C76,Aggregate!$AR:$BC,8,FALSE()),"")</f>
        <v>71.94045362</v>
      </c>
      <c r="F76" s="61">
        <f>IF(Scoring!$K$6="Auction",IFERROR(VLOOKUP($C76,Aggregate!$AR:$BC,10,FALSE()),""),IFERROR(VLOOKUP($C76,Aggregate!$AR:$BC,9,FALSE()),""))</f>
        <v>1</v>
      </c>
      <c r="G76" s="71">
        <f>SUMIFS($J77:J$84,$I77:I$84,"&lt;&gt;x",$I77:I$84,"&lt;&gt;o",$J77:J$84,"&gt;0")/Aggregate!$AZ$1</f>
        <v>0</v>
      </c>
      <c r="H76" s="61">
        <f t="array" ref="H76">IFERROR(INDEX(ECR!$K:$K,MATCH(DraftSheet!$C76,ECR!$C:$C,0)),"ND")</f>
        <v>233</v>
      </c>
      <c r="I76" s="82"/>
      <c r="J76" s="78">
        <f>VLOOKUP(C76,Aggregate!AR:AZ,9,FALSE())</f>
        <v>-9.597877779</v>
      </c>
      <c r="K76" s="79"/>
      <c r="L76" s="61">
        <f>IFERROR(VLOOKUP(DraftSheet!$M76,Aggregate!$P:$AA,11,FALSE()),"")</f>
        <v>9</v>
      </c>
      <c r="M76" s="63" t="str">
        <f>Aggregate!P77</f>
        <v>Najee Harris</v>
      </c>
      <c r="N76" s="63" t="str">
        <f>VLOOKUP(DraftSheet!$M76,Aggregate!P:AA,4,FALSE())</f>
        <v>NYG/8</v>
      </c>
      <c r="O76" s="61">
        <f>IFERROR(VLOOKUP(DraftSheet!$M76,Aggregate!$P:$AA,8,FALSE()),"")</f>
        <v>39.65519176</v>
      </c>
      <c r="P76" s="61">
        <f>IF(Scoring!$K$6="Auction",IFERROR(VLOOKUP(DraftSheet!$M76,Aggregate!$P:$AA,10,FALSE()),""),IFERROR(VLOOKUP(DraftSheet!$M76,Aggregate!$P:$AA,9,FALSE()),""))</f>
        <v>1</v>
      </c>
      <c r="Q76" s="71">
        <f>SUMIFS($T77:T$84,$S77:S$84,"&lt;&gt;x",$S77:S$84,"&lt;&gt;o",$T77:T$84,"&gt;0")/Aggregate!$X$1</f>
        <v>0</v>
      </c>
      <c r="R76" s="61">
        <f t="array" ref="R76">IFERROR(INDEX(ECR!$K:$K,MATCH(DraftSheet!$M76,ECR!$C:$C,0)),"ND")</f>
        <v>258</v>
      </c>
      <c r="S76" s="82"/>
      <c r="T76" s="78">
        <f>VLOOKUP(M76,Aggregate!P:X,9,FALSE())</f>
        <v>-38.73569734</v>
      </c>
      <c r="U76" s="83"/>
      <c r="V76" s="61">
        <f>IFERROR(VLOOKUP(DraftSheet!$W76,Aggregate!$AD:$AO,11,FALSE()),"")</f>
        <v>6</v>
      </c>
      <c r="W76" s="63" t="str">
        <f>Aggregate!AD67</f>
        <v>Dontayvion Wicks</v>
      </c>
      <c r="X76" s="63" t="str">
        <f>VLOOKUP(DraftSheet!$W76,Aggregate!AD:AO,4,FALSE())</f>
        <v>PHI/10</v>
      </c>
      <c r="Y76" s="61">
        <f>IFERROR(VLOOKUP(DraftSheet!$W76,Aggregate!$AD:$AO,8,FALSE()),"")</f>
        <v>69.30145588</v>
      </c>
      <c r="Z76" s="61">
        <f>IF(Scoring!$K$6="Auction",IFERROR(VLOOKUP(DraftSheet!$W76,Aggregate!$AD:$AO,10,FALSE()),""),IFERROR(VLOOKUP(DraftSheet!$W76,Aggregate!$AD:$AO,9,FALSE()),""))</f>
        <v>1</v>
      </c>
      <c r="AA76" s="71">
        <f>SUMIFS(AD77:$AD$84,AC77:$AC$84,"&lt;&gt;x",AC77:$AC$84,"&lt;&gt;o",AD77:$AD$84,"&gt;0")/Aggregate!$AL$1</f>
        <v>0</v>
      </c>
      <c r="AB76" s="61">
        <f t="array" ref="AB76">IFERROR(INDEX(ECR!$K:$K,MATCH(DraftSheet!$W76,ECR!$C:$C,0)),"ND")</f>
        <v>171</v>
      </c>
      <c r="AC76" s="82"/>
      <c r="AD76" s="78">
        <f>VLOOKUP(W76,Aggregate!AD:AL,9,FALSE())</f>
        <v>-12.21947118</v>
      </c>
      <c r="AE76" s="3"/>
      <c r="AF76" s="3"/>
      <c r="AG76" s="3"/>
      <c r="AH76" s="3"/>
    </row>
    <row r="77" ht="14.25" customHeight="1">
      <c r="A77" s="3"/>
      <c r="B77" s="61">
        <f>IFERROR(VLOOKUP(DraftSheet!$C77,Aggregate!$AR:$BC,11,FALSE()),"")</f>
        <v>5</v>
      </c>
      <c r="C77" s="63" t="str">
        <f>Aggregate!AR31</f>
        <v>David Njoku</v>
      </c>
      <c r="D77" s="63" t="str">
        <f>VLOOKUP(DraftSheet!$C77,Aggregate!AR:BD,4,FALSE())</f>
        <v>LAC/7</v>
      </c>
      <c r="E77" s="61">
        <f>IFERROR(VLOOKUP($C77,Aggregate!$AR:$BC,8,FALSE()),"")</f>
        <v>71.28871976</v>
      </c>
      <c r="F77" s="61">
        <f>IF(Scoring!$K$6="Auction",IFERROR(VLOOKUP($C77,Aggregate!$AR:$BC,10,FALSE()),""),IFERROR(VLOOKUP($C77,Aggregate!$AR:$BC,9,FALSE()),""))</f>
        <v>1</v>
      </c>
      <c r="G77" s="71">
        <f>SUMIFS(J77:$J$85,I77:$I$85,"&lt;&gt;x",I77:$I$85,"&lt;&gt;o",J77:$J$85,"&gt;0")/Aggregate!$AZ$1</f>
        <v>0</v>
      </c>
      <c r="H77" s="61">
        <f t="array" ref="H77">IFERROR(INDEX(ECR!$K:$K,MATCH(DraftSheet!$C77,ECR!$C:$C,0)),"ND")</f>
        <v>227</v>
      </c>
      <c r="I77" s="82"/>
      <c r="J77" s="78">
        <f>VLOOKUP(C77,Aggregate!AR:AZ,9,FALSE())</f>
        <v>-10.24961163</v>
      </c>
      <c r="K77" s="79"/>
      <c r="L77" s="61">
        <f>IFERROR(VLOOKUP(DraftSheet!$M77,Aggregate!$P:$AA,11,FALSE()),"")</f>
        <v>9</v>
      </c>
      <c r="M77" s="63" t="str">
        <f>Aggregate!P70</f>
        <v>Jaylen Wright</v>
      </c>
      <c r="N77" s="63" t="str">
        <f>VLOOKUP(DraftSheet!$M77,Aggregate!P:AA,4,FALSE())</f>
        <v>MIA/6</v>
      </c>
      <c r="O77" s="61">
        <f>IFERROR(VLOOKUP(DraftSheet!$M77,Aggregate!$P:$AA,8,FALSE()),"")</f>
        <v>39.02544941</v>
      </c>
      <c r="P77" s="61">
        <f>IF(Scoring!$K$6="Auction",IFERROR(VLOOKUP(DraftSheet!$M77,Aggregate!$P:$AA,10,FALSE()),""),IFERROR(VLOOKUP(DraftSheet!$M77,Aggregate!$P:$AA,9,FALSE()),""))</f>
        <v>1</v>
      </c>
      <c r="Q77" s="71">
        <f>SUMIFS($T78:T$84,$S78:S$84,"&lt;&gt;x",$S78:S$84,"&lt;&gt;o",$T78:T$84,"&gt;0")/Aggregate!$X$1</f>
        <v>0</v>
      </c>
      <c r="R77" s="61">
        <f t="array" ref="R77">IFERROR(INDEX(ECR!$K:$K,MATCH(DraftSheet!$M77,ECR!$C:$C,0)),"ND")</f>
        <v>222</v>
      </c>
      <c r="S77" s="82"/>
      <c r="T77" s="78">
        <f>VLOOKUP(M77,Aggregate!P:X,9,FALSE())</f>
        <v>-39.36543969</v>
      </c>
      <c r="U77" s="83"/>
      <c r="V77" s="61">
        <f>IFERROR(VLOOKUP(DraftSheet!$W77,Aggregate!$AD:$AO,11,FALSE()),"")</f>
        <v>6</v>
      </c>
      <c r="W77" s="63" t="str">
        <f>Aggregate!AD73</f>
        <v>Malik Washington</v>
      </c>
      <c r="X77" s="63" t="str">
        <f>VLOOKUP(DraftSheet!$W77,Aggregate!AD:AO,4,FALSE())</f>
        <v>MIA/6</v>
      </c>
      <c r="Y77" s="61">
        <f>IFERROR(VLOOKUP(DraftSheet!$W77,Aggregate!$AD:$AO,8,FALSE()),"")</f>
        <v>68.41332353</v>
      </c>
      <c r="Z77" s="61">
        <f>IF(Scoring!$K$6="Auction",IFERROR(VLOOKUP(DraftSheet!$W77,Aggregate!$AD:$AO,10,FALSE()),""),IFERROR(VLOOKUP(DraftSheet!$W77,Aggregate!$AD:$AO,9,FALSE()),""))</f>
        <v>1</v>
      </c>
      <c r="AA77" s="71">
        <f>SUMIFS(AD77:$AD$85,AC77:$AC$85,"&lt;&gt;x",AC77:$AC$85,"&lt;&gt;o",AD77:$AD$85,"&gt;0")/Aggregate!$AL$1</f>
        <v>0</v>
      </c>
      <c r="AB77" s="61">
        <f t="array" ref="AB77">IFERROR(INDEX(ECR!$K:$K,MATCH(DraftSheet!$W77,ECR!$C:$C,0)),"ND")</f>
        <v>182</v>
      </c>
      <c r="AC77" s="82"/>
      <c r="AD77" s="78">
        <f>VLOOKUP(W77,Aggregate!AD:AL,9,FALSE())</f>
        <v>-13.10760353</v>
      </c>
      <c r="AE77" s="3"/>
      <c r="AF77" s="3"/>
      <c r="AG77" s="3"/>
      <c r="AH77" s="3"/>
    </row>
    <row r="78" ht="14.25" customHeight="1">
      <c r="A78" s="3"/>
      <c r="B78" s="61">
        <f>IFERROR(VLOOKUP(DraftSheet!$C78,Aggregate!$AR:$BC,11,FALSE()),"")</f>
        <v>5</v>
      </c>
      <c r="C78" s="63" t="str">
        <f>Aggregate!AR26</f>
        <v>Oronde Gadsden II</v>
      </c>
      <c r="D78" s="63" t="str">
        <f>VLOOKUP(DraftSheet!$C78,Aggregate!AR:BD,4,FALSE())</f>
        <v>LAC/7</v>
      </c>
      <c r="E78" s="61">
        <f>IFERROR(VLOOKUP($C78,Aggregate!$AR:$BC,8,FALSE()),"")</f>
        <v>70.77428912</v>
      </c>
      <c r="F78" s="61">
        <f>IF(Scoring!$K$6="Auction",IFERROR(VLOOKUP($C78,Aggregate!$AR:$BC,10,FALSE()),""),IFERROR(VLOOKUP($C78,Aggregate!$AR:$BC,9,FALSE()),""))</f>
        <v>1</v>
      </c>
      <c r="G78" s="71">
        <f>SUMIFS($J79:J$84,$I79:I$84,"&lt;&gt;x",$I79:I$84,"&lt;&gt;o",$J79:J$84,"&gt;0")/Aggregate!$AZ$1</f>
        <v>0</v>
      </c>
      <c r="H78" s="61">
        <f t="array" ref="H78">IFERROR(INDEX(ECR!$K:$K,MATCH(DraftSheet!$C78,ECR!$C:$C,0)),"ND")</f>
        <v>178</v>
      </c>
      <c r="I78" s="82"/>
      <c r="J78" s="78">
        <f>VLOOKUP(C78,Aggregate!AR:AZ,9,FALSE())</f>
        <v>-10.76404228</v>
      </c>
      <c r="K78" s="79"/>
      <c r="L78" s="61">
        <f>IFERROR(VLOOKUP(DraftSheet!$M78,Aggregate!$P:$AA,11,FALSE()),"")</f>
        <v>9</v>
      </c>
      <c r="M78" s="63" t="str">
        <f>Aggregate!P69</f>
        <v>George Holani</v>
      </c>
      <c r="N78" s="63" t="str">
        <f>VLOOKUP(DraftSheet!$M78,Aggregate!P:AA,4,FALSE())</f>
        <v>SEA/11</v>
      </c>
      <c r="O78" s="61">
        <f>IFERROR(VLOOKUP(DraftSheet!$M78,Aggregate!$P:$AA,8,FALSE()),"")</f>
        <v>34.47978706</v>
      </c>
      <c r="P78" s="61">
        <f>IF(Scoring!$K$6="Auction",IFERROR(VLOOKUP(DraftSheet!$M78,Aggregate!$P:$AA,10,FALSE()),""),IFERROR(VLOOKUP(DraftSheet!$M78,Aggregate!$P:$AA,9,FALSE()),""))</f>
        <v>1</v>
      </c>
      <c r="Q78" s="71">
        <f>SUMIFS($T79:T$84,$S79:S$84,"&lt;&gt;x",$S79:S$84,"&lt;&gt;o",$T79:T$84,"&gt;0")/Aggregate!$X$1</f>
        <v>0</v>
      </c>
      <c r="R78" s="61">
        <f t="array" ref="R78">IFERROR(INDEX(ECR!$K:$K,MATCH(DraftSheet!$M78,ECR!$C:$C,0)),"ND")</f>
        <v>219</v>
      </c>
      <c r="S78" s="82"/>
      <c r="T78" s="78">
        <f>VLOOKUP(M78,Aggregate!P:X,9,FALSE())</f>
        <v>-43.91110204</v>
      </c>
      <c r="U78" s="83"/>
      <c r="V78" s="61">
        <f>IFERROR(VLOOKUP(DraftSheet!$W78,Aggregate!$AD:$AO,11,FALSE()),"")</f>
        <v>6</v>
      </c>
      <c r="W78" s="63" t="str">
        <f>Aggregate!AD78</f>
        <v>Travis Hunter</v>
      </c>
      <c r="X78" s="63" t="str">
        <f>VLOOKUP(DraftSheet!$W78,Aggregate!AD:AO,4,FALSE())</f>
        <v>JAC/7</v>
      </c>
      <c r="Y78" s="61">
        <f>IFERROR(VLOOKUP(DraftSheet!$W78,Aggregate!$AD:$AO,8,FALSE()),"")</f>
        <v>67.94664706</v>
      </c>
      <c r="Z78" s="61">
        <f>IF(Scoring!$K$6="Auction",IFERROR(VLOOKUP(DraftSheet!$W78,Aggregate!$AD:$AO,10,FALSE()),""),IFERROR(VLOOKUP(DraftSheet!$W78,Aggregate!$AD:$AO,9,FALSE()),""))</f>
        <v>1</v>
      </c>
      <c r="AA78" s="71">
        <f>SUMIFS($AD79:AD$84,$AC79:AC$84,"&lt;&gt;x",$AC79:AC$84,"&lt;&gt;o",$AD79:AD$84,"&gt;0")/Aggregate!$AL$1</f>
        <v>0</v>
      </c>
      <c r="AB78" s="61">
        <f t="array" ref="AB78">IFERROR(INDEX(ECR!$K:$K,MATCH(DraftSheet!$W78,ECR!$C:$C,0)),"ND")</f>
        <v>193</v>
      </c>
      <c r="AC78" s="82"/>
      <c r="AD78" s="78">
        <f>VLOOKUP(W78,Aggregate!AD:AL,9,FALSE())</f>
        <v>-13.57428</v>
      </c>
      <c r="AE78" s="3"/>
      <c r="AF78" s="3"/>
      <c r="AG78" s="3"/>
      <c r="AH78" s="3"/>
    </row>
    <row r="79" ht="14.25" customHeight="1">
      <c r="A79" s="3"/>
      <c r="B79" s="61">
        <f>IFERROR(VLOOKUP(DraftSheet!$C79,Aggregate!$AR:$BC,11,FALSE()),"")</f>
        <v>6</v>
      </c>
      <c r="C79" s="63" t="str">
        <f>Aggregate!AR38</f>
        <v>Mike Gesicki</v>
      </c>
      <c r="D79" s="63" t="str">
        <f>VLOOKUP(DraftSheet!$C79,Aggregate!AR:BD,4,FALSE())</f>
        <v>CIN/6</v>
      </c>
      <c r="E79" s="61">
        <f>IFERROR(VLOOKUP($C79,Aggregate!$AR:$BC,8,FALSE()),"")</f>
        <v>65.58960162</v>
      </c>
      <c r="F79" s="61">
        <f>IF(Scoring!$K$6="Auction",IFERROR(VLOOKUP($C79,Aggregate!$AR:$BC,10,FALSE()),""),IFERROR(VLOOKUP($C79,Aggregate!$AR:$BC,9,FALSE()),""))</f>
        <v>1</v>
      </c>
      <c r="G79" s="71">
        <f>SUMIFS($J80:J$84,$I80:I$84,"&lt;&gt;x",$I80:I$84,"&lt;&gt;o",$J80:J$84,"&gt;0")/Aggregate!$AZ$1</f>
        <v>0</v>
      </c>
      <c r="H79" s="61">
        <f t="array" ref="H79">IFERROR(INDEX(ECR!$K:$K,MATCH(DraftSheet!$C79,ECR!$C:$C,0)),"ND")</f>
        <v>305</v>
      </c>
      <c r="I79" s="82"/>
      <c r="J79" s="78">
        <f>VLOOKUP(C79,Aggregate!AR:AZ,9,FALSE())</f>
        <v>-15.94872978</v>
      </c>
      <c r="K79" s="79"/>
      <c r="L79" s="61">
        <f>IFERROR(VLOOKUP(DraftSheet!$M79,Aggregate!$P:$AA,11,FALSE()),"")</f>
        <v>9</v>
      </c>
      <c r="M79" s="63" t="str">
        <f>Aggregate!P60</f>
        <v>Ray Davis</v>
      </c>
      <c r="N79" s="63" t="str">
        <f>VLOOKUP(DraftSheet!$M79,Aggregate!P:AA,4,FALSE())</f>
        <v>BUF/7</v>
      </c>
      <c r="O79" s="61">
        <f>IFERROR(VLOOKUP(DraftSheet!$M79,Aggregate!$P:$AA,8,FALSE()),"")</f>
        <v>34.24943882</v>
      </c>
      <c r="P79" s="61">
        <f>IF(Scoring!$K$6="Auction",IFERROR(VLOOKUP(DraftSheet!$M79,Aggregate!$P:$AA,10,FALSE()),""),IFERROR(VLOOKUP(DraftSheet!$M79,Aggregate!$P:$AA,9,FALSE()),""))</f>
        <v>1</v>
      </c>
      <c r="Q79" s="71">
        <f>SUMIFS($T80:T$84,$S80:S$84,"&lt;&gt;x",$S80:S$84,"&lt;&gt;o",$T80:T$84,"&gt;0")/Aggregate!$X$1</f>
        <v>0</v>
      </c>
      <c r="R79" s="61">
        <f t="array" ref="R79">IFERROR(INDEX(ECR!$K:$K,MATCH(DraftSheet!$M79,ECR!$C:$C,0)),"ND")</f>
        <v>168</v>
      </c>
      <c r="S79" s="82"/>
      <c r="T79" s="78">
        <f>VLOOKUP(M79,Aggregate!P:X,9,FALSE())</f>
        <v>-44.14145028</v>
      </c>
      <c r="U79" s="83"/>
      <c r="V79" s="61">
        <f>IFERROR(VLOOKUP(DraftSheet!$W79,Aggregate!$AD:$AO,11,FALSE()),"")</f>
        <v>6</v>
      </c>
      <c r="W79" s="63" t="str">
        <f>Aggregate!AD77</f>
        <v>Jaylin Noel</v>
      </c>
      <c r="X79" s="63" t="str">
        <f>VLOOKUP(DraftSheet!$W79,Aggregate!AD:AO,4,FALSE())</f>
        <v>HOU/8</v>
      </c>
      <c r="Y79" s="61">
        <f>IFERROR(VLOOKUP(DraftSheet!$W79,Aggregate!$AD:$AO,8,FALSE()),"")</f>
        <v>67.56180176</v>
      </c>
      <c r="Z79" s="61">
        <f>IF(Scoring!$K$6="Auction",IFERROR(VLOOKUP(DraftSheet!$W79,Aggregate!$AD:$AO,10,FALSE()),""),IFERROR(VLOOKUP(DraftSheet!$W79,Aggregate!$AD:$AO,9,FALSE()),""))</f>
        <v>1</v>
      </c>
      <c r="AA79" s="71">
        <f>SUMIFS($AD80:AD$84,$AC80:AC$84,"&lt;&gt;x",$AC80:AC$84,"&lt;&gt;o",$AD80:AD$84,"&gt;0")/Aggregate!$AL$1</f>
        <v>0</v>
      </c>
      <c r="AB79" s="61">
        <f t="array" ref="AB79">IFERROR(INDEX(ECR!$K:$K,MATCH(DraftSheet!$W79,ECR!$C:$C,0)),"ND")</f>
        <v>191</v>
      </c>
      <c r="AC79" s="82"/>
      <c r="AD79" s="78">
        <f>VLOOKUP(W79,Aggregate!AD:AL,9,FALSE())</f>
        <v>-13.95912529</v>
      </c>
      <c r="AE79" s="3"/>
      <c r="AF79" s="3"/>
      <c r="AG79" s="3"/>
      <c r="AH79" s="3"/>
    </row>
    <row r="80" ht="14.25" customHeight="1">
      <c r="A80" s="3"/>
      <c r="B80" s="61">
        <f>IFERROR(VLOOKUP(DraftSheet!$C80,Aggregate!$AR:$BC,11,FALSE()),"")</f>
        <v>6</v>
      </c>
      <c r="C80" s="63" t="str">
        <f>Aggregate!AR33</f>
        <v>Colby Parkinson</v>
      </c>
      <c r="D80" s="63" t="str">
        <f>VLOOKUP(DraftSheet!$C80,Aggregate!AR:BD,4,FALSE())</f>
        <v>LAR/11</v>
      </c>
      <c r="E80" s="61">
        <f>IFERROR(VLOOKUP($C80,Aggregate!$AR:$BC,8,FALSE()),"")</f>
        <v>64.82456874</v>
      </c>
      <c r="F80" s="61">
        <f>IF(Scoring!$K$6="Auction",IFERROR(VLOOKUP($C80,Aggregate!$AR:$BC,10,FALSE()),""),IFERROR(VLOOKUP($C80,Aggregate!$AR:$BC,9,FALSE()),""))</f>
        <v>1</v>
      </c>
      <c r="G80" s="71">
        <f>SUMIFS(J80:$J$85,I80:$I$85,"&lt;&gt;x",I80:$I$85,"&lt;&gt;o",J80:$J$85,"&gt;0")/Aggregate!$AZ$1</f>
        <v>0</v>
      </c>
      <c r="H80" s="61">
        <f t="array" ref="H80">IFERROR(INDEX(ECR!$K:$K,MATCH(DraftSheet!$C80,ECR!$C:$C,0)),"ND")</f>
        <v>237</v>
      </c>
      <c r="I80" s="82"/>
      <c r="J80" s="78">
        <f>VLOOKUP(C80,Aggregate!AR:AZ,9,FALSE())</f>
        <v>-16.71376266</v>
      </c>
      <c r="K80" s="79"/>
      <c r="L80" s="61">
        <f>IFERROR(VLOOKUP(DraftSheet!$M80,Aggregate!$P:$AA,11,FALSE()),"")</f>
        <v>9</v>
      </c>
      <c r="M80" s="63" t="str">
        <f>Aggregate!P62</f>
        <v>Sean Tucker</v>
      </c>
      <c r="N80" s="63" t="str">
        <f>VLOOKUP(DraftSheet!$M80,Aggregate!P:AA,4,FALSE())</f>
        <v>TB/10</v>
      </c>
      <c r="O80" s="61">
        <f>IFERROR(VLOOKUP(DraftSheet!$M80,Aggregate!$P:$AA,8,FALSE()),"")</f>
        <v>32.65557765</v>
      </c>
      <c r="P80" s="61">
        <f>IF(Scoring!$K$6="Auction",IFERROR(VLOOKUP(DraftSheet!$M80,Aggregate!$P:$AA,10,FALSE()),""),IFERROR(VLOOKUP(DraftSheet!$M80,Aggregate!$P:$AA,9,FALSE()),""))</f>
        <v>1</v>
      </c>
      <c r="Q80" s="71">
        <f>SUMIFS($T81:T$84,$S81:S$84,"&lt;&gt;x",$S81:S$84,"&lt;&gt;o",$T81:T$84,"&gt;0")/Aggregate!$X$1</f>
        <v>0</v>
      </c>
      <c r="R80" s="61">
        <f t="array" ref="R80">IFERROR(INDEX(ECR!$K:$K,MATCH(DraftSheet!$M80,ECR!$C:$C,0)),"ND")</f>
        <v>183</v>
      </c>
      <c r="S80" s="82"/>
      <c r="T80" s="78">
        <f>VLOOKUP(M80,Aggregate!P:X,9,FALSE())</f>
        <v>-45.73531146</v>
      </c>
      <c r="U80" s="83"/>
      <c r="V80" s="61">
        <f>IFERROR(VLOOKUP(DraftSheet!$W80,Aggregate!$AD:$AO,11,FALSE()),"")</f>
        <v>7</v>
      </c>
      <c r="W80" s="63" t="str">
        <f>Aggregate!AD66</f>
        <v>Tre' Harris</v>
      </c>
      <c r="X80" s="63" t="str">
        <f>VLOOKUP(DraftSheet!$W80,Aggregate!AD:AO,4,FALSE())</f>
        <v>LAC/7</v>
      </c>
      <c r="Y80" s="61">
        <f>IFERROR(VLOOKUP(DraftSheet!$W80,Aggregate!$AD:$AO,8,FALSE()),"")</f>
        <v>60.83377412</v>
      </c>
      <c r="Z80" s="61">
        <f>IF(Scoring!$K$6="Auction",IFERROR(VLOOKUP(DraftSheet!$W80,Aggregate!$AD:$AO,10,FALSE()),""),IFERROR(VLOOKUP(DraftSheet!$W80,Aggregate!$AD:$AO,9,FALSE()),""))</f>
        <v>1</v>
      </c>
      <c r="AA80" s="71">
        <f>SUMIFS($AD81:AD$84,$AC81:AC$84,"&lt;&gt;x",$AC81:AC$84,"&lt;&gt;o",$AD81:AD$84,"&gt;0")/Aggregate!$AL$1</f>
        <v>0</v>
      </c>
      <c r="AB80" s="61">
        <f t="array" ref="AB80">IFERROR(INDEX(ECR!$K:$K,MATCH(DraftSheet!$W80,ECR!$C:$C,0)),"ND")</f>
        <v>170</v>
      </c>
      <c r="AC80" s="82"/>
      <c r="AD80" s="78">
        <f>VLOOKUP(W80,Aggregate!AD:AL,9,FALSE())</f>
        <v>-20.68715294</v>
      </c>
      <c r="AE80" s="3"/>
      <c r="AF80" s="3"/>
      <c r="AG80" s="3"/>
      <c r="AH80" s="3"/>
    </row>
    <row r="81" ht="14.25" customHeight="1">
      <c r="A81" s="3"/>
      <c r="B81" s="61">
        <f>IFERROR(VLOOKUP(DraftSheet!$C81,Aggregate!$AR:$BC,11,FALSE()),"")</f>
        <v>6</v>
      </c>
      <c r="C81" s="63" t="str">
        <f>Aggregate!AR35</f>
        <v>Mason Taylor</v>
      </c>
      <c r="D81" s="63" t="str">
        <f>VLOOKUP(DraftSheet!$C81,Aggregate!AR:BD,4,FALSE())</f>
        <v>NYJ/13</v>
      </c>
      <c r="E81" s="61">
        <f>IFERROR(VLOOKUP($C81,Aggregate!$AR:$BC,8,FALSE()),"")</f>
        <v>62.47671494</v>
      </c>
      <c r="F81" s="61">
        <f>IF(Scoring!$K$6="Auction",IFERROR(VLOOKUP($C81,Aggregate!$AR:$BC,10,FALSE()),""),IFERROR(VLOOKUP($C81,Aggregate!$AR:$BC,9,FALSE()),""))</f>
        <v>1</v>
      </c>
      <c r="G81" s="71">
        <f>SUMIFS($J82:J$84,$I82:I$84,"&lt;&gt;x",$I82:I$84,"&lt;&gt;o",$J82:J$84,"&gt;0")/Aggregate!$AZ$1</f>
        <v>0</v>
      </c>
      <c r="H81" s="61">
        <f t="array" ref="H81">IFERROR(INDEX(ECR!$K:$K,MATCH(DraftSheet!$C81,ECR!$C:$C,0)),"ND")</f>
        <v>280</v>
      </c>
      <c r="I81" s="82"/>
      <c r="J81" s="78">
        <f>VLOOKUP(C81,Aggregate!AR:AZ,9,FALSE())</f>
        <v>-19.06161646</v>
      </c>
      <c r="K81" s="79"/>
      <c r="L81" s="61">
        <f>IFERROR(VLOOKUP(DraftSheet!$M81,Aggregate!$P:$AA,11,FALSE()),"")</f>
        <v>9</v>
      </c>
      <c r="M81" s="63" t="str">
        <f>Aggregate!P82</f>
        <v>Malik Davis</v>
      </c>
      <c r="N81" s="63" t="str">
        <f>VLOOKUP(DraftSheet!$M81,Aggregate!P:AA,4,FALSE())</f>
        <v>DAL/14</v>
      </c>
      <c r="O81" s="61">
        <f>IFERROR(VLOOKUP(DraftSheet!$M81,Aggregate!$P:$AA,8,FALSE()),"")</f>
        <v>31.59114588</v>
      </c>
      <c r="P81" s="61">
        <f>IF(Scoring!$K$6="Auction",IFERROR(VLOOKUP(DraftSheet!$M81,Aggregate!$P:$AA,10,FALSE()),""),IFERROR(VLOOKUP(DraftSheet!$M81,Aggregate!$P:$AA,9,FALSE()),""))</f>
        <v>1</v>
      </c>
      <c r="Q81" s="71">
        <f>SUMIFS(T81:$T$85,S81:$S$85,"&lt;&gt;x",S81:$S$85,"&lt;&gt;o",T81:$T$85,"&gt;0")/Aggregate!$X$1</f>
        <v>0</v>
      </c>
      <c r="R81" s="61">
        <f t="array" ref="R81">IFERROR(INDEX(ECR!$K:$K,MATCH(DraftSheet!$M81,ECR!$C:$C,0)),"ND")</f>
        <v>274</v>
      </c>
      <c r="S81" s="82"/>
      <c r="T81" s="78">
        <f>VLOOKUP(M81,Aggregate!P:X,9,FALSE())</f>
        <v>-46.79974322</v>
      </c>
      <c r="U81" s="83"/>
      <c r="V81" s="61">
        <f>IFERROR(VLOOKUP(DraftSheet!$W81,Aggregate!$AD:$AO,11,FALSE()),"")</f>
        <v>7</v>
      </c>
      <c r="W81" s="63" t="str">
        <f>Aggregate!AD71</f>
        <v>Ryan Flournoy</v>
      </c>
      <c r="X81" s="63" t="str">
        <f>VLOOKUP(DraftSheet!$W81,Aggregate!AD:AO,4,FALSE())</f>
        <v>DAL/14</v>
      </c>
      <c r="Y81" s="61">
        <f>IFERROR(VLOOKUP(DraftSheet!$W81,Aggregate!$AD:$AO,8,FALSE()),"")</f>
        <v>59.60977941</v>
      </c>
      <c r="Z81" s="61">
        <f>IF(Scoring!$K$6="Auction",IFERROR(VLOOKUP(DraftSheet!$W81,Aggregate!$AD:$AO,10,FALSE()),""),IFERROR(VLOOKUP(DraftSheet!$W81,Aggregate!$AD:$AO,9,FALSE()),""))</f>
        <v>1</v>
      </c>
      <c r="AA81" s="71">
        <f>SUMIFS($AD82:AD$84,$AC82:AC$84,"&lt;&gt;x",$AC82:AC$84,"&lt;&gt;o",$AD82:AD$84,"&gt;0")/Aggregate!$AL$1</f>
        <v>0</v>
      </c>
      <c r="AB81" s="61">
        <f t="array" ref="AB81">IFERROR(INDEX(ECR!$K:$K,MATCH(DraftSheet!$W81,ECR!$C:$C,0)),"ND")</f>
        <v>180</v>
      </c>
      <c r="AC81" s="82"/>
      <c r="AD81" s="78">
        <f>VLOOKUP(W81,Aggregate!AD:AL,9,FALSE())</f>
        <v>-21.91114765</v>
      </c>
      <c r="AE81" s="3"/>
      <c r="AF81" s="3"/>
      <c r="AG81" s="3"/>
      <c r="AH81" s="3"/>
    </row>
    <row r="82" ht="14.25" customHeight="1">
      <c r="A82" s="3"/>
      <c r="B82" s="61">
        <f>IFERROR(VLOOKUP(DraftSheet!$C82,Aggregate!$AR:$BC,11,FALSE()),"")</f>
        <v>6</v>
      </c>
      <c r="C82" s="63" t="str">
        <f>Aggregate!AR36</f>
        <v>Theo Johnson</v>
      </c>
      <c r="D82" s="63" t="str">
        <f>VLOOKUP(DraftSheet!$C82,Aggregate!AR:BD,4,FALSE())</f>
        <v>NYG/8</v>
      </c>
      <c r="E82" s="61">
        <f>IFERROR(VLOOKUP($C82,Aggregate!$AR:$BC,8,FALSE()),"")</f>
        <v>55.55371241</v>
      </c>
      <c r="F82" s="61">
        <f>IF(Scoring!$K$6="Auction",IFERROR(VLOOKUP($C82,Aggregate!$AR:$BC,10,FALSE()),""),IFERROR(VLOOKUP($C82,Aggregate!$AR:$BC,9,FALSE()),""))</f>
        <v>1</v>
      </c>
      <c r="G82" s="71">
        <f>SUMIFS($J83:J$84,$I83:I$84,"&lt;&gt;x",$I83:I$84,"&lt;&gt;o",$J83:J$84,"&gt;0")/Aggregate!$AZ$1</f>
        <v>0</v>
      </c>
      <c r="H82" s="61">
        <f t="array" ref="H82">IFERROR(INDEX(ECR!$K:$K,MATCH(DraftSheet!$C82,ECR!$C:$C,0)),"ND")</f>
        <v>283</v>
      </c>
      <c r="I82" s="82"/>
      <c r="J82" s="78">
        <f>VLOOKUP(C82,Aggregate!AR:AZ,9,FALSE())</f>
        <v>-25.98461899</v>
      </c>
      <c r="K82" s="79"/>
      <c r="L82" s="61">
        <f>IFERROR(VLOOKUP(DraftSheet!$M82,Aggregate!$P:$AA,11,FALSE()),"")</f>
        <v>9</v>
      </c>
      <c r="M82" s="63" t="str">
        <f>Aggregate!P75</f>
        <v>Isaiah Davis</v>
      </c>
      <c r="N82" s="63" t="str">
        <f>VLOOKUP(DraftSheet!$M82,Aggregate!P:AA,4,FALSE())</f>
        <v>NYJ/13</v>
      </c>
      <c r="O82" s="61">
        <f>IFERROR(VLOOKUP(DraftSheet!$M82,Aggregate!$P:$AA,8,FALSE()),"")</f>
        <v>30.67904118</v>
      </c>
      <c r="P82" s="61">
        <f>IF(Scoring!$K$6="Auction",IFERROR(VLOOKUP(DraftSheet!$M82,Aggregate!$P:$AA,10,FALSE()),""),IFERROR(VLOOKUP(DraftSheet!$M82,Aggregate!$P:$AA,9,FALSE()),""))</f>
        <v>1</v>
      </c>
      <c r="Q82" s="71">
        <f>SUMIFS($T83:T$84,$S83:S$84,"&lt;&gt;x",$S83:S$84,"&lt;&gt;o",$T83:T$84,"&gt;0")/Aggregate!$X$1</f>
        <v>0</v>
      </c>
      <c r="R82" s="61">
        <f t="array" ref="R82">IFERROR(INDEX(ECR!$K:$K,MATCH(DraftSheet!$M82,ECR!$C:$C,0)),"ND")</f>
        <v>250</v>
      </c>
      <c r="S82" s="82"/>
      <c r="T82" s="78">
        <f>VLOOKUP(M82,Aggregate!P:X,9,FALSE())</f>
        <v>-47.71184793</v>
      </c>
      <c r="U82" s="83"/>
      <c r="V82" s="61">
        <f>IFERROR(VLOOKUP(DraftSheet!$W82,Aggregate!$AD:$AO,11,FALSE()),"")</f>
        <v>7</v>
      </c>
      <c r="W82" s="63" t="str">
        <f>Aggregate!AD80</f>
        <v>Isaac TeSlaa</v>
      </c>
      <c r="X82" s="63" t="str">
        <f>VLOOKUP(DraftSheet!$W82,Aggregate!AD:AO,4,FALSE())</f>
        <v>DET/6</v>
      </c>
      <c r="Y82" s="61">
        <f>IFERROR(VLOOKUP(DraftSheet!$W82,Aggregate!$AD:$AO,8,FALSE()),"")</f>
        <v>56.29963235</v>
      </c>
      <c r="Z82" s="61">
        <f>IF(Scoring!$K$6="Auction",IFERROR(VLOOKUP(DraftSheet!$W82,Aggregate!$AD:$AO,10,FALSE()),""),IFERROR(VLOOKUP(DraftSheet!$W82,Aggregate!$AD:$AO,9,FALSE()),""))</f>
        <v>1</v>
      </c>
      <c r="AA82" s="71">
        <f>SUMIFS($AD83:AD$84,$AC83:AC$84,"&lt;&gt;x",$AC83:AC$84,"&lt;&gt;o",$AD83:AD$84,"&gt;0")/Aggregate!$AL$1</f>
        <v>0</v>
      </c>
      <c r="AB82" s="61">
        <f t="array" ref="AB82">IFERROR(INDEX(ECR!$K:$K,MATCH(DraftSheet!$W82,ECR!$C:$C,0)),"ND")</f>
        <v>199</v>
      </c>
      <c r="AC82" s="82"/>
      <c r="AD82" s="78">
        <f>VLOOKUP(W82,Aggregate!AD:AL,9,FALSE())</f>
        <v>-25.22129471</v>
      </c>
      <c r="AE82" s="3"/>
      <c r="AF82" s="3"/>
      <c r="AG82" s="3"/>
      <c r="AH82" s="3"/>
    </row>
    <row r="83" ht="14.25" customHeight="1">
      <c r="A83" s="3"/>
      <c r="B83" s="61">
        <f>IFERROR(VLOOKUP(DraftSheet!$C83,Aggregate!$AR:$BC,11,FALSE()),"")</f>
        <v>7</v>
      </c>
      <c r="C83" s="63" t="str">
        <f>Aggregate!AR37</f>
        <v>Eli Stowers</v>
      </c>
      <c r="D83" s="63" t="str">
        <f>VLOOKUP(DraftSheet!$C83,Aggregate!AR:BD,4,FALSE())</f>
        <v>PHI/10</v>
      </c>
      <c r="E83" s="61">
        <f>IFERROR(VLOOKUP($C83,Aggregate!$AR:$BC,8,FALSE()),"")</f>
        <v>39.02484856</v>
      </c>
      <c r="F83" s="61">
        <f>IF(Scoring!$K$6="Auction",IFERROR(VLOOKUP($C83,Aggregate!$AR:$BC,10,FALSE()),""),IFERROR(VLOOKUP($C83,Aggregate!$AR:$BC,9,FALSE()),""))</f>
        <v>1</v>
      </c>
      <c r="G83" s="71">
        <v>0.0</v>
      </c>
      <c r="H83" s="61">
        <f t="array" ref="H83">IFERROR(INDEX(ECR!$K:$K,MATCH(DraftSheet!$C83,ECR!$C:$C,0)),"ND")</f>
        <v>296</v>
      </c>
      <c r="I83" s="82"/>
      <c r="J83" s="78">
        <f>VLOOKUP(C83,Aggregate!AR:AZ,9,FALSE())</f>
        <v>-42.51348284</v>
      </c>
      <c r="K83" s="79"/>
      <c r="L83" s="61">
        <f>IFERROR(VLOOKUP(DraftSheet!$M83,Aggregate!$P:$AA,11,FALSE()),"")</f>
        <v>9</v>
      </c>
      <c r="M83" s="63" t="str">
        <f>Aggregate!P71</f>
        <v>Ollie Gordon II</v>
      </c>
      <c r="N83" s="63" t="str">
        <f>VLOOKUP(DraftSheet!$M83,Aggregate!P:AA,4,FALSE())</f>
        <v>MIA/6</v>
      </c>
      <c r="O83" s="61">
        <f>IFERROR(VLOOKUP(DraftSheet!$M83,Aggregate!$P:$AA,8,FALSE()),"")</f>
        <v>28.55203529</v>
      </c>
      <c r="P83" s="61">
        <f>IF(Scoring!$K$6="Auction",IFERROR(VLOOKUP(DraftSheet!$M83,Aggregate!$P:$AA,10,FALSE()),""),IFERROR(VLOOKUP(DraftSheet!$M83,Aggregate!$P:$AA,9,FALSE()),""))</f>
        <v>1</v>
      </c>
      <c r="Q83" s="71">
        <f>SUMIFS($T84:T$84,$S84:S$84,"&lt;&gt;x",$S84:S$84,"&lt;&gt;o",$T84:T$84,"&gt;0")/Aggregate!$X$1</f>
        <v>0</v>
      </c>
      <c r="R83" s="61">
        <f t="array" ref="R83">IFERROR(INDEX(ECR!$K:$K,MATCH(DraftSheet!$M83,ECR!$C:$C,0)),"ND")</f>
        <v>239</v>
      </c>
      <c r="S83" s="82"/>
      <c r="T83" s="78">
        <f>VLOOKUP(M83,Aggregate!P:X,9,FALSE())</f>
        <v>-49.83885381</v>
      </c>
      <c r="U83" s="83"/>
      <c r="V83" s="61">
        <f>IFERROR(VLOOKUP(DraftSheet!$W83,Aggregate!$AD:$AO,11,FALSE()),"")</f>
        <v>7</v>
      </c>
      <c r="W83" s="63" t="str">
        <f>Aggregate!AD70</f>
        <v>Pat Bryant</v>
      </c>
      <c r="X83" s="63" t="str">
        <f>VLOOKUP(DraftSheet!$W83,Aggregate!AD:AO,4,FALSE())</f>
        <v>DEN/10</v>
      </c>
      <c r="Y83" s="61">
        <f>IFERROR(VLOOKUP(DraftSheet!$W83,Aggregate!$AD:$AO,8,FALSE()),"")</f>
        <v>52.00056529</v>
      </c>
      <c r="Z83" s="61">
        <f>IF(Scoring!$K$6="Auction",IFERROR(VLOOKUP(DraftSheet!$W83,Aggregate!$AD:$AO,10,FALSE()),""),IFERROR(VLOOKUP(DraftSheet!$W83,Aggregate!$AD:$AO,9,FALSE()),""))</f>
        <v>1</v>
      </c>
      <c r="AA83" s="71">
        <f>SUMIFS($AD84:AD$84,$AC84:AC$84,"&lt;&gt;x",$AC84:AC$84,"&lt;&gt;o",$AD84:AD$84,"&gt;0")/Aggregate!$AL$1</f>
        <v>0</v>
      </c>
      <c r="AB83" s="61">
        <f t="array" ref="AB83">IFERROR(INDEX(ECR!$K:$K,MATCH(DraftSheet!$W83,ECR!$C:$C,0)),"ND")</f>
        <v>179</v>
      </c>
      <c r="AC83" s="82"/>
      <c r="AD83" s="78">
        <f>VLOOKUP(W83,Aggregate!AD:AL,9,FALSE())</f>
        <v>-29.52036176</v>
      </c>
      <c r="AE83" s="3"/>
      <c r="AF83" s="3"/>
      <c r="AG83" s="3"/>
      <c r="AH83" s="3"/>
    </row>
    <row r="84" ht="14.25" customHeight="1">
      <c r="A84" s="3"/>
      <c r="B84" s="61">
        <f>IFERROR(VLOOKUP(DraftSheet!$C84,Aggregate!$AR:$BC,11,FALSE()),"")</f>
        <v>7</v>
      </c>
      <c r="C84" s="63" t="str">
        <f>Aggregate!AR39</f>
        <v>Jake Tonges</v>
      </c>
      <c r="D84" s="63" t="str">
        <f>VLOOKUP(DraftSheet!$C84,Aggregate!AR:BD,4,FALSE())</f>
        <v>SF/8</v>
      </c>
      <c r="E84" s="61">
        <f>IFERROR(VLOOKUP($C84,Aggregate!$AR:$BC,8,FALSE()),"")</f>
        <v>36.48085318</v>
      </c>
      <c r="F84" s="61">
        <f>IF(Scoring!$K$6="Auction",IFERROR(VLOOKUP($C84,Aggregate!$AR:$BC,10,FALSE()),""),IFERROR(VLOOKUP($C84,Aggregate!$AR:$BC,9,FALSE()),""))</f>
        <v>1</v>
      </c>
      <c r="G84" s="71">
        <f>SUMIFS(J84:$J$85,I84:$I$85,"&lt;&gt;x",I84:$I$85,"&lt;&gt;o",J84:$J$85,"&gt;0")/Aggregate!$AZ$1</f>
        <v>0</v>
      </c>
      <c r="H84" s="61">
        <f t="array" ref="H84">IFERROR(INDEX(ECR!$K:$K,MATCH(DraftSheet!$C84,ECR!$C:$C,0)),"ND")</f>
        <v>321</v>
      </c>
      <c r="I84" s="82"/>
      <c r="J84" s="78">
        <f>VLOOKUP(C84,Aggregate!AR:AZ,9,FALSE())</f>
        <v>-45.05747822</v>
      </c>
      <c r="K84" s="79"/>
      <c r="L84" s="61">
        <f>IFERROR(VLOOKUP(DraftSheet!$M84,Aggregate!$P:$AA,11,FALSE()),"")</f>
        <v>9</v>
      </c>
      <c r="M84" s="63" t="str">
        <f>Aggregate!P81</f>
        <v>LeQuint Allen Jr.</v>
      </c>
      <c r="N84" s="63" t="str">
        <f>VLOOKUP(DraftSheet!$M84,Aggregate!P:AA,4,FALSE())</f>
        <v>JAC/7</v>
      </c>
      <c r="O84" s="61">
        <f>IFERROR(VLOOKUP(DraftSheet!$M84,Aggregate!$P:$AA,8,FALSE()),"")</f>
        <v>27.07892118</v>
      </c>
      <c r="P84" s="61">
        <f>IF(Scoring!$K$6="Auction",IFERROR(VLOOKUP(DraftSheet!$M84,Aggregate!$P:$AA,10,FALSE()),""),IFERROR(VLOOKUP(DraftSheet!$M84,Aggregate!$P:$AA,9,FALSE()),""))</f>
        <v>1</v>
      </c>
      <c r="Q84" s="71">
        <f>SUMIFS(T84:$T$85,S84:$S$85,"&lt;&gt;x",S84:$S$85,"&lt;&gt;o",T84:$T$85,"&gt;0")/Aggregate!$X$1</f>
        <v>0</v>
      </c>
      <c r="R84" s="61">
        <f t="array" ref="R84">IFERROR(INDEX(ECR!$K:$K,MATCH(DraftSheet!$M84,ECR!$C:$C,0)),"ND")</f>
        <v>266</v>
      </c>
      <c r="S84" s="82"/>
      <c r="T84" s="78">
        <f>VLOOKUP(M84,Aggregate!P:X,9,FALSE())</f>
        <v>-51.31196793</v>
      </c>
      <c r="U84" s="83"/>
      <c r="V84" s="61">
        <f>IFERROR(VLOOKUP(DraftSheet!$W84,Aggregate!$AD:$AO,11,FALSE()),"")</f>
        <v>7</v>
      </c>
      <c r="W84" s="63" t="str">
        <f>Aggregate!AD81</f>
        <v>Darnell Mooney</v>
      </c>
      <c r="X84" s="63" t="str">
        <f>VLOOKUP(DraftSheet!$W84,Aggregate!AD:AO,4,FALSE())</f>
        <v>NYG/8</v>
      </c>
      <c r="Y84" s="61">
        <f>IFERROR(VLOOKUP(DraftSheet!$W84,Aggregate!$AD:$AO,8,FALSE()),"")</f>
        <v>45.65832353</v>
      </c>
      <c r="Z84" s="61">
        <f>IF(Scoring!$K$6="Auction",IFERROR(VLOOKUP(DraftSheet!$W84,Aggregate!$AD:$AO,10,FALSE()),""),IFERROR(VLOOKUP(DraftSheet!$W84,Aggregate!$AD:$AO,9,FALSE()),""))</f>
        <v>1</v>
      </c>
      <c r="AA84" s="71">
        <f>SUMIFS(AD84:$AD$85,AC84:$AC$85,"&lt;&gt;x",AC84:$AC$85,"&lt;&gt;o",AD84:$AD$85,"&gt;0")/Aggregate!$AL$1</f>
        <v>0</v>
      </c>
      <c r="AB84" s="61">
        <f t="array" ref="AB84">IFERROR(INDEX(ECR!$K:$K,MATCH(DraftSheet!$W84,ECR!$C:$C,0)),"ND")</f>
        <v>216</v>
      </c>
      <c r="AC84" s="82"/>
      <c r="AD84" s="78">
        <f>VLOOKUP(W84,Aggregate!AD:AL,9,FALSE())</f>
        <v>-35.86260353</v>
      </c>
      <c r="AE84" s="3"/>
      <c r="AF84" s="3"/>
      <c r="AG84" s="3"/>
      <c r="AH84" s="3"/>
    </row>
    <row r="85" ht="14.25" customHeight="1">
      <c r="A85" s="3"/>
      <c r="B85" s="3"/>
      <c r="C85" s="3"/>
      <c r="D85" s="113"/>
      <c r="E85" s="113"/>
      <c r="F85" s="113"/>
      <c r="G85" s="113"/>
      <c r="H85" s="113"/>
      <c r="I85" s="3"/>
      <c r="J85" s="113"/>
      <c r="K85" s="3"/>
      <c r="L85" s="3"/>
      <c r="M85" s="3"/>
      <c r="N85" s="113"/>
      <c r="O85" s="113"/>
      <c r="P85" s="113"/>
      <c r="Q85" s="113"/>
      <c r="R85" s="113"/>
      <c r="S85" s="3"/>
      <c r="T85" s="113"/>
      <c r="U85" s="3"/>
      <c r="V85" s="3"/>
      <c r="W85" s="3"/>
      <c r="X85" s="113"/>
      <c r="Y85" s="113"/>
      <c r="Z85" s="113"/>
      <c r="AA85" s="113"/>
      <c r="AB85" s="113"/>
      <c r="AC85" s="3"/>
      <c r="AD85" s="113"/>
      <c r="AE85" s="3"/>
      <c r="AF85" s="3"/>
      <c r="AG85" s="3"/>
      <c r="AH85" s="3"/>
    </row>
    <row r="86" ht="14.25" customHeight="1">
      <c r="A86" s="3"/>
      <c r="B86" s="3"/>
      <c r="C86" s="3"/>
      <c r="D86" s="113"/>
      <c r="E86" s="113"/>
      <c r="F86" s="113"/>
      <c r="G86" s="113"/>
      <c r="H86" s="113"/>
      <c r="I86" s="3"/>
      <c r="J86" s="113"/>
      <c r="K86" s="3"/>
      <c r="L86" s="3"/>
      <c r="M86" s="3"/>
      <c r="N86" s="113"/>
      <c r="O86" s="113"/>
      <c r="P86" s="113"/>
      <c r="Q86" s="113"/>
      <c r="R86" s="113"/>
      <c r="S86" s="3"/>
      <c r="T86" s="113"/>
      <c r="U86" s="3"/>
      <c r="V86" s="3"/>
      <c r="W86" s="3"/>
      <c r="X86" s="113"/>
      <c r="Y86" s="113"/>
      <c r="Z86" s="113"/>
      <c r="AA86" s="113"/>
      <c r="AB86" s="113"/>
      <c r="AC86" s="3"/>
      <c r="AD86" s="113"/>
      <c r="AE86" s="3"/>
      <c r="AF86" s="3"/>
      <c r="AG86" s="3"/>
      <c r="AH86" s="3"/>
    </row>
    <row r="87" ht="14.25" customHeight="1">
      <c r="A87" s="3"/>
      <c r="B87" s="3"/>
      <c r="C87" s="3"/>
      <c r="D87" s="113"/>
      <c r="E87" s="113"/>
      <c r="F87" s="113"/>
      <c r="G87" s="113"/>
      <c r="H87" s="113"/>
      <c r="I87" s="3"/>
      <c r="J87" s="113"/>
      <c r="K87" s="3"/>
      <c r="L87" s="3"/>
      <c r="M87" s="3"/>
      <c r="N87" s="113"/>
      <c r="O87" s="113"/>
      <c r="P87" s="113"/>
      <c r="Q87" s="113"/>
      <c r="R87" s="113"/>
      <c r="S87" s="3"/>
      <c r="T87" s="113"/>
      <c r="U87" s="3"/>
      <c r="V87" s="3"/>
      <c r="W87" s="3"/>
      <c r="X87" s="113"/>
      <c r="Y87" s="113"/>
      <c r="Z87" s="113"/>
      <c r="AA87" s="113"/>
      <c r="AB87" s="113"/>
      <c r="AC87" s="3"/>
      <c r="AD87" s="113"/>
      <c r="AE87" s="3"/>
      <c r="AF87" s="3"/>
      <c r="AG87" s="3"/>
      <c r="AH87" s="3"/>
    </row>
    <row r="88" ht="14.25" customHeight="1">
      <c r="A88" s="3"/>
      <c r="B88" s="3"/>
      <c r="C88" s="3"/>
      <c r="D88" s="113"/>
      <c r="E88" s="113"/>
      <c r="F88" s="113"/>
      <c r="G88" s="113"/>
      <c r="H88" s="113"/>
      <c r="I88" s="3"/>
      <c r="J88" s="113"/>
      <c r="K88" s="3"/>
      <c r="L88" s="3"/>
      <c r="M88" s="3"/>
      <c r="N88" s="113"/>
      <c r="O88" s="113"/>
      <c r="P88" s="113"/>
      <c r="Q88" s="113"/>
      <c r="R88" s="113"/>
      <c r="S88" s="3"/>
      <c r="T88" s="113"/>
      <c r="U88" s="3"/>
      <c r="V88" s="3"/>
      <c r="W88" s="3"/>
      <c r="X88" s="113"/>
      <c r="Y88" s="113"/>
      <c r="Z88" s="113"/>
      <c r="AA88" s="113"/>
      <c r="AB88" s="113"/>
      <c r="AC88" s="3"/>
      <c r="AD88" s="113"/>
      <c r="AE88" s="3"/>
      <c r="AF88" s="3"/>
      <c r="AG88" s="3"/>
      <c r="AH88" s="3"/>
    </row>
    <row r="89" ht="14.25" customHeight="1">
      <c r="A89" s="3"/>
      <c r="B89" s="3"/>
      <c r="C89" s="3"/>
      <c r="D89" s="113"/>
      <c r="E89" s="113"/>
      <c r="F89" s="113"/>
      <c r="G89" s="113"/>
      <c r="H89" s="113"/>
      <c r="I89" s="3"/>
      <c r="J89" s="113"/>
      <c r="K89" s="3"/>
      <c r="L89" s="3"/>
      <c r="M89" s="3"/>
      <c r="N89" s="113"/>
      <c r="O89" s="113"/>
      <c r="P89" s="113"/>
      <c r="Q89" s="113"/>
      <c r="R89" s="113"/>
      <c r="S89" s="3"/>
      <c r="T89" s="113"/>
      <c r="U89" s="3"/>
      <c r="V89" s="3"/>
      <c r="W89" s="3"/>
      <c r="X89" s="113"/>
      <c r="Y89" s="113"/>
      <c r="Z89" s="113"/>
      <c r="AA89" s="113"/>
      <c r="AB89" s="113"/>
      <c r="AC89" s="3"/>
      <c r="AD89" s="113"/>
      <c r="AE89" s="3"/>
      <c r="AF89" s="3"/>
      <c r="AG89" s="3"/>
      <c r="AH89" s="3"/>
    </row>
    <row r="90" ht="14.25" customHeight="1">
      <c r="A90" s="3"/>
      <c r="B90" s="3"/>
      <c r="C90" s="3"/>
      <c r="D90" s="113"/>
      <c r="E90" s="113"/>
      <c r="F90" s="113"/>
      <c r="G90" s="113"/>
      <c r="H90" s="113"/>
      <c r="I90" s="3"/>
      <c r="J90" s="113"/>
      <c r="K90" s="3"/>
      <c r="L90" s="3"/>
      <c r="M90" s="3"/>
      <c r="N90" s="113"/>
      <c r="O90" s="113"/>
      <c r="P90" s="113"/>
      <c r="Q90" s="113"/>
      <c r="R90" s="113"/>
      <c r="S90" s="3"/>
      <c r="T90" s="113"/>
      <c r="U90" s="3"/>
      <c r="V90" s="3"/>
      <c r="W90" s="3"/>
      <c r="X90" s="113"/>
      <c r="Y90" s="113"/>
      <c r="Z90" s="113"/>
      <c r="AA90" s="113"/>
      <c r="AB90" s="113"/>
      <c r="AC90" s="3"/>
      <c r="AD90" s="113"/>
      <c r="AE90" s="3"/>
      <c r="AF90" s="3"/>
      <c r="AG90" s="3"/>
      <c r="AH90" s="3"/>
    </row>
    <row r="91" ht="14.25" customHeight="1">
      <c r="A91" s="3"/>
      <c r="B91" s="3"/>
      <c r="C91" s="3"/>
      <c r="D91" s="113"/>
      <c r="E91" s="113"/>
      <c r="F91" s="113"/>
      <c r="G91" s="113"/>
      <c r="H91" s="113"/>
      <c r="I91" s="3"/>
      <c r="J91" s="113"/>
      <c r="K91" s="3"/>
      <c r="L91" s="3"/>
      <c r="M91" s="3"/>
      <c r="N91" s="113"/>
      <c r="O91" s="113"/>
      <c r="P91" s="113"/>
      <c r="Q91" s="113"/>
      <c r="R91" s="113"/>
      <c r="S91" s="3"/>
      <c r="T91" s="113"/>
      <c r="U91" s="3"/>
      <c r="V91" s="3"/>
      <c r="W91" s="3"/>
      <c r="X91" s="113"/>
      <c r="Y91" s="113"/>
      <c r="Z91" s="113"/>
      <c r="AA91" s="113"/>
      <c r="AB91" s="113"/>
      <c r="AC91" s="3"/>
      <c r="AD91" s="113"/>
      <c r="AE91" s="3"/>
      <c r="AF91" s="3"/>
      <c r="AG91" s="3"/>
      <c r="AH91" s="3"/>
    </row>
    <row r="92" ht="14.25" customHeight="1">
      <c r="A92" s="3"/>
      <c r="B92" s="3"/>
      <c r="C92" s="3"/>
      <c r="D92" s="113"/>
      <c r="E92" s="113"/>
      <c r="F92" s="113"/>
      <c r="G92" s="113"/>
      <c r="H92" s="113"/>
      <c r="I92" s="3"/>
      <c r="J92" s="113"/>
      <c r="K92" s="3"/>
      <c r="L92" s="3"/>
      <c r="M92" s="3"/>
      <c r="N92" s="113"/>
      <c r="O92" s="113"/>
      <c r="P92" s="113"/>
      <c r="Q92" s="113"/>
      <c r="R92" s="113"/>
      <c r="S92" s="3"/>
      <c r="T92" s="113"/>
      <c r="U92" s="3"/>
      <c r="V92" s="3"/>
      <c r="W92" s="3"/>
      <c r="X92" s="113"/>
      <c r="Y92" s="113"/>
      <c r="Z92" s="113"/>
      <c r="AA92" s="113"/>
      <c r="AB92" s="113"/>
      <c r="AC92" s="3"/>
      <c r="AD92" s="113"/>
      <c r="AE92" s="3"/>
      <c r="AF92" s="3"/>
      <c r="AG92" s="3"/>
      <c r="AH92" s="3"/>
    </row>
    <row r="93" ht="14.25" customHeight="1">
      <c r="A93" s="3"/>
      <c r="B93" s="3"/>
      <c r="C93" s="3"/>
      <c r="D93" s="113"/>
      <c r="E93" s="113"/>
      <c r="F93" s="113"/>
      <c r="G93" s="113"/>
      <c r="H93" s="113"/>
      <c r="I93" s="3"/>
      <c r="J93" s="113"/>
      <c r="K93" s="3"/>
      <c r="L93" s="3"/>
      <c r="M93" s="3"/>
      <c r="N93" s="113"/>
      <c r="O93" s="113"/>
      <c r="P93" s="113"/>
      <c r="Q93" s="113"/>
      <c r="R93" s="113"/>
      <c r="S93" s="3"/>
      <c r="T93" s="113"/>
      <c r="U93" s="3"/>
      <c r="V93" s="3"/>
      <c r="W93" s="3"/>
      <c r="X93" s="113"/>
      <c r="Y93" s="113"/>
      <c r="Z93" s="113"/>
      <c r="AA93" s="113"/>
      <c r="AB93" s="113"/>
      <c r="AC93" s="3"/>
      <c r="AD93" s="113"/>
      <c r="AE93" s="3"/>
      <c r="AF93" s="3"/>
      <c r="AG93" s="3"/>
      <c r="AH93" s="3"/>
    </row>
    <row r="94" ht="14.25" customHeight="1">
      <c r="A94" s="3"/>
      <c r="B94" s="3"/>
      <c r="C94" s="3"/>
      <c r="D94" s="113"/>
      <c r="E94" s="113"/>
      <c r="F94" s="113"/>
      <c r="G94" s="113"/>
      <c r="H94" s="113"/>
      <c r="I94" s="3"/>
      <c r="J94" s="113"/>
      <c r="K94" s="3"/>
      <c r="L94" s="3"/>
      <c r="M94" s="3"/>
      <c r="N94" s="113"/>
      <c r="O94" s="113"/>
      <c r="P94" s="113"/>
      <c r="Q94" s="113"/>
      <c r="R94" s="113"/>
      <c r="S94" s="3"/>
      <c r="T94" s="113"/>
      <c r="U94" s="3"/>
      <c r="V94" s="3"/>
      <c r="W94" s="3"/>
      <c r="X94" s="113"/>
      <c r="Y94" s="113"/>
      <c r="Z94" s="113"/>
      <c r="AA94" s="113"/>
      <c r="AB94" s="113"/>
      <c r="AC94" s="3"/>
      <c r="AD94" s="113"/>
      <c r="AE94" s="3"/>
      <c r="AF94" s="3"/>
      <c r="AG94" s="3"/>
      <c r="AH94" s="3"/>
    </row>
    <row r="95" ht="14.25" customHeight="1">
      <c r="A95" s="3"/>
      <c r="B95" s="3"/>
      <c r="C95" s="3"/>
      <c r="D95" s="113"/>
      <c r="E95" s="113"/>
      <c r="F95" s="113"/>
      <c r="G95" s="113"/>
      <c r="H95" s="113"/>
      <c r="I95" s="3"/>
      <c r="J95" s="113"/>
      <c r="K95" s="3"/>
      <c r="L95" s="3"/>
      <c r="M95" s="3"/>
      <c r="N95" s="113"/>
      <c r="O95" s="113"/>
      <c r="P95" s="113"/>
      <c r="Q95" s="113"/>
      <c r="R95" s="113"/>
      <c r="S95" s="3"/>
      <c r="T95" s="113"/>
      <c r="U95" s="3"/>
      <c r="V95" s="3"/>
      <c r="W95" s="3"/>
      <c r="X95" s="113"/>
      <c r="Y95" s="113"/>
      <c r="Z95" s="113"/>
      <c r="AA95" s="113"/>
      <c r="AB95" s="113"/>
      <c r="AC95" s="3"/>
      <c r="AD95" s="113"/>
      <c r="AE95" s="3"/>
      <c r="AF95" s="3"/>
      <c r="AG95" s="3"/>
      <c r="AH95" s="3"/>
    </row>
    <row r="96" ht="14.25" customHeight="1">
      <c r="A96" s="3"/>
      <c r="B96" s="3"/>
      <c r="C96" s="3"/>
      <c r="D96" s="113"/>
      <c r="E96" s="113"/>
      <c r="F96" s="113"/>
      <c r="G96" s="113"/>
      <c r="H96" s="113"/>
      <c r="I96" s="3"/>
      <c r="J96" s="113"/>
      <c r="K96" s="3"/>
      <c r="L96" s="3"/>
      <c r="M96" s="3"/>
      <c r="N96" s="113"/>
      <c r="O96" s="113"/>
      <c r="P96" s="113"/>
      <c r="Q96" s="113"/>
      <c r="R96" s="113"/>
      <c r="S96" s="3"/>
      <c r="T96" s="113"/>
      <c r="U96" s="3"/>
      <c r="V96" s="3"/>
      <c r="W96" s="3"/>
      <c r="X96" s="113"/>
      <c r="Y96" s="113"/>
      <c r="Z96" s="113"/>
      <c r="AA96" s="113"/>
      <c r="AB96" s="113"/>
      <c r="AC96" s="3"/>
      <c r="AD96" s="113"/>
      <c r="AE96" s="3"/>
      <c r="AF96" s="3"/>
      <c r="AG96" s="3"/>
      <c r="AH96" s="3"/>
    </row>
    <row r="97" ht="14.25" customHeight="1">
      <c r="A97" s="3"/>
      <c r="B97" s="3"/>
      <c r="C97" s="3"/>
      <c r="D97" s="113"/>
      <c r="E97" s="113"/>
      <c r="F97" s="113"/>
      <c r="G97" s="113"/>
      <c r="H97" s="113"/>
      <c r="I97" s="3"/>
      <c r="J97" s="113"/>
      <c r="K97" s="3"/>
      <c r="L97" s="3"/>
      <c r="M97" s="3"/>
      <c r="N97" s="113"/>
      <c r="O97" s="113"/>
      <c r="P97" s="113"/>
      <c r="Q97" s="113"/>
      <c r="R97" s="113"/>
      <c r="S97" s="3"/>
      <c r="T97" s="113"/>
      <c r="U97" s="3"/>
      <c r="V97" s="3"/>
      <c r="W97" s="3"/>
      <c r="X97" s="113"/>
      <c r="Y97" s="113"/>
      <c r="Z97" s="113"/>
      <c r="AA97" s="113"/>
      <c r="AB97" s="113"/>
      <c r="AC97" s="3"/>
      <c r="AD97" s="113"/>
      <c r="AE97" s="3"/>
      <c r="AF97" s="3"/>
      <c r="AG97" s="3"/>
      <c r="AH97" s="3"/>
    </row>
    <row r="98" ht="14.25" customHeight="1">
      <c r="A98" s="3"/>
      <c r="B98" s="3"/>
      <c r="C98" s="3"/>
      <c r="D98" s="113"/>
      <c r="E98" s="113"/>
      <c r="F98" s="113"/>
      <c r="G98" s="113"/>
      <c r="H98" s="113"/>
      <c r="I98" s="3"/>
      <c r="J98" s="113"/>
      <c r="K98" s="3"/>
      <c r="L98" s="3"/>
      <c r="M98" s="3"/>
      <c r="N98" s="113"/>
      <c r="O98" s="113"/>
      <c r="P98" s="113"/>
      <c r="Q98" s="113"/>
      <c r="R98" s="113"/>
      <c r="S98" s="3"/>
      <c r="T98" s="113"/>
      <c r="U98" s="3"/>
      <c r="V98" s="3"/>
      <c r="W98" s="3"/>
      <c r="X98" s="113"/>
      <c r="Y98" s="113"/>
      <c r="Z98" s="113"/>
      <c r="AA98" s="113"/>
      <c r="AB98" s="113"/>
      <c r="AC98" s="3"/>
      <c r="AD98" s="113"/>
      <c r="AE98" s="3"/>
      <c r="AF98" s="3"/>
      <c r="AG98" s="3"/>
      <c r="AH98" s="3"/>
    </row>
    <row r="99" ht="14.25" customHeight="1">
      <c r="A99" s="3"/>
      <c r="B99" s="3"/>
      <c r="C99" s="3"/>
      <c r="D99" s="113"/>
      <c r="E99" s="113"/>
      <c r="F99" s="113"/>
      <c r="G99" s="113"/>
      <c r="H99" s="113"/>
      <c r="I99" s="3"/>
      <c r="J99" s="113"/>
      <c r="K99" s="3"/>
      <c r="L99" s="3"/>
      <c r="M99" s="3"/>
      <c r="N99" s="113"/>
      <c r="O99" s="113"/>
      <c r="P99" s="113"/>
      <c r="Q99" s="113"/>
      <c r="R99" s="113"/>
      <c r="S99" s="3"/>
      <c r="T99" s="113"/>
      <c r="U99" s="3"/>
      <c r="V99" s="3"/>
      <c r="W99" s="3"/>
      <c r="X99" s="113"/>
      <c r="Y99" s="113"/>
      <c r="Z99" s="113"/>
      <c r="AA99" s="113"/>
      <c r="AB99" s="113"/>
      <c r="AC99" s="3"/>
      <c r="AD99" s="113"/>
      <c r="AE99" s="3"/>
      <c r="AF99" s="3"/>
      <c r="AG99" s="3"/>
      <c r="AH99" s="3"/>
    </row>
    <row r="100" ht="14.25" customHeight="1">
      <c r="A100" s="3"/>
      <c r="B100" s="3"/>
      <c r="C100" s="3"/>
      <c r="D100" s="113"/>
      <c r="E100" s="113"/>
      <c r="F100" s="113"/>
      <c r="G100" s="113"/>
      <c r="H100" s="113"/>
      <c r="I100" s="3"/>
      <c r="J100" s="113"/>
      <c r="K100" s="3"/>
      <c r="L100" s="3"/>
      <c r="M100" s="3"/>
      <c r="N100" s="113"/>
      <c r="O100" s="113"/>
      <c r="P100" s="113"/>
      <c r="Q100" s="113"/>
      <c r="R100" s="113"/>
      <c r="S100" s="3"/>
      <c r="T100" s="113"/>
      <c r="U100" s="3"/>
      <c r="V100" s="3"/>
      <c r="W100" s="3"/>
      <c r="X100" s="113"/>
      <c r="Y100" s="113"/>
      <c r="Z100" s="113"/>
      <c r="AA100" s="113"/>
      <c r="AB100" s="113"/>
      <c r="AC100" s="3"/>
      <c r="AD100" s="113"/>
      <c r="AE100" s="3"/>
      <c r="AF100" s="3"/>
      <c r="AG100" s="3"/>
      <c r="AH100" s="3"/>
    </row>
    <row r="101" ht="14.25" customHeight="1">
      <c r="A101" s="3"/>
      <c r="B101" s="3"/>
      <c r="C101" s="3"/>
      <c r="D101" s="113"/>
      <c r="E101" s="113"/>
      <c r="F101" s="113"/>
      <c r="G101" s="113"/>
      <c r="H101" s="113"/>
      <c r="I101" s="3"/>
      <c r="J101" s="113"/>
      <c r="K101" s="3"/>
      <c r="L101" s="3"/>
      <c r="M101" s="3"/>
      <c r="N101" s="113"/>
      <c r="O101" s="113"/>
      <c r="P101" s="113"/>
      <c r="Q101" s="113"/>
      <c r="R101" s="113"/>
      <c r="S101" s="3"/>
      <c r="T101" s="113"/>
      <c r="U101" s="3"/>
      <c r="V101" s="3"/>
      <c r="W101" s="3"/>
      <c r="X101" s="113"/>
      <c r="Y101" s="113"/>
      <c r="Z101" s="113"/>
      <c r="AA101" s="113"/>
      <c r="AB101" s="113"/>
      <c r="AC101" s="3"/>
      <c r="AD101" s="113"/>
      <c r="AE101" s="3"/>
      <c r="AF101" s="3"/>
      <c r="AG101" s="3"/>
      <c r="AH101" s="3"/>
    </row>
    <row r="102" ht="14.25" customHeight="1">
      <c r="A102" s="3"/>
      <c r="B102" s="3"/>
      <c r="C102" s="3"/>
      <c r="D102" s="113"/>
      <c r="E102" s="113"/>
      <c r="F102" s="113"/>
      <c r="G102" s="113"/>
      <c r="H102" s="113"/>
      <c r="I102" s="3"/>
      <c r="J102" s="113"/>
      <c r="K102" s="3"/>
      <c r="L102" s="3"/>
      <c r="M102" s="3"/>
      <c r="N102" s="113"/>
      <c r="O102" s="113"/>
      <c r="P102" s="113"/>
      <c r="Q102" s="113"/>
      <c r="R102" s="113"/>
      <c r="S102" s="3"/>
      <c r="T102" s="113"/>
      <c r="U102" s="3"/>
      <c r="V102" s="3"/>
      <c r="W102" s="3"/>
      <c r="X102" s="113"/>
      <c r="Y102" s="113"/>
      <c r="Z102" s="113"/>
      <c r="AA102" s="113"/>
      <c r="AB102" s="113"/>
      <c r="AC102" s="3"/>
      <c r="AD102" s="113"/>
      <c r="AE102" s="3"/>
      <c r="AF102" s="3"/>
      <c r="AG102" s="3"/>
      <c r="AH102" s="3"/>
    </row>
    <row r="103" ht="14.25" customHeight="1">
      <c r="A103" s="3"/>
      <c r="B103" s="3"/>
      <c r="C103" s="3"/>
      <c r="D103" s="113"/>
      <c r="E103" s="113"/>
      <c r="F103" s="113"/>
      <c r="G103" s="113"/>
      <c r="H103" s="113"/>
      <c r="I103" s="3"/>
      <c r="J103" s="113"/>
      <c r="K103" s="3"/>
      <c r="L103" s="3"/>
      <c r="M103" s="3"/>
      <c r="N103" s="113"/>
      <c r="O103" s="113"/>
      <c r="P103" s="113"/>
      <c r="Q103" s="113"/>
      <c r="R103" s="113"/>
      <c r="S103" s="3"/>
      <c r="T103" s="113"/>
      <c r="U103" s="3"/>
      <c r="V103" s="3"/>
      <c r="W103" s="3"/>
      <c r="X103" s="113"/>
      <c r="Y103" s="113"/>
      <c r="Z103" s="113"/>
      <c r="AA103" s="113"/>
      <c r="AB103" s="113"/>
      <c r="AC103" s="3"/>
      <c r="AD103" s="113"/>
      <c r="AE103" s="3"/>
      <c r="AF103" s="3"/>
      <c r="AG103" s="3"/>
      <c r="AH103" s="3"/>
    </row>
    <row r="104" ht="14.25" customHeight="1">
      <c r="A104" s="3"/>
      <c r="B104" s="3"/>
      <c r="C104" s="3"/>
      <c r="D104" s="113"/>
      <c r="E104" s="113"/>
      <c r="F104" s="113"/>
      <c r="G104" s="113"/>
      <c r="H104" s="113"/>
      <c r="I104" s="3"/>
      <c r="J104" s="113"/>
      <c r="K104" s="3"/>
      <c r="L104" s="3"/>
      <c r="M104" s="3"/>
      <c r="N104" s="113"/>
      <c r="O104" s="113"/>
      <c r="P104" s="113"/>
      <c r="Q104" s="113"/>
      <c r="R104" s="113"/>
      <c r="S104" s="3"/>
      <c r="T104" s="113"/>
      <c r="U104" s="3"/>
      <c r="V104" s="3"/>
      <c r="W104" s="3"/>
      <c r="X104" s="113"/>
      <c r="Y104" s="113"/>
      <c r="Z104" s="113"/>
      <c r="AA104" s="113"/>
      <c r="AB104" s="113"/>
      <c r="AC104" s="3"/>
      <c r="AD104" s="113"/>
      <c r="AE104" s="3"/>
      <c r="AF104" s="3"/>
      <c r="AG104" s="3"/>
      <c r="AH104" s="3"/>
    </row>
    <row r="105" ht="14.25" customHeight="1">
      <c r="A105" s="3"/>
      <c r="B105" s="3"/>
      <c r="C105" s="3"/>
      <c r="D105" s="113"/>
      <c r="E105" s="113"/>
      <c r="F105" s="113"/>
      <c r="G105" s="113"/>
      <c r="H105" s="113"/>
      <c r="I105" s="3"/>
      <c r="J105" s="113"/>
      <c r="K105" s="3"/>
      <c r="L105" s="3"/>
      <c r="M105" s="3"/>
      <c r="N105" s="113"/>
      <c r="O105" s="113"/>
      <c r="P105" s="113"/>
      <c r="Q105" s="113"/>
      <c r="R105" s="113"/>
      <c r="S105" s="3"/>
      <c r="T105" s="113"/>
      <c r="U105" s="3"/>
      <c r="V105" s="3"/>
      <c r="W105" s="3"/>
      <c r="X105" s="113"/>
      <c r="Y105" s="113"/>
      <c r="Z105" s="113"/>
      <c r="AA105" s="113"/>
      <c r="AB105" s="113"/>
      <c r="AC105" s="3"/>
      <c r="AD105" s="113"/>
      <c r="AE105" s="3"/>
      <c r="AF105" s="3"/>
      <c r="AG105" s="3"/>
      <c r="AH105" s="3"/>
    </row>
    <row r="106" ht="14.25" customHeight="1">
      <c r="A106" s="3"/>
      <c r="B106" s="3"/>
      <c r="C106" s="3"/>
      <c r="D106" s="113"/>
      <c r="E106" s="113"/>
      <c r="F106" s="113"/>
      <c r="G106" s="113"/>
      <c r="H106" s="113"/>
      <c r="I106" s="3"/>
      <c r="J106" s="113"/>
      <c r="K106" s="3"/>
      <c r="L106" s="3"/>
      <c r="M106" s="3"/>
      <c r="N106" s="113"/>
      <c r="O106" s="113"/>
      <c r="P106" s="113"/>
      <c r="Q106" s="113"/>
      <c r="R106" s="113"/>
      <c r="S106" s="3"/>
      <c r="T106" s="113"/>
      <c r="U106" s="3"/>
      <c r="V106" s="3"/>
      <c r="W106" s="3"/>
      <c r="X106" s="113"/>
      <c r="Y106" s="113"/>
      <c r="Z106" s="113"/>
      <c r="AA106" s="113"/>
      <c r="AB106" s="113"/>
      <c r="AC106" s="3"/>
      <c r="AD106" s="113"/>
      <c r="AE106" s="3"/>
      <c r="AF106" s="3"/>
      <c r="AG106" s="3"/>
      <c r="AH106" s="3"/>
    </row>
    <row r="107" ht="14.25" customHeight="1">
      <c r="A107" s="3"/>
      <c r="B107" s="3"/>
      <c r="C107" s="3"/>
      <c r="D107" s="113"/>
      <c r="E107" s="113"/>
      <c r="F107" s="113"/>
      <c r="G107" s="113"/>
      <c r="H107" s="113"/>
      <c r="I107" s="3"/>
      <c r="J107" s="113"/>
      <c r="K107" s="3"/>
      <c r="L107" s="3"/>
      <c r="M107" s="3"/>
      <c r="N107" s="113"/>
      <c r="O107" s="113"/>
      <c r="P107" s="113"/>
      <c r="Q107" s="113"/>
      <c r="R107" s="113"/>
      <c r="S107" s="3"/>
      <c r="T107" s="113"/>
      <c r="U107" s="3"/>
      <c r="V107" s="3"/>
      <c r="W107" s="3"/>
      <c r="X107" s="113"/>
      <c r="Y107" s="113"/>
      <c r="Z107" s="113"/>
      <c r="AA107" s="113"/>
      <c r="AB107" s="113"/>
      <c r="AC107" s="3"/>
      <c r="AD107" s="113"/>
      <c r="AE107" s="3"/>
      <c r="AF107" s="3"/>
      <c r="AG107" s="3"/>
      <c r="AH107" s="3"/>
    </row>
    <row r="108" ht="14.25" customHeight="1">
      <c r="A108" s="3"/>
      <c r="B108" s="3"/>
      <c r="C108" s="3"/>
      <c r="D108" s="113"/>
      <c r="E108" s="113"/>
      <c r="F108" s="113"/>
      <c r="G108" s="113"/>
      <c r="H108" s="113"/>
      <c r="I108" s="3"/>
      <c r="J108" s="113"/>
      <c r="K108" s="3"/>
      <c r="L108" s="3"/>
      <c r="M108" s="3"/>
      <c r="N108" s="113"/>
      <c r="O108" s="113"/>
      <c r="P108" s="113"/>
      <c r="Q108" s="113"/>
      <c r="R108" s="113"/>
      <c r="S108" s="3"/>
      <c r="T108" s="113"/>
      <c r="U108" s="3"/>
      <c r="V108" s="3"/>
      <c r="W108" s="3"/>
      <c r="X108" s="113"/>
      <c r="Y108" s="113"/>
      <c r="Z108" s="113"/>
      <c r="AA108" s="113"/>
      <c r="AB108" s="113"/>
      <c r="AC108" s="3"/>
      <c r="AD108" s="113"/>
      <c r="AE108" s="3"/>
      <c r="AF108" s="3"/>
      <c r="AG108" s="3"/>
      <c r="AH108" s="3"/>
    </row>
    <row r="109" ht="14.25" customHeight="1">
      <c r="A109" s="3"/>
      <c r="B109" s="3"/>
      <c r="C109" s="3"/>
      <c r="D109" s="113"/>
      <c r="E109" s="113"/>
      <c r="F109" s="113"/>
      <c r="G109" s="113"/>
      <c r="H109" s="113"/>
      <c r="I109" s="3"/>
      <c r="J109" s="113"/>
      <c r="K109" s="3"/>
      <c r="L109" s="3"/>
      <c r="M109" s="3"/>
      <c r="N109" s="113"/>
      <c r="O109" s="113"/>
      <c r="P109" s="113"/>
      <c r="Q109" s="113"/>
      <c r="R109" s="113"/>
      <c r="S109" s="3"/>
      <c r="T109" s="113"/>
      <c r="U109" s="3"/>
      <c r="V109" s="3"/>
      <c r="W109" s="3"/>
      <c r="X109" s="113"/>
      <c r="Y109" s="113"/>
      <c r="Z109" s="113"/>
      <c r="AA109" s="113"/>
      <c r="AB109" s="113"/>
      <c r="AC109" s="3"/>
      <c r="AD109" s="113"/>
      <c r="AE109" s="3"/>
      <c r="AF109" s="3"/>
      <c r="AG109" s="3"/>
      <c r="AH109" s="3"/>
    </row>
    <row r="110" ht="14.25" customHeight="1">
      <c r="A110" s="3"/>
      <c r="B110" s="3"/>
      <c r="C110" s="3"/>
      <c r="D110" s="113"/>
      <c r="E110" s="113"/>
      <c r="F110" s="113"/>
      <c r="G110" s="113"/>
      <c r="H110" s="113"/>
      <c r="I110" s="3"/>
      <c r="J110" s="113"/>
      <c r="K110" s="3"/>
      <c r="L110" s="3"/>
      <c r="M110" s="3"/>
      <c r="N110" s="113"/>
      <c r="O110" s="113"/>
      <c r="P110" s="113"/>
      <c r="Q110" s="113"/>
      <c r="R110" s="113"/>
      <c r="S110" s="3"/>
      <c r="T110" s="113"/>
      <c r="U110" s="3"/>
      <c r="V110" s="3"/>
      <c r="W110" s="3"/>
      <c r="X110" s="113"/>
      <c r="Y110" s="113"/>
      <c r="Z110" s="113"/>
      <c r="AA110" s="113"/>
      <c r="AB110" s="113"/>
      <c r="AC110" s="3"/>
      <c r="AD110" s="113"/>
      <c r="AE110" s="3"/>
      <c r="AF110" s="3"/>
      <c r="AG110" s="3"/>
      <c r="AH110" s="3"/>
    </row>
    <row r="111" ht="14.25" customHeight="1">
      <c r="A111" s="3"/>
      <c r="B111" s="3"/>
      <c r="C111" s="3"/>
      <c r="D111" s="113"/>
      <c r="E111" s="113"/>
      <c r="F111" s="113"/>
      <c r="G111" s="113"/>
      <c r="H111" s="113"/>
      <c r="I111" s="3"/>
      <c r="J111" s="113"/>
      <c r="K111" s="3"/>
      <c r="L111" s="3"/>
      <c r="M111" s="3"/>
      <c r="N111" s="113"/>
      <c r="O111" s="113"/>
      <c r="P111" s="113"/>
      <c r="Q111" s="113"/>
      <c r="R111" s="113"/>
      <c r="S111" s="3"/>
      <c r="T111" s="113"/>
      <c r="U111" s="3"/>
      <c r="V111" s="3"/>
      <c r="W111" s="3"/>
      <c r="X111" s="113"/>
      <c r="Y111" s="113"/>
      <c r="Z111" s="113"/>
      <c r="AA111" s="113"/>
      <c r="AB111" s="113"/>
      <c r="AC111" s="3"/>
      <c r="AD111" s="113"/>
      <c r="AE111" s="3"/>
      <c r="AF111" s="3"/>
      <c r="AG111" s="3"/>
      <c r="AH111" s="3"/>
    </row>
    <row r="112" ht="14.25" customHeight="1">
      <c r="A112" s="3"/>
      <c r="B112" s="3"/>
      <c r="C112" s="3"/>
      <c r="D112" s="113"/>
      <c r="E112" s="113"/>
      <c r="F112" s="113"/>
      <c r="G112" s="113"/>
      <c r="H112" s="113"/>
      <c r="I112" s="3"/>
      <c r="J112" s="113"/>
      <c r="K112" s="3"/>
      <c r="L112" s="3"/>
      <c r="M112" s="3"/>
      <c r="N112" s="113"/>
      <c r="O112" s="113"/>
      <c r="P112" s="113"/>
      <c r="Q112" s="113"/>
      <c r="R112" s="113"/>
      <c r="S112" s="3"/>
      <c r="T112" s="113"/>
      <c r="U112" s="3"/>
      <c r="V112" s="3"/>
      <c r="W112" s="3"/>
      <c r="X112" s="113"/>
      <c r="Y112" s="113"/>
      <c r="Z112" s="113"/>
      <c r="AA112" s="113"/>
      <c r="AB112" s="113"/>
      <c r="AC112" s="3"/>
      <c r="AD112" s="113"/>
      <c r="AE112" s="3"/>
      <c r="AF112" s="3"/>
      <c r="AG112" s="3"/>
      <c r="AH112" s="3"/>
    </row>
    <row r="113" ht="14.25" customHeight="1">
      <c r="A113" s="3"/>
      <c r="B113" s="3"/>
      <c r="C113" s="3"/>
      <c r="D113" s="113"/>
      <c r="E113" s="113"/>
      <c r="F113" s="113"/>
      <c r="G113" s="113"/>
      <c r="H113" s="113"/>
      <c r="I113" s="3"/>
      <c r="J113" s="113"/>
      <c r="K113" s="3"/>
      <c r="L113" s="3"/>
      <c r="M113" s="3"/>
      <c r="N113" s="113"/>
      <c r="O113" s="113"/>
      <c r="P113" s="113"/>
      <c r="Q113" s="113"/>
      <c r="R113" s="113"/>
      <c r="S113" s="3"/>
      <c r="T113" s="113"/>
      <c r="U113" s="3"/>
      <c r="V113" s="3"/>
      <c r="W113" s="3"/>
      <c r="X113" s="113"/>
      <c r="Y113" s="113"/>
      <c r="Z113" s="113"/>
      <c r="AA113" s="113"/>
      <c r="AB113" s="113"/>
      <c r="AC113" s="3"/>
      <c r="AD113" s="113"/>
      <c r="AE113" s="3"/>
      <c r="AF113" s="3"/>
      <c r="AG113" s="3"/>
      <c r="AH113" s="3"/>
    </row>
    <row r="114" ht="14.25" customHeight="1">
      <c r="A114" s="3"/>
      <c r="B114" s="3"/>
      <c r="C114" s="3"/>
      <c r="D114" s="113"/>
      <c r="E114" s="113"/>
      <c r="F114" s="113"/>
      <c r="G114" s="113"/>
      <c r="H114" s="113"/>
      <c r="I114" s="3"/>
      <c r="J114" s="113"/>
      <c r="K114" s="3"/>
      <c r="L114" s="3"/>
      <c r="M114" s="3"/>
      <c r="N114" s="113"/>
      <c r="O114" s="113"/>
      <c r="P114" s="113"/>
      <c r="Q114" s="113"/>
      <c r="R114" s="113"/>
      <c r="S114" s="3"/>
      <c r="T114" s="113"/>
      <c r="U114" s="3"/>
      <c r="V114" s="3"/>
      <c r="W114" s="3"/>
      <c r="X114" s="113"/>
      <c r="Y114" s="113"/>
      <c r="Z114" s="113"/>
      <c r="AA114" s="113"/>
      <c r="AB114" s="113"/>
      <c r="AC114" s="3"/>
      <c r="AD114" s="113"/>
      <c r="AE114" s="3"/>
      <c r="AF114" s="3"/>
      <c r="AG114" s="3"/>
      <c r="AH114" s="3"/>
    </row>
    <row r="115" ht="14.25" customHeight="1">
      <c r="A115" s="3"/>
      <c r="B115" s="3"/>
      <c r="C115" s="3"/>
      <c r="D115" s="113"/>
      <c r="E115" s="113"/>
      <c r="F115" s="113"/>
      <c r="G115" s="113"/>
      <c r="H115" s="113"/>
      <c r="I115" s="3"/>
      <c r="J115" s="113"/>
      <c r="K115" s="3"/>
      <c r="L115" s="3"/>
      <c r="M115" s="3"/>
      <c r="N115" s="113"/>
      <c r="O115" s="113"/>
      <c r="P115" s="113"/>
      <c r="Q115" s="113"/>
      <c r="R115" s="113"/>
      <c r="S115" s="3"/>
      <c r="T115" s="113"/>
      <c r="U115" s="3"/>
      <c r="V115" s="3"/>
      <c r="W115" s="3"/>
      <c r="X115" s="113"/>
      <c r="Y115" s="113"/>
      <c r="Z115" s="113"/>
      <c r="AA115" s="113"/>
      <c r="AB115" s="113"/>
      <c r="AC115" s="3"/>
      <c r="AD115" s="113"/>
      <c r="AE115" s="3"/>
      <c r="AF115" s="3"/>
      <c r="AG115" s="3"/>
      <c r="AH115" s="3"/>
    </row>
    <row r="116" ht="14.25" customHeight="1">
      <c r="A116" s="3"/>
      <c r="B116" s="3"/>
      <c r="C116" s="3"/>
      <c r="D116" s="113"/>
      <c r="E116" s="113"/>
      <c r="F116" s="113"/>
      <c r="G116" s="113"/>
      <c r="H116" s="113"/>
      <c r="I116" s="3"/>
      <c r="J116" s="113"/>
      <c r="K116" s="3"/>
      <c r="L116" s="3"/>
      <c r="M116" s="3"/>
      <c r="N116" s="113"/>
      <c r="O116" s="113"/>
      <c r="P116" s="113"/>
      <c r="Q116" s="113"/>
      <c r="R116" s="113"/>
      <c r="S116" s="3"/>
      <c r="T116" s="113"/>
      <c r="U116" s="3"/>
      <c r="V116" s="3"/>
      <c r="W116" s="3"/>
      <c r="X116" s="113"/>
      <c r="Y116" s="113"/>
      <c r="Z116" s="113"/>
      <c r="AA116" s="113"/>
      <c r="AB116" s="113"/>
      <c r="AC116" s="3"/>
      <c r="AD116" s="113"/>
      <c r="AE116" s="3"/>
      <c r="AF116" s="3"/>
      <c r="AG116" s="3"/>
      <c r="AH116" s="3"/>
    </row>
    <row r="117" ht="14.25" customHeight="1">
      <c r="A117" s="3"/>
      <c r="B117" s="3"/>
      <c r="C117" s="3"/>
      <c r="D117" s="113"/>
      <c r="E117" s="113"/>
      <c r="F117" s="113"/>
      <c r="G117" s="113"/>
      <c r="H117" s="113"/>
      <c r="I117" s="3"/>
      <c r="J117" s="113"/>
      <c r="K117" s="3"/>
      <c r="L117" s="3"/>
      <c r="M117" s="3"/>
      <c r="N117" s="113"/>
      <c r="O117" s="113"/>
      <c r="P117" s="113"/>
      <c r="Q117" s="113"/>
      <c r="R117" s="113"/>
      <c r="S117" s="3"/>
      <c r="T117" s="113"/>
      <c r="U117" s="3"/>
      <c r="V117" s="3"/>
      <c r="W117" s="3"/>
      <c r="X117" s="113"/>
      <c r="Y117" s="113"/>
      <c r="Z117" s="113"/>
      <c r="AA117" s="113"/>
      <c r="AB117" s="113"/>
      <c r="AC117" s="3"/>
      <c r="AD117" s="113"/>
      <c r="AE117" s="3"/>
      <c r="AF117" s="3"/>
      <c r="AG117" s="3"/>
      <c r="AH117" s="3"/>
    </row>
    <row r="118" ht="14.25" customHeight="1">
      <c r="A118" s="3"/>
      <c r="B118" s="3"/>
      <c r="C118" s="3"/>
      <c r="D118" s="113"/>
      <c r="E118" s="113"/>
      <c r="F118" s="113"/>
      <c r="G118" s="113"/>
      <c r="H118" s="113"/>
      <c r="I118" s="3"/>
      <c r="J118" s="113"/>
      <c r="K118" s="3"/>
      <c r="L118" s="3"/>
      <c r="M118" s="3"/>
      <c r="N118" s="113"/>
      <c r="O118" s="113"/>
      <c r="P118" s="113"/>
      <c r="Q118" s="113"/>
      <c r="R118" s="113"/>
      <c r="S118" s="3"/>
      <c r="T118" s="113"/>
      <c r="U118" s="3"/>
      <c r="V118" s="3"/>
      <c r="W118" s="3"/>
      <c r="X118" s="113"/>
      <c r="Y118" s="113"/>
      <c r="Z118" s="113"/>
      <c r="AA118" s="113"/>
      <c r="AB118" s="113"/>
      <c r="AC118" s="3"/>
      <c r="AD118" s="113"/>
      <c r="AE118" s="3"/>
      <c r="AF118" s="3"/>
      <c r="AG118" s="3"/>
      <c r="AH118" s="3"/>
    </row>
    <row r="119" ht="14.25" customHeight="1">
      <c r="A119" s="3"/>
      <c r="B119" s="3"/>
      <c r="C119" s="3"/>
      <c r="D119" s="113"/>
      <c r="E119" s="113"/>
      <c r="F119" s="113"/>
      <c r="G119" s="113"/>
      <c r="H119" s="113"/>
      <c r="I119" s="3"/>
      <c r="J119" s="113"/>
      <c r="K119" s="3"/>
      <c r="L119" s="3"/>
      <c r="M119" s="3"/>
      <c r="N119" s="113"/>
      <c r="O119" s="113"/>
      <c r="P119" s="113"/>
      <c r="Q119" s="113"/>
      <c r="R119" s="113"/>
      <c r="S119" s="3"/>
      <c r="T119" s="113"/>
      <c r="U119" s="3"/>
      <c r="V119" s="3"/>
      <c r="W119" s="3"/>
      <c r="X119" s="113"/>
      <c r="Y119" s="113"/>
      <c r="Z119" s="113"/>
      <c r="AA119" s="113"/>
      <c r="AB119" s="113"/>
      <c r="AC119" s="3"/>
      <c r="AD119" s="113"/>
      <c r="AE119" s="3"/>
      <c r="AF119" s="3"/>
      <c r="AG119" s="3"/>
      <c r="AH119" s="3"/>
    </row>
    <row r="120" ht="14.25" customHeight="1">
      <c r="A120" s="3"/>
      <c r="B120" s="3"/>
      <c r="C120" s="3"/>
      <c r="D120" s="113"/>
      <c r="E120" s="113"/>
      <c r="F120" s="113"/>
      <c r="G120" s="113"/>
      <c r="H120" s="113"/>
      <c r="I120" s="3"/>
      <c r="J120" s="113"/>
      <c r="K120" s="3"/>
      <c r="L120" s="3"/>
      <c r="M120" s="3"/>
      <c r="N120" s="113"/>
      <c r="O120" s="113"/>
      <c r="P120" s="113"/>
      <c r="Q120" s="113"/>
      <c r="R120" s="113"/>
      <c r="S120" s="3"/>
      <c r="T120" s="113"/>
      <c r="U120" s="3"/>
      <c r="V120" s="3"/>
      <c r="W120" s="3"/>
      <c r="X120" s="113"/>
      <c r="Y120" s="113"/>
      <c r="Z120" s="113"/>
      <c r="AA120" s="113"/>
      <c r="AB120" s="113"/>
      <c r="AC120" s="3"/>
      <c r="AD120" s="113"/>
      <c r="AE120" s="3"/>
      <c r="AF120" s="3"/>
      <c r="AG120" s="3"/>
      <c r="AH120" s="3"/>
    </row>
    <row r="121" ht="14.25" customHeight="1">
      <c r="A121" s="3"/>
      <c r="B121" s="3"/>
      <c r="C121" s="3"/>
      <c r="D121" s="113"/>
      <c r="E121" s="113"/>
      <c r="F121" s="113"/>
      <c r="G121" s="113"/>
      <c r="H121" s="113"/>
      <c r="I121" s="3"/>
      <c r="J121" s="113"/>
      <c r="K121" s="3"/>
      <c r="L121" s="3"/>
      <c r="M121" s="3"/>
      <c r="N121" s="113"/>
      <c r="O121" s="113"/>
      <c r="P121" s="113"/>
      <c r="Q121" s="113"/>
      <c r="R121" s="113"/>
      <c r="S121" s="3"/>
      <c r="T121" s="113"/>
      <c r="U121" s="3"/>
      <c r="V121" s="3"/>
      <c r="W121" s="3"/>
      <c r="X121" s="113"/>
      <c r="Y121" s="113"/>
      <c r="Z121" s="113"/>
      <c r="AA121" s="113"/>
      <c r="AB121" s="113"/>
      <c r="AC121" s="3"/>
      <c r="AD121" s="113"/>
      <c r="AE121" s="3"/>
      <c r="AF121" s="3"/>
      <c r="AG121" s="3"/>
      <c r="AH121" s="3"/>
    </row>
    <row r="122" ht="14.25" customHeight="1">
      <c r="A122" s="3"/>
      <c r="B122" s="3"/>
      <c r="C122" s="3"/>
      <c r="D122" s="113"/>
      <c r="E122" s="113"/>
      <c r="F122" s="113"/>
      <c r="G122" s="113"/>
      <c r="H122" s="113"/>
      <c r="I122" s="3"/>
      <c r="J122" s="113"/>
      <c r="K122" s="3"/>
      <c r="L122" s="3"/>
      <c r="M122" s="3"/>
      <c r="N122" s="113"/>
      <c r="O122" s="113"/>
      <c r="P122" s="113"/>
      <c r="Q122" s="113"/>
      <c r="R122" s="113"/>
      <c r="S122" s="3"/>
      <c r="T122" s="113"/>
      <c r="U122" s="3"/>
      <c r="V122" s="3"/>
      <c r="W122" s="3"/>
      <c r="X122" s="113"/>
      <c r="Y122" s="113"/>
      <c r="Z122" s="113"/>
      <c r="AA122" s="113"/>
      <c r="AB122" s="113"/>
      <c r="AC122" s="3"/>
      <c r="AD122" s="113"/>
      <c r="AE122" s="3"/>
      <c r="AF122" s="3"/>
      <c r="AG122" s="3"/>
      <c r="AH122" s="3"/>
    </row>
    <row r="123" ht="14.25" customHeight="1">
      <c r="A123" s="3"/>
      <c r="B123" s="3"/>
      <c r="C123" s="3"/>
      <c r="D123" s="113"/>
      <c r="E123" s="113"/>
      <c r="F123" s="113"/>
      <c r="G123" s="113"/>
      <c r="H123" s="113"/>
      <c r="I123" s="3"/>
      <c r="J123" s="113"/>
      <c r="K123" s="3"/>
      <c r="L123" s="3"/>
      <c r="M123" s="3"/>
      <c r="N123" s="113"/>
      <c r="O123" s="113"/>
      <c r="P123" s="113"/>
      <c r="Q123" s="113"/>
      <c r="R123" s="113"/>
      <c r="S123" s="3"/>
      <c r="T123" s="113"/>
      <c r="U123" s="3"/>
      <c r="V123" s="3"/>
      <c r="W123" s="3"/>
      <c r="X123" s="113"/>
      <c r="Y123" s="113"/>
      <c r="Z123" s="113"/>
      <c r="AA123" s="113"/>
      <c r="AB123" s="113"/>
      <c r="AC123" s="3"/>
      <c r="AD123" s="113"/>
      <c r="AE123" s="3"/>
      <c r="AF123" s="3"/>
      <c r="AG123" s="3"/>
      <c r="AH123" s="3"/>
    </row>
    <row r="124" ht="14.25" customHeight="1">
      <c r="A124" s="3"/>
      <c r="B124" s="3"/>
      <c r="C124" s="3"/>
      <c r="D124" s="113"/>
      <c r="E124" s="113"/>
      <c r="F124" s="113"/>
      <c r="G124" s="113"/>
      <c r="H124" s="113"/>
      <c r="I124" s="3"/>
      <c r="J124" s="113"/>
      <c r="K124" s="3"/>
      <c r="L124" s="3"/>
      <c r="M124" s="3"/>
      <c r="N124" s="113"/>
      <c r="O124" s="113"/>
      <c r="P124" s="113"/>
      <c r="Q124" s="113"/>
      <c r="R124" s="113"/>
      <c r="S124" s="3"/>
      <c r="T124" s="113"/>
      <c r="U124" s="3"/>
      <c r="V124" s="3"/>
      <c r="W124" s="3"/>
      <c r="X124" s="113"/>
      <c r="Y124" s="113"/>
      <c r="Z124" s="113"/>
      <c r="AA124" s="113"/>
      <c r="AB124" s="113"/>
      <c r="AC124" s="3"/>
      <c r="AD124" s="113"/>
      <c r="AE124" s="3"/>
      <c r="AF124" s="3"/>
      <c r="AG124" s="3"/>
      <c r="AH124" s="3"/>
    </row>
    <row r="125" ht="14.25" customHeight="1">
      <c r="A125" s="3"/>
      <c r="B125" s="3"/>
      <c r="C125" s="3"/>
      <c r="D125" s="113"/>
      <c r="E125" s="113"/>
      <c r="F125" s="113"/>
      <c r="G125" s="113"/>
      <c r="H125" s="113"/>
      <c r="I125" s="3"/>
      <c r="J125" s="113"/>
      <c r="K125" s="3"/>
      <c r="L125" s="3"/>
      <c r="M125" s="3"/>
      <c r="N125" s="113"/>
      <c r="O125" s="113"/>
      <c r="P125" s="113"/>
      <c r="Q125" s="113"/>
      <c r="R125" s="113"/>
      <c r="S125" s="3"/>
      <c r="T125" s="113"/>
      <c r="U125" s="3"/>
      <c r="V125" s="3"/>
      <c r="W125" s="3"/>
      <c r="X125" s="113"/>
      <c r="Y125" s="113"/>
      <c r="Z125" s="113"/>
      <c r="AA125" s="113"/>
      <c r="AB125" s="113"/>
      <c r="AC125" s="3"/>
      <c r="AD125" s="113"/>
      <c r="AE125" s="3"/>
      <c r="AF125" s="3"/>
      <c r="AG125" s="3"/>
      <c r="AH125" s="3"/>
    </row>
    <row r="126" ht="14.25" customHeight="1">
      <c r="A126" s="3"/>
      <c r="B126" s="3"/>
      <c r="C126" s="3"/>
      <c r="D126" s="113"/>
      <c r="E126" s="113"/>
      <c r="F126" s="113"/>
      <c r="G126" s="113"/>
      <c r="H126" s="113"/>
      <c r="I126" s="3"/>
      <c r="J126" s="113"/>
      <c r="K126" s="3"/>
      <c r="L126" s="3"/>
      <c r="M126" s="3"/>
      <c r="N126" s="113"/>
      <c r="O126" s="113"/>
      <c r="P126" s="113"/>
      <c r="Q126" s="113"/>
      <c r="R126" s="113"/>
      <c r="S126" s="3"/>
      <c r="T126" s="113"/>
      <c r="U126" s="3"/>
      <c r="V126" s="3"/>
      <c r="W126" s="3"/>
      <c r="X126" s="113"/>
      <c r="Y126" s="113"/>
      <c r="Z126" s="113"/>
      <c r="AA126" s="113"/>
      <c r="AB126" s="113"/>
      <c r="AC126" s="3"/>
      <c r="AD126" s="113"/>
      <c r="AE126" s="3"/>
      <c r="AF126" s="3"/>
      <c r="AG126" s="3"/>
      <c r="AH126" s="3"/>
    </row>
    <row r="127" ht="14.25" customHeight="1">
      <c r="A127" s="3"/>
      <c r="B127" s="3"/>
      <c r="C127" s="3"/>
      <c r="D127" s="113"/>
      <c r="E127" s="113"/>
      <c r="F127" s="113"/>
      <c r="G127" s="113"/>
      <c r="H127" s="113"/>
      <c r="I127" s="3"/>
      <c r="J127" s="113"/>
      <c r="K127" s="3"/>
      <c r="L127" s="3"/>
      <c r="M127" s="3"/>
      <c r="N127" s="113"/>
      <c r="O127" s="113"/>
      <c r="P127" s="113"/>
      <c r="Q127" s="113"/>
      <c r="R127" s="113"/>
      <c r="S127" s="3"/>
      <c r="T127" s="113"/>
      <c r="U127" s="3"/>
      <c r="V127" s="3"/>
      <c r="W127" s="3"/>
      <c r="X127" s="113"/>
      <c r="Y127" s="113"/>
      <c r="Z127" s="113"/>
      <c r="AA127" s="113"/>
      <c r="AB127" s="113"/>
      <c r="AC127" s="3"/>
      <c r="AD127" s="113"/>
      <c r="AE127" s="3"/>
      <c r="AF127" s="3"/>
      <c r="AG127" s="3"/>
      <c r="AH127" s="3"/>
    </row>
    <row r="128" ht="14.25" customHeight="1">
      <c r="A128" s="3"/>
      <c r="B128" s="3"/>
      <c r="C128" s="3"/>
      <c r="D128" s="113"/>
      <c r="E128" s="113"/>
      <c r="F128" s="113"/>
      <c r="G128" s="113"/>
      <c r="H128" s="113"/>
      <c r="I128" s="3"/>
      <c r="J128" s="113"/>
      <c r="K128" s="3"/>
      <c r="L128" s="3"/>
      <c r="M128" s="3"/>
      <c r="N128" s="113"/>
      <c r="O128" s="113"/>
      <c r="P128" s="113"/>
      <c r="Q128" s="113"/>
      <c r="R128" s="113"/>
      <c r="S128" s="3"/>
      <c r="T128" s="113"/>
      <c r="U128" s="3"/>
      <c r="V128" s="3"/>
      <c r="W128" s="3"/>
      <c r="X128" s="113"/>
      <c r="Y128" s="113"/>
      <c r="Z128" s="113"/>
      <c r="AA128" s="113"/>
      <c r="AB128" s="113"/>
      <c r="AC128" s="3"/>
      <c r="AD128" s="113"/>
      <c r="AE128" s="3"/>
      <c r="AF128" s="3"/>
      <c r="AG128" s="3"/>
      <c r="AH128" s="3"/>
    </row>
    <row r="129" ht="14.25" customHeight="1">
      <c r="A129" s="3"/>
      <c r="B129" s="3"/>
      <c r="C129" s="3"/>
      <c r="D129" s="113"/>
      <c r="E129" s="113"/>
      <c r="F129" s="113"/>
      <c r="G129" s="113"/>
      <c r="H129" s="113"/>
      <c r="I129" s="3"/>
      <c r="J129" s="113"/>
      <c r="K129" s="3"/>
      <c r="L129" s="3"/>
      <c r="M129" s="3"/>
      <c r="N129" s="113"/>
      <c r="O129" s="113"/>
      <c r="P129" s="113"/>
      <c r="Q129" s="113"/>
      <c r="R129" s="113"/>
      <c r="S129" s="3"/>
      <c r="T129" s="113"/>
      <c r="U129" s="3"/>
      <c r="V129" s="3"/>
      <c r="W129" s="3"/>
      <c r="X129" s="113"/>
      <c r="Y129" s="113"/>
      <c r="Z129" s="113"/>
      <c r="AA129" s="113"/>
      <c r="AB129" s="113"/>
      <c r="AC129" s="3"/>
      <c r="AD129" s="113"/>
      <c r="AE129" s="3"/>
      <c r="AF129" s="3"/>
      <c r="AG129" s="3"/>
      <c r="AH129" s="3"/>
    </row>
    <row r="130" ht="14.25" customHeight="1">
      <c r="A130" s="3"/>
      <c r="B130" s="3"/>
      <c r="C130" s="3"/>
      <c r="D130" s="113"/>
      <c r="E130" s="113"/>
      <c r="F130" s="113"/>
      <c r="G130" s="113"/>
      <c r="H130" s="113"/>
      <c r="I130" s="3"/>
      <c r="J130" s="113"/>
      <c r="K130" s="3"/>
      <c r="L130" s="3"/>
      <c r="M130" s="3"/>
      <c r="N130" s="113"/>
      <c r="O130" s="113"/>
      <c r="P130" s="113"/>
      <c r="Q130" s="113"/>
      <c r="R130" s="113"/>
      <c r="S130" s="3"/>
      <c r="T130" s="113"/>
      <c r="U130" s="3"/>
      <c r="V130" s="3"/>
      <c r="W130" s="3"/>
      <c r="X130" s="113"/>
      <c r="Y130" s="113"/>
      <c r="Z130" s="113"/>
      <c r="AA130" s="113"/>
      <c r="AB130" s="113"/>
      <c r="AC130" s="3"/>
      <c r="AD130" s="113"/>
      <c r="AE130" s="3"/>
      <c r="AF130" s="3"/>
      <c r="AG130" s="3"/>
      <c r="AH130" s="3"/>
    </row>
    <row r="131" ht="14.25" customHeight="1">
      <c r="A131" s="3"/>
      <c r="B131" s="3"/>
      <c r="C131" s="3"/>
      <c r="D131" s="113"/>
      <c r="E131" s="113"/>
      <c r="F131" s="113"/>
      <c r="G131" s="113"/>
      <c r="H131" s="113"/>
      <c r="I131" s="3"/>
      <c r="J131" s="113"/>
      <c r="K131" s="3"/>
      <c r="L131" s="3"/>
      <c r="M131" s="3"/>
      <c r="N131" s="113"/>
      <c r="O131" s="113"/>
      <c r="P131" s="113"/>
      <c r="Q131" s="113"/>
      <c r="R131" s="113"/>
      <c r="S131" s="3"/>
      <c r="T131" s="113"/>
      <c r="U131" s="3"/>
      <c r="V131" s="3"/>
      <c r="W131" s="3"/>
      <c r="X131" s="113"/>
      <c r="Y131" s="113"/>
      <c r="Z131" s="113"/>
      <c r="AA131" s="113"/>
      <c r="AB131" s="113"/>
      <c r="AC131" s="3"/>
      <c r="AD131" s="113"/>
      <c r="AE131" s="3"/>
      <c r="AF131" s="3"/>
      <c r="AG131" s="3"/>
      <c r="AH131" s="3"/>
    </row>
    <row r="132" ht="14.25" customHeight="1">
      <c r="A132" s="3"/>
      <c r="B132" s="3"/>
      <c r="C132" s="3"/>
      <c r="D132" s="113"/>
      <c r="E132" s="113"/>
      <c r="F132" s="113"/>
      <c r="G132" s="113"/>
      <c r="H132" s="113"/>
      <c r="I132" s="3"/>
      <c r="J132" s="113"/>
      <c r="K132" s="3"/>
      <c r="L132" s="3"/>
      <c r="M132" s="3"/>
      <c r="N132" s="113"/>
      <c r="O132" s="113"/>
      <c r="P132" s="113"/>
      <c r="Q132" s="113"/>
      <c r="R132" s="113"/>
      <c r="S132" s="3"/>
      <c r="T132" s="113"/>
      <c r="U132" s="3"/>
      <c r="V132" s="3"/>
      <c r="W132" s="3"/>
      <c r="X132" s="113"/>
      <c r="Y132" s="113"/>
      <c r="Z132" s="113"/>
      <c r="AA132" s="113"/>
      <c r="AB132" s="113"/>
      <c r="AC132" s="3"/>
      <c r="AD132" s="113"/>
      <c r="AE132" s="3"/>
      <c r="AF132" s="3"/>
      <c r="AG132" s="3"/>
      <c r="AH132" s="3"/>
    </row>
    <row r="133" ht="14.25" customHeight="1">
      <c r="A133" s="3"/>
      <c r="B133" s="3"/>
      <c r="C133" s="3"/>
      <c r="D133" s="113"/>
      <c r="E133" s="113"/>
      <c r="F133" s="113"/>
      <c r="G133" s="113"/>
      <c r="H133" s="113"/>
      <c r="I133" s="3"/>
      <c r="J133" s="113"/>
      <c r="K133" s="3"/>
      <c r="L133" s="3"/>
      <c r="M133" s="3"/>
      <c r="N133" s="113"/>
      <c r="O133" s="113"/>
      <c r="P133" s="113"/>
      <c r="Q133" s="113"/>
      <c r="R133" s="113"/>
      <c r="S133" s="3"/>
      <c r="T133" s="113"/>
      <c r="U133" s="3"/>
      <c r="V133" s="3"/>
      <c r="W133" s="3"/>
      <c r="X133" s="113"/>
      <c r="Y133" s="113"/>
      <c r="Z133" s="113"/>
      <c r="AA133" s="113"/>
      <c r="AB133" s="113"/>
      <c r="AC133" s="3"/>
      <c r="AD133" s="113"/>
      <c r="AE133" s="3"/>
      <c r="AF133" s="3"/>
      <c r="AG133" s="3"/>
      <c r="AH133" s="3"/>
    </row>
    <row r="134" ht="14.25" customHeight="1">
      <c r="A134" s="3"/>
      <c r="B134" s="3"/>
      <c r="C134" s="3"/>
      <c r="D134" s="113"/>
      <c r="E134" s="113"/>
      <c r="F134" s="113"/>
      <c r="G134" s="113"/>
      <c r="H134" s="113"/>
      <c r="I134" s="3"/>
      <c r="J134" s="113"/>
      <c r="K134" s="3"/>
      <c r="L134" s="3"/>
      <c r="M134" s="3"/>
      <c r="N134" s="113"/>
      <c r="O134" s="113"/>
      <c r="P134" s="113"/>
      <c r="Q134" s="113"/>
      <c r="R134" s="113"/>
      <c r="S134" s="3"/>
      <c r="T134" s="113"/>
      <c r="U134" s="3"/>
      <c r="V134" s="3"/>
      <c r="W134" s="3"/>
      <c r="X134" s="113"/>
      <c r="Y134" s="113"/>
      <c r="Z134" s="113"/>
      <c r="AA134" s="113"/>
      <c r="AB134" s="113"/>
      <c r="AC134" s="3"/>
      <c r="AD134" s="113"/>
      <c r="AE134" s="3"/>
      <c r="AF134" s="3"/>
      <c r="AG134" s="3"/>
      <c r="AH134" s="3"/>
    </row>
    <row r="135" ht="14.25" customHeight="1">
      <c r="A135" s="3"/>
      <c r="B135" s="3"/>
      <c r="C135" s="3"/>
      <c r="D135" s="113"/>
      <c r="E135" s="113"/>
      <c r="F135" s="113"/>
      <c r="G135" s="113"/>
      <c r="H135" s="113"/>
      <c r="I135" s="3"/>
      <c r="J135" s="113"/>
      <c r="K135" s="3"/>
      <c r="L135" s="3"/>
      <c r="M135" s="3"/>
      <c r="N135" s="113"/>
      <c r="O135" s="113"/>
      <c r="P135" s="113"/>
      <c r="Q135" s="113"/>
      <c r="R135" s="113"/>
      <c r="S135" s="3"/>
      <c r="T135" s="113"/>
      <c r="U135" s="3"/>
      <c r="V135" s="3"/>
      <c r="W135" s="3"/>
      <c r="X135" s="113"/>
      <c r="Y135" s="113"/>
      <c r="Z135" s="113"/>
      <c r="AA135" s="113"/>
      <c r="AB135" s="113"/>
      <c r="AC135" s="3"/>
      <c r="AD135" s="113"/>
      <c r="AE135" s="3"/>
      <c r="AF135" s="3"/>
      <c r="AG135" s="3"/>
      <c r="AH135" s="3"/>
    </row>
    <row r="136" ht="14.25" customHeight="1">
      <c r="A136" s="3"/>
      <c r="B136" s="3"/>
      <c r="C136" s="3"/>
      <c r="D136" s="113"/>
      <c r="E136" s="113"/>
      <c r="F136" s="113"/>
      <c r="G136" s="113"/>
      <c r="H136" s="113"/>
      <c r="I136" s="3"/>
      <c r="J136" s="113"/>
      <c r="K136" s="3"/>
      <c r="L136" s="3"/>
      <c r="M136" s="3"/>
      <c r="N136" s="113"/>
      <c r="O136" s="113"/>
      <c r="P136" s="113"/>
      <c r="Q136" s="113"/>
      <c r="R136" s="113"/>
      <c r="S136" s="3"/>
      <c r="T136" s="113"/>
      <c r="U136" s="3"/>
      <c r="V136" s="3"/>
      <c r="W136" s="3"/>
      <c r="X136" s="113"/>
      <c r="Y136" s="113"/>
      <c r="Z136" s="113"/>
      <c r="AA136" s="113"/>
      <c r="AB136" s="113"/>
      <c r="AC136" s="3"/>
      <c r="AD136" s="113"/>
      <c r="AE136" s="3"/>
      <c r="AF136" s="3"/>
      <c r="AG136" s="3"/>
      <c r="AH136" s="3"/>
    </row>
    <row r="137" ht="14.25" customHeight="1">
      <c r="A137" s="3"/>
      <c r="B137" s="3"/>
      <c r="C137" s="3"/>
      <c r="D137" s="113"/>
      <c r="E137" s="113"/>
      <c r="F137" s="113"/>
      <c r="G137" s="113"/>
      <c r="H137" s="113"/>
      <c r="I137" s="3"/>
      <c r="J137" s="113"/>
      <c r="K137" s="3"/>
      <c r="L137" s="3"/>
      <c r="M137" s="3"/>
      <c r="N137" s="113"/>
      <c r="O137" s="113"/>
      <c r="P137" s="113"/>
      <c r="Q137" s="113"/>
      <c r="R137" s="113"/>
      <c r="S137" s="3"/>
      <c r="T137" s="113"/>
      <c r="U137" s="3"/>
      <c r="V137" s="3"/>
      <c r="W137" s="3"/>
      <c r="X137" s="113"/>
      <c r="Y137" s="113"/>
      <c r="Z137" s="113"/>
      <c r="AA137" s="113"/>
      <c r="AB137" s="113"/>
      <c r="AC137" s="3"/>
      <c r="AD137" s="113"/>
      <c r="AE137" s="3"/>
      <c r="AF137" s="3"/>
      <c r="AG137" s="3"/>
      <c r="AH137" s="3"/>
    </row>
    <row r="138" ht="14.25" customHeight="1">
      <c r="A138" s="3"/>
      <c r="B138" s="3"/>
      <c r="C138" s="3"/>
      <c r="D138" s="113"/>
      <c r="E138" s="113"/>
      <c r="F138" s="113"/>
      <c r="G138" s="113"/>
      <c r="H138" s="113"/>
      <c r="I138" s="3"/>
      <c r="J138" s="113"/>
      <c r="K138" s="3"/>
      <c r="L138" s="3"/>
      <c r="M138" s="3"/>
      <c r="N138" s="113"/>
      <c r="O138" s="113"/>
      <c r="P138" s="113"/>
      <c r="Q138" s="113"/>
      <c r="R138" s="113"/>
      <c r="S138" s="3"/>
      <c r="T138" s="113"/>
      <c r="U138" s="3"/>
      <c r="V138" s="3"/>
      <c r="W138" s="3"/>
      <c r="X138" s="113"/>
      <c r="Y138" s="113"/>
      <c r="Z138" s="113"/>
      <c r="AA138" s="113"/>
      <c r="AB138" s="113"/>
      <c r="AC138" s="3"/>
      <c r="AD138" s="113"/>
      <c r="AE138" s="3"/>
      <c r="AF138" s="3"/>
      <c r="AG138" s="3"/>
      <c r="AH138" s="3"/>
    </row>
    <row r="139" ht="14.25" customHeight="1">
      <c r="A139" s="3"/>
      <c r="B139" s="3"/>
      <c r="C139" s="3"/>
      <c r="D139" s="113"/>
      <c r="E139" s="113"/>
      <c r="F139" s="113"/>
      <c r="G139" s="113"/>
      <c r="H139" s="113"/>
      <c r="I139" s="3"/>
      <c r="J139" s="113"/>
      <c r="K139" s="3"/>
      <c r="L139" s="3"/>
      <c r="M139" s="3"/>
      <c r="N139" s="113"/>
      <c r="O139" s="113"/>
      <c r="P139" s="113"/>
      <c r="Q139" s="113"/>
      <c r="R139" s="113"/>
      <c r="S139" s="3"/>
      <c r="T139" s="113"/>
      <c r="U139" s="3"/>
      <c r="V139" s="3"/>
      <c r="W139" s="3"/>
      <c r="X139" s="113"/>
      <c r="Y139" s="113"/>
      <c r="Z139" s="113"/>
      <c r="AA139" s="113"/>
      <c r="AB139" s="113"/>
      <c r="AC139" s="3"/>
      <c r="AD139" s="113"/>
      <c r="AE139" s="3"/>
      <c r="AF139" s="3"/>
      <c r="AG139" s="3"/>
      <c r="AH139" s="3"/>
    </row>
    <row r="140" ht="14.25" customHeight="1">
      <c r="A140" s="3"/>
      <c r="B140" s="3"/>
      <c r="C140" s="3"/>
      <c r="D140" s="113"/>
      <c r="E140" s="113"/>
      <c r="F140" s="113"/>
      <c r="G140" s="113"/>
      <c r="H140" s="113"/>
      <c r="I140" s="3"/>
      <c r="J140" s="113"/>
      <c r="K140" s="3"/>
      <c r="L140" s="3"/>
      <c r="M140" s="3"/>
      <c r="N140" s="113"/>
      <c r="O140" s="113"/>
      <c r="P140" s="113"/>
      <c r="Q140" s="113"/>
      <c r="R140" s="113"/>
      <c r="S140" s="3"/>
      <c r="T140" s="113"/>
      <c r="U140" s="3"/>
      <c r="V140" s="3"/>
      <c r="W140" s="3"/>
      <c r="X140" s="113"/>
      <c r="Y140" s="113"/>
      <c r="Z140" s="113"/>
      <c r="AA140" s="113"/>
      <c r="AB140" s="113"/>
      <c r="AC140" s="3"/>
      <c r="AD140" s="113"/>
      <c r="AE140" s="3"/>
      <c r="AF140" s="3"/>
      <c r="AG140" s="3"/>
      <c r="AH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13"/>
      <c r="O141" s="113"/>
      <c r="P141" s="113"/>
      <c r="Q141" s="113"/>
      <c r="R141" s="113"/>
      <c r="S141" s="3"/>
      <c r="T141" s="113"/>
      <c r="U141" s="3"/>
      <c r="V141" s="3"/>
      <c r="W141" s="3"/>
      <c r="X141" s="113"/>
      <c r="Y141" s="113"/>
      <c r="Z141" s="113"/>
      <c r="AA141" s="113"/>
      <c r="AB141" s="113"/>
      <c r="AC141" s="3"/>
      <c r="AD141" s="113"/>
      <c r="AE141" s="3"/>
      <c r="AF141" s="3"/>
      <c r="AG141" s="3"/>
      <c r="AH141" s="3"/>
    </row>
    <row r="142" ht="14.25" customHeight="1">
      <c r="A142" s="3"/>
      <c r="B142" s="1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13"/>
      <c r="O142" s="113"/>
      <c r="P142" s="113"/>
      <c r="Q142" s="113"/>
      <c r="R142" s="113"/>
      <c r="S142" s="3"/>
      <c r="T142" s="113"/>
      <c r="U142" s="3"/>
      <c r="V142" s="3"/>
      <c r="W142" s="3"/>
      <c r="X142" s="113"/>
      <c r="Y142" s="113"/>
      <c r="Z142" s="113"/>
      <c r="AA142" s="113"/>
      <c r="AB142" s="113"/>
      <c r="AC142" s="3"/>
      <c r="AD142" s="113"/>
      <c r="AE142" s="3"/>
      <c r="AF142" s="3"/>
      <c r="AG142" s="3"/>
      <c r="AH142" s="3"/>
    </row>
    <row r="143" ht="14.25" customHeight="1">
      <c r="A143" s="3"/>
      <c r="B143" s="115"/>
      <c r="C143" s="115"/>
      <c r="D143" s="115"/>
      <c r="E143" s="115"/>
      <c r="F143" s="115"/>
      <c r="G143" s="115"/>
      <c r="H143" s="115"/>
      <c r="I143" s="115"/>
      <c r="J143" s="115"/>
      <c r="K143" s="3"/>
      <c r="L143" s="3"/>
      <c r="M143" s="3"/>
      <c r="N143" s="113"/>
      <c r="O143" s="113"/>
      <c r="P143" s="113"/>
      <c r="Q143" s="113"/>
      <c r="R143" s="113"/>
      <c r="S143" s="3"/>
      <c r="T143" s="113"/>
      <c r="U143" s="3"/>
      <c r="V143" s="3"/>
      <c r="W143" s="3"/>
      <c r="X143" s="113"/>
      <c r="Y143" s="113"/>
      <c r="Z143" s="113"/>
      <c r="AA143" s="113"/>
      <c r="AB143" s="113"/>
      <c r="AC143" s="3"/>
      <c r="AD143" s="113"/>
      <c r="AE143" s="3"/>
      <c r="AF143" s="3"/>
      <c r="AG143" s="3"/>
      <c r="AH143" s="3"/>
    </row>
    <row r="144" ht="14.25" customHeight="1">
      <c r="A144" s="3"/>
      <c r="B144" s="8"/>
      <c r="C144" s="8"/>
      <c r="D144" s="116"/>
      <c r="E144" s="116"/>
      <c r="F144" s="116"/>
      <c r="G144" s="116"/>
      <c r="H144" s="116"/>
      <c r="I144" s="8"/>
      <c r="J144" s="116"/>
      <c r="K144" s="8"/>
      <c r="L144" s="8"/>
      <c r="M144" s="8"/>
      <c r="N144" s="116"/>
      <c r="O144" s="116"/>
      <c r="P144" s="116"/>
      <c r="Q144" s="116"/>
      <c r="R144" s="116"/>
      <c r="S144" s="8"/>
      <c r="T144" s="116"/>
      <c r="U144" s="8"/>
      <c r="V144" s="8"/>
      <c r="W144" s="8"/>
      <c r="X144" s="116"/>
      <c r="Y144" s="116"/>
      <c r="Z144" s="116"/>
      <c r="AA144" s="116"/>
      <c r="AB144" s="116"/>
      <c r="AC144" s="8"/>
      <c r="AD144" s="116"/>
      <c r="AE144" s="3"/>
      <c r="AF144" s="3"/>
      <c r="AG144" s="3"/>
      <c r="AH144" s="3"/>
    </row>
    <row r="145" ht="14.25" customHeight="1">
      <c r="A145" s="3"/>
      <c r="B145" s="8"/>
      <c r="C145" s="8"/>
      <c r="D145" s="116"/>
      <c r="E145" s="116"/>
      <c r="F145" s="116"/>
      <c r="G145" s="116"/>
      <c r="H145" s="116"/>
      <c r="I145" s="8"/>
      <c r="J145" s="116"/>
      <c r="K145" s="8"/>
      <c r="L145" s="8"/>
      <c r="M145" s="8"/>
      <c r="N145" s="116"/>
      <c r="O145" s="116"/>
      <c r="P145" s="116"/>
      <c r="Q145" s="116"/>
      <c r="R145" s="116"/>
      <c r="S145" s="8"/>
      <c r="T145" s="116"/>
      <c r="U145" s="8"/>
      <c r="V145" s="8"/>
      <c r="W145" s="8"/>
      <c r="X145" s="116"/>
      <c r="Y145" s="116"/>
      <c r="Z145" s="116"/>
      <c r="AA145" s="116"/>
      <c r="AB145" s="116"/>
      <c r="AC145" s="8"/>
      <c r="AD145" s="116"/>
      <c r="AE145" s="3"/>
      <c r="AF145" s="3"/>
      <c r="AG145" s="3"/>
      <c r="AH145" s="3"/>
    </row>
    <row r="146" ht="14.25" customHeight="1">
      <c r="A146" s="3"/>
      <c r="B146" s="8"/>
      <c r="C146" s="8"/>
      <c r="D146" s="116"/>
      <c r="E146" s="116"/>
      <c r="F146" s="116"/>
      <c r="G146" s="116"/>
      <c r="H146" s="116"/>
      <c r="I146" s="8"/>
      <c r="J146" s="116"/>
      <c r="K146" s="8"/>
      <c r="L146" s="8"/>
      <c r="M146" s="8"/>
      <c r="N146" s="116"/>
      <c r="O146" s="116"/>
      <c r="P146" s="116"/>
      <c r="Q146" s="116"/>
      <c r="R146" s="116"/>
      <c r="S146" s="8"/>
      <c r="T146" s="116"/>
      <c r="U146" s="8"/>
      <c r="V146" s="8"/>
      <c r="W146" s="8"/>
      <c r="X146" s="116"/>
      <c r="Y146" s="116"/>
      <c r="Z146" s="116"/>
      <c r="AA146" s="116"/>
      <c r="AB146" s="116"/>
      <c r="AC146" s="8"/>
      <c r="AD146" s="116"/>
      <c r="AE146" s="3"/>
      <c r="AF146" s="3"/>
      <c r="AG146" s="3"/>
      <c r="AH146" s="3"/>
    </row>
    <row r="147" ht="14.25" customHeight="1">
      <c r="A147" s="3"/>
      <c r="B147" s="8"/>
      <c r="C147" s="8"/>
      <c r="D147" s="116"/>
      <c r="E147" s="116"/>
      <c r="F147" s="116"/>
      <c r="G147" s="116"/>
      <c r="H147" s="116"/>
      <c r="I147" s="8"/>
      <c r="J147" s="116"/>
      <c r="K147" s="8"/>
      <c r="L147" s="8"/>
      <c r="M147" s="8"/>
      <c r="N147" s="116"/>
      <c r="O147" s="116"/>
      <c r="P147" s="116"/>
      <c r="Q147" s="116"/>
      <c r="R147" s="116"/>
      <c r="S147" s="8"/>
      <c r="T147" s="116"/>
      <c r="U147" s="8"/>
      <c r="V147" s="8"/>
      <c r="W147" s="8"/>
      <c r="X147" s="116"/>
      <c r="Y147" s="116"/>
      <c r="Z147" s="116"/>
      <c r="AA147" s="116"/>
      <c r="AB147" s="116"/>
      <c r="AC147" s="8"/>
      <c r="AD147" s="116"/>
      <c r="AE147" s="3"/>
      <c r="AF147" s="3"/>
      <c r="AG147" s="3"/>
      <c r="AH147" s="3"/>
    </row>
    <row r="148" ht="14.25" customHeight="1">
      <c r="A148" s="3"/>
      <c r="B148" s="8"/>
      <c r="C148" s="8"/>
      <c r="D148" s="116"/>
      <c r="E148" s="116"/>
      <c r="F148" s="116"/>
      <c r="G148" s="116"/>
      <c r="H148" s="116"/>
      <c r="I148" s="8"/>
      <c r="J148" s="116"/>
      <c r="K148" s="8"/>
      <c r="L148" s="8"/>
      <c r="M148" s="8"/>
      <c r="N148" s="116"/>
      <c r="O148" s="116"/>
      <c r="P148" s="116"/>
      <c r="Q148" s="116"/>
      <c r="R148" s="116"/>
      <c r="S148" s="8"/>
      <c r="T148" s="116"/>
      <c r="U148" s="8"/>
      <c r="V148" s="8"/>
      <c r="W148" s="8"/>
      <c r="X148" s="116"/>
      <c r="Y148" s="116"/>
      <c r="Z148" s="116"/>
      <c r="AA148" s="116"/>
      <c r="AB148" s="116"/>
      <c r="AC148" s="8"/>
      <c r="AD148" s="116"/>
      <c r="AE148" s="3"/>
      <c r="AF148" s="3"/>
      <c r="AG148" s="3"/>
      <c r="AH148" s="3"/>
    </row>
    <row r="149" ht="14.25" customHeight="1">
      <c r="A149" s="3"/>
      <c r="B149" s="8"/>
      <c r="C149" s="8"/>
      <c r="D149" s="116"/>
      <c r="E149" s="116"/>
      <c r="F149" s="116"/>
      <c r="G149" s="116"/>
      <c r="H149" s="116"/>
      <c r="I149" s="8"/>
      <c r="J149" s="116"/>
      <c r="K149" s="8"/>
      <c r="L149" s="8"/>
      <c r="M149" s="8"/>
      <c r="N149" s="116"/>
      <c r="O149" s="116"/>
      <c r="P149" s="116"/>
      <c r="Q149" s="116"/>
      <c r="R149" s="116"/>
      <c r="S149" s="8"/>
      <c r="T149" s="116"/>
      <c r="U149" s="8"/>
      <c r="V149" s="8"/>
      <c r="W149" s="8"/>
      <c r="X149" s="116"/>
      <c r="Y149" s="116"/>
      <c r="Z149" s="116"/>
      <c r="AA149" s="116"/>
      <c r="AB149" s="116"/>
      <c r="AC149" s="8"/>
      <c r="AD149" s="116"/>
      <c r="AE149" s="3"/>
      <c r="AF149" s="3"/>
      <c r="AG149" s="3"/>
      <c r="AH149" s="3"/>
    </row>
    <row r="150" ht="14.25" customHeight="1">
      <c r="A150" s="3"/>
      <c r="B150" s="8"/>
      <c r="C150" s="8"/>
      <c r="D150" s="116"/>
      <c r="E150" s="116"/>
      <c r="F150" s="116"/>
      <c r="G150" s="116"/>
      <c r="H150" s="116"/>
      <c r="I150" s="8"/>
      <c r="J150" s="116"/>
      <c r="K150" s="8"/>
      <c r="L150" s="8"/>
      <c r="M150" s="8"/>
      <c r="N150" s="116"/>
      <c r="O150" s="116"/>
      <c r="P150" s="116"/>
      <c r="Q150" s="116"/>
      <c r="R150" s="116"/>
      <c r="S150" s="8"/>
      <c r="T150" s="116"/>
      <c r="U150" s="8"/>
      <c r="V150" s="8"/>
      <c r="W150" s="8"/>
      <c r="X150" s="116"/>
      <c r="Y150" s="116"/>
      <c r="Z150" s="116"/>
      <c r="AA150" s="116"/>
      <c r="AB150" s="116"/>
      <c r="AC150" s="8"/>
      <c r="AD150" s="116"/>
      <c r="AE150" s="3"/>
      <c r="AF150" s="3"/>
      <c r="AG150" s="3"/>
      <c r="AH150" s="3"/>
    </row>
    <row r="151" ht="14.25" customHeight="1">
      <c r="A151" s="3"/>
      <c r="B151" s="8"/>
      <c r="C151" s="8"/>
      <c r="D151" s="116"/>
      <c r="E151" s="116"/>
      <c r="F151" s="116"/>
      <c r="G151" s="116"/>
      <c r="H151" s="116"/>
      <c r="I151" s="8"/>
      <c r="J151" s="116"/>
      <c r="K151" s="8"/>
      <c r="L151" s="8"/>
      <c r="M151" s="8"/>
      <c r="N151" s="116"/>
      <c r="O151" s="116"/>
      <c r="P151" s="116"/>
      <c r="Q151" s="116"/>
      <c r="R151" s="116"/>
      <c r="S151" s="8"/>
      <c r="T151" s="116"/>
      <c r="U151" s="8"/>
      <c r="V151" s="8"/>
      <c r="W151" s="8"/>
      <c r="X151" s="116"/>
      <c r="Y151" s="116"/>
      <c r="Z151" s="116"/>
      <c r="AA151" s="116"/>
      <c r="AB151" s="116"/>
      <c r="AC151" s="8"/>
      <c r="AD151" s="116"/>
      <c r="AE151" s="3"/>
      <c r="AF151" s="3"/>
      <c r="AG151" s="3"/>
      <c r="AH151" s="3"/>
    </row>
    <row r="152" ht="14.25" customHeight="1">
      <c r="A152" s="3"/>
      <c r="B152" s="8"/>
      <c r="C152" s="8"/>
      <c r="D152" s="116"/>
      <c r="E152" s="116"/>
      <c r="F152" s="116"/>
      <c r="G152" s="116"/>
      <c r="H152" s="116"/>
      <c r="I152" s="8"/>
      <c r="J152" s="116"/>
      <c r="K152" s="8"/>
      <c r="L152" s="8"/>
      <c r="M152" s="8"/>
      <c r="N152" s="116"/>
      <c r="O152" s="116"/>
      <c r="P152" s="116"/>
      <c r="Q152" s="116"/>
      <c r="R152" s="116"/>
      <c r="S152" s="8"/>
      <c r="T152" s="116"/>
      <c r="U152" s="8"/>
      <c r="V152" s="8"/>
      <c r="W152" s="8"/>
      <c r="X152" s="116"/>
      <c r="Y152" s="116"/>
      <c r="Z152" s="116"/>
      <c r="AA152" s="116"/>
      <c r="AB152" s="116"/>
      <c r="AC152" s="8"/>
      <c r="AD152" s="116"/>
      <c r="AE152" s="3"/>
      <c r="AF152" s="3"/>
      <c r="AG152" s="3"/>
      <c r="AH152" s="3"/>
    </row>
    <row r="153" ht="14.25" customHeight="1">
      <c r="A153" s="3"/>
      <c r="B153" s="8"/>
      <c r="C153" s="8"/>
      <c r="D153" s="116"/>
      <c r="E153" s="116"/>
      <c r="F153" s="116"/>
      <c r="G153" s="116"/>
      <c r="H153" s="116"/>
      <c r="I153" s="8"/>
      <c r="J153" s="116"/>
      <c r="K153" s="8"/>
      <c r="L153" s="8"/>
      <c r="M153" s="8"/>
      <c r="N153" s="116"/>
      <c r="O153" s="116"/>
      <c r="P153" s="116"/>
      <c r="Q153" s="116"/>
      <c r="R153" s="116"/>
      <c r="S153" s="8"/>
      <c r="T153" s="116"/>
      <c r="U153" s="8"/>
      <c r="V153" s="8"/>
      <c r="W153" s="8"/>
      <c r="X153" s="116"/>
      <c r="Y153" s="116"/>
      <c r="Z153" s="116"/>
      <c r="AA153" s="116"/>
      <c r="AB153" s="116"/>
      <c r="AC153" s="8"/>
      <c r="AD153" s="116"/>
      <c r="AE153" s="3"/>
      <c r="AF153" s="3"/>
      <c r="AG153" s="3"/>
      <c r="AH153" s="3"/>
    </row>
    <row r="154" ht="14.25" customHeight="1">
      <c r="A154" s="3"/>
      <c r="B154" s="8"/>
      <c r="C154" s="8"/>
      <c r="D154" s="116"/>
      <c r="E154" s="116"/>
      <c r="F154" s="116"/>
      <c r="G154" s="116"/>
      <c r="H154" s="116"/>
      <c r="I154" s="8"/>
      <c r="J154" s="116"/>
      <c r="K154" s="8"/>
      <c r="L154" s="8"/>
      <c r="M154" s="8"/>
      <c r="N154" s="116"/>
      <c r="O154" s="116"/>
      <c r="P154" s="116"/>
      <c r="Q154" s="116"/>
      <c r="R154" s="116"/>
      <c r="S154" s="8"/>
      <c r="T154" s="116"/>
      <c r="U154" s="8"/>
      <c r="V154" s="8"/>
      <c r="W154" s="8"/>
      <c r="X154" s="116"/>
      <c r="Y154" s="116"/>
      <c r="Z154" s="116"/>
      <c r="AA154" s="116"/>
      <c r="AB154" s="116"/>
      <c r="AC154" s="8"/>
      <c r="AD154" s="116"/>
      <c r="AE154" s="3"/>
      <c r="AF154" s="3"/>
      <c r="AG154" s="3"/>
      <c r="AH154" s="3"/>
    </row>
    <row r="155" ht="14.25" customHeight="1">
      <c r="A155" s="3"/>
      <c r="B155" s="8"/>
      <c r="C155" s="8"/>
      <c r="D155" s="116"/>
      <c r="E155" s="116"/>
      <c r="F155" s="116"/>
      <c r="G155" s="116"/>
      <c r="H155" s="116"/>
      <c r="I155" s="8"/>
      <c r="J155" s="116"/>
      <c r="K155" s="8"/>
      <c r="L155" s="8"/>
      <c r="M155" s="8"/>
      <c r="N155" s="116"/>
      <c r="O155" s="116"/>
      <c r="P155" s="116"/>
      <c r="Q155" s="116"/>
      <c r="R155" s="116"/>
      <c r="S155" s="8"/>
      <c r="T155" s="116"/>
      <c r="U155" s="8"/>
      <c r="V155" s="8"/>
      <c r="W155" s="8"/>
      <c r="X155" s="116"/>
      <c r="Y155" s="116"/>
      <c r="Z155" s="116"/>
      <c r="AA155" s="116"/>
      <c r="AB155" s="116"/>
      <c r="AC155" s="8"/>
      <c r="AD155" s="116"/>
      <c r="AE155" s="3"/>
      <c r="AF155" s="3"/>
      <c r="AG155" s="3"/>
      <c r="AH155" s="3"/>
    </row>
    <row r="156" ht="14.25" customHeight="1">
      <c r="A156" s="3"/>
      <c r="B156" s="8"/>
      <c r="C156" s="8"/>
      <c r="D156" s="116"/>
      <c r="E156" s="116"/>
      <c r="F156" s="116"/>
      <c r="G156" s="116"/>
      <c r="H156" s="116"/>
      <c r="I156" s="8"/>
      <c r="J156" s="116"/>
      <c r="K156" s="8"/>
      <c r="L156" s="8"/>
      <c r="M156" s="8"/>
      <c r="N156" s="116"/>
      <c r="O156" s="116"/>
      <c r="P156" s="116"/>
      <c r="Q156" s="116"/>
      <c r="R156" s="116"/>
      <c r="S156" s="8"/>
      <c r="T156" s="116"/>
      <c r="U156" s="8"/>
      <c r="V156" s="8"/>
      <c r="W156" s="8"/>
      <c r="X156" s="116"/>
      <c r="Y156" s="116"/>
      <c r="Z156" s="116"/>
      <c r="AA156" s="116"/>
      <c r="AB156" s="116"/>
      <c r="AC156" s="8"/>
      <c r="AD156" s="116"/>
      <c r="AE156" s="3"/>
      <c r="AF156" s="3"/>
      <c r="AG156" s="3"/>
      <c r="AH156" s="3"/>
    </row>
    <row r="157" ht="14.25" customHeight="1">
      <c r="A157" s="3"/>
      <c r="B157" s="8"/>
      <c r="C157" s="8"/>
      <c r="D157" s="116"/>
      <c r="E157" s="116"/>
      <c r="F157" s="116"/>
      <c r="G157" s="116"/>
      <c r="H157" s="116"/>
      <c r="I157" s="8"/>
      <c r="J157" s="116"/>
      <c r="K157" s="8"/>
      <c r="L157" s="8"/>
      <c r="M157" s="8"/>
      <c r="N157" s="116"/>
      <c r="O157" s="116"/>
      <c r="P157" s="116"/>
      <c r="Q157" s="116"/>
      <c r="R157" s="116"/>
      <c r="S157" s="8"/>
      <c r="T157" s="116"/>
      <c r="U157" s="8"/>
      <c r="V157" s="8"/>
      <c r="W157" s="8"/>
      <c r="X157" s="116"/>
      <c r="Y157" s="116"/>
      <c r="Z157" s="116"/>
      <c r="AA157" s="116"/>
      <c r="AB157" s="116"/>
      <c r="AC157" s="8"/>
      <c r="AD157" s="116"/>
      <c r="AE157" s="3"/>
      <c r="AF157" s="3"/>
      <c r="AG157" s="3"/>
      <c r="AH157" s="3"/>
    </row>
    <row r="158" ht="14.25" customHeight="1">
      <c r="A158" s="3"/>
      <c r="B158" s="8"/>
      <c r="C158" s="8"/>
      <c r="D158" s="116"/>
      <c r="E158" s="116"/>
      <c r="F158" s="116"/>
      <c r="G158" s="116"/>
      <c r="H158" s="116"/>
      <c r="I158" s="8"/>
      <c r="J158" s="116"/>
      <c r="K158" s="8"/>
      <c r="L158" s="8"/>
      <c r="M158" s="8"/>
      <c r="N158" s="116"/>
      <c r="O158" s="116"/>
      <c r="P158" s="116"/>
      <c r="Q158" s="116"/>
      <c r="R158" s="116"/>
      <c r="S158" s="8"/>
      <c r="T158" s="116"/>
      <c r="U158" s="8"/>
      <c r="V158" s="8"/>
      <c r="W158" s="8"/>
      <c r="X158" s="116"/>
      <c r="Y158" s="116"/>
      <c r="Z158" s="116"/>
      <c r="AA158" s="116"/>
      <c r="AB158" s="116"/>
      <c r="AC158" s="8"/>
      <c r="AD158" s="116"/>
      <c r="AE158" s="3"/>
      <c r="AF158" s="3"/>
      <c r="AG158" s="3"/>
      <c r="AH158" s="3"/>
    </row>
    <row r="159" ht="14.25" customHeight="1">
      <c r="A159" s="3"/>
      <c r="B159" s="8"/>
      <c r="C159" s="8"/>
      <c r="D159" s="116"/>
      <c r="E159" s="116"/>
      <c r="F159" s="116"/>
      <c r="G159" s="116"/>
      <c r="H159" s="116"/>
      <c r="I159" s="8"/>
      <c r="J159" s="116"/>
      <c r="K159" s="8"/>
      <c r="L159" s="8"/>
      <c r="M159" s="8"/>
      <c r="N159" s="116"/>
      <c r="O159" s="116"/>
      <c r="P159" s="116"/>
      <c r="Q159" s="116"/>
      <c r="R159" s="116"/>
      <c r="S159" s="8"/>
      <c r="T159" s="116"/>
      <c r="U159" s="8"/>
      <c r="V159" s="8"/>
      <c r="W159" s="8"/>
      <c r="X159" s="116"/>
      <c r="Y159" s="116"/>
      <c r="Z159" s="116"/>
      <c r="AA159" s="116"/>
      <c r="AB159" s="116"/>
      <c r="AC159" s="8"/>
      <c r="AD159" s="116"/>
      <c r="AE159" s="3"/>
      <c r="AF159" s="3"/>
      <c r="AG159" s="3"/>
      <c r="AH159" s="3"/>
    </row>
    <row r="160" ht="14.25" customHeight="1">
      <c r="A160" s="3"/>
      <c r="B160" s="8"/>
      <c r="C160" s="8"/>
      <c r="D160" s="116"/>
      <c r="E160" s="116"/>
      <c r="F160" s="116"/>
      <c r="G160" s="116"/>
      <c r="H160" s="116"/>
      <c r="I160" s="8"/>
      <c r="J160" s="116"/>
      <c r="K160" s="8"/>
      <c r="L160" s="8"/>
      <c r="M160" s="8"/>
      <c r="N160" s="116"/>
      <c r="O160" s="116"/>
      <c r="P160" s="116"/>
      <c r="Q160" s="116"/>
      <c r="R160" s="116"/>
      <c r="S160" s="8"/>
      <c r="T160" s="116"/>
      <c r="U160" s="8"/>
      <c r="V160" s="8"/>
      <c r="W160" s="8"/>
      <c r="X160" s="116"/>
      <c r="Y160" s="116"/>
      <c r="Z160" s="116"/>
      <c r="AA160" s="116"/>
      <c r="AB160" s="116"/>
      <c r="AC160" s="8"/>
      <c r="AD160" s="116"/>
      <c r="AE160" s="3"/>
      <c r="AF160" s="3"/>
      <c r="AG160" s="3"/>
      <c r="AH160" s="3"/>
    </row>
    <row r="161" ht="14.25" customHeight="1">
      <c r="A161" s="3"/>
      <c r="B161" s="8"/>
      <c r="C161" s="8"/>
      <c r="D161" s="116"/>
      <c r="E161" s="116"/>
      <c r="F161" s="116"/>
      <c r="G161" s="116"/>
      <c r="H161" s="116"/>
      <c r="I161" s="8"/>
      <c r="J161" s="116"/>
      <c r="K161" s="8"/>
      <c r="L161" s="8"/>
      <c r="M161" s="8"/>
      <c r="N161" s="116"/>
      <c r="O161" s="116"/>
      <c r="P161" s="116"/>
      <c r="Q161" s="116"/>
      <c r="R161" s="116"/>
      <c r="S161" s="8"/>
      <c r="T161" s="116"/>
      <c r="U161" s="8"/>
      <c r="V161" s="8"/>
      <c r="W161" s="8"/>
      <c r="X161" s="116"/>
      <c r="Y161" s="116"/>
      <c r="Z161" s="116"/>
      <c r="AA161" s="116"/>
      <c r="AB161" s="116"/>
      <c r="AC161" s="8"/>
      <c r="AD161" s="116"/>
      <c r="AE161" s="3"/>
      <c r="AF161" s="3"/>
      <c r="AG161" s="3"/>
      <c r="AH161" s="3"/>
    </row>
    <row r="162" ht="14.25" customHeight="1">
      <c r="A162" s="3"/>
      <c r="B162" s="8"/>
      <c r="C162" s="8"/>
      <c r="D162" s="116"/>
      <c r="E162" s="116"/>
      <c r="F162" s="116"/>
      <c r="G162" s="116"/>
      <c r="H162" s="116"/>
      <c r="I162" s="8"/>
      <c r="J162" s="116"/>
      <c r="K162" s="8"/>
      <c r="L162" s="8"/>
      <c r="M162" s="8"/>
      <c r="N162" s="116"/>
      <c r="O162" s="116"/>
      <c r="P162" s="116"/>
      <c r="Q162" s="116"/>
      <c r="R162" s="116"/>
      <c r="S162" s="8"/>
      <c r="T162" s="116"/>
      <c r="U162" s="8"/>
      <c r="V162" s="8"/>
      <c r="W162" s="8"/>
      <c r="X162" s="116"/>
      <c r="Y162" s="116"/>
      <c r="Z162" s="116"/>
      <c r="AA162" s="116"/>
      <c r="AB162" s="116"/>
      <c r="AC162" s="8"/>
      <c r="AD162" s="116"/>
      <c r="AE162" s="3"/>
      <c r="AF162" s="3"/>
      <c r="AG162" s="3"/>
      <c r="AH162" s="3"/>
    </row>
    <row r="163" ht="14.25" customHeight="1">
      <c r="A163" s="3"/>
      <c r="B163" s="8"/>
      <c r="C163" s="8"/>
      <c r="D163" s="116"/>
      <c r="E163" s="116"/>
      <c r="F163" s="116"/>
      <c r="G163" s="116"/>
      <c r="H163" s="116"/>
      <c r="I163" s="8"/>
      <c r="J163" s="116"/>
      <c r="K163" s="8"/>
      <c r="L163" s="8"/>
      <c r="M163" s="8"/>
      <c r="N163" s="116"/>
      <c r="O163" s="116"/>
      <c r="P163" s="116"/>
      <c r="Q163" s="116"/>
      <c r="R163" s="116"/>
      <c r="S163" s="8"/>
      <c r="T163" s="116"/>
      <c r="U163" s="8"/>
      <c r="V163" s="8"/>
      <c r="W163" s="8"/>
      <c r="X163" s="116"/>
      <c r="Y163" s="116"/>
      <c r="Z163" s="116"/>
      <c r="AA163" s="116"/>
      <c r="AB163" s="116"/>
      <c r="AC163" s="8"/>
      <c r="AD163" s="116"/>
      <c r="AE163" s="3"/>
      <c r="AF163" s="3"/>
      <c r="AG163" s="3"/>
      <c r="AH163" s="3"/>
    </row>
    <row r="164" ht="14.25" customHeight="1">
      <c r="A164" s="3"/>
      <c r="B164" s="8"/>
      <c r="C164" s="8"/>
      <c r="D164" s="116"/>
      <c r="E164" s="116"/>
      <c r="F164" s="116"/>
      <c r="G164" s="116"/>
      <c r="H164" s="116"/>
      <c r="I164" s="8"/>
      <c r="J164" s="116"/>
      <c r="K164" s="8"/>
      <c r="L164" s="8"/>
      <c r="M164" s="8"/>
      <c r="N164" s="116"/>
      <c r="O164" s="116"/>
      <c r="P164" s="116"/>
      <c r="Q164" s="116"/>
      <c r="R164" s="116"/>
      <c r="S164" s="8"/>
      <c r="T164" s="116"/>
      <c r="U164" s="8"/>
      <c r="V164" s="8"/>
      <c r="W164" s="8"/>
      <c r="X164" s="116"/>
      <c r="Y164" s="116"/>
      <c r="Z164" s="116"/>
      <c r="AA164" s="116"/>
      <c r="AB164" s="116"/>
      <c r="AC164" s="8"/>
      <c r="AD164" s="116"/>
      <c r="AE164" s="3"/>
      <c r="AF164" s="3"/>
      <c r="AG164" s="3"/>
      <c r="AH164" s="3"/>
    </row>
    <row r="165" ht="14.25" customHeight="1">
      <c r="A165" s="3"/>
      <c r="B165" s="8"/>
      <c r="C165" s="8"/>
      <c r="D165" s="116"/>
      <c r="E165" s="116"/>
      <c r="F165" s="116"/>
      <c r="G165" s="116"/>
      <c r="H165" s="116"/>
      <c r="I165" s="8"/>
      <c r="J165" s="116"/>
      <c r="K165" s="8"/>
      <c r="L165" s="8"/>
      <c r="M165" s="8"/>
      <c r="N165" s="116"/>
      <c r="O165" s="116"/>
      <c r="P165" s="116"/>
      <c r="Q165" s="116"/>
      <c r="R165" s="116"/>
      <c r="S165" s="8"/>
      <c r="T165" s="116"/>
      <c r="U165" s="8"/>
      <c r="V165" s="8"/>
      <c r="W165" s="8"/>
      <c r="X165" s="116"/>
      <c r="Y165" s="116"/>
      <c r="Z165" s="116"/>
      <c r="AA165" s="116"/>
      <c r="AB165" s="116"/>
      <c r="AC165" s="8"/>
      <c r="AD165" s="116"/>
      <c r="AE165" s="3"/>
      <c r="AF165" s="3"/>
      <c r="AG165" s="3"/>
      <c r="AH165" s="3"/>
    </row>
    <row r="166" ht="14.25" customHeight="1">
      <c r="A166" s="3"/>
      <c r="B166" s="8"/>
      <c r="C166" s="8"/>
      <c r="D166" s="116"/>
      <c r="E166" s="116"/>
      <c r="F166" s="116"/>
      <c r="G166" s="116"/>
      <c r="H166" s="116"/>
      <c r="I166" s="8"/>
      <c r="J166" s="116"/>
      <c r="K166" s="8"/>
      <c r="L166" s="8"/>
      <c r="M166" s="8"/>
      <c r="N166" s="116"/>
      <c r="O166" s="116"/>
      <c r="P166" s="116"/>
      <c r="Q166" s="116"/>
      <c r="R166" s="116"/>
      <c r="S166" s="8"/>
      <c r="T166" s="116"/>
      <c r="U166" s="8"/>
      <c r="V166" s="8"/>
      <c r="W166" s="8"/>
      <c r="X166" s="116"/>
      <c r="Y166" s="116"/>
      <c r="Z166" s="116"/>
      <c r="AA166" s="116"/>
      <c r="AB166" s="116"/>
      <c r="AC166" s="8"/>
      <c r="AD166" s="116"/>
      <c r="AE166" s="3"/>
      <c r="AF166" s="3"/>
      <c r="AG166" s="3"/>
      <c r="AH166" s="3"/>
    </row>
    <row r="167" ht="14.25" customHeight="1">
      <c r="A167" s="3"/>
      <c r="B167" s="8"/>
      <c r="C167" s="8"/>
      <c r="D167" s="116"/>
      <c r="E167" s="116"/>
      <c r="F167" s="116"/>
      <c r="G167" s="116"/>
      <c r="H167" s="116"/>
      <c r="I167" s="8"/>
      <c r="J167" s="116"/>
      <c r="K167" s="8"/>
      <c r="L167" s="8"/>
      <c r="M167" s="8"/>
      <c r="N167" s="116"/>
      <c r="O167" s="116"/>
      <c r="P167" s="116"/>
      <c r="Q167" s="116"/>
      <c r="R167" s="116"/>
      <c r="S167" s="8"/>
      <c r="T167" s="116"/>
      <c r="U167" s="8"/>
      <c r="V167" s="8"/>
      <c r="W167" s="8"/>
      <c r="X167" s="116"/>
      <c r="Y167" s="116"/>
      <c r="Z167" s="116"/>
      <c r="AA167" s="116"/>
      <c r="AB167" s="116"/>
      <c r="AC167" s="8"/>
      <c r="AD167" s="116"/>
      <c r="AE167" s="3"/>
      <c r="AF167" s="3"/>
      <c r="AG167" s="3"/>
      <c r="AH167" s="3"/>
    </row>
    <row r="168" ht="14.25" customHeight="1">
      <c r="A168" s="3"/>
      <c r="B168" s="8"/>
      <c r="C168" s="8"/>
      <c r="D168" s="116"/>
      <c r="E168" s="116"/>
      <c r="F168" s="116"/>
      <c r="G168" s="116"/>
      <c r="H168" s="116"/>
      <c r="I168" s="8"/>
      <c r="J168" s="116"/>
      <c r="K168" s="8"/>
      <c r="L168" s="8"/>
      <c r="M168" s="8"/>
      <c r="N168" s="116"/>
      <c r="O168" s="116"/>
      <c r="P168" s="116"/>
      <c r="Q168" s="116"/>
      <c r="R168" s="116"/>
      <c r="S168" s="8"/>
      <c r="T168" s="116"/>
      <c r="U168" s="8"/>
      <c r="V168" s="8"/>
      <c r="W168" s="8"/>
      <c r="X168" s="116"/>
      <c r="Y168" s="116"/>
      <c r="Z168" s="116"/>
      <c r="AA168" s="116"/>
      <c r="AB168" s="116"/>
      <c r="AC168" s="8"/>
      <c r="AD168" s="116"/>
      <c r="AE168" s="3"/>
      <c r="AF168" s="3"/>
      <c r="AG168" s="3"/>
      <c r="AH168" s="3"/>
    </row>
    <row r="169" ht="14.25" customHeight="1">
      <c r="A169" s="3"/>
      <c r="B169" s="8"/>
      <c r="C169" s="8"/>
      <c r="D169" s="116"/>
      <c r="E169" s="116"/>
      <c r="F169" s="116"/>
      <c r="G169" s="116"/>
      <c r="H169" s="116"/>
      <c r="I169" s="8"/>
      <c r="J169" s="116"/>
      <c r="K169" s="8"/>
      <c r="L169" s="8"/>
      <c r="M169" s="8"/>
      <c r="N169" s="116"/>
      <c r="O169" s="116"/>
      <c r="P169" s="116"/>
      <c r="Q169" s="116"/>
      <c r="R169" s="116"/>
      <c r="S169" s="8"/>
      <c r="T169" s="116"/>
      <c r="U169" s="8"/>
      <c r="V169" s="8"/>
      <c r="W169" s="8"/>
      <c r="X169" s="116"/>
      <c r="Y169" s="116"/>
      <c r="Z169" s="116"/>
      <c r="AA169" s="116"/>
      <c r="AB169" s="116"/>
      <c r="AC169" s="8"/>
      <c r="AD169" s="116"/>
      <c r="AE169" s="3"/>
      <c r="AF169" s="3"/>
      <c r="AG169" s="3"/>
      <c r="AH169" s="3"/>
    </row>
    <row r="170" ht="14.25" customHeight="1">
      <c r="A170" s="3"/>
      <c r="B170" s="8"/>
      <c r="C170" s="8"/>
      <c r="D170" s="116"/>
      <c r="E170" s="116"/>
      <c r="F170" s="116"/>
      <c r="G170" s="116"/>
      <c r="H170" s="116"/>
      <c r="I170" s="8"/>
      <c r="J170" s="116"/>
      <c r="K170" s="8"/>
      <c r="L170" s="8"/>
      <c r="M170" s="8"/>
      <c r="N170" s="116"/>
      <c r="O170" s="116"/>
      <c r="P170" s="116"/>
      <c r="Q170" s="116"/>
      <c r="R170" s="116"/>
      <c r="S170" s="8"/>
      <c r="T170" s="116"/>
      <c r="U170" s="8"/>
      <c r="V170" s="8"/>
      <c r="W170" s="8"/>
      <c r="X170" s="116"/>
      <c r="Y170" s="116"/>
      <c r="Z170" s="116"/>
      <c r="AA170" s="116"/>
      <c r="AB170" s="116"/>
      <c r="AC170" s="8"/>
      <c r="AD170" s="116"/>
      <c r="AE170" s="3"/>
      <c r="AF170" s="3"/>
      <c r="AG170" s="3"/>
      <c r="AH170" s="3"/>
    </row>
    <row r="171" ht="14.25" customHeight="1">
      <c r="A171" s="3"/>
      <c r="B171" s="8"/>
      <c r="C171" s="8"/>
      <c r="D171" s="116"/>
      <c r="E171" s="116"/>
      <c r="F171" s="116"/>
      <c r="G171" s="116"/>
      <c r="H171" s="116"/>
      <c r="I171" s="8"/>
      <c r="J171" s="116"/>
      <c r="K171" s="8"/>
      <c r="L171" s="8"/>
      <c r="M171" s="8"/>
      <c r="N171" s="116"/>
      <c r="O171" s="116"/>
      <c r="P171" s="116"/>
      <c r="Q171" s="116"/>
      <c r="R171" s="116"/>
      <c r="S171" s="8"/>
      <c r="T171" s="116"/>
      <c r="U171" s="8"/>
      <c r="V171" s="8"/>
      <c r="W171" s="8"/>
      <c r="X171" s="116"/>
      <c r="Y171" s="116"/>
      <c r="Z171" s="116"/>
      <c r="AA171" s="116"/>
      <c r="AB171" s="116"/>
      <c r="AC171" s="8"/>
      <c r="AD171" s="116"/>
      <c r="AE171" s="3"/>
      <c r="AF171" s="3"/>
      <c r="AG171" s="3"/>
      <c r="AH171" s="3"/>
    </row>
    <row r="172" ht="14.25" customHeight="1">
      <c r="A172" s="3"/>
      <c r="B172" s="8"/>
      <c r="C172" s="8"/>
      <c r="D172" s="116"/>
      <c r="E172" s="116"/>
      <c r="F172" s="116"/>
      <c r="G172" s="116"/>
      <c r="H172" s="116"/>
      <c r="I172" s="8"/>
      <c r="J172" s="116"/>
      <c r="K172" s="8"/>
      <c r="L172" s="8"/>
      <c r="M172" s="8"/>
      <c r="N172" s="116"/>
      <c r="O172" s="116"/>
      <c r="P172" s="116"/>
      <c r="Q172" s="116"/>
      <c r="R172" s="116"/>
      <c r="S172" s="8"/>
      <c r="T172" s="116"/>
      <c r="U172" s="8"/>
      <c r="V172" s="8"/>
      <c r="W172" s="8"/>
      <c r="X172" s="116"/>
      <c r="Y172" s="116"/>
      <c r="Z172" s="116"/>
      <c r="AA172" s="116"/>
      <c r="AB172" s="116"/>
      <c r="AC172" s="8"/>
      <c r="AD172" s="116"/>
      <c r="AE172" s="3"/>
      <c r="AF172" s="3"/>
      <c r="AG172" s="3"/>
      <c r="AH172" s="3"/>
    </row>
    <row r="173" ht="14.25" customHeight="1">
      <c r="A173" s="3"/>
      <c r="B173" s="8"/>
      <c r="C173" s="8"/>
      <c r="D173" s="116"/>
      <c r="E173" s="116"/>
      <c r="F173" s="116"/>
      <c r="G173" s="116"/>
      <c r="H173" s="116"/>
      <c r="I173" s="8"/>
      <c r="J173" s="116"/>
      <c r="K173" s="8"/>
      <c r="L173" s="8"/>
      <c r="M173" s="8"/>
      <c r="N173" s="116"/>
      <c r="O173" s="116"/>
      <c r="P173" s="116"/>
      <c r="Q173" s="116"/>
      <c r="R173" s="116"/>
      <c r="S173" s="8"/>
      <c r="T173" s="116"/>
      <c r="U173" s="8"/>
      <c r="V173" s="8"/>
      <c r="W173" s="8"/>
      <c r="X173" s="116"/>
      <c r="Y173" s="116"/>
      <c r="Z173" s="116"/>
      <c r="AA173" s="116"/>
      <c r="AB173" s="116"/>
      <c r="AC173" s="8"/>
      <c r="AD173" s="116"/>
      <c r="AE173" s="3"/>
      <c r="AF173" s="3"/>
      <c r="AG173" s="3"/>
      <c r="AH173" s="3"/>
    </row>
    <row r="174" ht="14.25" customHeight="1">
      <c r="A174" s="3"/>
      <c r="B174" s="8"/>
      <c r="C174" s="8"/>
      <c r="D174" s="116"/>
      <c r="E174" s="116"/>
      <c r="F174" s="116"/>
      <c r="G174" s="116"/>
      <c r="H174" s="116"/>
      <c r="I174" s="8"/>
      <c r="J174" s="116"/>
      <c r="K174" s="8"/>
      <c r="L174" s="8"/>
      <c r="M174" s="8"/>
      <c r="N174" s="116"/>
      <c r="O174" s="116"/>
      <c r="P174" s="116"/>
      <c r="Q174" s="116"/>
      <c r="R174" s="116"/>
      <c r="S174" s="8"/>
      <c r="T174" s="116"/>
      <c r="U174" s="8"/>
      <c r="V174" s="8"/>
      <c r="W174" s="8"/>
      <c r="X174" s="116"/>
      <c r="Y174" s="116"/>
      <c r="Z174" s="116"/>
      <c r="AA174" s="116"/>
      <c r="AB174" s="116"/>
      <c r="AC174" s="8"/>
      <c r="AD174" s="116"/>
      <c r="AE174" s="3"/>
      <c r="AF174" s="3"/>
      <c r="AG174" s="3"/>
      <c r="AH174" s="3"/>
    </row>
    <row r="175" ht="14.25" customHeight="1">
      <c r="A175" s="3"/>
      <c r="B175" s="8"/>
      <c r="C175" s="8"/>
      <c r="D175" s="116"/>
      <c r="E175" s="116"/>
      <c r="F175" s="116"/>
      <c r="G175" s="116"/>
      <c r="H175" s="116"/>
      <c r="I175" s="8"/>
      <c r="J175" s="116"/>
      <c r="K175" s="8"/>
      <c r="L175" s="8"/>
      <c r="M175" s="8"/>
      <c r="N175" s="116"/>
      <c r="O175" s="116"/>
      <c r="P175" s="116"/>
      <c r="Q175" s="116"/>
      <c r="R175" s="116"/>
      <c r="S175" s="8"/>
      <c r="T175" s="116"/>
      <c r="U175" s="8"/>
      <c r="V175" s="8"/>
      <c r="W175" s="8"/>
      <c r="X175" s="116"/>
      <c r="Y175" s="116"/>
      <c r="Z175" s="116"/>
      <c r="AA175" s="116"/>
      <c r="AB175" s="116"/>
      <c r="AC175" s="8"/>
      <c r="AD175" s="116"/>
      <c r="AE175" s="3"/>
      <c r="AF175" s="3"/>
      <c r="AG175" s="3"/>
      <c r="AH175" s="3"/>
    </row>
    <row r="176" ht="14.25" customHeight="1">
      <c r="A176" s="3"/>
      <c r="B176" s="8"/>
      <c r="C176" s="8"/>
      <c r="D176" s="116"/>
      <c r="E176" s="116"/>
      <c r="F176" s="116"/>
      <c r="G176" s="116"/>
      <c r="H176" s="116"/>
      <c r="I176" s="8"/>
      <c r="J176" s="116"/>
      <c r="K176" s="8"/>
      <c r="L176" s="8"/>
      <c r="M176" s="8"/>
      <c r="N176" s="116"/>
      <c r="O176" s="116"/>
      <c r="P176" s="116"/>
      <c r="Q176" s="116"/>
      <c r="R176" s="116"/>
      <c r="S176" s="8"/>
      <c r="T176" s="116"/>
      <c r="U176" s="8"/>
      <c r="V176" s="8"/>
      <c r="W176" s="8"/>
      <c r="X176" s="116"/>
      <c r="Y176" s="116"/>
      <c r="Z176" s="116"/>
      <c r="AA176" s="116"/>
      <c r="AB176" s="116"/>
      <c r="AC176" s="8"/>
      <c r="AD176" s="116"/>
      <c r="AE176" s="3"/>
      <c r="AF176" s="3"/>
      <c r="AG176" s="3"/>
      <c r="AH176" s="3"/>
    </row>
    <row r="177" ht="14.25" customHeight="1">
      <c r="A177" s="3"/>
      <c r="B177" s="8"/>
      <c r="C177" s="8"/>
      <c r="D177" s="116"/>
      <c r="E177" s="116"/>
      <c r="F177" s="116"/>
      <c r="G177" s="116"/>
      <c r="H177" s="116"/>
      <c r="I177" s="8"/>
      <c r="J177" s="116"/>
      <c r="K177" s="8"/>
      <c r="L177" s="8"/>
      <c r="M177" s="8"/>
      <c r="N177" s="116"/>
      <c r="O177" s="116"/>
      <c r="P177" s="116"/>
      <c r="Q177" s="116"/>
      <c r="R177" s="116"/>
      <c r="S177" s="8"/>
      <c r="T177" s="116"/>
      <c r="U177" s="8"/>
      <c r="V177" s="8"/>
      <c r="W177" s="8"/>
      <c r="X177" s="116"/>
      <c r="Y177" s="116"/>
      <c r="Z177" s="116"/>
      <c r="AA177" s="116"/>
      <c r="AB177" s="116"/>
      <c r="AC177" s="8"/>
      <c r="AD177" s="116"/>
      <c r="AE177" s="3"/>
      <c r="AF177" s="3"/>
      <c r="AG177" s="3"/>
      <c r="AH177" s="3"/>
    </row>
    <row r="178" ht="14.25" customHeight="1">
      <c r="A178" s="3"/>
      <c r="B178" s="8"/>
      <c r="C178" s="8"/>
      <c r="D178" s="116"/>
      <c r="E178" s="116"/>
      <c r="F178" s="116"/>
      <c r="G178" s="116"/>
      <c r="H178" s="116"/>
      <c r="I178" s="8"/>
      <c r="J178" s="116"/>
      <c r="K178" s="8"/>
      <c r="L178" s="8"/>
      <c r="M178" s="8"/>
      <c r="N178" s="116"/>
      <c r="O178" s="116"/>
      <c r="P178" s="116"/>
      <c r="Q178" s="116"/>
      <c r="R178" s="116"/>
      <c r="S178" s="8"/>
      <c r="T178" s="116"/>
      <c r="U178" s="8"/>
      <c r="V178" s="8"/>
      <c r="W178" s="8"/>
      <c r="X178" s="116"/>
      <c r="Y178" s="116"/>
      <c r="Z178" s="116"/>
      <c r="AA178" s="116"/>
      <c r="AB178" s="116"/>
      <c r="AC178" s="8"/>
      <c r="AD178" s="116"/>
      <c r="AE178" s="3"/>
      <c r="AF178" s="3"/>
      <c r="AG178" s="3"/>
      <c r="AH178" s="3"/>
    </row>
    <row r="179" ht="14.25" customHeight="1">
      <c r="A179" s="3"/>
      <c r="B179" s="8"/>
      <c r="C179" s="8"/>
      <c r="D179" s="116"/>
      <c r="E179" s="116"/>
      <c r="F179" s="116"/>
      <c r="G179" s="116"/>
      <c r="H179" s="116"/>
      <c r="I179" s="8"/>
      <c r="J179" s="116"/>
      <c r="K179" s="8"/>
      <c r="L179" s="8"/>
      <c r="M179" s="8"/>
      <c r="N179" s="116"/>
      <c r="O179" s="116"/>
      <c r="P179" s="116"/>
      <c r="Q179" s="116"/>
      <c r="R179" s="116"/>
      <c r="S179" s="8"/>
      <c r="T179" s="116"/>
      <c r="U179" s="8"/>
      <c r="V179" s="8"/>
      <c r="W179" s="8"/>
      <c r="X179" s="116"/>
      <c r="Y179" s="116"/>
      <c r="Z179" s="116"/>
      <c r="AA179" s="116"/>
      <c r="AB179" s="116"/>
      <c r="AC179" s="8"/>
      <c r="AD179" s="116"/>
      <c r="AE179" s="3"/>
      <c r="AF179" s="3"/>
      <c r="AG179" s="3"/>
      <c r="AH179" s="3"/>
    </row>
    <row r="180" ht="14.25" customHeight="1">
      <c r="A180" s="3"/>
      <c r="B180" s="8"/>
      <c r="C180" s="8"/>
      <c r="D180" s="116"/>
      <c r="E180" s="116"/>
      <c r="F180" s="116"/>
      <c r="G180" s="116"/>
      <c r="H180" s="116"/>
      <c r="I180" s="8"/>
      <c r="J180" s="116"/>
      <c r="K180" s="8"/>
      <c r="L180" s="8"/>
      <c r="M180" s="8"/>
      <c r="N180" s="116"/>
      <c r="O180" s="116"/>
      <c r="P180" s="116"/>
      <c r="Q180" s="116"/>
      <c r="R180" s="116"/>
      <c r="S180" s="8"/>
      <c r="T180" s="116"/>
      <c r="U180" s="8"/>
      <c r="V180" s="8"/>
      <c r="W180" s="8"/>
      <c r="X180" s="116"/>
      <c r="Y180" s="116"/>
      <c r="Z180" s="116"/>
      <c r="AA180" s="116"/>
      <c r="AB180" s="116"/>
      <c r="AC180" s="8"/>
      <c r="AD180" s="116"/>
      <c r="AE180" s="3"/>
      <c r="AF180" s="3"/>
      <c r="AG180" s="3"/>
      <c r="AH180" s="3"/>
    </row>
    <row r="181" ht="14.25" customHeight="1">
      <c r="A181" s="3"/>
      <c r="B181" s="8"/>
      <c r="C181" s="8"/>
      <c r="D181" s="116"/>
      <c r="E181" s="116"/>
      <c r="F181" s="116"/>
      <c r="G181" s="116"/>
      <c r="H181" s="116"/>
      <c r="I181" s="8"/>
      <c r="J181" s="116"/>
      <c r="K181" s="8"/>
      <c r="L181" s="8"/>
      <c r="M181" s="8"/>
      <c r="N181" s="116"/>
      <c r="O181" s="116"/>
      <c r="P181" s="116"/>
      <c r="Q181" s="116"/>
      <c r="R181" s="116"/>
      <c r="S181" s="8"/>
      <c r="T181" s="116"/>
      <c r="U181" s="8"/>
      <c r="V181" s="8"/>
      <c r="W181" s="8"/>
      <c r="X181" s="116"/>
      <c r="Y181" s="116"/>
      <c r="Z181" s="116"/>
      <c r="AA181" s="116"/>
      <c r="AB181" s="116"/>
      <c r="AC181" s="8"/>
      <c r="AD181" s="116"/>
      <c r="AE181" s="3"/>
      <c r="AF181" s="3"/>
      <c r="AG181" s="3"/>
      <c r="AH181" s="3"/>
    </row>
    <row r="182" ht="14.25" customHeight="1">
      <c r="A182" s="3"/>
      <c r="B182" s="8"/>
      <c r="C182" s="8"/>
      <c r="D182" s="116"/>
      <c r="E182" s="116"/>
      <c r="F182" s="116"/>
      <c r="G182" s="116"/>
      <c r="H182" s="116"/>
      <c r="I182" s="8"/>
      <c r="J182" s="116"/>
      <c r="K182" s="8"/>
      <c r="L182" s="8"/>
      <c r="M182" s="8"/>
      <c r="N182" s="116"/>
      <c r="O182" s="116"/>
      <c r="P182" s="116"/>
      <c r="Q182" s="116"/>
      <c r="R182" s="116"/>
      <c r="S182" s="8"/>
      <c r="T182" s="116"/>
      <c r="U182" s="8"/>
      <c r="V182" s="8"/>
      <c r="W182" s="8"/>
      <c r="X182" s="116"/>
      <c r="Y182" s="116"/>
      <c r="Z182" s="116"/>
      <c r="AA182" s="116"/>
      <c r="AB182" s="116"/>
      <c r="AC182" s="8"/>
      <c r="AD182" s="116"/>
      <c r="AE182" s="3"/>
      <c r="AF182" s="3"/>
      <c r="AG182" s="3"/>
      <c r="AH182" s="3"/>
    </row>
    <row r="183" ht="14.25" customHeight="1">
      <c r="A183" s="3"/>
      <c r="B183" s="8"/>
      <c r="C183" s="8"/>
      <c r="D183" s="116"/>
      <c r="E183" s="116"/>
      <c r="F183" s="116"/>
      <c r="G183" s="116"/>
      <c r="H183" s="116"/>
      <c r="I183" s="8"/>
      <c r="J183" s="116"/>
      <c r="K183" s="8"/>
      <c r="L183" s="8"/>
      <c r="M183" s="8"/>
      <c r="N183" s="116"/>
      <c r="O183" s="116"/>
      <c r="P183" s="116"/>
      <c r="Q183" s="116"/>
      <c r="R183" s="116"/>
      <c r="S183" s="8"/>
      <c r="T183" s="116"/>
      <c r="U183" s="8"/>
      <c r="V183" s="8"/>
      <c r="W183" s="8"/>
      <c r="X183" s="116"/>
      <c r="Y183" s="116"/>
      <c r="Z183" s="116"/>
      <c r="AA183" s="116"/>
      <c r="AB183" s="116"/>
      <c r="AC183" s="8"/>
      <c r="AD183" s="116"/>
      <c r="AE183" s="3"/>
      <c r="AF183" s="3"/>
      <c r="AG183" s="3"/>
      <c r="AH183" s="3"/>
    </row>
    <row r="184" ht="14.25" customHeight="1">
      <c r="A184" s="3"/>
      <c r="B184" s="8"/>
      <c r="C184" s="8"/>
      <c r="D184" s="116"/>
      <c r="E184" s="116"/>
      <c r="F184" s="116"/>
      <c r="G184" s="116"/>
      <c r="H184" s="116"/>
      <c r="I184" s="8"/>
      <c r="J184" s="116"/>
      <c r="K184" s="8"/>
      <c r="L184" s="8"/>
      <c r="M184" s="8"/>
      <c r="N184" s="116"/>
      <c r="O184" s="116"/>
      <c r="P184" s="116"/>
      <c r="Q184" s="116"/>
      <c r="R184" s="116"/>
      <c r="S184" s="8"/>
      <c r="T184" s="116"/>
      <c r="U184" s="8"/>
      <c r="V184" s="8"/>
      <c r="W184" s="8"/>
      <c r="X184" s="116"/>
      <c r="Y184" s="116"/>
      <c r="Z184" s="116"/>
      <c r="AA184" s="116"/>
      <c r="AB184" s="116"/>
      <c r="AC184" s="8"/>
      <c r="AD184" s="116"/>
      <c r="AE184" s="3"/>
      <c r="AF184" s="3"/>
      <c r="AG184" s="3"/>
      <c r="AH184" s="3"/>
    </row>
    <row r="185" ht="14.25" customHeight="1">
      <c r="A185" s="3"/>
      <c r="B185" s="8"/>
      <c r="C185" s="8"/>
      <c r="D185" s="116"/>
      <c r="E185" s="116"/>
      <c r="F185" s="116"/>
      <c r="G185" s="116"/>
      <c r="H185" s="116"/>
      <c r="I185" s="8"/>
      <c r="J185" s="116"/>
      <c r="K185" s="8"/>
      <c r="L185" s="8"/>
      <c r="M185" s="8"/>
      <c r="N185" s="116"/>
      <c r="O185" s="116"/>
      <c r="P185" s="116"/>
      <c r="Q185" s="116"/>
      <c r="R185" s="116"/>
      <c r="S185" s="8"/>
      <c r="T185" s="116"/>
      <c r="U185" s="8"/>
      <c r="V185" s="8"/>
      <c r="W185" s="8"/>
      <c r="X185" s="116"/>
      <c r="Y185" s="116"/>
      <c r="Z185" s="116"/>
      <c r="AA185" s="116"/>
      <c r="AB185" s="116"/>
      <c r="AC185" s="8"/>
      <c r="AD185" s="116"/>
      <c r="AE185" s="3"/>
      <c r="AF185" s="3"/>
      <c r="AG185" s="3"/>
      <c r="AH185" s="3"/>
    </row>
    <row r="186" ht="14.25" customHeight="1">
      <c r="A186" s="3"/>
      <c r="B186" s="8"/>
      <c r="C186" s="8"/>
      <c r="D186" s="116"/>
      <c r="E186" s="116"/>
      <c r="F186" s="116"/>
      <c r="G186" s="116"/>
      <c r="H186" s="116"/>
      <c r="I186" s="8"/>
      <c r="J186" s="116"/>
      <c r="K186" s="8"/>
      <c r="L186" s="8"/>
      <c r="M186" s="8"/>
      <c r="N186" s="116"/>
      <c r="O186" s="116"/>
      <c r="P186" s="116"/>
      <c r="Q186" s="116"/>
      <c r="R186" s="116"/>
      <c r="S186" s="8"/>
      <c r="T186" s="116"/>
      <c r="U186" s="8"/>
      <c r="V186" s="8"/>
      <c r="W186" s="8"/>
      <c r="X186" s="116"/>
      <c r="Y186" s="116"/>
      <c r="Z186" s="116"/>
      <c r="AA186" s="116"/>
      <c r="AB186" s="116"/>
      <c r="AC186" s="8"/>
      <c r="AD186" s="116"/>
      <c r="AE186" s="3"/>
      <c r="AF186" s="3"/>
      <c r="AG186" s="3"/>
      <c r="AH186" s="3"/>
    </row>
    <row r="187" ht="14.25" customHeight="1">
      <c r="A187" s="3"/>
      <c r="B187" s="8"/>
      <c r="C187" s="8"/>
      <c r="D187" s="116"/>
      <c r="E187" s="116"/>
      <c r="F187" s="116"/>
      <c r="G187" s="116"/>
      <c r="H187" s="116"/>
      <c r="I187" s="8"/>
      <c r="J187" s="116"/>
      <c r="K187" s="8"/>
      <c r="L187" s="8"/>
      <c r="M187" s="8"/>
      <c r="N187" s="116"/>
      <c r="O187" s="116"/>
      <c r="P187" s="116"/>
      <c r="Q187" s="116"/>
      <c r="R187" s="116"/>
      <c r="S187" s="8"/>
      <c r="T187" s="116"/>
      <c r="U187" s="8"/>
      <c r="V187" s="8"/>
      <c r="W187" s="8"/>
      <c r="X187" s="116"/>
      <c r="Y187" s="116"/>
      <c r="Z187" s="116"/>
      <c r="AA187" s="116"/>
      <c r="AB187" s="116"/>
      <c r="AC187" s="8"/>
      <c r="AD187" s="116"/>
      <c r="AE187" s="3"/>
      <c r="AF187" s="3"/>
      <c r="AG187" s="3"/>
      <c r="AH187" s="3"/>
    </row>
    <row r="188" ht="14.25" customHeight="1">
      <c r="A188" s="3"/>
      <c r="B188" s="8"/>
      <c r="C188" s="8"/>
      <c r="D188" s="116"/>
      <c r="E188" s="116"/>
      <c r="F188" s="116"/>
      <c r="G188" s="116"/>
      <c r="H188" s="116"/>
      <c r="I188" s="8"/>
      <c r="J188" s="116"/>
      <c r="K188" s="8"/>
      <c r="L188" s="8"/>
      <c r="M188" s="8"/>
      <c r="N188" s="116"/>
      <c r="O188" s="116"/>
      <c r="P188" s="116"/>
      <c r="Q188" s="116"/>
      <c r="R188" s="116"/>
      <c r="S188" s="8"/>
      <c r="T188" s="116"/>
      <c r="U188" s="8"/>
      <c r="V188" s="8"/>
      <c r="W188" s="8"/>
      <c r="X188" s="116"/>
      <c r="Y188" s="116"/>
      <c r="Z188" s="116"/>
      <c r="AA188" s="116"/>
      <c r="AB188" s="116"/>
      <c r="AC188" s="8"/>
      <c r="AD188" s="116"/>
      <c r="AE188" s="3"/>
      <c r="AF188" s="3"/>
      <c r="AG188" s="3"/>
      <c r="AH188" s="3"/>
    </row>
    <row r="189" ht="14.25" customHeight="1">
      <c r="A189" s="3"/>
      <c r="B189" s="8"/>
      <c r="C189" s="8"/>
      <c r="D189" s="116"/>
      <c r="E189" s="116"/>
      <c r="F189" s="116"/>
      <c r="G189" s="116"/>
      <c r="H189" s="116"/>
      <c r="I189" s="8"/>
      <c r="J189" s="116"/>
      <c r="K189" s="8"/>
      <c r="L189" s="8"/>
      <c r="M189" s="8"/>
      <c r="N189" s="116"/>
      <c r="O189" s="116"/>
      <c r="P189" s="116"/>
      <c r="Q189" s="116"/>
      <c r="R189" s="116"/>
      <c r="S189" s="8"/>
      <c r="T189" s="116"/>
      <c r="U189" s="8"/>
      <c r="V189" s="8"/>
      <c r="W189" s="8"/>
      <c r="X189" s="116"/>
      <c r="Y189" s="116"/>
      <c r="Z189" s="116"/>
      <c r="AA189" s="116"/>
      <c r="AB189" s="116"/>
      <c r="AC189" s="8"/>
      <c r="AD189" s="116"/>
      <c r="AE189" s="3"/>
      <c r="AF189" s="3"/>
      <c r="AG189" s="3"/>
      <c r="AH189" s="3"/>
    </row>
    <row r="190" ht="14.25" customHeight="1">
      <c r="A190" s="3"/>
      <c r="B190" s="8"/>
      <c r="C190" s="8"/>
      <c r="D190" s="116"/>
      <c r="E190" s="116"/>
      <c r="F190" s="116"/>
      <c r="G190" s="116"/>
      <c r="H190" s="116"/>
      <c r="I190" s="8"/>
      <c r="J190" s="116"/>
      <c r="K190" s="8"/>
      <c r="L190" s="8"/>
      <c r="M190" s="8"/>
      <c r="N190" s="116"/>
      <c r="O190" s="116"/>
      <c r="P190" s="116"/>
      <c r="Q190" s="116"/>
      <c r="R190" s="116"/>
      <c r="S190" s="8"/>
      <c r="T190" s="116"/>
      <c r="U190" s="8"/>
      <c r="V190" s="8"/>
      <c r="W190" s="8"/>
      <c r="X190" s="116"/>
      <c r="Y190" s="116"/>
      <c r="Z190" s="116"/>
      <c r="AA190" s="116"/>
      <c r="AB190" s="116"/>
      <c r="AC190" s="8"/>
      <c r="AD190" s="116"/>
      <c r="AE190" s="3"/>
      <c r="AF190" s="3"/>
      <c r="AG190" s="3"/>
      <c r="AH190" s="3"/>
    </row>
    <row r="191" ht="14.25" customHeight="1">
      <c r="A191" s="3"/>
      <c r="B191" s="8"/>
      <c r="C191" s="8"/>
      <c r="D191" s="116"/>
      <c r="E191" s="116"/>
      <c r="F191" s="116"/>
      <c r="G191" s="116"/>
      <c r="H191" s="116"/>
      <c r="I191" s="8"/>
      <c r="J191" s="116"/>
      <c r="K191" s="8"/>
      <c r="L191" s="8"/>
      <c r="M191" s="8"/>
      <c r="N191" s="116"/>
      <c r="O191" s="116"/>
      <c r="P191" s="116"/>
      <c r="Q191" s="116"/>
      <c r="R191" s="116"/>
      <c r="S191" s="8"/>
      <c r="T191" s="116"/>
      <c r="U191" s="8"/>
      <c r="V191" s="8"/>
      <c r="W191" s="8"/>
      <c r="X191" s="116"/>
      <c r="Y191" s="116"/>
      <c r="Z191" s="116"/>
      <c r="AA191" s="116"/>
      <c r="AB191" s="116"/>
      <c r="AC191" s="8"/>
      <c r="AD191" s="116"/>
      <c r="AE191" s="3"/>
      <c r="AF191" s="3"/>
      <c r="AG191" s="3"/>
      <c r="AH191" s="3"/>
    </row>
    <row r="192" ht="14.25" customHeight="1">
      <c r="A192" s="3"/>
      <c r="B192" s="8"/>
      <c r="C192" s="8"/>
      <c r="D192" s="116"/>
      <c r="E192" s="116"/>
      <c r="F192" s="116"/>
      <c r="G192" s="116"/>
      <c r="H192" s="116"/>
      <c r="I192" s="8"/>
      <c r="J192" s="116"/>
      <c r="K192" s="8"/>
      <c r="L192" s="8"/>
      <c r="M192" s="8"/>
      <c r="N192" s="116"/>
      <c r="O192" s="116"/>
      <c r="P192" s="116"/>
      <c r="Q192" s="116"/>
      <c r="R192" s="116"/>
      <c r="S192" s="8"/>
      <c r="T192" s="116"/>
      <c r="U192" s="8"/>
      <c r="V192" s="8"/>
      <c r="W192" s="8"/>
      <c r="X192" s="116"/>
      <c r="Y192" s="116"/>
      <c r="Z192" s="116"/>
      <c r="AA192" s="116"/>
      <c r="AB192" s="116"/>
      <c r="AC192" s="8"/>
      <c r="AD192" s="116"/>
      <c r="AE192" s="3"/>
      <c r="AF192" s="3"/>
      <c r="AG192" s="3"/>
      <c r="AH192" s="3"/>
    </row>
    <row r="193" ht="14.25" customHeight="1">
      <c r="A193" s="3"/>
      <c r="B193" s="8"/>
      <c r="C193" s="8"/>
      <c r="D193" s="116"/>
      <c r="E193" s="116"/>
      <c r="F193" s="116"/>
      <c r="G193" s="116"/>
      <c r="H193" s="116"/>
      <c r="I193" s="8"/>
      <c r="J193" s="116"/>
      <c r="K193" s="8"/>
      <c r="L193" s="8"/>
      <c r="M193" s="8"/>
      <c r="N193" s="116"/>
      <c r="O193" s="116"/>
      <c r="P193" s="116"/>
      <c r="Q193" s="116"/>
      <c r="R193" s="116"/>
      <c r="S193" s="8"/>
      <c r="T193" s="116"/>
      <c r="U193" s="8"/>
      <c r="V193" s="8"/>
      <c r="W193" s="8"/>
      <c r="X193" s="116"/>
      <c r="Y193" s="116"/>
      <c r="Z193" s="116"/>
      <c r="AA193" s="116"/>
      <c r="AB193" s="116"/>
      <c r="AC193" s="8"/>
      <c r="AD193" s="116"/>
      <c r="AE193" s="3"/>
      <c r="AF193" s="3"/>
      <c r="AG193" s="3"/>
      <c r="AH193" s="3"/>
    </row>
    <row r="194" ht="14.25" customHeight="1">
      <c r="A194" s="3"/>
      <c r="B194" s="8"/>
      <c r="C194" s="8"/>
      <c r="D194" s="116"/>
      <c r="E194" s="116"/>
      <c r="F194" s="116"/>
      <c r="G194" s="116"/>
      <c r="H194" s="116"/>
      <c r="I194" s="8"/>
      <c r="J194" s="116"/>
      <c r="K194" s="8"/>
      <c r="L194" s="8"/>
      <c r="M194" s="8"/>
      <c r="N194" s="116"/>
      <c r="O194" s="116"/>
      <c r="P194" s="116"/>
      <c r="Q194" s="116"/>
      <c r="R194" s="116"/>
      <c r="S194" s="8"/>
      <c r="T194" s="116"/>
      <c r="U194" s="8"/>
      <c r="V194" s="8"/>
      <c r="W194" s="8"/>
      <c r="X194" s="116"/>
      <c r="Y194" s="116"/>
      <c r="Z194" s="116"/>
      <c r="AA194" s="116"/>
      <c r="AB194" s="116"/>
      <c r="AC194" s="8"/>
      <c r="AD194" s="116"/>
      <c r="AE194" s="3"/>
      <c r="AF194" s="3"/>
      <c r="AG194" s="3"/>
      <c r="AH194" s="3"/>
    </row>
    <row r="195" ht="14.25" customHeight="1">
      <c r="A195" s="3"/>
      <c r="B195" s="8"/>
      <c r="C195" s="8"/>
      <c r="D195" s="116"/>
      <c r="E195" s="116"/>
      <c r="F195" s="116"/>
      <c r="G195" s="116"/>
      <c r="H195" s="116"/>
      <c r="I195" s="8"/>
      <c r="J195" s="116"/>
      <c r="K195" s="8"/>
      <c r="L195" s="8"/>
      <c r="M195" s="8"/>
      <c r="N195" s="116"/>
      <c r="O195" s="116"/>
      <c r="P195" s="116"/>
      <c r="Q195" s="116"/>
      <c r="R195" s="116"/>
      <c r="S195" s="8"/>
      <c r="T195" s="116"/>
      <c r="U195" s="8"/>
      <c r="V195" s="8"/>
      <c r="W195" s="8"/>
      <c r="X195" s="116"/>
      <c r="Y195" s="116"/>
      <c r="Z195" s="116"/>
      <c r="AA195" s="116"/>
      <c r="AB195" s="116"/>
      <c r="AC195" s="8"/>
      <c r="AD195" s="116"/>
      <c r="AE195" s="3"/>
      <c r="AF195" s="3"/>
      <c r="AG195" s="3"/>
      <c r="AH195" s="3"/>
    </row>
    <row r="196" ht="14.25" customHeight="1">
      <c r="A196" s="3"/>
      <c r="B196" s="8"/>
      <c r="C196" s="8"/>
      <c r="D196" s="116"/>
      <c r="E196" s="116"/>
      <c r="F196" s="116"/>
      <c r="G196" s="116"/>
      <c r="H196" s="116"/>
      <c r="I196" s="8"/>
      <c r="J196" s="116"/>
      <c r="K196" s="8"/>
      <c r="L196" s="8"/>
      <c r="M196" s="8"/>
      <c r="N196" s="116"/>
      <c r="O196" s="116"/>
      <c r="P196" s="116"/>
      <c r="Q196" s="116"/>
      <c r="R196" s="116"/>
      <c r="S196" s="8"/>
      <c r="T196" s="116"/>
      <c r="U196" s="8"/>
      <c r="V196" s="8"/>
      <c r="W196" s="8"/>
      <c r="X196" s="116"/>
      <c r="Y196" s="116"/>
      <c r="Z196" s="116"/>
      <c r="AA196" s="116"/>
      <c r="AB196" s="116"/>
      <c r="AC196" s="8"/>
      <c r="AD196" s="116"/>
      <c r="AE196" s="3"/>
      <c r="AF196" s="3"/>
      <c r="AG196" s="3"/>
      <c r="AH196" s="3"/>
    </row>
    <row r="197" ht="14.25" customHeight="1">
      <c r="A197" s="3"/>
      <c r="B197" s="8"/>
      <c r="C197" s="8"/>
      <c r="D197" s="116"/>
      <c r="E197" s="116"/>
      <c r="F197" s="116"/>
      <c r="G197" s="116"/>
      <c r="H197" s="116"/>
      <c r="I197" s="8"/>
      <c r="J197" s="116"/>
      <c r="K197" s="8"/>
      <c r="L197" s="8"/>
      <c r="M197" s="8"/>
      <c r="N197" s="116"/>
      <c r="O197" s="116"/>
      <c r="P197" s="116"/>
      <c r="Q197" s="116"/>
      <c r="R197" s="116"/>
      <c r="S197" s="8"/>
      <c r="T197" s="116"/>
      <c r="U197" s="8"/>
      <c r="V197" s="8"/>
      <c r="W197" s="8"/>
      <c r="X197" s="116"/>
      <c r="Y197" s="116"/>
      <c r="Z197" s="116"/>
      <c r="AA197" s="116"/>
      <c r="AB197" s="116"/>
      <c r="AC197" s="8"/>
      <c r="AD197" s="116"/>
      <c r="AE197" s="3"/>
      <c r="AF197" s="3"/>
      <c r="AG197" s="3"/>
      <c r="AH197" s="3"/>
    </row>
    <row r="198" ht="14.25" customHeight="1">
      <c r="A198" s="3"/>
      <c r="B198" s="8"/>
      <c r="C198" s="8"/>
      <c r="D198" s="116"/>
      <c r="E198" s="116"/>
      <c r="F198" s="116"/>
      <c r="G198" s="116"/>
      <c r="H198" s="116"/>
      <c r="I198" s="8"/>
      <c r="J198" s="116"/>
      <c r="K198" s="8"/>
      <c r="L198" s="8"/>
      <c r="M198" s="8"/>
      <c r="N198" s="116"/>
      <c r="O198" s="116"/>
      <c r="P198" s="116"/>
      <c r="Q198" s="116"/>
      <c r="R198" s="116"/>
      <c r="S198" s="8"/>
      <c r="T198" s="116"/>
      <c r="U198" s="8"/>
      <c r="V198" s="8"/>
      <c r="W198" s="8"/>
      <c r="X198" s="116"/>
      <c r="Y198" s="116"/>
      <c r="Z198" s="116"/>
      <c r="AA198" s="116"/>
      <c r="AB198" s="116"/>
      <c r="AC198" s="8"/>
      <c r="AD198" s="116"/>
      <c r="AE198" s="3"/>
      <c r="AF198" s="3"/>
      <c r="AG198" s="3"/>
      <c r="AH198" s="3"/>
    </row>
    <row r="199" ht="14.25" customHeight="1">
      <c r="A199" s="3"/>
      <c r="B199" s="8"/>
      <c r="C199" s="8"/>
      <c r="D199" s="116"/>
      <c r="E199" s="116"/>
      <c r="F199" s="116"/>
      <c r="G199" s="116"/>
      <c r="H199" s="116"/>
      <c r="I199" s="8"/>
      <c r="J199" s="116"/>
      <c r="K199" s="8"/>
      <c r="L199" s="8"/>
      <c r="M199" s="8"/>
      <c r="N199" s="116"/>
      <c r="O199" s="116"/>
      <c r="P199" s="116"/>
      <c r="Q199" s="116"/>
      <c r="R199" s="116"/>
      <c r="S199" s="8"/>
      <c r="T199" s="116"/>
      <c r="U199" s="8"/>
      <c r="V199" s="8"/>
      <c r="W199" s="8"/>
      <c r="X199" s="116"/>
      <c r="Y199" s="116"/>
      <c r="Z199" s="116"/>
      <c r="AA199" s="116"/>
      <c r="AB199" s="116"/>
      <c r="AC199" s="8"/>
      <c r="AD199" s="116"/>
      <c r="AE199" s="3"/>
      <c r="AF199" s="3"/>
      <c r="AG199" s="3"/>
      <c r="AH199" s="3"/>
    </row>
    <row r="200" ht="14.25" customHeight="1">
      <c r="A200" s="3"/>
      <c r="B200" s="8"/>
      <c r="C200" s="8"/>
      <c r="D200" s="116"/>
      <c r="E200" s="116"/>
      <c r="F200" s="116"/>
      <c r="G200" s="116"/>
      <c r="H200" s="116"/>
      <c r="I200" s="8"/>
      <c r="J200" s="116"/>
      <c r="K200" s="8"/>
      <c r="L200" s="8"/>
      <c r="M200" s="8"/>
      <c r="N200" s="116"/>
      <c r="O200" s="116"/>
      <c r="P200" s="116"/>
      <c r="Q200" s="116"/>
      <c r="R200" s="116"/>
      <c r="S200" s="8"/>
      <c r="T200" s="116"/>
      <c r="U200" s="8"/>
      <c r="V200" s="8"/>
      <c r="W200" s="8"/>
      <c r="X200" s="116"/>
      <c r="Y200" s="116"/>
      <c r="Z200" s="116"/>
      <c r="AA200" s="116"/>
      <c r="AB200" s="116"/>
      <c r="AC200" s="8"/>
      <c r="AD200" s="116"/>
      <c r="AE200" s="3"/>
      <c r="AF200" s="3"/>
      <c r="AG200" s="3"/>
      <c r="AH200" s="3"/>
    </row>
    <row r="201" ht="14.25" customHeight="1">
      <c r="A201" s="3"/>
      <c r="B201" s="8"/>
      <c r="C201" s="8"/>
      <c r="D201" s="116"/>
      <c r="E201" s="116"/>
      <c r="F201" s="116"/>
      <c r="G201" s="116"/>
      <c r="H201" s="116"/>
      <c r="I201" s="8"/>
      <c r="J201" s="116"/>
      <c r="K201" s="8"/>
      <c r="L201" s="8"/>
      <c r="M201" s="8"/>
      <c r="N201" s="116"/>
      <c r="O201" s="116"/>
      <c r="P201" s="116"/>
      <c r="Q201" s="116"/>
      <c r="R201" s="116"/>
      <c r="S201" s="8"/>
      <c r="T201" s="116"/>
      <c r="U201" s="8"/>
      <c r="V201" s="8"/>
      <c r="W201" s="8"/>
      <c r="X201" s="116"/>
      <c r="Y201" s="116"/>
      <c r="Z201" s="116"/>
      <c r="AA201" s="116"/>
      <c r="AB201" s="116"/>
      <c r="AC201" s="8"/>
      <c r="AD201" s="116"/>
      <c r="AE201" s="3"/>
      <c r="AF201" s="3"/>
      <c r="AG201" s="3"/>
      <c r="AH201" s="3"/>
    </row>
    <row r="202" ht="14.25" customHeight="1">
      <c r="A202" s="3"/>
      <c r="B202" s="8"/>
      <c r="C202" s="8"/>
      <c r="D202" s="116"/>
      <c r="E202" s="116"/>
      <c r="F202" s="116"/>
      <c r="G202" s="116"/>
      <c r="H202" s="116"/>
      <c r="I202" s="8"/>
      <c r="J202" s="116"/>
      <c r="K202" s="8"/>
      <c r="L202" s="8"/>
      <c r="M202" s="8"/>
      <c r="N202" s="116"/>
      <c r="O202" s="116"/>
      <c r="P202" s="116"/>
      <c r="Q202" s="116"/>
      <c r="R202" s="116"/>
      <c r="S202" s="8"/>
      <c r="T202" s="116"/>
      <c r="U202" s="8"/>
      <c r="V202" s="8"/>
      <c r="W202" s="8"/>
      <c r="X202" s="116"/>
      <c r="Y202" s="116"/>
      <c r="Z202" s="116"/>
      <c r="AA202" s="116"/>
      <c r="AB202" s="116"/>
      <c r="AC202" s="8"/>
      <c r="AD202" s="116"/>
      <c r="AE202" s="3"/>
      <c r="AF202" s="3"/>
      <c r="AG202" s="3"/>
      <c r="AH202" s="3"/>
    </row>
    <row r="203" ht="14.25" customHeight="1">
      <c r="A203" s="3"/>
      <c r="B203" s="8"/>
      <c r="C203" s="8"/>
      <c r="D203" s="116"/>
      <c r="E203" s="116"/>
      <c r="F203" s="116"/>
      <c r="G203" s="116"/>
      <c r="H203" s="116"/>
      <c r="I203" s="8"/>
      <c r="J203" s="116"/>
      <c r="K203" s="8"/>
      <c r="L203" s="8"/>
      <c r="M203" s="8"/>
      <c r="N203" s="116"/>
      <c r="O203" s="116"/>
      <c r="P203" s="116"/>
      <c r="Q203" s="116"/>
      <c r="R203" s="116"/>
      <c r="S203" s="8"/>
      <c r="T203" s="116"/>
      <c r="U203" s="8"/>
      <c r="V203" s="8"/>
      <c r="W203" s="8"/>
      <c r="X203" s="116"/>
      <c r="Y203" s="116"/>
      <c r="Z203" s="116"/>
      <c r="AA203" s="116"/>
      <c r="AB203" s="116"/>
      <c r="AC203" s="8"/>
      <c r="AD203" s="116"/>
      <c r="AE203" s="3"/>
      <c r="AF203" s="3"/>
      <c r="AG203" s="3"/>
      <c r="AH203" s="3"/>
    </row>
    <row r="204" ht="14.25" customHeight="1">
      <c r="A204" s="3"/>
      <c r="B204" s="8"/>
      <c r="C204" s="8"/>
      <c r="D204" s="116"/>
      <c r="E204" s="116"/>
      <c r="F204" s="116"/>
      <c r="G204" s="116"/>
      <c r="H204" s="116"/>
      <c r="I204" s="8"/>
      <c r="J204" s="116"/>
      <c r="K204" s="8"/>
      <c r="L204" s="8"/>
      <c r="M204" s="8"/>
      <c r="N204" s="116"/>
      <c r="O204" s="116"/>
      <c r="P204" s="116"/>
      <c r="Q204" s="116"/>
      <c r="R204" s="116"/>
      <c r="S204" s="8"/>
      <c r="T204" s="116"/>
      <c r="U204" s="8"/>
      <c r="V204" s="8"/>
      <c r="W204" s="8"/>
      <c r="X204" s="116"/>
      <c r="Y204" s="116"/>
      <c r="Z204" s="116"/>
      <c r="AA204" s="116"/>
      <c r="AB204" s="116"/>
      <c r="AC204" s="8"/>
      <c r="AD204" s="116"/>
      <c r="AE204" s="3"/>
      <c r="AF204" s="3"/>
      <c r="AG204" s="3"/>
      <c r="AH204" s="3"/>
    </row>
    <row r="205" ht="14.25" customHeight="1">
      <c r="A205" s="3"/>
      <c r="B205" s="8"/>
      <c r="C205" s="8"/>
      <c r="D205" s="116"/>
      <c r="E205" s="116"/>
      <c r="F205" s="116"/>
      <c r="G205" s="116"/>
      <c r="H205" s="116"/>
      <c r="I205" s="8"/>
      <c r="J205" s="116"/>
      <c r="K205" s="8"/>
      <c r="L205" s="8"/>
      <c r="M205" s="8"/>
      <c r="N205" s="116"/>
      <c r="O205" s="116"/>
      <c r="P205" s="116"/>
      <c r="Q205" s="116"/>
      <c r="R205" s="116"/>
      <c r="S205" s="8"/>
      <c r="T205" s="116"/>
      <c r="U205" s="8"/>
      <c r="V205" s="8"/>
      <c r="W205" s="8"/>
      <c r="X205" s="116"/>
      <c r="Y205" s="116"/>
      <c r="Z205" s="116"/>
      <c r="AA205" s="116"/>
      <c r="AB205" s="116"/>
      <c r="AC205" s="8"/>
      <c r="AD205" s="116"/>
      <c r="AE205" s="3"/>
      <c r="AF205" s="3"/>
      <c r="AG205" s="3"/>
      <c r="AH205" s="3"/>
    </row>
    <row r="206" ht="14.25" customHeight="1">
      <c r="A206" s="3"/>
      <c r="B206" s="8"/>
      <c r="C206" s="8"/>
      <c r="D206" s="116"/>
      <c r="E206" s="116"/>
      <c r="F206" s="116"/>
      <c r="G206" s="116"/>
      <c r="H206" s="116"/>
      <c r="I206" s="8"/>
      <c r="J206" s="116"/>
      <c r="K206" s="8"/>
      <c r="L206" s="8"/>
      <c r="M206" s="8"/>
      <c r="N206" s="116"/>
      <c r="O206" s="116"/>
      <c r="P206" s="116"/>
      <c r="Q206" s="116"/>
      <c r="R206" s="116"/>
      <c r="S206" s="8"/>
      <c r="T206" s="116"/>
      <c r="U206" s="8"/>
      <c r="V206" s="8"/>
      <c r="W206" s="8"/>
      <c r="X206" s="116"/>
      <c r="Y206" s="116"/>
      <c r="Z206" s="116"/>
      <c r="AA206" s="116"/>
      <c r="AB206" s="116"/>
      <c r="AC206" s="8"/>
      <c r="AD206" s="116"/>
      <c r="AE206" s="3"/>
      <c r="AF206" s="3"/>
      <c r="AG206" s="3"/>
      <c r="AH206" s="3"/>
    </row>
    <row r="207" ht="14.25" customHeight="1">
      <c r="A207" s="3"/>
      <c r="B207" s="8"/>
      <c r="C207" s="8"/>
      <c r="D207" s="116"/>
      <c r="E207" s="116"/>
      <c r="F207" s="116"/>
      <c r="G207" s="116"/>
      <c r="H207" s="116"/>
      <c r="I207" s="8"/>
      <c r="J207" s="116"/>
      <c r="K207" s="8"/>
      <c r="L207" s="8"/>
      <c r="M207" s="8"/>
      <c r="N207" s="116"/>
      <c r="O207" s="116"/>
      <c r="P207" s="116"/>
      <c r="Q207" s="116"/>
      <c r="R207" s="116"/>
      <c r="S207" s="8"/>
      <c r="T207" s="116"/>
      <c r="U207" s="8"/>
      <c r="V207" s="8"/>
      <c r="W207" s="8"/>
      <c r="X207" s="116"/>
      <c r="Y207" s="116"/>
      <c r="Z207" s="116"/>
      <c r="AA207" s="116"/>
      <c r="AB207" s="116"/>
      <c r="AC207" s="8"/>
      <c r="AD207" s="116"/>
      <c r="AE207" s="3"/>
      <c r="AF207" s="3"/>
      <c r="AG207" s="3"/>
      <c r="AH207" s="3"/>
    </row>
    <row r="208" ht="14.25" customHeight="1">
      <c r="A208" s="3"/>
      <c r="B208" s="8"/>
      <c r="C208" s="8"/>
      <c r="D208" s="116"/>
      <c r="E208" s="116"/>
      <c r="F208" s="116"/>
      <c r="G208" s="116"/>
      <c r="H208" s="116"/>
      <c r="I208" s="8"/>
      <c r="J208" s="116"/>
      <c r="K208" s="8"/>
      <c r="L208" s="8"/>
      <c r="M208" s="8"/>
      <c r="N208" s="116"/>
      <c r="O208" s="116"/>
      <c r="P208" s="116"/>
      <c r="Q208" s="116"/>
      <c r="R208" s="116"/>
      <c r="S208" s="8"/>
      <c r="T208" s="116"/>
      <c r="U208" s="8"/>
      <c r="V208" s="8"/>
      <c r="W208" s="8"/>
      <c r="X208" s="116"/>
      <c r="Y208" s="116"/>
      <c r="Z208" s="116"/>
      <c r="AA208" s="116"/>
      <c r="AB208" s="116"/>
      <c r="AC208" s="8"/>
      <c r="AD208" s="116"/>
      <c r="AE208" s="3"/>
      <c r="AF208" s="3"/>
      <c r="AG208" s="3"/>
      <c r="AH208" s="3"/>
    </row>
    <row r="209" ht="14.25" customHeight="1">
      <c r="A209" s="3"/>
      <c r="B209" s="8"/>
      <c r="C209" s="8"/>
      <c r="D209" s="116"/>
      <c r="E209" s="116"/>
      <c r="F209" s="116"/>
      <c r="G209" s="116"/>
      <c r="H209" s="116"/>
      <c r="I209" s="8"/>
      <c r="J209" s="116"/>
      <c r="K209" s="8"/>
      <c r="L209" s="8"/>
      <c r="M209" s="8"/>
      <c r="N209" s="116"/>
      <c r="O209" s="116"/>
      <c r="P209" s="116"/>
      <c r="Q209" s="116"/>
      <c r="R209" s="116"/>
      <c r="S209" s="8"/>
      <c r="T209" s="116"/>
      <c r="U209" s="8"/>
      <c r="V209" s="8"/>
      <c r="W209" s="8"/>
      <c r="X209" s="116"/>
      <c r="Y209" s="116"/>
      <c r="Z209" s="116"/>
      <c r="AA209" s="116"/>
      <c r="AB209" s="116"/>
      <c r="AC209" s="8"/>
      <c r="AD209" s="116"/>
      <c r="AE209" s="3"/>
      <c r="AF209" s="3"/>
      <c r="AG209" s="3"/>
      <c r="AH209" s="3"/>
    </row>
    <row r="210" ht="14.25" customHeight="1">
      <c r="A210" s="3"/>
      <c r="B210" s="8"/>
      <c r="C210" s="8"/>
      <c r="D210" s="116"/>
      <c r="E210" s="116"/>
      <c r="F210" s="116"/>
      <c r="G210" s="116"/>
      <c r="H210" s="116"/>
      <c r="I210" s="8"/>
      <c r="J210" s="116"/>
      <c r="K210" s="8"/>
      <c r="L210" s="8"/>
      <c r="M210" s="8"/>
      <c r="N210" s="116"/>
      <c r="O210" s="116"/>
      <c r="P210" s="116"/>
      <c r="Q210" s="116"/>
      <c r="R210" s="116"/>
      <c r="S210" s="8"/>
      <c r="T210" s="116"/>
      <c r="U210" s="8"/>
      <c r="V210" s="8"/>
      <c r="W210" s="8"/>
      <c r="X210" s="116"/>
      <c r="Y210" s="116"/>
      <c r="Z210" s="116"/>
      <c r="AA210" s="116"/>
      <c r="AB210" s="116"/>
      <c r="AC210" s="8"/>
      <c r="AD210" s="116"/>
      <c r="AE210" s="3"/>
      <c r="AF210" s="3"/>
      <c r="AG210" s="3"/>
      <c r="AH210" s="3"/>
    </row>
    <row r="211" ht="14.25" customHeight="1">
      <c r="A211" s="3"/>
      <c r="B211" s="8"/>
      <c r="C211" s="8"/>
      <c r="D211" s="116"/>
      <c r="E211" s="116"/>
      <c r="F211" s="116"/>
      <c r="G211" s="116"/>
      <c r="H211" s="116"/>
      <c r="I211" s="8"/>
      <c r="J211" s="116"/>
      <c r="K211" s="8"/>
      <c r="L211" s="8"/>
      <c r="M211" s="8"/>
      <c r="N211" s="116"/>
      <c r="O211" s="116"/>
      <c r="P211" s="116"/>
      <c r="Q211" s="116"/>
      <c r="R211" s="116"/>
      <c r="S211" s="8"/>
      <c r="T211" s="116"/>
      <c r="U211" s="8"/>
      <c r="V211" s="8"/>
      <c r="W211" s="8"/>
      <c r="X211" s="116"/>
      <c r="Y211" s="116"/>
      <c r="Z211" s="116"/>
      <c r="AA211" s="116"/>
      <c r="AB211" s="116"/>
      <c r="AC211" s="8"/>
      <c r="AD211" s="116"/>
      <c r="AE211" s="3"/>
      <c r="AF211" s="3"/>
      <c r="AG211" s="3"/>
      <c r="AH211" s="3"/>
    </row>
    <row r="212" ht="14.25" customHeight="1">
      <c r="A212" s="3"/>
      <c r="B212" s="8"/>
      <c r="C212" s="8"/>
      <c r="D212" s="116"/>
      <c r="E212" s="116"/>
      <c r="F212" s="116"/>
      <c r="G212" s="116"/>
      <c r="H212" s="116"/>
      <c r="I212" s="8"/>
      <c r="J212" s="116"/>
      <c r="K212" s="8"/>
      <c r="L212" s="8"/>
      <c r="M212" s="8"/>
      <c r="N212" s="116"/>
      <c r="O212" s="116"/>
      <c r="P212" s="116"/>
      <c r="Q212" s="116"/>
      <c r="R212" s="116"/>
      <c r="S212" s="8"/>
      <c r="T212" s="116"/>
      <c r="U212" s="8"/>
      <c r="V212" s="8"/>
      <c r="W212" s="8"/>
      <c r="X212" s="116"/>
      <c r="Y212" s="116"/>
      <c r="Z212" s="116"/>
      <c r="AA212" s="116"/>
      <c r="AB212" s="116"/>
      <c r="AC212" s="8"/>
      <c r="AD212" s="116"/>
      <c r="AE212" s="3"/>
      <c r="AF212" s="3"/>
      <c r="AG212" s="3"/>
      <c r="AH212" s="3"/>
    </row>
    <row r="213" ht="14.25" customHeight="1">
      <c r="A213" s="3"/>
      <c r="B213" s="8"/>
      <c r="C213" s="8"/>
      <c r="D213" s="116"/>
      <c r="E213" s="116"/>
      <c r="F213" s="116"/>
      <c r="G213" s="116"/>
      <c r="H213" s="116"/>
      <c r="I213" s="8"/>
      <c r="J213" s="116"/>
      <c r="K213" s="8"/>
      <c r="L213" s="8"/>
      <c r="M213" s="8"/>
      <c r="N213" s="116"/>
      <c r="O213" s="116"/>
      <c r="P213" s="116"/>
      <c r="Q213" s="116"/>
      <c r="R213" s="116"/>
      <c r="S213" s="8"/>
      <c r="T213" s="116"/>
      <c r="U213" s="8"/>
      <c r="V213" s="8"/>
      <c r="W213" s="8"/>
      <c r="X213" s="116"/>
      <c r="Y213" s="116"/>
      <c r="Z213" s="116"/>
      <c r="AA213" s="116"/>
      <c r="AB213" s="116"/>
      <c r="AC213" s="8"/>
      <c r="AD213" s="116"/>
      <c r="AE213" s="3"/>
      <c r="AF213" s="3"/>
      <c r="AG213" s="3"/>
      <c r="AH213" s="3"/>
    </row>
    <row r="214" ht="14.25" customHeight="1">
      <c r="A214" s="3"/>
      <c r="B214" s="8"/>
      <c r="C214" s="8"/>
      <c r="D214" s="116"/>
      <c r="E214" s="116"/>
      <c r="F214" s="116"/>
      <c r="G214" s="116"/>
      <c r="H214" s="116"/>
      <c r="I214" s="8"/>
      <c r="J214" s="116"/>
      <c r="K214" s="8"/>
      <c r="L214" s="8"/>
      <c r="M214" s="8"/>
      <c r="N214" s="116"/>
      <c r="O214" s="116"/>
      <c r="P214" s="116"/>
      <c r="Q214" s="116"/>
      <c r="R214" s="116"/>
      <c r="S214" s="8"/>
      <c r="T214" s="116"/>
      <c r="U214" s="8"/>
      <c r="V214" s="8"/>
      <c r="W214" s="8"/>
      <c r="X214" s="116"/>
      <c r="Y214" s="116"/>
      <c r="Z214" s="116"/>
      <c r="AA214" s="116"/>
      <c r="AB214" s="116"/>
      <c r="AC214" s="8"/>
      <c r="AD214" s="116"/>
      <c r="AE214" s="3"/>
      <c r="AF214" s="3"/>
      <c r="AG214" s="3"/>
      <c r="AH214" s="3"/>
    </row>
    <row r="215" ht="14.25" customHeight="1">
      <c r="A215" s="3"/>
      <c r="B215" s="8"/>
      <c r="C215" s="8"/>
      <c r="D215" s="116"/>
      <c r="E215" s="116"/>
      <c r="F215" s="116"/>
      <c r="G215" s="116"/>
      <c r="H215" s="116"/>
      <c r="I215" s="8"/>
      <c r="J215" s="116"/>
      <c r="K215" s="8"/>
      <c r="L215" s="8"/>
      <c r="M215" s="8"/>
      <c r="N215" s="116"/>
      <c r="O215" s="116"/>
      <c r="P215" s="116"/>
      <c r="Q215" s="116"/>
      <c r="R215" s="116"/>
      <c r="S215" s="8"/>
      <c r="T215" s="116"/>
      <c r="U215" s="8"/>
      <c r="V215" s="8"/>
      <c r="W215" s="8"/>
      <c r="X215" s="116"/>
      <c r="Y215" s="116"/>
      <c r="Z215" s="116"/>
      <c r="AA215" s="116"/>
      <c r="AB215" s="116"/>
      <c r="AC215" s="8"/>
      <c r="AD215" s="116"/>
      <c r="AE215" s="3"/>
      <c r="AF215" s="3"/>
      <c r="AG215" s="3"/>
      <c r="AH215" s="3"/>
    </row>
    <row r="216" ht="14.25" customHeight="1">
      <c r="A216" s="3"/>
      <c r="B216" s="8"/>
      <c r="C216" s="8"/>
      <c r="D216" s="116"/>
      <c r="E216" s="116"/>
      <c r="F216" s="116"/>
      <c r="G216" s="116"/>
      <c r="H216" s="116"/>
      <c r="I216" s="8"/>
      <c r="J216" s="116"/>
      <c r="K216" s="8"/>
      <c r="L216" s="8"/>
      <c r="M216" s="8"/>
      <c r="N216" s="116"/>
      <c r="O216" s="116"/>
      <c r="P216" s="116"/>
      <c r="Q216" s="116"/>
      <c r="R216" s="116"/>
      <c r="S216" s="8"/>
      <c r="T216" s="116"/>
      <c r="U216" s="8"/>
      <c r="V216" s="8"/>
      <c r="W216" s="8"/>
      <c r="X216" s="116"/>
      <c r="Y216" s="116"/>
      <c r="Z216" s="116"/>
      <c r="AA216" s="116"/>
      <c r="AB216" s="116"/>
      <c r="AC216" s="8"/>
      <c r="AD216" s="116"/>
      <c r="AE216" s="3"/>
      <c r="AF216" s="3"/>
      <c r="AG216" s="3"/>
      <c r="AH216" s="3"/>
    </row>
    <row r="217" ht="14.25" customHeight="1">
      <c r="A217" s="3"/>
      <c r="B217" s="8"/>
      <c r="C217" s="8"/>
      <c r="D217" s="116"/>
      <c r="E217" s="116"/>
      <c r="F217" s="116"/>
      <c r="G217" s="116"/>
      <c r="H217" s="116"/>
      <c r="I217" s="8"/>
      <c r="J217" s="116"/>
      <c r="K217" s="8"/>
      <c r="L217" s="8"/>
      <c r="M217" s="8"/>
      <c r="N217" s="116"/>
      <c r="O217" s="116"/>
      <c r="P217" s="116"/>
      <c r="Q217" s="116"/>
      <c r="R217" s="116"/>
      <c r="S217" s="8"/>
      <c r="T217" s="116"/>
      <c r="U217" s="8"/>
      <c r="V217" s="8"/>
      <c r="W217" s="8"/>
      <c r="X217" s="116"/>
      <c r="Y217" s="116"/>
      <c r="Z217" s="116"/>
      <c r="AA217" s="116"/>
      <c r="AB217" s="116"/>
      <c r="AC217" s="8"/>
      <c r="AD217" s="116"/>
      <c r="AE217" s="3"/>
      <c r="AF217" s="3"/>
      <c r="AG217" s="3"/>
      <c r="AH217" s="3"/>
    </row>
    <row r="218" ht="14.25" customHeight="1">
      <c r="A218" s="3"/>
      <c r="B218" s="8"/>
      <c r="C218" s="8"/>
      <c r="D218" s="116"/>
      <c r="E218" s="116"/>
      <c r="F218" s="116"/>
      <c r="G218" s="116"/>
      <c r="H218" s="116"/>
      <c r="I218" s="8"/>
      <c r="J218" s="116"/>
      <c r="K218" s="8"/>
      <c r="L218" s="8"/>
      <c r="M218" s="8"/>
      <c r="N218" s="116"/>
      <c r="O218" s="116"/>
      <c r="P218" s="116"/>
      <c r="Q218" s="116"/>
      <c r="R218" s="116"/>
      <c r="S218" s="8"/>
      <c r="T218" s="116"/>
      <c r="U218" s="8"/>
      <c r="V218" s="8"/>
      <c r="W218" s="8"/>
      <c r="X218" s="116"/>
      <c r="Y218" s="116"/>
      <c r="Z218" s="116"/>
      <c r="AA218" s="116"/>
      <c r="AB218" s="116"/>
      <c r="AC218" s="8"/>
      <c r="AD218" s="116"/>
      <c r="AE218" s="3"/>
      <c r="AF218" s="3"/>
      <c r="AG218" s="3"/>
      <c r="AH218" s="3"/>
    </row>
    <row r="219" ht="14.25" customHeight="1">
      <c r="A219" s="3"/>
      <c r="B219" s="8"/>
      <c r="C219" s="8"/>
      <c r="D219" s="116"/>
      <c r="E219" s="116"/>
      <c r="F219" s="116"/>
      <c r="G219" s="116"/>
      <c r="H219" s="116"/>
      <c r="I219" s="8"/>
      <c r="J219" s="116"/>
      <c r="K219" s="8"/>
      <c r="L219" s="8"/>
      <c r="M219" s="8"/>
      <c r="N219" s="116"/>
      <c r="O219" s="116"/>
      <c r="P219" s="116"/>
      <c r="Q219" s="116"/>
      <c r="R219" s="116"/>
      <c r="S219" s="8"/>
      <c r="T219" s="116"/>
      <c r="U219" s="8"/>
      <c r="V219" s="8"/>
      <c r="W219" s="8"/>
      <c r="X219" s="116"/>
      <c r="Y219" s="116"/>
      <c r="Z219" s="116"/>
      <c r="AA219" s="116"/>
      <c r="AB219" s="116"/>
      <c r="AC219" s="8"/>
      <c r="AD219" s="116"/>
      <c r="AE219" s="3"/>
      <c r="AF219" s="3"/>
      <c r="AG219" s="3"/>
      <c r="AH219" s="3"/>
    </row>
    <row r="220" ht="14.25" customHeight="1">
      <c r="A220" s="3"/>
      <c r="B220" s="8"/>
      <c r="C220" s="8"/>
      <c r="D220" s="116"/>
      <c r="E220" s="116"/>
      <c r="F220" s="116"/>
      <c r="G220" s="116"/>
      <c r="H220" s="116"/>
      <c r="I220" s="8"/>
      <c r="J220" s="116"/>
      <c r="K220" s="8"/>
      <c r="L220" s="8"/>
      <c r="M220" s="8"/>
      <c r="N220" s="116"/>
      <c r="O220" s="116"/>
      <c r="P220" s="116"/>
      <c r="Q220" s="116"/>
      <c r="R220" s="116"/>
      <c r="S220" s="8"/>
      <c r="T220" s="116"/>
      <c r="U220" s="8"/>
      <c r="V220" s="8"/>
      <c r="W220" s="8"/>
      <c r="X220" s="116"/>
      <c r="Y220" s="116"/>
      <c r="Z220" s="116"/>
      <c r="AA220" s="116"/>
      <c r="AB220" s="116"/>
      <c r="AC220" s="8"/>
      <c r="AD220" s="116"/>
      <c r="AE220" s="3"/>
      <c r="AF220" s="3"/>
      <c r="AG220" s="3"/>
      <c r="AH220" s="3"/>
    </row>
    <row r="221" ht="14.25" customHeight="1">
      <c r="A221" s="3"/>
      <c r="B221" s="8"/>
      <c r="C221" s="8"/>
      <c r="D221" s="116"/>
      <c r="E221" s="116"/>
      <c r="F221" s="116"/>
      <c r="G221" s="116"/>
      <c r="H221" s="116"/>
      <c r="I221" s="8"/>
      <c r="J221" s="116"/>
      <c r="K221" s="8"/>
      <c r="L221" s="8"/>
      <c r="M221" s="8"/>
      <c r="N221" s="116"/>
      <c r="O221" s="116"/>
      <c r="P221" s="116"/>
      <c r="Q221" s="116"/>
      <c r="R221" s="116"/>
      <c r="S221" s="8"/>
      <c r="T221" s="116"/>
      <c r="U221" s="8"/>
      <c r="V221" s="8"/>
      <c r="W221" s="8"/>
      <c r="X221" s="116"/>
      <c r="Y221" s="116"/>
      <c r="Z221" s="116"/>
      <c r="AA221" s="116"/>
      <c r="AB221" s="116"/>
      <c r="AC221" s="8"/>
      <c r="AD221" s="116"/>
      <c r="AE221" s="3"/>
      <c r="AF221" s="3"/>
      <c r="AG221" s="3"/>
      <c r="AH221" s="3"/>
    </row>
    <row r="222" ht="14.25" customHeight="1">
      <c r="A222" s="3"/>
      <c r="B222" s="8"/>
      <c r="C222" s="8"/>
      <c r="D222" s="116"/>
      <c r="E222" s="116"/>
      <c r="F222" s="116"/>
      <c r="G222" s="116"/>
      <c r="H222" s="116"/>
      <c r="I222" s="8"/>
      <c r="J222" s="116"/>
      <c r="K222" s="8"/>
      <c r="L222" s="8"/>
      <c r="M222" s="8"/>
      <c r="N222" s="116"/>
      <c r="O222" s="116"/>
      <c r="P222" s="116"/>
      <c r="Q222" s="116"/>
      <c r="R222" s="116"/>
      <c r="S222" s="8"/>
      <c r="T222" s="116"/>
      <c r="U222" s="8"/>
      <c r="V222" s="8"/>
      <c r="W222" s="8"/>
      <c r="X222" s="116"/>
      <c r="Y222" s="116"/>
      <c r="Z222" s="116"/>
      <c r="AA222" s="116"/>
      <c r="AB222" s="116"/>
      <c r="AC222" s="8"/>
      <c r="AD222" s="116"/>
      <c r="AE222" s="3"/>
      <c r="AF222" s="3"/>
      <c r="AG222" s="3"/>
      <c r="AH222" s="3"/>
    </row>
    <row r="223" ht="14.25" customHeight="1">
      <c r="A223" s="3"/>
      <c r="B223" s="8"/>
      <c r="C223" s="8"/>
      <c r="D223" s="116"/>
      <c r="E223" s="116"/>
      <c r="F223" s="116"/>
      <c r="G223" s="116"/>
      <c r="H223" s="116"/>
      <c r="I223" s="8"/>
      <c r="J223" s="116"/>
      <c r="K223" s="8"/>
      <c r="L223" s="8"/>
      <c r="M223" s="8"/>
      <c r="N223" s="116"/>
      <c r="O223" s="116"/>
      <c r="P223" s="116"/>
      <c r="Q223" s="116"/>
      <c r="R223" s="116"/>
      <c r="S223" s="8"/>
      <c r="T223" s="116"/>
      <c r="U223" s="8"/>
      <c r="V223" s="8"/>
      <c r="W223" s="8"/>
      <c r="X223" s="116"/>
      <c r="Y223" s="116"/>
      <c r="Z223" s="116"/>
      <c r="AA223" s="116"/>
      <c r="AB223" s="116"/>
      <c r="AC223" s="8"/>
      <c r="AD223" s="116"/>
      <c r="AE223" s="3"/>
      <c r="AF223" s="3"/>
      <c r="AG223" s="3"/>
      <c r="AH223" s="3"/>
    </row>
    <row r="224" ht="14.25" customHeight="1">
      <c r="A224" s="3"/>
      <c r="B224" s="8"/>
      <c r="C224" s="8"/>
      <c r="D224" s="116"/>
      <c r="E224" s="116"/>
      <c r="F224" s="116"/>
      <c r="G224" s="116"/>
      <c r="H224" s="116"/>
      <c r="I224" s="8"/>
      <c r="J224" s="116"/>
      <c r="K224" s="8"/>
      <c r="L224" s="8"/>
      <c r="M224" s="8"/>
      <c r="N224" s="116"/>
      <c r="O224" s="116"/>
      <c r="P224" s="116"/>
      <c r="Q224" s="116"/>
      <c r="R224" s="116"/>
      <c r="S224" s="8"/>
      <c r="T224" s="116"/>
      <c r="U224" s="8"/>
      <c r="V224" s="8"/>
      <c r="W224" s="8"/>
      <c r="X224" s="116"/>
      <c r="Y224" s="116"/>
      <c r="Z224" s="116"/>
      <c r="AA224" s="116"/>
      <c r="AB224" s="116"/>
      <c r="AC224" s="8"/>
      <c r="AD224" s="116"/>
      <c r="AE224" s="3"/>
      <c r="AF224" s="3"/>
      <c r="AG224" s="3"/>
      <c r="AH224" s="3"/>
    </row>
    <row r="225" ht="14.25" customHeight="1">
      <c r="A225" s="3"/>
      <c r="B225" s="8"/>
      <c r="C225" s="8"/>
      <c r="D225" s="116"/>
      <c r="E225" s="116"/>
      <c r="F225" s="116"/>
      <c r="G225" s="116"/>
      <c r="H225" s="116"/>
      <c r="I225" s="8"/>
      <c r="J225" s="116"/>
      <c r="K225" s="8"/>
      <c r="L225" s="8"/>
      <c r="M225" s="8"/>
      <c r="N225" s="116"/>
      <c r="O225" s="116"/>
      <c r="P225" s="116"/>
      <c r="Q225" s="116"/>
      <c r="R225" s="116"/>
      <c r="S225" s="8"/>
      <c r="T225" s="116"/>
      <c r="U225" s="8"/>
      <c r="V225" s="8"/>
      <c r="W225" s="8"/>
      <c r="X225" s="116"/>
      <c r="Y225" s="116"/>
      <c r="Z225" s="116"/>
      <c r="AA225" s="116"/>
      <c r="AB225" s="116"/>
      <c r="AC225" s="8"/>
      <c r="AD225" s="116"/>
      <c r="AE225" s="3"/>
      <c r="AF225" s="8"/>
      <c r="AG225" s="8"/>
      <c r="AH225" s="3"/>
    </row>
    <row r="226" ht="14.25" customHeight="1">
      <c r="A226" s="3"/>
      <c r="B226" s="8"/>
      <c r="C226" s="8"/>
      <c r="D226" s="116"/>
      <c r="E226" s="116"/>
      <c r="F226" s="116"/>
      <c r="G226" s="116"/>
      <c r="H226" s="116"/>
      <c r="I226" s="8"/>
      <c r="J226" s="116"/>
      <c r="K226" s="8"/>
      <c r="L226" s="8"/>
      <c r="M226" s="8"/>
      <c r="N226" s="116"/>
      <c r="O226" s="116"/>
      <c r="P226" s="116"/>
      <c r="Q226" s="116"/>
      <c r="R226" s="116"/>
      <c r="S226" s="8"/>
      <c r="T226" s="116"/>
      <c r="U226" s="8"/>
      <c r="V226" s="8"/>
      <c r="W226" s="8"/>
      <c r="X226" s="116"/>
      <c r="Y226" s="116"/>
      <c r="Z226" s="116"/>
      <c r="AA226" s="116"/>
      <c r="AB226" s="116"/>
      <c r="AC226" s="8"/>
      <c r="AD226" s="116"/>
      <c r="AE226" s="3"/>
      <c r="AF226" s="8"/>
      <c r="AG226" s="8"/>
      <c r="AH226" s="3"/>
    </row>
    <row r="227" ht="14.25" customHeight="1">
      <c r="A227" s="3"/>
      <c r="B227" s="8"/>
      <c r="C227" s="8"/>
      <c r="D227" s="116"/>
      <c r="E227" s="116"/>
      <c r="F227" s="116"/>
      <c r="G227" s="116"/>
      <c r="H227" s="116"/>
      <c r="I227" s="8"/>
      <c r="J227" s="116"/>
      <c r="K227" s="8"/>
      <c r="L227" s="8"/>
      <c r="M227" s="8"/>
      <c r="N227" s="116"/>
      <c r="O227" s="116"/>
      <c r="P227" s="116"/>
      <c r="Q227" s="116"/>
      <c r="R227" s="116"/>
      <c r="S227" s="8"/>
      <c r="T227" s="116"/>
      <c r="U227" s="8"/>
      <c r="V227" s="8"/>
      <c r="W227" s="8"/>
      <c r="X227" s="116"/>
      <c r="Y227" s="116"/>
      <c r="Z227" s="116"/>
      <c r="AA227" s="116"/>
      <c r="AB227" s="116"/>
      <c r="AC227" s="8"/>
      <c r="AD227" s="116"/>
      <c r="AE227" s="3"/>
      <c r="AF227" s="8"/>
      <c r="AG227" s="8"/>
      <c r="AH227" s="3"/>
    </row>
    <row r="228" ht="14.25" customHeight="1">
      <c r="A228" s="3"/>
      <c r="B228" s="8"/>
      <c r="C228" s="8"/>
      <c r="D228" s="116"/>
      <c r="E228" s="116"/>
      <c r="F228" s="116"/>
      <c r="G228" s="116"/>
      <c r="H228" s="116"/>
      <c r="I228" s="8"/>
      <c r="J228" s="116"/>
      <c r="K228" s="8"/>
      <c r="L228" s="8"/>
      <c r="M228" s="8"/>
      <c r="N228" s="116"/>
      <c r="O228" s="116"/>
      <c r="P228" s="116"/>
      <c r="Q228" s="116"/>
      <c r="R228" s="116"/>
      <c r="S228" s="8"/>
      <c r="T228" s="116"/>
      <c r="U228" s="8"/>
      <c r="V228" s="8"/>
      <c r="W228" s="8"/>
      <c r="X228" s="116"/>
      <c r="Y228" s="116"/>
      <c r="Z228" s="116"/>
      <c r="AA228" s="116"/>
      <c r="AB228" s="116"/>
      <c r="AC228" s="8"/>
      <c r="AD228" s="116"/>
      <c r="AE228" s="3"/>
      <c r="AF228" s="8"/>
      <c r="AG228" s="8"/>
      <c r="AH228" s="3"/>
    </row>
    <row r="229" ht="14.25" customHeight="1">
      <c r="A229" s="3"/>
      <c r="B229" s="8"/>
      <c r="C229" s="8"/>
      <c r="D229" s="116"/>
      <c r="E229" s="116"/>
      <c r="F229" s="116"/>
      <c r="G229" s="116"/>
      <c r="H229" s="116"/>
      <c r="I229" s="8"/>
      <c r="J229" s="116"/>
      <c r="K229" s="8"/>
      <c r="L229" s="8"/>
      <c r="M229" s="8"/>
      <c r="N229" s="116"/>
      <c r="O229" s="116"/>
      <c r="P229" s="116"/>
      <c r="Q229" s="116"/>
      <c r="R229" s="116"/>
      <c r="S229" s="8"/>
      <c r="T229" s="116"/>
      <c r="U229" s="8"/>
      <c r="V229" s="8"/>
      <c r="W229" s="8"/>
      <c r="X229" s="116"/>
      <c r="Y229" s="116"/>
      <c r="Z229" s="116"/>
      <c r="AA229" s="116"/>
      <c r="AB229" s="116"/>
      <c r="AC229" s="8"/>
      <c r="AD229" s="116"/>
      <c r="AE229" s="3"/>
      <c r="AF229" s="8"/>
      <c r="AG229" s="8"/>
      <c r="AH229" s="3"/>
    </row>
    <row r="230" ht="14.25" customHeight="1">
      <c r="A230" s="3"/>
      <c r="B230" s="8"/>
      <c r="C230" s="8"/>
      <c r="D230" s="116"/>
      <c r="E230" s="116"/>
      <c r="F230" s="116"/>
      <c r="G230" s="116"/>
      <c r="H230" s="116"/>
      <c r="I230" s="8"/>
      <c r="J230" s="116"/>
      <c r="K230" s="8"/>
      <c r="L230" s="8"/>
      <c r="M230" s="8"/>
      <c r="N230" s="116"/>
      <c r="O230" s="116"/>
      <c r="P230" s="116"/>
      <c r="Q230" s="116"/>
      <c r="R230" s="116"/>
      <c r="S230" s="8"/>
      <c r="T230" s="116"/>
      <c r="U230" s="8"/>
      <c r="V230" s="8"/>
      <c r="W230" s="8"/>
      <c r="X230" s="116"/>
      <c r="Y230" s="116"/>
      <c r="Z230" s="116"/>
      <c r="AA230" s="116"/>
      <c r="AB230" s="116"/>
      <c r="AC230" s="8"/>
      <c r="AD230" s="116"/>
      <c r="AE230" s="3"/>
      <c r="AF230" s="8"/>
      <c r="AG230" s="8"/>
      <c r="AH230" s="3"/>
    </row>
    <row r="231" ht="14.25" customHeight="1">
      <c r="A231" s="3"/>
      <c r="B231" s="8"/>
      <c r="C231" s="8"/>
      <c r="D231" s="116"/>
      <c r="E231" s="116"/>
      <c r="F231" s="116"/>
      <c r="G231" s="116"/>
      <c r="H231" s="116"/>
      <c r="I231" s="8"/>
      <c r="J231" s="116"/>
      <c r="K231" s="8"/>
      <c r="L231" s="8"/>
      <c r="M231" s="8"/>
      <c r="N231" s="116"/>
      <c r="O231" s="116"/>
      <c r="P231" s="116"/>
      <c r="Q231" s="116"/>
      <c r="R231" s="116"/>
      <c r="S231" s="8"/>
      <c r="T231" s="116"/>
      <c r="U231" s="8"/>
      <c r="V231" s="8"/>
      <c r="W231" s="8"/>
      <c r="X231" s="116"/>
      <c r="Y231" s="116"/>
      <c r="Z231" s="116"/>
      <c r="AA231" s="116"/>
      <c r="AB231" s="116"/>
      <c r="AC231" s="8"/>
      <c r="AD231" s="116"/>
      <c r="AE231" s="3"/>
      <c r="AF231" s="8"/>
      <c r="AG231" s="8"/>
      <c r="AH231" s="3"/>
    </row>
    <row r="232" ht="14.25" customHeight="1">
      <c r="A232" s="3"/>
      <c r="B232" s="8"/>
      <c r="C232" s="8"/>
      <c r="D232" s="116"/>
      <c r="E232" s="116"/>
      <c r="F232" s="116"/>
      <c r="G232" s="116"/>
      <c r="H232" s="116"/>
      <c r="I232" s="8"/>
      <c r="J232" s="116"/>
      <c r="K232" s="8"/>
      <c r="L232" s="8"/>
      <c r="M232" s="8"/>
      <c r="N232" s="116"/>
      <c r="O232" s="116"/>
      <c r="P232" s="116"/>
      <c r="Q232" s="116"/>
      <c r="R232" s="116"/>
      <c r="S232" s="8"/>
      <c r="T232" s="116"/>
      <c r="U232" s="8"/>
      <c r="V232" s="8"/>
      <c r="W232" s="8"/>
      <c r="X232" s="116"/>
      <c r="Y232" s="116"/>
      <c r="Z232" s="116"/>
      <c r="AA232" s="116"/>
      <c r="AB232" s="116"/>
      <c r="AC232" s="8"/>
      <c r="AD232" s="116"/>
      <c r="AE232" s="3"/>
      <c r="AF232" s="8"/>
      <c r="AG232" s="8"/>
      <c r="AH232" s="3"/>
    </row>
    <row r="233" ht="14.25" customHeight="1">
      <c r="A233" s="3"/>
      <c r="B233" s="8"/>
      <c r="C233" s="8"/>
      <c r="D233" s="116"/>
      <c r="E233" s="116"/>
      <c r="F233" s="116"/>
      <c r="G233" s="116"/>
      <c r="H233" s="116"/>
      <c r="I233" s="8"/>
      <c r="J233" s="116"/>
      <c r="K233" s="8"/>
      <c r="L233" s="8"/>
      <c r="M233" s="8"/>
      <c r="N233" s="116"/>
      <c r="O233" s="116"/>
      <c r="P233" s="116"/>
      <c r="Q233" s="116"/>
      <c r="R233" s="116"/>
      <c r="S233" s="8"/>
      <c r="T233" s="116"/>
      <c r="U233" s="8"/>
      <c r="V233" s="8"/>
      <c r="W233" s="8"/>
      <c r="X233" s="116"/>
      <c r="Y233" s="116"/>
      <c r="Z233" s="116"/>
      <c r="AA233" s="116"/>
      <c r="AB233" s="116"/>
      <c r="AC233" s="8"/>
      <c r="AD233" s="116"/>
      <c r="AE233" s="3"/>
      <c r="AF233" s="8"/>
      <c r="AG233" s="8"/>
      <c r="AH233" s="3"/>
    </row>
    <row r="234" ht="14.25" customHeight="1">
      <c r="A234" s="3"/>
      <c r="B234" s="8"/>
      <c r="C234" s="8"/>
      <c r="D234" s="116"/>
      <c r="E234" s="116"/>
      <c r="F234" s="116"/>
      <c r="G234" s="116"/>
      <c r="H234" s="116"/>
      <c r="I234" s="8"/>
      <c r="J234" s="116"/>
      <c r="K234" s="8"/>
      <c r="L234" s="8"/>
      <c r="M234" s="8"/>
      <c r="N234" s="116"/>
      <c r="O234" s="116"/>
      <c r="P234" s="116"/>
      <c r="Q234" s="116"/>
      <c r="R234" s="116"/>
      <c r="S234" s="8"/>
      <c r="T234" s="116"/>
      <c r="U234" s="8"/>
      <c r="V234" s="8"/>
      <c r="W234" s="8"/>
      <c r="X234" s="116"/>
      <c r="Y234" s="116"/>
      <c r="Z234" s="116"/>
      <c r="AA234" s="116"/>
      <c r="AB234" s="116"/>
      <c r="AC234" s="8"/>
      <c r="AD234" s="116"/>
      <c r="AE234" s="3"/>
      <c r="AF234" s="8"/>
      <c r="AG234" s="8"/>
      <c r="AH234" s="3"/>
    </row>
    <row r="235" ht="14.25" customHeight="1">
      <c r="A235" s="3"/>
      <c r="B235" s="8"/>
      <c r="C235" s="8"/>
      <c r="D235" s="116"/>
      <c r="E235" s="116"/>
      <c r="F235" s="116"/>
      <c r="G235" s="116"/>
      <c r="H235" s="116"/>
      <c r="I235" s="8"/>
      <c r="J235" s="116"/>
      <c r="K235" s="8"/>
      <c r="L235" s="8"/>
      <c r="M235" s="8"/>
      <c r="N235" s="116"/>
      <c r="O235" s="116"/>
      <c r="P235" s="116"/>
      <c r="Q235" s="116"/>
      <c r="R235" s="116"/>
      <c r="S235" s="8"/>
      <c r="T235" s="116"/>
      <c r="U235" s="8"/>
      <c r="V235" s="8"/>
      <c r="W235" s="8"/>
      <c r="X235" s="116"/>
      <c r="Y235" s="116"/>
      <c r="Z235" s="116"/>
      <c r="AA235" s="116"/>
      <c r="AB235" s="116"/>
      <c r="AC235" s="8"/>
      <c r="AD235" s="116"/>
      <c r="AE235" s="3"/>
      <c r="AF235" s="8"/>
      <c r="AG235" s="8"/>
      <c r="AH235" s="3"/>
    </row>
    <row r="236" ht="14.25" customHeight="1">
      <c r="A236" s="3"/>
      <c r="B236" s="8"/>
      <c r="C236" s="8"/>
      <c r="D236" s="116"/>
      <c r="E236" s="116"/>
      <c r="F236" s="116"/>
      <c r="G236" s="116"/>
      <c r="H236" s="116"/>
      <c r="I236" s="8"/>
      <c r="J236" s="116"/>
      <c r="K236" s="8"/>
      <c r="L236" s="8"/>
      <c r="M236" s="8"/>
      <c r="N236" s="116"/>
      <c r="O236" s="116"/>
      <c r="P236" s="116"/>
      <c r="Q236" s="116"/>
      <c r="R236" s="116"/>
      <c r="S236" s="8"/>
      <c r="T236" s="116"/>
      <c r="U236" s="8"/>
      <c r="V236" s="8"/>
      <c r="W236" s="8"/>
      <c r="X236" s="116"/>
      <c r="Y236" s="116"/>
      <c r="Z236" s="116"/>
      <c r="AA236" s="116"/>
      <c r="AB236" s="116"/>
      <c r="AC236" s="8"/>
      <c r="AD236" s="116"/>
      <c r="AE236" s="3"/>
      <c r="AF236" s="8"/>
      <c r="AG236" s="8"/>
      <c r="AH236" s="3"/>
    </row>
    <row r="237" ht="14.25" customHeight="1">
      <c r="A237" s="3"/>
      <c r="B237" s="8"/>
      <c r="C237" s="8"/>
      <c r="D237" s="116"/>
      <c r="E237" s="116"/>
      <c r="F237" s="116"/>
      <c r="G237" s="116"/>
      <c r="H237" s="116"/>
      <c r="I237" s="8"/>
      <c r="J237" s="116"/>
      <c r="K237" s="8"/>
      <c r="L237" s="8"/>
      <c r="M237" s="8"/>
      <c r="N237" s="116"/>
      <c r="O237" s="116"/>
      <c r="P237" s="116"/>
      <c r="Q237" s="116"/>
      <c r="R237" s="116"/>
      <c r="S237" s="8"/>
      <c r="T237" s="116"/>
      <c r="U237" s="8"/>
      <c r="V237" s="8"/>
      <c r="W237" s="8"/>
      <c r="X237" s="116"/>
      <c r="Y237" s="116"/>
      <c r="Z237" s="116"/>
      <c r="AA237" s="116"/>
      <c r="AB237" s="116"/>
      <c r="AC237" s="8"/>
      <c r="AD237" s="116"/>
      <c r="AE237" s="3"/>
      <c r="AF237" s="8"/>
      <c r="AG237" s="8"/>
      <c r="AH237" s="3"/>
    </row>
    <row r="238" ht="14.25" customHeight="1">
      <c r="A238" s="3"/>
      <c r="B238" s="8"/>
      <c r="C238" s="8"/>
      <c r="D238" s="116"/>
      <c r="E238" s="116"/>
      <c r="F238" s="116"/>
      <c r="G238" s="116"/>
      <c r="H238" s="116"/>
      <c r="I238" s="8"/>
      <c r="J238" s="116"/>
      <c r="K238" s="8"/>
      <c r="L238" s="8"/>
      <c r="M238" s="8"/>
      <c r="N238" s="116"/>
      <c r="O238" s="116"/>
      <c r="P238" s="116"/>
      <c r="Q238" s="116"/>
      <c r="R238" s="116"/>
      <c r="S238" s="8"/>
      <c r="T238" s="116"/>
      <c r="U238" s="8"/>
      <c r="V238" s="8"/>
      <c r="W238" s="8"/>
      <c r="X238" s="116"/>
      <c r="Y238" s="116"/>
      <c r="Z238" s="116"/>
      <c r="AA238" s="116"/>
      <c r="AB238" s="116"/>
      <c r="AC238" s="8"/>
      <c r="AD238" s="116"/>
      <c r="AE238" s="3"/>
      <c r="AF238" s="8"/>
      <c r="AG238" s="8"/>
      <c r="AH238" s="3"/>
    </row>
    <row r="239" ht="14.25" customHeight="1">
      <c r="A239" s="3"/>
      <c r="B239" s="8"/>
      <c r="C239" s="8"/>
      <c r="D239" s="116"/>
      <c r="E239" s="116"/>
      <c r="F239" s="116"/>
      <c r="G239" s="116"/>
      <c r="H239" s="116"/>
      <c r="I239" s="8"/>
      <c r="J239" s="116"/>
      <c r="K239" s="8"/>
      <c r="L239" s="8"/>
      <c r="M239" s="8"/>
      <c r="N239" s="116"/>
      <c r="O239" s="116"/>
      <c r="P239" s="116"/>
      <c r="Q239" s="116"/>
      <c r="R239" s="116"/>
      <c r="S239" s="8"/>
      <c r="T239" s="116"/>
      <c r="U239" s="8"/>
      <c r="V239" s="8"/>
      <c r="W239" s="8"/>
      <c r="X239" s="116"/>
      <c r="Y239" s="116"/>
      <c r="Z239" s="116"/>
      <c r="AA239" s="116"/>
      <c r="AB239" s="116"/>
      <c r="AC239" s="8"/>
      <c r="AD239" s="116"/>
      <c r="AE239" s="3"/>
      <c r="AF239" s="8"/>
      <c r="AG239" s="8"/>
      <c r="AH239" s="3"/>
    </row>
    <row r="240" ht="14.25" customHeight="1">
      <c r="A240" s="3"/>
      <c r="B240" s="8"/>
      <c r="C240" s="8"/>
      <c r="D240" s="116"/>
      <c r="E240" s="116"/>
      <c r="F240" s="116"/>
      <c r="G240" s="116"/>
      <c r="H240" s="116"/>
      <c r="I240" s="8"/>
      <c r="J240" s="116"/>
      <c r="K240" s="8"/>
      <c r="L240" s="8"/>
      <c r="M240" s="8"/>
      <c r="N240" s="116"/>
      <c r="O240" s="116"/>
      <c r="P240" s="116"/>
      <c r="Q240" s="116"/>
      <c r="R240" s="116"/>
      <c r="S240" s="8"/>
      <c r="T240" s="116"/>
      <c r="U240" s="8"/>
      <c r="V240" s="8"/>
      <c r="W240" s="8"/>
      <c r="X240" s="116"/>
      <c r="Y240" s="116"/>
      <c r="Z240" s="116"/>
      <c r="AA240" s="116"/>
      <c r="AB240" s="116"/>
      <c r="AC240" s="8"/>
      <c r="AD240" s="116"/>
      <c r="AE240" s="3"/>
      <c r="AF240" s="8"/>
      <c r="AG240" s="8"/>
      <c r="AH240" s="3"/>
    </row>
    <row r="241" ht="14.25" customHeight="1">
      <c r="A241" s="3"/>
      <c r="B241" s="8"/>
      <c r="C241" s="8"/>
      <c r="D241" s="116"/>
      <c r="E241" s="116"/>
      <c r="F241" s="116"/>
      <c r="G241" s="116"/>
      <c r="H241" s="116"/>
      <c r="I241" s="8"/>
      <c r="J241" s="116"/>
      <c r="K241" s="8"/>
      <c r="L241" s="8"/>
      <c r="M241" s="8"/>
      <c r="N241" s="116"/>
      <c r="O241" s="116"/>
      <c r="P241" s="116"/>
      <c r="Q241" s="116"/>
      <c r="R241" s="116"/>
      <c r="S241" s="8"/>
      <c r="T241" s="116"/>
      <c r="U241" s="8"/>
      <c r="V241" s="8"/>
      <c r="W241" s="8"/>
      <c r="X241" s="116"/>
      <c r="Y241" s="116"/>
      <c r="Z241" s="116"/>
      <c r="AA241" s="116"/>
      <c r="AB241" s="116"/>
      <c r="AC241" s="8"/>
      <c r="AD241" s="116"/>
      <c r="AE241" s="3"/>
      <c r="AF241" s="8"/>
      <c r="AG241" s="8"/>
      <c r="AH241" s="3"/>
    </row>
    <row r="242" ht="14.25" customHeight="1">
      <c r="A242" s="3"/>
      <c r="B242" s="8"/>
      <c r="C242" s="8"/>
      <c r="D242" s="116"/>
      <c r="E242" s="116"/>
      <c r="F242" s="116"/>
      <c r="G242" s="116"/>
      <c r="H242" s="116"/>
      <c r="I242" s="8"/>
      <c r="J242" s="116"/>
      <c r="K242" s="8"/>
      <c r="L242" s="8"/>
      <c r="M242" s="8"/>
      <c r="N242" s="116"/>
      <c r="O242" s="116"/>
      <c r="P242" s="116"/>
      <c r="Q242" s="116"/>
      <c r="R242" s="116"/>
      <c r="S242" s="8"/>
      <c r="T242" s="116"/>
      <c r="U242" s="8"/>
      <c r="V242" s="8"/>
      <c r="W242" s="8"/>
      <c r="X242" s="116"/>
      <c r="Y242" s="116"/>
      <c r="Z242" s="116"/>
      <c r="AA242" s="116"/>
      <c r="AB242" s="116"/>
      <c r="AC242" s="8"/>
      <c r="AD242" s="116"/>
      <c r="AE242" s="3"/>
      <c r="AF242" s="8"/>
      <c r="AG242" s="8"/>
      <c r="AH242" s="3"/>
    </row>
    <row r="243" ht="14.25" customHeight="1">
      <c r="A243" s="3"/>
      <c r="B243" s="8"/>
      <c r="C243" s="8"/>
      <c r="D243" s="116"/>
      <c r="E243" s="116"/>
      <c r="F243" s="116"/>
      <c r="G243" s="116"/>
      <c r="H243" s="116"/>
      <c r="I243" s="8"/>
      <c r="J243" s="116"/>
      <c r="K243" s="8"/>
      <c r="L243" s="8"/>
      <c r="M243" s="8"/>
      <c r="N243" s="116"/>
      <c r="O243" s="116"/>
      <c r="P243" s="116"/>
      <c r="Q243" s="116"/>
      <c r="R243" s="116"/>
      <c r="S243" s="8"/>
      <c r="T243" s="116"/>
      <c r="U243" s="8"/>
      <c r="V243" s="8"/>
      <c r="W243" s="8"/>
      <c r="X243" s="116"/>
      <c r="Y243" s="116"/>
      <c r="Z243" s="116"/>
      <c r="AA243" s="116"/>
      <c r="AB243" s="116"/>
      <c r="AC243" s="8"/>
      <c r="AD243" s="116"/>
      <c r="AE243" s="3"/>
      <c r="AF243" s="8"/>
      <c r="AG243" s="8"/>
      <c r="AH243" s="3"/>
    </row>
    <row r="244" ht="14.25" customHeight="1">
      <c r="A244" s="3"/>
      <c r="B244" s="8"/>
      <c r="C244" s="8"/>
      <c r="D244" s="116"/>
      <c r="E244" s="116"/>
      <c r="F244" s="116"/>
      <c r="G244" s="116"/>
      <c r="H244" s="116"/>
      <c r="I244" s="8"/>
      <c r="J244" s="116"/>
      <c r="K244" s="8"/>
      <c r="L244" s="8"/>
      <c r="M244" s="8"/>
      <c r="N244" s="116"/>
      <c r="O244" s="116"/>
      <c r="P244" s="116"/>
      <c r="Q244" s="116"/>
      <c r="R244" s="116"/>
      <c r="S244" s="8"/>
      <c r="T244" s="116"/>
      <c r="U244" s="8"/>
      <c r="V244" s="8"/>
      <c r="W244" s="8"/>
      <c r="X244" s="116"/>
      <c r="Y244" s="116"/>
      <c r="Z244" s="116"/>
      <c r="AA244" s="116"/>
      <c r="AB244" s="116"/>
      <c r="AC244" s="8"/>
      <c r="AD244" s="116"/>
      <c r="AE244" s="3"/>
      <c r="AF244" s="8"/>
      <c r="AG244" s="8"/>
      <c r="AH244" s="3"/>
    </row>
    <row r="245" ht="14.25" customHeight="1">
      <c r="A245" s="3"/>
      <c r="B245" s="8"/>
      <c r="C245" s="8"/>
      <c r="D245" s="116"/>
      <c r="E245" s="116"/>
      <c r="F245" s="116"/>
      <c r="G245" s="116"/>
      <c r="H245" s="116"/>
      <c r="I245" s="8"/>
      <c r="J245" s="116"/>
      <c r="K245" s="8"/>
      <c r="L245" s="8"/>
      <c r="M245" s="8"/>
      <c r="N245" s="116"/>
      <c r="O245" s="116"/>
      <c r="P245" s="116"/>
      <c r="Q245" s="116"/>
      <c r="R245" s="116"/>
      <c r="S245" s="8"/>
      <c r="T245" s="116"/>
      <c r="U245" s="8"/>
      <c r="V245" s="8"/>
      <c r="W245" s="8"/>
      <c r="X245" s="116"/>
      <c r="Y245" s="116"/>
      <c r="Z245" s="116"/>
      <c r="AA245" s="116"/>
      <c r="AB245" s="116"/>
      <c r="AC245" s="8"/>
      <c r="AD245" s="116"/>
      <c r="AE245" s="3"/>
      <c r="AF245" s="8"/>
      <c r="AG245" s="8"/>
      <c r="AH245" s="3"/>
    </row>
    <row r="246" ht="14.25" customHeight="1">
      <c r="A246" s="3"/>
      <c r="B246" s="8"/>
      <c r="C246" s="8"/>
      <c r="D246" s="116"/>
      <c r="E246" s="116"/>
      <c r="F246" s="116"/>
      <c r="G246" s="116"/>
      <c r="H246" s="116"/>
      <c r="I246" s="8"/>
      <c r="J246" s="116"/>
      <c r="K246" s="8"/>
      <c r="L246" s="8"/>
      <c r="M246" s="8"/>
      <c r="N246" s="116"/>
      <c r="O246" s="116"/>
      <c r="P246" s="116"/>
      <c r="Q246" s="116"/>
      <c r="R246" s="116"/>
      <c r="S246" s="8"/>
      <c r="T246" s="116"/>
      <c r="U246" s="8"/>
      <c r="V246" s="8"/>
      <c r="W246" s="8"/>
      <c r="X246" s="116"/>
      <c r="Y246" s="116"/>
      <c r="Z246" s="116"/>
      <c r="AA246" s="116"/>
      <c r="AB246" s="116"/>
      <c r="AC246" s="8"/>
      <c r="AD246" s="116"/>
      <c r="AE246" s="3"/>
      <c r="AF246" s="8"/>
      <c r="AG246" s="8"/>
      <c r="AH246" s="3"/>
    </row>
    <row r="247" ht="14.25" customHeight="1">
      <c r="A247" s="3"/>
      <c r="B247" s="8"/>
      <c r="C247" s="8"/>
      <c r="D247" s="116"/>
      <c r="E247" s="116"/>
      <c r="F247" s="116"/>
      <c r="G247" s="116"/>
      <c r="H247" s="116"/>
      <c r="I247" s="8"/>
      <c r="J247" s="116"/>
      <c r="K247" s="8"/>
      <c r="L247" s="8"/>
      <c r="M247" s="8"/>
      <c r="N247" s="116"/>
      <c r="O247" s="116"/>
      <c r="P247" s="116"/>
      <c r="Q247" s="116"/>
      <c r="R247" s="116"/>
      <c r="S247" s="8"/>
      <c r="T247" s="116"/>
      <c r="U247" s="8"/>
      <c r="V247" s="8"/>
      <c r="W247" s="8"/>
      <c r="X247" s="116"/>
      <c r="Y247" s="116"/>
      <c r="Z247" s="116"/>
      <c r="AA247" s="116"/>
      <c r="AB247" s="116"/>
      <c r="AC247" s="8"/>
      <c r="AD247" s="116"/>
      <c r="AE247" s="3"/>
      <c r="AF247" s="8"/>
      <c r="AG247" s="8"/>
      <c r="AH247" s="3"/>
    </row>
    <row r="248" ht="14.25" customHeight="1">
      <c r="A248" s="3"/>
      <c r="B248" s="8"/>
      <c r="C248" s="8"/>
      <c r="D248" s="116"/>
      <c r="E248" s="116"/>
      <c r="F248" s="116"/>
      <c r="G248" s="116"/>
      <c r="H248" s="116"/>
      <c r="I248" s="8"/>
      <c r="J248" s="116"/>
      <c r="K248" s="8"/>
      <c r="L248" s="8"/>
      <c r="M248" s="8"/>
      <c r="N248" s="116"/>
      <c r="O248" s="116"/>
      <c r="P248" s="116"/>
      <c r="Q248" s="116"/>
      <c r="R248" s="116"/>
      <c r="S248" s="8"/>
      <c r="T248" s="116"/>
      <c r="U248" s="8"/>
      <c r="V248" s="8"/>
      <c r="W248" s="8"/>
      <c r="X248" s="116"/>
      <c r="Y248" s="116"/>
      <c r="Z248" s="116"/>
      <c r="AA248" s="116"/>
      <c r="AB248" s="116"/>
      <c r="AC248" s="8"/>
      <c r="AD248" s="116"/>
      <c r="AE248" s="3"/>
      <c r="AF248" s="8"/>
      <c r="AG248" s="8"/>
      <c r="AH248" s="3"/>
    </row>
    <row r="249" ht="14.25" customHeight="1">
      <c r="A249" s="3"/>
      <c r="B249" s="8"/>
      <c r="C249" s="8"/>
      <c r="D249" s="116"/>
      <c r="E249" s="116"/>
      <c r="F249" s="116"/>
      <c r="G249" s="116"/>
      <c r="H249" s="116"/>
      <c r="I249" s="8"/>
      <c r="J249" s="116"/>
      <c r="K249" s="8"/>
      <c r="L249" s="8"/>
      <c r="M249" s="8"/>
      <c r="N249" s="116"/>
      <c r="O249" s="116"/>
      <c r="P249" s="116"/>
      <c r="Q249" s="116"/>
      <c r="R249" s="116"/>
      <c r="S249" s="8"/>
      <c r="T249" s="116"/>
      <c r="U249" s="8"/>
      <c r="V249" s="8"/>
      <c r="W249" s="8"/>
      <c r="X249" s="116"/>
      <c r="Y249" s="116"/>
      <c r="Z249" s="116"/>
      <c r="AA249" s="116"/>
      <c r="AB249" s="116"/>
      <c r="AC249" s="8"/>
      <c r="AD249" s="116"/>
      <c r="AE249" s="3"/>
      <c r="AF249" s="8"/>
      <c r="AG249" s="8"/>
      <c r="AH249" s="3"/>
    </row>
    <row r="250" ht="14.25" customHeight="1">
      <c r="A250" s="3"/>
      <c r="B250" s="8"/>
      <c r="C250" s="8"/>
      <c r="D250" s="116"/>
      <c r="E250" s="116"/>
      <c r="F250" s="116"/>
      <c r="G250" s="116"/>
      <c r="H250" s="116"/>
      <c r="I250" s="8"/>
      <c r="J250" s="116"/>
      <c r="K250" s="8"/>
      <c r="L250" s="8"/>
      <c r="M250" s="8"/>
      <c r="N250" s="116"/>
      <c r="O250" s="116"/>
      <c r="P250" s="116"/>
      <c r="Q250" s="116"/>
      <c r="R250" s="116"/>
      <c r="S250" s="8"/>
      <c r="T250" s="116"/>
      <c r="U250" s="8"/>
      <c r="V250" s="8"/>
      <c r="W250" s="8"/>
      <c r="X250" s="116"/>
      <c r="Y250" s="116"/>
      <c r="Z250" s="116"/>
      <c r="AA250" s="116"/>
      <c r="AB250" s="116"/>
      <c r="AC250" s="8"/>
      <c r="AD250" s="116"/>
      <c r="AE250" s="3"/>
      <c r="AF250" s="8"/>
      <c r="AG250" s="8"/>
      <c r="AH250" s="3"/>
    </row>
    <row r="251" ht="14.25" customHeight="1">
      <c r="A251" s="3"/>
      <c r="B251" s="8"/>
      <c r="C251" s="8"/>
      <c r="D251" s="116"/>
      <c r="E251" s="116"/>
      <c r="F251" s="116"/>
      <c r="G251" s="116"/>
      <c r="H251" s="116"/>
      <c r="I251" s="8"/>
      <c r="J251" s="116"/>
      <c r="K251" s="8"/>
      <c r="L251" s="8"/>
      <c r="M251" s="8"/>
      <c r="N251" s="116"/>
      <c r="O251" s="116"/>
      <c r="P251" s="116"/>
      <c r="Q251" s="116"/>
      <c r="R251" s="116"/>
      <c r="S251" s="8"/>
      <c r="T251" s="116"/>
      <c r="U251" s="8"/>
      <c r="V251" s="8"/>
      <c r="W251" s="8"/>
      <c r="X251" s="116"/>
      <c r="Y251" s="116"/>
      <c r="Z251" s="116"/>
      <c r="AA251" s="116"/>
      <c r="AB251" s="116"/>
      <c r="AC251" s="8"/>
      <c r="AD251" s="116"/>
      <c r="AE251" s="3"/>
      <c r="AF251" s="8"/>
      <c r="AG251" s="8"/>
      <c r="AH251" s="3"/>
    </row>
    <row r="252" ht="14.25" customHeight="1">
      <c r="A252" s="3"/>
      <c r="B252" s="8"/>
      <c r="C252" s="8"/>
      <c r="D252" s="116"/>
      <c r="E252" s="116"/>
      <c r="F252" s="116"/>
      <c r="G252" s="116"/>
      <c r="H252" s="116"/>
      <c r="I252" s="8"/>
      <c r="J252" s="116"/>
      <c r="K252" s="8"/>
      <c r="L252" s="8"/>
      <c r="M252" s="8"/>
      <c r="N252" s="116"/>
      <c r="O252" s="116"/>
      <c r="P252" s="116"/>
      <c r="Q252" s="116"/>
      <c r="R252" s="116"/>
      <c r="S252" s="8"/>
      <c r="T252" s="116"/>
      <c r="U252" s="8"/>
      <c r="V252" s="8"/>
      <c r="W252" s="8"/>
      <c r="X252" s="116"/>
      <c r="Y252" s="116"/>
      <c r="Z252" s="116"/>
      <c r="AA252" s="116"/>
      <c r="AB252" s="116"/>
      <c r="AC252" s="8"/>
      <c r="AD252" s="116"/>
      <c r="AE252" s="3"/>
      <c r="AF252" s="8"/>
      <c r="AG252" s="8"/>
      <c r="AH252" s="3"/>
    </row>
    <row r="253" ht="14.25" customHeight="1">
      <c r="A253" s="3"/>
      <c r="B253" s="8"/>
      <c r="C253" s="8"/>
      <c r="D253" s="116"/>
      <c r="E253" s="116"/>
      <c r="F253" s="116"/>
      <c r="G253" s="116"/>
      <c r="H253" s="116"/>
      <c r="I253" s="8"/>
      <c r="J253" s="116"/>
      <c r="K253" s="8"/>
      <c r="L253" s="8"/>
      <c r="M253" s="8"/>
      <c r="N253" s="116"/>
      <c r="O253" s="116"/>
      <c r="P253" s="116"/>
      <c r="Q253" s="116"/>
      <c r="R253" s="116"/>
      <c r="S253" s="8"/>
      <c r="T253" s="116"/>
      <c r="U253" s="8"/>
      <c r="V253" s="8"/>
      <c r="W253" s="8"/>
      <c r="X253" s="116"/>
      <c r="Y253" s="116"/>
      <c r="Z253" s="116"/>
      <c r="AA253" s="116"/>
      <c r="AB253" s="116"/>
      <c r="AC253" s="8"/>
      <c r="AD253" s="116"/>
      <c r="AE253" s="3"/>
      <c r="AF253" s="8"/>
      <c r="AG253" s="8"/>
      <c r="AH253" s="3"/>
    </row>
    <row r="254" ht="14.25" customHeight="1">
      <c r="A254" s="3"/>
      <c r="B254" s="8"/>
      <c r="C254" s="8"/>
      <c r="D254" s="116"/>
      <c r="E254" s="116"/>
      <c r="F254" s="116"/>
      <c r="G254" s="116"/>
      <c r="H254" s="116"/>
      <c r="I254" s="8"/>
      <c r="J254" s="116"/>
      <c r="K254" s="8"/>
      <c r="L254" s="8"/>
      <c r="M254" s="8"/>
      <c r="N254" s="116"/>
      <c r="O254" s="116"/>
      <c r="P254" s="116"/>
      <c r="Q254" s="116"/>
      <c r="R254" s="116"/>
      <c r="S254" s="8"/>
      <c r="T254" s="116"/>
      <c r="U254" s="8"/>
      <c r="V254" s="8"/>
      <c r="W254" s="8"/>
      <c r="X254" s="116"/>
      <c r="Y254" s="116"/>
      <c r="Z254" s="116"/>
      <c r="AA254" s="116"/>
      <c r="AB254" s="116"/>
      <c r="AC254" s="8"/>
      <c r="AD254" s="116"/>
      <c r="AE254" s="3"/>
      <c r="AF254" s="8"/>
      <c r="AG254" s="8"/>
      <c r="AH254" s="3"/>
    </row>
    <row r="255" ht="14.25" customHeight="1">
      <c r="A255" s="3"/>
      <c r="B255" s="8"/>
      <c r="C255" s="8"/>
      <c r="D255" s="116"/>
      <c r="E255" s="116"/>
      <c r="F255" s="116"/>
      <c r="G255" s="116"/>
      <c r="H255" s="116"/>
      <c r="I255" s="8"/>
      <c r="J255" s="116"/>
      <c r="K255" s="8"/>
      <c r="L255" s="8"/>
      <c r="M255" s="8"/>
      <c r="N255" s="116"/>
      <c r="O255" s="116"/>
      <c r="P255" s="116"/>
      <c r="Q255" s="116"/>
      <c r="R255" s="116"/>
      <c r="S255" s="8"/>
      <c r="T255" s="116"/>
      <c r="U255" s="8"/>
      <c r="V255" s="8"/>
      <c r="W255" s="8"/>
      <c r="X255" s="116"/>
      <c r="Y255" s="116"/>
      <c r="Z255" s="116"/>
      <c r="AA255" s="116"/>
      <c r="AB255" s="116"/>
      <c r="AC255" s="8"/>
      <c r="AD255" s="116"/>
      <c r="AE255" s="3"/>
      <c r="AF255" s="8"/>
      <c r="AG255" s="8"/>
      <c r="AH255" s="3"/>
    </row>
    <row r="256" ht="14.25" customHeight="1">
      <c r="A256" s="3"/>
      <c r="B256" s="8"/>
      <c r="C256" s="8"/>
      <c r="D256" s="116"/>
      <c r="E256" s="116"/>
      <c r="F256" s="116"/>
      <c r="G256" s="116"/>
      <c r="H256" s="116"/>
      <c r="I256" s="8"/>
      <c r="J256" s="116"/>
      <c r="K256" s="8"/>
      <c r="L256" s="8"/>
      <c r="M256" s="8"/>
      <c r="N256" s="116"/>
      <c r="O256" s="116"/>
      <c r="P256" s="116"/>
      <c r="Q256" s="116"/>
      <c r="R256" s="116"/>
      <c r="S256" s="8"/>
      <c r="T256" s="116"/>
      <c r="U256" s="8"/>
      <c r="V256" s="8"/>
      <c r="W256" s="8"/>
      <c r="X256" s="116"/>
      <c r="Y256" s="116"/>
      <c r="Z256" s="116"/>
      <c r="AA256" s="116"/>
      <c r="AB256" s="116"/>
      <c r="AC256" s="8"/>
      <c r="AD256" s="116"/>
      <c r="AE256" s="3"/>
      <c r="AF256" s="8"/>
      <c r="AG256" s="8"/>
      <c r="AH256" s="3"/>
    </row>
    <row r="257" ht="14.25" customHeight="1">
      <c r="A257" s="3"/>
      <c r="B257" s="8"/>
      <c r="C257" s="8"/>
      <c r="D257" s="116"/>
      <c r="E257" s="116"/>
      <c r="F257" s="116"/>
      <c r="G257" s="116"/>
      <c r="H257" s="116"/>
      <c r="I257" s="8"/>
      <c r="J257" s="116"/>
      <c r="K257" s="8"/>
      <c r="L257" s="8"/>
      <c r="M257" s="8"/>
      <c r="N257" s="116"/>
      <c r="O257" s="116"/>
      <c r="P257" s="116"/>
      <c r="Q257" s="116"/>
      <c r="R257" s="116"/>
      <c r="S257" s="8"/>
      <c r="T257" s="116"/>
      <c r="U257" s="8"/>
      <c r="V257" s="8"/>
      <c r="W257" s="8"/>
      <c r="X257" s="116"/>
      <c r="Y257" s="116"/>
      <c r="Z257" s="116"/>
      <c r="AA257" s="116"/>
      <c r="AB257" s="116"/>
      <c r="AC257" s="8"/>
      <c r="AD257" s="116"/>
      <c r="AE257" s="3"/>
      <c r="AF257" s="8"/>
      <c r="AG257" s="8"/>
      <c r="AH257" s="3"/>
    </row>
    <row r="258" ht="14.25" customHeight="1">
      <c r="A258" s="3"/>
      <c r="B258" s="8"/>
      <c r="C258" s="8"/>
      <c r="D258" s="116"/>
      <c r="E258" s="116"/>
      <c r="F258" s="116"/>
      <c r="G258" s="116"/>
      <c r="H258" s="116"/>
      <c r="I258" s="8"/>
      <c r="J258" s="116"/>
      <c r="K258" s="8"/>
      <c r="L258" s="8"/>
      <c r="M258" s="8"/>
      <c r="N258" s="116"/>
      <c r="O258" s="116"/>
      <c r="P258" s="116"/>
      <c r="Q258" s="116"/>
      <c r="R258" s="116"/>
      <c r="S258" s="8"/>
      <c r="T258" s="116"/>
      <c r="U258" s="8"/>
      <c r="V258" s="8"/>
      <c r="W258" s="8"/>
      <c r="X258" s="116"/>
      <c r="Y258" s="116"/>
      <c r="Z258" s="116"/>
      <c r="AA258" s="116"/>
      <c r="AB258" s="116"/>
      <c r="AC258" s="8"/>
      <c r="AD258" s="116"/>
      <c r="AE258" s="3"/>
      <c r="AF258" s="8"/>
      <c r="AG258" s="8"/>
      <c r="AH258" s="3"/>
    </row>
    <row r="259" ht="14.25" customHeight="1">
      <c r="A259" s="3"/>
      <c r="B259" s="8"/>
      <c r="C259" s="8"/>
      <c r="D259" s="116"/>
      <c r="E259" s="116"/>
      <c r="F259" s="116"/>
      <c r="G259" s="116"/>
      <c r="H259" s="116"/>
      <c r="I259" s="8"/>
      <c r="J259" s="116"/>
      <c r="K259" s="8"/>
      <c r="L259" s="8"/>
      <c r="M259" s="8"/>
      <c r="N259" s="116"/>
      <c r="O259" s="116"/>
      <c r="P259" s="116"/>
      <c r="Q259" s="116"/>
      <c r="R259" s="116"/>
      <c r="S259" s="8"/>
      <c r="T259" s="116"/>
      <c r="U259" s="8"/>
      <c r="V259" s="8"/>
      <c r="W259" s="8"/>
      <c r="X259" s="116"/>
      <c r="Y259" s="116"/>
      <c r="Z259" s="116"/>
      <c r="AA259" s="116"/>
      <c r="AB259" s="116"/>
      <c r="AC259" s="8"/>
      <c r="AD259" s="116"/>
      <c r="AE259" s="3"/>
      <c r="AF259" s="8"/>
      <c r="AG259" s="8"/>
      <c r="AH259" s="3"/>
    </row>
    <row r="260" ht="14.25" customHeight="1">
      <c r="A260" s="3"/>
      <c r="B260" s="8"/>
      <c r="C260" s="8"/>
      <c r="D260" s="116"/>
      <c r="E260" s="116"/>
      <c r="F260" s="116"/>
      <c r="G260" s="116"/>
      <c r="H260" s="116"/>
      <c r="I260" s="8"/>
      <c r="J260" s="116"/>
      <c r="K260" s="8"/>
      <c r="L260" s="8"/>
      <c r="M260" s="8"/>
      <c r="N260" s="116"/>
      <c r="O260" s="116"/>
      <c r="P260" s="116"/>
      <c r="Q260" s="116"/>
      <c r="R260" s="116"/>
      <c r="S260" s="8"/>
      <c r="T260" s="116"/>
      <c r="U260" s="8"/>
      <c r="V260" s="8"/>
      <c r="W260" s="8"/>
      <c r="X260" s="116"/>
      <c r="Y260" s="116"/>
      <c r="Z260" s="116"/>
      <c r="AA260" s="116"/>
      <c r="AB260" s="116"/>
      <c r="AC260" s="8"/>
      <c r="AD260" s="116"/>
      <c r="AE260" s="3"/>
      <c r="AF260" s="8"/>
      <c r="AG260" s="8"/>
      <c r="AH260" s="3"/>
    </row>
    <row r="261" ht="14.25" customHeight="1">
      <c r="A261" s="3"/>
      <c r="B261" s="8"/>
      <c r="C261" s="8"/>
      <c r="D261" s="116"/>
      <c r="E261" s="116"/>
      <c r="F261" s="116"/>
      <c r="G261" s="116"/>
      <c r="H261" s="116"/>
      <c r="I261" s="8"/>
      <c r="J261" s="116"/>
      <c r="K261" s="8"/>
      <c r="L261" s="8"/>
      <c r="M261" s="8"/>
      <c r="N261" s="116"/>
      <c r="O261" s="116"/>
      <c r="P261" s="116"/>
      <c r="Q261" s="116"/>
      <c r="R261" s="116"/>
      <c r="S261" s="8"/>
      <c r="T261" s="116"/>
      <c r="U261" s="8"/>
      <c r="V261" s="8"/>
      <c r="W261" s="8"/>
      <c r="X261" s="116"/>
      <c r="Y261" s="116"/>
      <c r="Z261" s="116"/>
      <c r="AA261" s="116"/>
      <c r="AB261" s="116"/>
      <c r="AC261" s="8"/>
      <c r="AD261" s="116"/>
      <c r="AE261" s="3"/>
      <c r="AF261" s="8"/>
      <c r="AG261" s="8"/>
      <c r="AH261" s="3"/>
    </row>
    <row r="262" ht="14.25" customHeight="1">
      <c r="A262" s="3"/>
      <c r="B262" s="8"/>
      <c r="C262" s="8"/>
      <c r="D262" s="116"/>
      <c r="E262" s="116"/>
      <c r="F262" s="116"/>
      <c r="G262" s="116"/>
      <c r="H262" s="116"/>
      <c r="I262" s="8"/>
      <c r="J262" s="116"/>
      <c r="K262" s="8"/>
      <c r="L262" s="8"/>
      <c r="M262" s="8"/>
      <c r="N262" s="116"/>
      <c r="O262" s="116"/>
      <c r="P262" s="116"/>
      <c r="Q262" s="116"/>
      <c r="R262" s="116"/>
      <c r="S262" s="8"/>
      <c r="T262" s="116"/>
      <c r="U262" s="8"/>
      <c r="V262" s="8"/>
      <c r="W262" s="8"/>
      <c r="X262" s="116"/>
      <c r="Y262" s="116"/>
      <c r="Z262" s="116"/>
      <c r="AA262" s="116"/>
      <c r="AB262" s="116"/>
      <c r="AC262" s="8"/>
      <c r="AD262" s="116"/>
      <c r="AE262" s="3"/>
      <c r="AF262" s="8"/>
      <c r="AG262" s="8"/>
      <c r="AH262" s="3"/>
    </row>
    <row r="263" ht="14.25" customHeight="1">
      <c r="A263" s="3"/>
      <c r="B263" s="8"/>
      <c r="C263" s="8"/>
      <c r="D263" s="116"/>
      <c r="E263" s="116"/>
      <c r="F263" s="116"/>
      <c r="G263" s="116"/>
      <c r="H263" s="116"/>
      <c r="I263" s="8"/>
      <c r="J263" s="116"/>
      <c r="K263" s="8"/>
      <c r="L263" s="8"/>
      <c r="M263" s="8"/>
      <c r="N263" s="116"/>
      <c r="O263" s="116"/>
      <c r="P263" s="116"/>
      <c r="Q263" s="116"/>
      <c r="R263" s="116"/>
      <c r="S263" s="8"/>
      <c r="T263" s="116"/>
      <c r="U263" s="8"/>
      <c r="V263" s="8"/>
      <c r="W263" s="8"/>
      <c r="X263" s="116"/>
      <c r="Y263" s="116"/>
      <c r="Z263" s="116"/>
      <c r="AA263" s="116"/>
      <c r="AB263" s="116"/>
      <c r="AC263" s="8"/>
      <c r="AD263" s="116"/>
      <c r="AE263" s="3"/>
      <c r="AF263" s="8"/>
      <c r="AG263" s="8"/>
      <c r="AH263" s="3"/>
    </row>
    <row r="264" ht="14.25" customHeight="1">
      <c r="A264" s="3"/>
      <c r="B264" s="8"/>
      <c r="C264" s="8"/>
      <c r="D264" s="116"/>
      <c r="E264" s="116"/>
      <c r="F264" s="116"/>
      <c r="G264" s="116"/>
      <c r="H264" s="116"/>
      <c r="I264" s="8"/>
      <c r="J264" s="116"/>
      <c r="K264" s="8"/>
      <c r="L264" s="8"/>
      <c r="M264" s="8"/>
      <c r="N264" s="116"/>
      <c r="O264" s="116"/>
      <c r="P264" s="116"/>
      <c r="Q264" s="116"/>
      <c r="R264" s="116"/>
      <c r="S264" s="8"/>
      <c r="T264" s="116"/>
      <c r="U264" s="8"/>
      <c r="V264" s="8"/>
      <c r="W264" s="8"/>
      <c r="X264" s="116"/>
      <c r="Y264" s="116"/>
      <c r="Z264" s="116"/>
      <c r="AA264" s="116"/>
      <c r="AB264" s="116"/>
      <c r="AC264" s="8"/>
      <c r="AD264" s="116"/>
      <c r="AE264" s="3"/>
      <c r="AF264" s="8"/>
      <c r="AG264" s="8"/>
      <c r="AH264" s="3"/>
    </row>
    <row r="265" ht="14.25" customHeight="1">
      <c r="A265" s="3"/>
      <c r="B265" s="8"/>
      <c r="C265" s="8"/>
      <c r="D265" s="116"/>
      <c r="E265" s="116"/>
      <c r="F265" s="116"/>
      <c r="G265" s="116"/>
      <c r="H265" s="116"/>
      <c r="I265" s="8"/>
      <c r="J265" s="116"/>
      <c r="K265" s="8"/>
      <c r="L265" s="8"/>
      <c r="M265" s="8"/>
      <c r="N265" s="116"/>
      <c r="O265" s="116"/>
      <c r="P265" s="116"/>
      <c r="Q265" s="116"/>
      <c r="R265" s="116"/>
      <c r="S265" s="8"/>
      <c r="T265" s="116"/>
      <c r="U265" s="8"/>
      <c r="V265" s="8"/>
      <c r="W265" s="8"/>
      <c r="X265" s="116"/>
      <c r="Y265" s="116"/>
      <c r="Z265" s="116"/>
      <c r="AA265" s="116"/>
      <c r="AB265" s="116"/>
      <c r="AC265" s="8"/>
      <c r="AD265" s="116"/>
      <c r="AE265" s="3"/>
      <c r="AF265" s="8"/>
      <c r="AG265" s="8"/>
      <c r="AH265" s="3"/>
    </row>
    <row r="266" ht="14.25" customHeight="1">
      <c r="A266" s="3"/>
      <c r="B266" s="8"/>
      <c r="C266" s="8"/>
      <c r="D266" s="116"/>
      <c r="E266" s="116"/>
      <c r="F266" s="116"/>
      <c r="G266" s="116"/>
      <c r="H266" s="116"/>
      <c r="I266" s="8"/>
      <c r="J266" s="116"/>
      <c r="K266" s="8"/>
      <c r="L266" s="8"/>
      <c r="M266" s="8"/>
      <c r="N266" s="116"/>
      <c r="O266" s="116"/>
      <c r="P266" s="116"/>
      <c r="Q266" s="116"/>
      <c r="R266" s="116"/>
      <c r="S266" s="8"/>
      <c r="T266" s="116"/>
      <c r="U266" s="8"/>
      <c r="V266" s="8"/>
      <c r="W266" s="8"/>
      <c r="X266" s="116"/>
      <c r="Y266" s="116"/>
      <c r="Z266" s="116"/>
      <c r="AA266" s="116"/>
      <c r="AB266" s="116"/>
      <c r="AC266" s="8"/>
      <c r="AD266" s="116"/>
      <c r="AE266" s="3"/>
      <c r="AF266" s="8"/>
      <c r="AG266" s="8"/>
      <c r="AH266" s="3"/>
    </row>
    <row r="267" ht="14.25" customHeight="1">
      <c r="A267" s="3"/>
      <c r="B267" s="8"/>
      <c r="C267" s="8"/>
      <c r="D267" s="116"/>
      <c r="E267" s="116"/>
      <c r="F267" s="116"/>
      <c r="G267" s="116"/>
      <c r="H267" s="116"/>
      <c r="I267" s="8"/>
      <c r="J267" s="116"/>
      <c r="K267" s="8"/>
      <c r="L267" s="8"/>
      <c r="M267" s="8"/>
      <c r="N267" s="116"/>
      <c r="O267" s="116"/>
      <c r="P267" s="116"/>
      <c r="Q267" s="116"/>
      <c r="R267" s="116"/>
      <c r="S267" s="8"/>
      <c r="T267" s="116"/>
      <c r="U267" s="8"/>
      <c r="V267" s="8"/>
      <c r="W267" s="8"/>
      <c r="X267" s="116"/>
      <c r="Y267" s="116"/>
      <c r="Z267" s="116"/>
      <c r="AA267" s="116"/>
      <c r="AB267" s="116"/>
      <c r="AC267" s="8"/>
      <c r="AD267" s="116"/>
      <c r="AE267" s="3"/>
      <c r="AF267" s="8"/>
      <c r="AG267" s="8"/>
      <c r="AH267" s="3"/>
    </row>
    <row r="268" ht="14.25" customHeight="1">
      <c r="A268" s="3"/>
      <c r="B268" s="8"/>
      <c r="C268" s="8"/>
      <c r="D268" s="116"/>
      <c r="E268" s="116"/>
      <c r="F268" s="116"/>
      <c r="G268" s="116"/>
      <c r="H268" s="116"/>
      <c r="I268" s="8"/>
      <c r="J268" s="116"/>
      <c r="K268" s="8"/>
      <c r="L268" s="8"/>
      <c r="M268" s="8"/>
      <c r="N268" s="116"/>
      <c r="O268" s="116"/>
      <c r="P268" s="116"/>
      <c r="Q268" s="116"/>
      <c r="R268" s="116"/>
      <c r="S268" s="8"/>
      <c r="T268" s="116"/>
      <c r="U268" s="8"/>
      <c r="V268" s="8"/>
      <c r="W268" s="8"/>
      <c r="X268" s="116"/>
      <c r="Y268" s="116"/>
      <c r="Z268" s="116"/>
      <c r="AA268" s="116"/>
      <c r="AB268" s="116"/>
      <c r="AC268" s="8"/>
      <c r="AD268" s="116"/>
      <c r="AE268" s="3"/>
      <c r="AF268" s="8"/>
      <c r="AG268" s="8"/>
      <c r="AH268" s="3"/>
    </row>
    <row r="269" ht="14.25" customHeight="1">
      <c r="A269" s="3"/>
      <c r="B269" s="8"/>
      <c r="C269" s="8"/>
      <c r="D269" s="116"/>
      <c r="E269" s="116"/>
      <c r="F269" s="116"/>
      <c r="G269" s="116"/>
      <c r="H269" s="116"/>
      <c r="I269" s="8"/>
      <c r="J269" s="116"/>
      <c r="K269" s="8"/>
      <c r="L269" s="8"/>
      <c r="M269" s="8"/>
      <c r="N269" s="116"/>
      <c r="O269" s="116"/>
      <c r="P269" s="116"/>
      <c r="Q269" s="116"/>
      <c r="R269" s="116"/>
      <c r="S269" s="8"/>
      <c r="T269" s="116"/>
      <c r="U269" s="8"/>
      <c r="V269" s="8"/>
      <c r="W269" s="8"/>
      <c r="X269" s="116"/>
      <c r="Y269" s="116"/>
      <c r="Z269" s="116"/>
      <c r="AA269" s="116"/>
      <c r="AB269" s="116"/>
      <c r="AC269" s="8"/>
      <c r="AD269" s="116"/>
      <c r="AE269" s="3"/>
      <c r="AF269" s="8"/>
      <c r="AG269" s="8"/>
      <c r="AH269" s="3"/>
    </row>
    <row r="270" ht="14.25" customHeight="1">
      <c r="A270" s="3"/>
      <c r="B270" s="8"/>
      <c r="C270" s="8"/>
      <c r="D270" s="116"/>
      <c r="E270" s="116"/>
      <c r="F270" s="116"/>
      <c r="G270" s="116"/>
      <c r="H270" s="116"/>
      <c r="I270" s="8"/>
      <c r="J270" s="116"/>
      <c r="K270" s="8"/>
      <c r="L270" s="8"/>
      <c r="M270" s="8"/>
      <c r="N270" s="116"/>
      <c r="O270" s="116"/>
      <c r="P270" s="116"/>
      <c r="Q270" s="116"/>
      <c r="R270" s="116"/>
      <c r="S270" s="8"/>
      <c r="T270" s="116"/>
      <c r="U270" s="8"/>
      <c r="V270" s="8"/>
      <c r="W270" s="8"/>
      <c r="X270" s="116"/>
      <c r="Y270" s="116"/>
      <c r="Z270" s="116"/>
      <c r="AA270" s="116"/>
      <c r="AB270" s="116"/>
      <c r="AC270" s="8"/>
      <c r="AD270" s="116"/>
      <c r="AE270" s="3"/>
      <c r="AF270" s="8"/>
      <c r="AG270" s="8"/>
      <c r="AH270" s="3"/>
    </row>
    <row r="271" ht="14.25" customHeight="1">
      <c r="A271" s="3"/>
      <c r="B271" s="8"/>
      <c r="C271" s="8"/>
      <c r="D271" s="116"/>
      <c r="E271" s="116"/>
      <c r="F271" s="116"/>
      <c r="G271" s="116"/>
      <c r="H271" s="116"/>
      <c r="I271" s="8"/>
      <c r="J271" s="116"/>
      <c r="K271" s="8"/>
      <c r="L271" s="8"/>
      <c r="M271" s="8"/>
      <c r="N271" s="116"/>
      <c r="O271" s="116"/>
      <c r="P271" s="116"/>
      <c r="Q271" s="116"/>
      <c r="R271" s="116"/>
      <c r="S271" s="8"/>
      <c r="T271" s="116"/>
      <c r="U271" s="8"/>
      <c r="V271" s="8"/>
      <c r="W271" s="8"/>
      <c r="X271" s="116"/>
      <c r="Y271" s="116"/>
      <c r="Z271" s="116"/>
      <c r="AA271" s="116"/>
      <c r="AB271" s="116"/>
      <c r="AC271" s="8"/>
      <c r="AD271" s="116"/>
      <c r="AE271" s="3"/>
      <c r="AF271" s="8"/>
      <c r="AG271" s="8"/>
      <c r="AH271" s="3"/>
    </row>
    <row r="272" ht="14.25" customHeight="1">
      <c r="A272" s="3"/>
      <c r="B272" s="8"/>
      <c r="C272" s="8"/>
      <c r="D272" s="116"/>
      <c r="E272" s="116"/>
      <c r="F272" s="116"/>
      <c r="G272" s="116"/>
      <c r="H272" s="116"/>
      <c r="I272" s="8"/>
      <c r="J272" s="116"/>
      <c r="K272" s="8"/>
      <c r="L272" s="8"/>
      <c r="M272" s="8"/>
      <c r="N272" s="116"/>
      <c r="O272" s="116"/>
      <c r="P272" s="116"/>
      <c r="Q272" s="116"/>
      <c r="R272" s="116"/>
      <c r="S272" s="8"/>
      <c r="T272" s="116"/>
      <c r="U272" s="8"/>
      <c r="V272" s="8"/>
      <c r="W272" s="8"/>
      <c r="X272" s="116"/>
      <c r="Y272" s="116"/>
      <c r="Z272" s="116"/>
      <c r="AA272" s="116"/>
      <c r="AB272" s="116"/>
      <c r="AC272" s="8"/>
      <c r="AD272" s="116"/>
      <c r="AE272" s="3"/>
      <c r="AF272" s="8"/>
      <c r="AG272" s="8"/>
      <c r="AH272" s="3"/>
    </row>
    <row r="273" ht="14.25" customHeight="1">
      <c r="A273" s="3"/>
      <c r="B273" s="8"/>
      <c r="C273" s="8"/>
      <c r="D273" s="116"/>
      <c r="E273" s="116"/>
      <c r="F273" s="116"/>
      <c r="G273" s="116"/>
      <c r="H273" s="116"/>
      <c r="I273" s="8"/>
      <c r="J273" s="116"/>
      <c r="K273" s="8"/>
      <c r="L273" s="8"/>
      <c r="M273" s="8"/>
      <c r="N273" s="116"/>
      <c r="O273" s="116"/>
      <c r="P273" s="116"/>
      <c r="Q273" s="116"/>
      <c r="R273" s="116"/>
      <c r="S273" s="8"/>
      <c r="T273" s="116"/>
      <c r="U273" s="8"/>
      <c r="V273" s="8"/>
      <c r="W273" s="8"/>
      <c r="X273" s="116"/>
      <c r="Y273" s="116"/>
      <c r="Z273" s="116"/>
      <c r="AA273" s="116"/>
      <c r="AB273" s="116"/>
      <c r="AC273" s="8"/>
      <c r="AD273" s="116"/>
      <c r="AE273" s="3"/>
      <c r="AF273" s="8"/>
      <c r="AG273" s="8"/>
      <c r="AH273" s="3"/>
    </row>
    <row r="274" ht="14.25" customHeight="1">
      <c r="A274" s="3"/>
      <c r="B274" s="8"/>
      <c r="C274" s="8"/>
      <c r="D274" s="116"/>
      <c r="E274" s="116"/>
      <c r="F274" s="116"/>
      <c r="G274" s="116"/>
      <c r="H274" s="116"/>
      <c r="I274" s="8"/>
      <c r="J274" s="116"/>
      <c r="K274" s="8"/>
      <c r="L274" s="8"/>
      <c r="M274" s="8"/>
      <c r="N274" s="116"/>
      <c r="O274" s="116"/>
      <c r="P274" s="116"/>
      <c r="Q274" s="116"/>
      <c r="R274" s="116"/>
      <c r="S274" s="8"/>
      <c r="T274" s="116"/>
      <c r="U274" s="8"/>
      <c r="V274" s="8"/>
      <c r="W274" s="8"/>
      <c r="X274" s="116"/>
      <c r="Y274" s="116"/>
      <c r="Z274" s="116"/>
      <c r="AA274" s="116"/>
      <c r="AB274" s="116"/>
      <c r="AC274" s="8"/>
      <c r="AD274" s="116"/>
      <c r="AE274" s="3"/>
      <c r="AF274" s="8"/>
      <c r="AG274" s="8"/>
      <c r="AH274" s="3"/>
    </row>
    <row r="275" ht="14.25" customHeight="1">
      <c r="A275" s="3"/>
      <c r="B275" s="8"/>
      <c r="C275" s="8"/>
      <c r="D275" s="116"/>
      <c r="E275" s="116"/>
      <c r="F275" s="116"/>
      <c r="G275" s="116"/>
      <c r="H275" s="116"/>
      <c r="I275" s="8"/>
      <c r="J275" s="116"/>
      <c r="K275" s="8"/>
      <c r="L275" s="8"/>
      <c r="M275" s="8"/>
      <c r="N275" s="116"/>
      <c r="O275" s="116"/>
      <c r="P275" s="116"/>
      <c r="Q275" s="116"/>
      <c r="R275" s="116"/>
      <c r="S275" s="8"/>
      <c r="T275" s="116"/>
      <c r="U275" s="8"/>
      <c r="V275" s="8"/>
      <c r="W275" s="8"/>
      <c r="X275" s="116"/>
      <c r="Y275" s="116"/>
      <c r="Z275" s="116"/>
      <c r="AA275" s="116"/>
      <c r="AB275" s="116"/>
      <c r="AC275" s="8"/>
      <c r="AD275" s="116"/>
      <c r="AE275" s="3"/>
      <c r="AF275" s="8"/>
      <c r="AG275" s="8"/>
      <c r="AH275" s="3"/>
    </row>
    <row r="276" ht="14.25" customHeight="1">
      <c r="A276" s="3"/>
      <c r="B276" s="8"/>
      <c r="C276" s="8"/>
      <c r="D276" s="116"/>
      <c r="E276" s="116"/>
      <c r="F276" s="116"/>
      <c r="G276" s="116"/>
      <c r="H276" s="116"/>
      <c r="I276" s="8"/>
      <c r="J276" s="116"/>
      <c r="K276" s="8"/>
      <c r="L276" s="8"/>
      <c r="M276" s="8"/>
      <c r="N276" s="116"/>
      <c r="O276" s="116"/>
      <c r="P276" s="116"/>
      <c r="Q276" s="116"/>
      <c r="R276" s="116"/>
      <c r="S276" s="8"/>
      <c r="T276" s="116"/>
      <c r="U276" s="8"/>
      <c r="V276" s="8"/>
      <c r="W276" s="8"/>
      <c r="X276" s="116"/>
      <c r="Y276" s="116"/>
      <c r="Z276" s="116"/>
      <c r="AA276" s="116"/>
      <c r="AB276" s="116"/>
      <c r="AC276" s="8"/>
      <c r="AD276" s="116"/>
      <c r="AE276" s="3"/>
      <c r="AF276" s="8"/>
      <c r="AG276" s="8"/>
      <c r="AH276" s="3"/>
    </row>
    <row r="277" ht="14.25" customHeight="1">
      <c r="A277" s="3"/>
      <c r="B277" s="8"/>
      <c r="C277" s="8"/>
      <c r="D277" s="116"/>
      <c r="E277" s="116"/>
      <c r="F277" s="116"/>
      <c r="G277" s="116"/>
      <c r="H277" s="116"/>
      <c r="I277" s="8"/>
      <c r="J277" s="116"/>
      <c r="K277" s="8"/>
      <c r="L277" s="8"/>
      <c r="M277" s="8"/>
      <c r="N277" s="116"/>
      <c r="O277" s="116"/>
      <c r="P277" s="116"/>
      <c r="Q277" s="116"/>
      <c r="R277" s="116"/>
      <c r="S277" s="8"/>
      <c r="T277" s="116"/>
      <c r="U277" s="8"/>
      <c r="V277" s="8"/>
      <c r="W277" s="8"/>
      <c r="X277" s="116"/>
      <c r="Y277" s="116"/>
      <c r="Z277" s="116"/>
      <c r="AA277" s="116"/>
      <c r="AB277" s="116"/>
      <c r="AC277" s="8"/>
      <c r="AD277" s="116"/>
      <c r="AE277" s="3"/>
      <c r="AF277" s="8"/>
      <c r="AG277" s="8"/>
      <c r="AH277" s="3"/>
    </row>
    <row r="278" ht="14.25" customHeight="1">
      <c r="A278" s="3"/>
      <c r="B278" s="8"/>
      <c r="C278" s="8"/>
      <c r="D278" s="116"/>
      <c r="E278" s="116"/>
      <c r="F278" s="116"/>
      <c r="G278" s="116"/>
      <c r="H278" s="116"/>
      <c r="I278" s="8"/>
      <c r="J278" s="116"/>
      <c r="K278" s="8"/>
      <c r="L278" s="8"/>
      <c r="M278" s="8"/>
      <c r="N278" s="116"/>
      <c r="O278" s="116"/>
      <c r="P278" s="116"/>
      <c r="Q278" s="116"/>
      <c r="R278" s="116"/>
      <c r="S278" s="8"/>
      <c r="T278" s="116"/>
      <c r="U278" s="8"/>
      <c r="V278" s="8"/>
      <c r="W278" s="8"/>
      <c r="X278" s="116"/>
      <c r="Y278" s="116"/>
      <c r="Z278" s="116"/>
      <c r="AA278" s="116"/>
      <c r="AB278" s="116"/>
      <c r="AC278" s="8"/>
      <c r="AD278" s="116"/>
      <c r="AE278" s="3"/>
      <c r="AF278" s="8"/>
      <c r="AG278" s="8"/>
      <c r="AH278" s="3"/>
    </row>
    <row r="279" ht="14.25" customHeight="1">
      <c r="A279" s="3"/>
      <c r="B279" s="8"/>
      <c r="C279" s="8"/>
      <c r="D279" s="116"/>
      <c r="E279" s="116"/>
      <c r="F279" s="116"/>
      <c r="G279" s="116"/>
      <c r="H279" s="116"/>
      <c r="I279" s="8"/>
      <c r="J279" s="116"/>
      <c r="K279" s="8"/>
      <c r="L279" s="8"/>
      <c r="M279" s="8"/>
      <c r="N279" s="116"/>
      <c r="O279" s="116"/>
      <c r="P279" s="116"/>
      <c r="Q279" s="116"/>
      <c r="R279" s="116"/>
      <c r="S279" s="8"/>
      <c r="T279" s="116"/>
      <c r="U279" s="8"/>
      <c r="V279" s="8"/>
      <c r="W279" s="8"/>
      <c r="X279" s="116"/>
      <c r="Y279" s="116"/>
      <c r="Z279" s="116"/>
      <c r="AA279" s="116"/>
      <c r="AB279" s="116"/>
      <c r="AC279" s="8"/>
      <c r="AD279" s="116"/>
      <c r="AE279" s="3"/>
      <c r="AF279" s="8"/>
      <c r="AG279" s="8"/>
      <c r="AH279" s="3"/>
    </row>
    <row r="280" ht="14.25" customHeight="1">
      <c r="A280" s="3"/>
      <c r="B280" s="8"/>
      <c r="C280" s="8"/>
      <c r="D280" s="116"/>
      <c r="E280" s="116"/>
      <c r="F280" s="116"/>
      <c r="G280" s="116"/>
      <c r="H280" s="116"/>
      <c r="I280" s="8"/>
      <c r="J280" s="116"/>
      <c r="K280" s="8"/>
      <c r="L280" s="8"/>
      <c r="M280" s="8"/>
      <c r="N280" s="116"/>
      <c r="O280" s="116"/>
      <c r="P280" s="116"/>
      <c r="Q280" s="116"/>
      <c r="R280" s="116"/>
      <c r="S280" s="8"/>
      <c r="T280" s="116"/>
      <c r="U280" s="8"/>
      <c r="V280" s="8"/>
      <c r="W280" s="8"/>
      <c r="X280" s="116"/>
      <c r="Y280" s="116"/>
      <c r="Z280" s="116"/>
      <c r="AA280" s="116"/>
      <c r="AB280" s="116"/>
      <c r="AC280" s="8"/>
      <c r="AD280" s="116"/>
      <c r="AE280" s="3"/>
      <c r="AF280" s="8"/>
      <c r="AG280" s="8"/>
      <c r="AH280" s="3"/>
    </row>
    <row r="281" ht="14.25" customHeight="1">
      <c r="A281" s="3"/>
      <c r="B281" s="8"/>
      <c r="C281" s="8"/>
      <c r="D281" s="116"/>
      <c r="E281" s="116"/>
      <c r="F281" s="116"/>
      <c r="G281" s="116"/>
      <c r="H281" s="116"/>
      <c r="I281" s="8"/>
      <c r="J281" s="116"/>
      <c r="K281" s="8"/>
      <c r="L281" s="8"/>
      <c r="M281" s="8"/>
      <c r="N281" s="116"/>
      <c r="O281" s="116"/>
      <c r="P281" s="116"/>
      <c r="Q281" s="116"/>
      <c r="R281" s="116"/>
      <c r="S281" s="8"/>
      <c r="T281" s="116"/>
      <c r="U281" s="8"/>
      <c r="V281" s="8"/>
      <c r="W281" s="8"/>
      <c r="X281" s="116"/>
      <c r="Y281" s="116"/>
      <c r="Z281" s="116"/>
      <c r="AA281" s="116"/>
      <c r="AB281" s="116"/>
      <c r="AC281" s="8"/>
      <c r="AD281" s="116"/>
      <c r="AE281" s="3"/>
      <c r="AF281" s="8"/>
      <c r="AG281" s="8"/>
      <c r="AH281" s="3"/>
    </row>
    <row r="282" ht="14.25" customHeight="1">
      <c r="A282" s="3"/>
      <c r="B282" s="8"/>
      <c r="C282" s="8"/>
      <c r="D282" s="116"/>
      <c r="E282" s="116"/>
      <c r="F282" s="116"/>
      <c r="G282" s="116"/>
      <c r="H282" s="116"/>
      <c r="I282" s="8"/>
      <c r="J282" s="116"/>
      <c r="K282" s="8"/>
      <c r="L282" s="8"/>
      <c r="M282" s="8"/>
      <c r="N282" s="116"/>
      <c r="O282" s="116"/>
      <c r="P282" s="116"/>
      <c r="Q282" s="116"/>
      <c r="R282" s="116"/>
      <c r="S282" s="8"/>
      <c r="T282" s="116"/>
      <c r="U282" s="8"/>
      <c r="V282" s="8"/>
      <c r="W282" s="8"/>
      <c r="X282" s="116"/>
      <c r="Y282" s="116"/>
      <c r="Z282" s="116"/>
      <c r="AA282" s="116"/>
      <c r="AB282" s="116"/>
      <c r="AC282" s="8"/>
      <c r="AD282" s="116"/>
      <c r="AE282" s="3"/>
      <c r="AF282" s="8"/>
      <c r="AG282" s="8"/>
      <c r="AH282" s="3"/>
    </row>
    <row r="283" ht="14.25" customHeight="1">
      <c r="A283" s="3"/>
      <c r="B283" s="8"/>
      <c r="C283" s="8"/>
      <c r="D283" s="116"/>
      <c r="E283" s="116"/>
      <c r="F283" s="116"/>
      <c r="G283" s="116"/>
      <c r="H283" s="116"/>
      <c r="I283" s="8"/>
      <c r="J283" s="116"/>
      <c r="K283" s="8"/>
      <c r="L283" s="8"/>
      <c r="M283" s="8"/>
      <c r="N283" s="116"/>
      <c r="O283" s="116"/>
      <c r="P283" s="116"/>
      <c r="Q283" s="116"/>
      <c r="R283" s="116"/>
      <c r="S283" s="8"/>
      <c r="T283" s="116"/>
      <c r="U283" s="8"/>
      <c r="V283" s="8"/>
      <c r="W283" s="8"/>
      <c r="X283" s="116"/>
      <c r="Y283" s="116"/>
      <c r="Z283" s="116"/>
      <c r="AA283" s="116"/>
      <c r="AB283" s="116"/>
      <c r="AC283" s="8"/>
      <c r="AD283" s="116"/>
      <c r="AE283" s="3"/>
      <c r="AF283" s="8"/>
      <c r="AG283" s="8"/>
      <c r="AH283" s="3"/>
    </row>
    <row r="284" ht="14.25" customHeight="1">
      <c r="A284" s="3"/>
      <c r="B284" s="8"/>
      <c r="C284" s="8"/>
      <c r="D284" s="116"/>
      <c r="E284" s="116"/>
      <c r="F284" s="116"/>
      <c r="G284" s="116"/>
      <c r="H284" s="116"/>
      <c r="I284" s="8"/>
      <c r="J284" s="116"/>
      <c r="K284" s="8"/>
      <c r="L284" s="8"/>
      <c r="M284" s="8"/>
      <c r="N284" s="116"/>
      <c r="O284" s="116"/>
      <c r="P284" s="116"/>
      <c r="Q284" s="116"/>
      <c r="R284" s="116"/>
      <c r="S284" s="8"/>
      <c r="T284" s="116"/>
      <c r="U284" s="8"/>
      <c r="V284" s="8"/>
      <c r="W284" s="8"/>
      <c r="X284" s="116"/>
      <c r="Y284" s="116"/>
      <c r="Z284" s="116"/>
      <c r="AA284" s="116"/>
      <c r="AB284" s="116"/>
      <c r="AC284" s="8"/>
      <c r="AD284" s="116"/>
      <c r="AE284" s="3"/>
      <c r="AF284" s="8"/>
      <c r="AG284" s="8"/>
      <c r="AH284" s="3"/>
    </row>
    <row r="285" ht="14.2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3"/>
      <c r="AF285" s="8"/>
      <c r="AG285" s="8"/>
      <c r="AH285" s="3"/>
    </row>
    <row r="286" ht="14.2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3"/>
      <c r="AF286" s="8"/>
      <c r="AG286" s="8"/>
      <c r="AH286" s="3"/>
    </row>
    <row r="287" ht="14.2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3"/>
      <c r="AF287" s="8"/>
      <c r="AG287" s="8"/>
      <c r="AH287" s="3"/>
    </row>
    <row r="288" ht="14.2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3"/>
      <c r="AF288" s="8"/>
      <c r="AG288" s="8"/>
      <c r="AH288" s="3"/>
    </row>
    <row r="289" ht="14.2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3"/>
      <c r="AF289" s="8"/>
      <c r="AG289" s="8"/>
      <c r="AH289" s="3"/>
    </row>
    <row r="290" ht="14.2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3"/>
      <c r="AF290" s="8"/>
      <c r="AG290" s="8"/>
      <c r="AH290" s="3"/>
    </row>
    <row r="291" ht="14.2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3"/>
      <c r="AF291" s="8"/>
      <c r="AG291" s="8"/>
      <c r="AH291" s="3"/>
    </row>
    <row r="292" ht="14.2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3"/>
      <c r="AF292" s="8"/>
      <c r="AG292" s="8"/>
      <c r="AH292" s="3"/>
    </row>
    <row r="293" ht="14.2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3"/>
      <c r="AF293" s="8"/>
      <c r="AG293" s="8"/>
      <c r="AH293" s="3"/>
    </row>
    <row r="294" ht="14.2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3"/>
      <c r="AF294" s="8"/>
      <c r="AG294" s="8"/>
      <c r="AH294" s="3"/>
    </row>
    <row r="295" ht="14.2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3"/>
      <c r="AF295" s="8"/>
      <c r="AG295" s="8"/>
      <c r="AH295" s="3"/>
    </row>
    <row r="296" ht="14.2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3"/>
      <c r="AF296" s="8"/>
      <c r="AG296" s="8"/>
      <c r="AH296" s="3"/>
    </row>
    <row r="297" ht="14.2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3"/>
      <c r="AF297" s="8"/>
      <c r="AG297" s="8"/>
      <c r="AH297" s="3"/>
    </row>
    <row r="298" ht="14.2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3"/>
      <c r="AF298" s="8"/>
      <c r="AG298" s="8"/>
      <c r="AH298" s="3"/>
    </row>
    <row r="299" ht="14.2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3"/>
      <c r="AF299" s="8"/>
      <c r="AG299" s="8"/>
      <c r="AH299" s="3"/>
    </row>
    <row r="300" ht="14.2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3"/>
      <c r="AF300" s="8"/>
      <c r="AG300" s="8"/>
      <c r="AH300" s="3"/>
    </row>
    <row r="301" ht="14.2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3"/>
      <c r="AF301" s="8"/>
      <c r="AG301" s="8"/>
      <c r="AH301" s="3"/>
    </row>
    <row r="302" ht="14.2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3"/>
      <c r="AF302" s="8"/>
      <c r="AG302" s="8"/>
      <c r="AH302" s="3"/>
    </row>
    <row r="303" ht="14.2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3"/>
      <c r="AF303" s="8"/>
      <c r="AG303" s="8"/>
      <c r="AH303" s="3"/>
    </row>
    <row r="304" ht="14.2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3"/>
      <c r="AF304" s="8"/>
      <c r="AG304" s="8"/>
      <c r="AH304" s="3"/>
    </row>
    <row r="305" ht="14.2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3"/>
      <c r="AF305" s="8"/>
      <c r="AG305" s="8"/>
      <c r="AH305" s="3"/>
    </row>
    <row r="306" ht="14.2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3"/>
      <c r="AF306" s="8"/>
      <c r="AG306" s="8"/>
      <c r="AH306" s="3"/>
    </row>
    <row r="307" ht="14.2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3"/>
      <c r="AF307" s="8"/>
      <c r="AG307" s="8"/>
      <c r="AH307" s="3"/>
    </row>
    <row r="308" ht="14.2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3"/>
      <c r="AF308" s="8"/>
      <c r="AG308" s="8"/>
      <c r="AH308" s="3"/>
    </row>
    <row r="309" ht="14.2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3"/>
      <c r="AF309" s="8"/>
      <c r="AG309" s="8"/>
      <c r="AH309" s="3"/>
    </row>
    <row r="310" ht="14.2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3"/>
      <c r="AF310" s="8"/>
      <c r="AG310" s="8"/>
      <c r="AH310" s="3"/>
    </row>
    <row r="311" ht="14.2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3"/>
      <c r="AF311" s="8"/>
      <c r="AG311" s="8"/>
      <c r="AH311" s="3"/>
    </row>
    <row r="312" ht="14.2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3"/>
      <c r="AF312" s="8"/>
      <c r="AG312" s="8"/>
      <c r="AH312" s="3"/>
    </row>
    <row r="313" ht="14.2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3"/>
      <c r="AF313" s="8"/>
      <c r="AG313" s="8"/>
      <c r="AH313" s="3"/>
    </row>
    <row r="314" ht="14.2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3"/>
      <c r="AF314" s="8"/>
      <c r="AG314" s="8"/>
      <c r="AH314" s="3"/>
    </row>
    <row r="315" ht="14.2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3"/>
      <c r="AF315" s="8"/>
      <c r="AG315" s="8"/>
      <c r="AH315" s="3"/>
    </row>
    <row r="316" ht="14.2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3"/>
      <c r="AF316" s="8"/>
      <c r="AG316" s="8"/>
      <c r="AH316" s="3"/>
    </row>
    <row r="317" ht="14.2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3"/>
      <c r="AF317" s="8"/>
      <c r="AG317" s="8"/>
      <c r="AH317" s="3"/>
    </row>
    <row r="318" ht="14.2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3"/>
      <c r="AF318" s="8"/>
      <c r="AG318" s="8"/>
      <c r="AH318" s="3"/>
    </row>
    <row r="319" ht="14.2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3"/>
      <c r="AF319" s="8"/>
      <c r="AG319" s="8"/>
      <c r="AH319" s="3"/>
    </row>
    <row r="320" ht="14.2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3"/>
      <c r="AF320" s="8"/>
      <c r="AG320" s="8"/>
      <c r="AH320" s="3"/>
    </row>
    <row r="321" ht="14.2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3"/>
      <c r="AF321" s="8"/>
      <c r="AG321" s="8"/>
      <c r="AH321" s="3"/>
    </row>
    <row r="322" ht="14.2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3"/>
      <c r="AF322" s="8"/>
      <c r="AG322" s="8"/>
      <c r="AH322" s="3"/>
    </row>
    <row r="323" ht="14.2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3"/>
      <c r="AF323" s="8"/>
      <c r="AG323" s="8"/>
      <c r="AH323" s="3"/>
    </row>
    <row r="324" ht="14.2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3"/>
      <c r="AF324" s="8"/>
      <c r="AG324" s="8"/>
      <c r="AH324" s="3"/>
    </row>
    <row r="325" ht="14.2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3"/>
      <c r="AF325" s="8"/>
      <c r="AG325" s="8"/>
      <c r="AH325" s="3"/>
    </row>
    <row r="326" ht="14.2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3"/>
      <c r="AF326" s="8"/>
      <c r="AG326" s="8"/>
      <c r="AH326" s="3"/>
    </row>
    <row r="327" ht="14.2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3"/>
      <c r="AF327" s="8"/>
      <c r="AG327" s="8"/>
      <c r="AH327" s="3"/>
    </row>
    <row r="328" ht="14.2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3"/>
      <c r="AF328" s="8"/>
      <c r="AG328" s="8"/>
      <c r="AH328" s="3"/>
    </row>
    <row r="329" ht="14.2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3"/>
      <c r="AF329" s="8"/>
      <c r="AG329" s="8"/>
      <c r="AH329" s="3"/>
    </row>
    <row r="330" ht="14.2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3"/>
      <c r="AF330" s="8"/>
      <c r="AG330" s="8"/>
      <c r="AH330" s="3"/>
    </row>
    <row r="331" ht="14.2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3"/>
      <c r="AF331" s="8"/>
      <c r="AG331" s="8"/>
      <c r="AH331" s="3"/>
    </row>
    <row r="332" ht="14.2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3"/>
      <c r="AF332" s="8"/>
      <c r="AG332" s="8"/>
      <c r="AH332" s="3"/>
    </row>
    <row r="333" ht="14.2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3"/>
      <c r="AF333" s="8"/>
      <c r="AG333" s="8"/>
      <c r="AH333" s="3"/>
    </row>
    <row r="334" ht="14.2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3"/>
      <c r="AF334" s="8"/>
      <c r="AG334" s="8"/>
      <c r="AH334" s="3"/>
    </row>
    <row r="335" ht="14.2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3"/>
      <c r="AF335" s="8"/>
      <c r="AG335" s="8"/>
      <c r="AH335" s="3"/>
    </row>
    <row r="336" ht="14.2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3"/>
      <c r="AF336" s="8"/>
      <c r="AG336" s="8"/>
      <c r="AH336" s="3"/>
    </row>
    <row r="337" ht="14.2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3"/>
      <c r="AF337" s="8"/>
      <c r="AG337" s="8"/>
      <c r="AH337" s="3"/>
    </row>
    <row r="338" ht="14.2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3"/>
      <c r="AF338" s="8"/>
      <c r="AG338" s="8"/>
      <c r="AH338" s="3"/>
    </row>
    <row r="339" ht="14.2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3"/>
      <c r="AF339" s="8"/>
      <c r="AG339" s="8"/>
      <c r="AH339" s="3"/>
    </row>
    <row r="340" ht="14.2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3"/>
      <c r="AF340" s="8"/>
      <c r="AG340" s="8"/>
      <c r="AH340" s="3"/>
    </row>
    <row r="341" ht="14.2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3"/>
      <c r="AF341" s="8"/>
      <c r="AG341" s="8"/>
      <c r="AH341" s="3"/>
    </row>
    <row r="342" ht="14.2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3"/>
      <c r="AF342" s="8"/>
      <c r="AG342" s="8"/>
      <c r="AH342" s="3"/>
    </row>
    <row r="343" ht="14.2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3"/>
      <c r="AF343" s="8"/>
      <c r="AG343" s="8"/>
      <c r="AH343" s="3"/>
    </row>
    <row r="344" ht="14.2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3"/>
      <c r="AF344" s="8"/>
      <c r="AG344" s="8"/>
      <c r="AH344" s="3"/>
    </row>
    <row r="345" ht="14.2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3"/>
      <c r="AF345" s="8"/>
      <c r="AG345" s="8"/>
      <c r="AH345" s="3"/>
    </row>
    <row r="346" ht="14.2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3"/>
      <c r="AF346" s="8"/>
      <c r="AG346" s="8"/>
      <c r="AH346" s="3"/>
    </row>
    <row r="347" ht="14.2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3"/>
      <c r="AF347" s="8"/>
      <c r="AG347" s="8"/>
      <c r="AH347" s="3"/>
    </row>
    <row r="348" ht="14.2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3"/>
      <c r="AF348" s="8"/>
      <c r="AG348" s="8"/>
      <c r="AH348" s="3"/>
    </row>
    <row r="349" ht="14.2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3"/>
      <c r="AF349" s="8"/>
      <c r="AG349" s="8"/>
      <c r="AH349" s="3"/>
    </row>
    <row r="350" ht="14.2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3"/>
      <c r="AF350" s="8"/>
      <c r="AG350" s="8"/>
      <c r="AH350" s="3"/>
    </row>
    <row r="351" ht="14.2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3"/>
      <c r="AF351" s="8"/>
      <c r="AG351" s="8"/>
      <c r="AH351" s="3"/>
    </row>
    <row r="352" ht="14.2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3"/>
      <c r="AF352" s="8"/>
      <c r="AG352" s="8"/>
      <c r="AH352" s="3"/>
    </row>
    <row r="353" ht="14.2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3"/>
      <c r="AF353" s="8"/>
      <c r="AG353" s="8"/>
      <c r="AH353" s="3"/>
    </row>
    <row r="354" ht="14.2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3"/>
      <c r="AF354" s="8"/>
      <c r="AG354" s="8"/>
      <c r="AH354" s="3"/>
    </row>
    <row r="355" ht="14.2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3"/>
      <c r="AF355" s="8"/>
      <c r="AG355" s="8"/>
      <c r="AH355" s="3"/>
    </row>
    <row r="356" ht="14.2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3"/>
      <c r="AF356" s="8"/>
      <c r="AG356" s="8"/>
      <c r="AH356" s="3"/>
    </row>
    <row r="357" ht="14.2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3"/>
      <c r="AF357" s="8"/>
      <c r="AG357" s="8"/>
      <c r="AH357" s="3"/>
    </row>
    <row r="358" ht="14.2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3"/>
      <c r="AF358" s="8"/>
      <c r="AG358" s="8"/>
      <c r="AH358" s="3"/>
    </row>
    <row r="359" ht="14.2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3"/>
      <c r="AF359" s="8"/>
      <c r="AG359" s="8"/>
      <c r="AH359" s="3"/>
    </row>
    <row r="360" ht="14.2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3"/>
      <c r="AF360" s="8"/>
      <c r="AG360" s="8"/>
      <c r="AH360" s="3"/>
    </row>
    <row r="361" ht="14.2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3"/>
      <c r="AF361" s="8"/>
      <c r="AG361" s="8"/>
      <c r="AH361" s="3"/>
    </row>
    <row r="362" ht="14.2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3"/>
      <c r="AF362" s="8"/>
      <c r="AG362" s="8"/>
      <c r="AH362" s="3"/>
    </row>
    <row r="363" ht="14.2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3"/>
      <c r="AF363" s="8"/>
      <c r="AG363" s="8"/>
      <c r="AH363" s="3"/>
    </row>
    <row r="364" ht="14.2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3"/>
      <c r="AF364" s="8"/>
      <c r="AG364" s="8"/>
      <c r="AH364" s="3"/>
    </row>
    <row r="365" ht="14.2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3"/>
      <c r="AF365" s="8"/>
      <c r="AG365" s="8"/>
      <c r="AH365" s="3"/>
    </row>
    <row r="366" ht="14.2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3"/>
      <c r="AF366" s="8"/>
      <c r="AG366" s="8"/>
      <c r="AH366" s="3"/>
    </row>
    <row r="367" ht="14.2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3"/>
      <c r="AF367" s="8"/>
      <c r="AG367" s="8"/>
      <c r="AH367" s="3"/>
    </row>
    <row r="368" ht="14.2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3"/>
      <c r="AF368" s="8"/>
      <c r="AG368" s="8"/>
      <c r="AH368" s="3"/>
    </row>
    <row r="369" ht="14.2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3"/>
      <c r="AF369" s="8"/>
      <c r="AG369" s="8"/>
      <c r="AH369" s="3"/>
    </row>
    <row r="370" ht="14.2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3"/>
      <c r="AF370" s="8"/>
      <c r="AG370" s="8"/>
      <c r="AH370" s="3"/>
    </row>
    <row r="371" ht="14.2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3"/>
      <c r="AF371" s="8"/>
      <c r="AG371" s="8"/>
      <c r="AH371" s="3"/>
    </row>
    <row r="372" ht="14.2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3"/>
      <c r="AF372" s="8"/>
      <c r="AG372" s="8"/>
      <c r="AH372" s="3"/>
    </row>
    <row r="373" ht="14.2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3"/>
      <c r="AF373" s="8"/>
      <c r="AG373" s="8"/>
      <c r="AH373" s="3"/>
    </row>
    <row r="374" ht="14.2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3"/>
      <c r="AF374" s="8"/>
      <c r="AG374" s="8"/>
      <c r="AH374" s="3"/>
    </row>
    <row r="375" ht="14.2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3"/>
      <c r="AF375" s="8"/>
      <c r="AG375" s="8"/>
      <c r="AH375" s="3"/>
    </row>
    <row r="376" ht="14.2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3"/>
      <c r="AF376" s="8"/>
      <c r="AG376" s="8"/>
      <c r="AH376" s="3"/>
    </row>
    <row r="377" ht="14.2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3"/>
      <c r="AF377" s="8"/>
      <c r="AG377" s="8"/>
      <c r="AH377" s="3"/>
    </row>
    <row r="378" ht="14.2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3"/>
      <c r="AF378" s="8"/>
      <c r="AG378" s="8"/>
      <c r="AH378" s="3"/>
    </row>
    <row r="379" ht="14.2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3"/>
      <c r="AF379" s="8"/>
      <c r="AG379" s="8"/>
      <c r="AH379" s="3"/>
    </row>
    <row r="380" ht="14.2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3"/>
      <c r="AF380" s="8"/>
      <c r="AG380" s="8"/>
      <c r="AH380" s="3"/>
    </row>
    <row r="381" ht="14.2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3"/>
      <c r="AF381" s="8"/>
      <c r="AG381" s="8"/>
      <c r="AH381" s="3"/>
    </row>
    <row r="382" ht="14.2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3"/>
      <c r="AF382" s="8"/>
      <c r="AG382" s="8"/>
      <c r="AH382" s="3"/>
    </row>
    <row r="383" ht="14.2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3"/>
      <c r="AF383" s="8"/>
      <c r="AG383" s="8"/>
      <c r="AH383" s="3"/>
    </row>
    <row r="384" ht="14.2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3"/>
      <c r="AF384" s="8"/>
      <c r="AG384" s="8"/>
      <c r="AH384" s="3"/>
    </row>
    <row r="385" ht="14.2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3"/>
      <c r="AF385" s="8"/>
      <c r="AG385" s="8"/>
      <c r="AH385" s="3"/>
    </row>
    <row r="386" ht="14.2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3"/>
      <c r="AF386" s="8"/>
      <c r="AG386" s="8"/>
      <c r="AH386" s="3"/>
    </row>
    <row r="387" ht="14.2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3"/>
      <c r="AF387" s="8"/>
      <c r="AG387" s="8"/>
      <c r="AH387" s="3"/>
    </row>
    <row r="388" ht="14.2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3"/>
      <c r="AF388" s="8"/>
      <c r="AG388" s="8"/>
      <c r="AH388" s="3"/>
    </row>
    <row r="389" ht="14.2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3"/>
      <c r="AF389" s="8"/>
      <c r="AG389" s="8"/>
      <c r="AH389" s="3"/>
    </row>
    <row r="390" ht="14.2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3"/>
      <c r="AF390" s="8"/>
      <c r="AG390" s="8"/>
      <c r="AH390" s="3"/>
    </row>
    <row r="391" ht="14.2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3"/>
      <c r="AF391" s="8"/>
      <c r="AG391" s="8"/>
      <c r="AH391" s="3"/>
    </row>
    <row r="392" ht="14.2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3"/>
      <c r="AF392" s="8"/>
      <c r="AG392" s="8"/>
      <c r="AH392" s="3"/>
    </row>
    <row r="393" ht="14.2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3"/>
      <c r="AF393" s="8"/>
      <c r="AG393" s="8"/>
      <c r="AH393" s="3"/>
    </row>
    <row r="394" ht="14.2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3"/>
      <c r="AF394" s="8"/>
      <c r="AG394" s="8"/>
      <c r="AH394" s="3"/>
    </row>
    <row r="395" ht="14.2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3"/>
      <c r="AF395" s="8"/>
      <c r="AG395" s="8"/>
      <c r="AH395" s="3"/>
    </row>
    <row r="396" ht="14.2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3"/>
      <c r="AF396" s="8"/>
      <c r="AG396" s="8"/>
      <c r="AH396" s="3"/>
    </row>
    <row r="397" ht="14.2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3"/>
      <c r="AF397" s="8"/>
      <c r="AG397" s="8"/>
      <c r="AH397" s="3"/>
    </row>
    <row r="398" ht="14.2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3"/>
      <c r="AF398" s="8"/>
      <c r="AG398" s="8"/>
      <c r="AH398" s="3"/>
    </row>
    <row r="399" ht="14.2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3"/>
      <c r="AF399" s="8"/>
      <c r="AG399" s="8"/>
      <c r="AH399" s="3"/>
    </row>
    <row r="400" ht="14.2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3"/>
      <c r="AF400" s="8"/>
      <c r="AG400" s="8"/>
      <c r="AH400" s="3"/>
    </row>
    <row r="401" ht="14.2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3"/>
      <c r="AF401" s="8"/>
      <c r="AG401" s="8"/>
      <c r="AH401" s="3"/>
    </row>
    <row r="402" ht="14.2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3"/>
      <c r="AF402" s="8"/>
      <c r="AG402" s="8"/>
      <c r="AH402" s="3"/>
    </row>
    <row r="403" ht="14.2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3"/>
      <c r="AF403" s="8"/>
      <c r="AG403" s="8"/>
      <c r="AH403" s="3"/>
    </row>
    <row r="404" ht="14.2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3"/>
      <c r="AF404" s="8"/>
      <c r="AG404" s="8"/>
      <c r="AH404" s="3"/>
    </row>
    <row r="405" ht="14.2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3"/>
      <c r="AF405" s="8"/>
      <c r="AG405" s="8"/>
      <c r="AH405" s="3"/>
    </row>
    <row r="406" ht="14.2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3"/>
      <c r="AF406" s="8"/>
      <c r="AG406" s="8"/>
      <c r="AH406" s="3"/>
    </row>
    <row r="407" ht="14.2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3"/>
      <c r="AF407" s="8"/>
      <c r="AG407" s="8"/>
      <c r="AH407" s="3"/>
    </row>
    <row r="408" ht="14.2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3"/>
      <c r="AF408" s="8"/>
      <c r="AG408" s="8"/>
      <c r="AH408" s="3"/>
    </row>
    <row r="409" ht="14.2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3"/>
      <c r="AF409" s="8"/>
      <c r="AG409" s="8"/>
      <c r="AH409" s="3"/>
    </row>
    <row r="410" ht="14.2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3"/>
      <c r="AF410" s="8"/>
      <c r="AG410" s="8"/>
      <c r="AH410" s="3"/>
    </row>
    <row r="411" ht="14.2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3"/>
      <c r="AF411" s="8"/>
      <c r="AG411" s="8"/>
      <c r="AH411" s="3"/>
    </row>
    <row r="412" ht="14.2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3"/>
      <c r="AF412" s="8"/>
      <c r="AG412" s="8"/>
      <c r="AH412" s="3"/>
    </row>
    <row r="413" ht="14.2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3"/>
      <c r="AF413" s="8"/>
      <c r="AG413" s="8"/>
      <c r="AH413" s="3"/>
    </row>
    <row r="414" ht="14.2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3"/>
      <c r="AF414" s="8"/>
      <c r="AG414" s="8"/>
      <c r="AH414" s="3"/>
    </row>
    <row r="415" ht="14.2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3"/>
      <c r="AF415" s="8"/>
      <c r="AG415" s="8"/>
      <c r="AH415" s="3"/>
    </row>
    <row r="416" ht="14.2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3"/>
      <c r="AF416" s="8"/>
      <c r="AG416" s="8"/>
      <c r="AH416" s="3"/>
    </row>
    <row r="417" ht="14.2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3"/>
      <c r="AF417" s="8"/>
      <c r="AG417" s="8"/>
      <c r="AH417" s="3"/>
    </row>
    <row r="418" ht="14.2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3"/>
      <c r="AF418" s="8"/>
      <c r="AG418" s="8"/>
      <c r="AH418" s="3"/>
    </row>
    <row r="419" ht="14.2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3"/>
      <c r="AF419" s="8"/>
      <c r="AG419" s="8"/>
      <c r="AH419" s="3"/>
    </row>
    <row r="420" ht="14.2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3"/>
      <c r="AF420" s="8"/>
      <c r="AG420" s="8"/>
      <c r="AH420" s="3"/>
    </row>
    <row r="421" ht="14.2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3"/>
      <c r="AF421" s="8"/>
      <c r="AG421" s="8"/>
      <c r="AH421" s="3"/>
    </row>
    <row r="422" ht="14.2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3"/>
      <c r="AF422" s="8"/>
      <c r="AG422" s="8"/>
      <c r="AH422" s="3"/>
    </row>
    <row r="423" ht="14.2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3"/>
      <c r="AF423" s="8"/>
      <c r="AG423" s="8"/>
      <c r="AH423" s="3"/>
    </row>
    <row r="424" ht="14.2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3"/>
      <c r="AF424" s="8"/>
      <c r="AG424" s="8"/>
      <c r="AH424" s="3"/>
    </row>
    <row r="425" ht="14.2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3"/>
      <c r="AF425" s="8"/>
      <c r="AG425" s="8"/>
      <c r="AH425" s="3"/>
    </row>
    <row r="426" ht="14.2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3"/>
      <c r="AF426" s="8"/>
      <c r="AG426" s="8"/>
      <c r="AH426" s="3"/>
    </row>
    <row r="427" ht="14.2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3"/>
      <c r="AF427" s="8"/>
      <c r="AG427" s="8"/>
      <c r="AH427" s="3"/>
    </row>
    <row r="428" ht="14.2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3"/>
      <c r="AF428" s="8"/>
      <c r="AG428" s="8"/>
      <c r="AH428" s="3"/>
    </row>
    <row r="429" ht="14.2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3"/>
      <c r="AF429" s="8"/>
      <c r="AG429" s="8"/>
      <c r="AH429" s="3"/>
    </row>
    <row r="430" ht="14.2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3"/>
      <c r="AF430" s="8"/>
      <c r="AG430" s="8"/>
      <c r="AH430" s="3"/>
    </row>
    <row r="431" ht="14.2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3"/>
      <c r="AF431" s="8"/>
      <c r="AG431" s="8"/>
      <c r="AH431" s="3"/>
    </row>
    <row r="432" ht="14.2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3"/>
      <c r="AF432" s="8"/>
      <c r="AG432" s="8"/>
      <c r="AH432" s="3"/>
    </row>
    <row r="433" ht="14.2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3"/>
      <c r="AF433" s="8"/>
      <c r="AG433" s="8"/>
      <c r="AH433" s="3"/>
    </row>
    <row r="434" ht="14.2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3"/>
      <c r="AF434" s="8"/>
      <c r="AG434" s="8"/>
      <c r="AH434" s="3"/>
    </row>
    <row r="435" ht="14.2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3"/>
      <c r="AF435" s="8"/>
      <c r="AG435" s="8"/>
      <c r="AH435" s="3"/>
    </row>
    <row r="436" ht="14.2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3"/>
      <c r="AF436" s="8"/>
      <c r="AG436" s="8"/>
      <c r="AH436" s="3"/>
    </row>
    <row r="437" ht="14.2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3"/>
      <c r="AF437" s="8"/>
      <c r="AG437" s="8"/>
      <c r="AH437" s="3"/>
    </row>
    <row r="438" ht="14.2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3"/>
      <c r="AF438" s="8"/>
      <c r="AG438" s="8"/>
      <c r="AH438" s="3"/>
    </row>
    <row r="439" ht="14.2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3"/>
      <c r="AF439" s="8"/>
      <c r="AG439" s="8"/>
      <c r="AH439" s="3"/>
    </row>
    <row r="440" ht="14.2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3"/>
      <c r="AF440" s="8"/>
      <c r="AG440" s="8"/>
      <c r="AH440" s="3"/>
    </row>
    <row r="441" ht="14.2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3"/>
      <c r="AF441" s="8"/>
      <c r="AG441" s="8"/>
      <c r="AH441" s="3"/>
    </row>
    <row r="442" ht="14.2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3"/>
      <c r="AF442" s="8"/>
      <c r="AG442" s="8"/>
      <c r="AH442" s="3"/>
    </row>
    <row r="443" ht="14.2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3"/>
      <c r="AF443" s="8"/>
      <c r="AG443" s="8"/>
      <c r="AH443" s="3"/>
    </row>
    <row r="444" ht="14.2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3"/>
      <c r="AF444" s="8"/>
      <c r="AG444" s="8"/>
      <c r="AH444" s="3"/>
    </row>
    <row r="445" ht="14.2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3"/>
      <c r="AF445" s="8"/>
      <c r="AG445" s="8"/>
      <c r="AH445" s="3"/>
    </row>
    <row r="446" ht="14.2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3"/>
      <c r="AF446" s="8"/>
      <c r="AG446" s="8"/>
      <c r="AH446" s="3"/>
    </row>
    <row r="447" ht="14.2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3"/>
      <c r="AF447" s="8"/>
      <c r="AG447" s="8"/>
      <c r="AH447" s="3"/>
    </row>
    <row r="448" ht="14.2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3"/>
      <c r="AF448" s="8"/>
      <c r="AG448" s="8"/>
      <c r="AH448" s="3"/>
    </row>
    <row r="449" ht="14.2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3"/>
      <c r="AF449" s="8"/>
      <c r="AG449" s="8"/>
      <c r="AH449" s="3"/>
    </row>
    <row r="450" ht="14.2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3"/>
      <c r="AF450" s="8"/>
      <c r="AG450" s="8"/>
      <c r="AH450" s="3"/>
    </row>
    <row r="451" ht="14.2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3"/>
      <c r="AF451" s="8"/>
      <c r="AG451" s="8"/>
      <c r="AH451" s="3"/>
    </row>
    <row r="452" ht="14.2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3"/>
      <c r="AF452" s="8"/>
      <c r="AG452" s="8"/>
      <c r="AH452" s="3"/>
    </row>
    <row r="453" ht="14.2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3"/>
      <c r="AF453" s="8"/>
      <c r="AG453" s="8"/>
      <c r="AH453" s="3"/>
    </row>
    <row r="454" ht="14.2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3"/>
      <c r="AF454" s="8"/>
      <c r="AG454" s="8"/>
      <c r="AH454" s="3"/>
    </row>
    <row r="455" ht="14.2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3"/>
      <c r="AF455" s="8"/>
      <c r="AG455" s="8"/>
      <c r="AH455" s="3"/>
    </row>
    <row r="456" ht="14.2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3"/>
      <c r="AF456" s="8"/>
      <c r="AG456" s="8"/>
      <c r="AH456" s="3"/>
    </row>
    <row r="457" ht="14.2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3"/>
      <c r="AF457" s="8"/>
      <c r="AG457" s="8"/>
      <c r="AH457" s="3"/>
    </row>
    <row r="458" ht="14.2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3"/>
      <c r="AF458" s="8"/>
      <c r="AG458" s="8"/>
      <c r="AH458" s="3"/>
    </row>
    <row r="459" ht="14.2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3"/>
      <c r="AF459" s="8"/>
      <c r="AG459" s="8"/>
      <c r="AH459" s="3"/>
    </row>
    <row r="460" ht="14.2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3"/>
      <c r="AF460" s="8"/>
      <c r="AG460" s="8"/>
      <c r="AH460" s="3"/>
    </row>
    <row r="461" ht="14.2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3"/>
      <c r="AF461" s="8"/>
      <c r="AG461" s="8"/>
      <c r="AH461" s="3"/>
    </row>
    <row r="462" ht="14.2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3"/>
      <c r="AF462" s="8"/>
      <c r="AG462" s="8"/>
      <c r="AH462" s="3"/>
    </row>
    <row r="463" ht="14.2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3"/>
      <c r="AF463" s="8"/>
      <c r="AG463" s="8"/>
      <c r="AH463" s="3"/>
    </row>
    <row r="464" ht="14.2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3"/>
      <c r="AF464" s="8"/>
      <c r="AG464" s="8"/>
      <c r="AH464" s="3"/>
    </row>
    <row r="465" ht="14.2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3"/>
      <c r="AF465" s="8"/>
      <c r="AG465" s="8"/>
      <c r="AH465" s="3"/>
    </row>
    <row r="466" ht="14.2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3"/>
      <c r="AF466" s="8"/>
      <c r="AG466" s="8"/>
      <c r="AH466" s="3"/>
    </row>
    <row r="467" ht="14.2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3"/>
      <c r="AF467" s="8"/>
      <c r="AG467" s="8"/>
      <c r="AH467" s="3"/>
    </row>
    <row r="468" ht="14.2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3"/>
      <c r="AF468" s="8"/>
      <c r="AG468" s="8"/>
      <c r="AH468" s="3"/>
    </row>
    <row r="469" ht="14.2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3"/>
      <c r="AF469" s="8"/>
      <c r="AG469" s="8"/>
      <c r="AH469" s="3"/>
    </row>
    <row r="470" ht="14.2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3"/>
      <c r="AF470" s="8"/>
      <c r="AG470" s="8"/>
      <c r="AH470" s="3"/>
    </row>
    <row r="471" ht="14.2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3"/>
      <c r="AF471" s="8"/>
      <c r="AG471" s="8"/>
      <c r="AH471" s="3"/>
    </row>
    <row r="472" ht="14.2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3"/>
      <c r="AF472" s="8"/>
      <c r="AG472" s="8"/>
      <c r="AH472" s="3"/>
    </row>
    <row r="473" ht="14.2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3"/>
      <c r="AF473" s="8"/>
      <c r="AG473" s="8"/>
      <c r="AH473" s="3"/>
    </row>
    <row r="474" ht="14.2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3"/>
      <c r="AF474" s="8"/>
      <c r="AG474" s="8"/>
      <c r="AH474" s="3"/>
    </row>
    <row r="475" ht="14.2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3"/>
      <c r="AF475" s="8"/>
      <c r="AG475" s="8"/>
      <c r="AH475" s="3"/>
    </row>
    <row r="476" ht="14.2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3"/>
      <c r="AF476" s="8"/>
      <c r="AG476" s="8"/>
      <c r="AH476" s="3"/>
    </row>
    <row r="477" ht="14.2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3"/>
      <c r="AF477" s="8"/>
      <c r="AG477" s="8"/>
      <c r="AH477" s="3"/>
    </row>
    <row r="478" ht="14.2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3"/>
      <c r="AF478" s="8"/>
      <c r="AG478" s="8"/>
      <c r="AH478" s="3"/>
    </row>
    <row r="479" ht="14.2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3"/>
      <c r="AF479" s="8"/>
      <c r="AG479" s="8"/>
      <c r="AH479" s="3"/>
    </row>
    <row r="480" ht="14.2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3"/>
      <c r="AF480" s="8"/>
      <c r="AG480" s="8"/>
      <c r="AH480" s="3"/>
    </row>
    <row r="481" ht="14.2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3"/>
      <c r="AF481" s="8"/>
      <c r="AG481" s="8"/>
      <c r="AH481" s="3"/>
    </row>
    <row r="482" ht="14.2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3"/>
      <c r="AF482" s="8"/>
      <c r="AG482" s="8"/>
      <c r="AH482" s="3"/>
    </row>
    <row r="483" ht="14.2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3"/>
      <c r="AF483" s="8"/>
      <c r="AG483" s="8"/>
      <c r="AH483" s="3"/>
    </row>
    <row r="484" ht="14.2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3"/>
      <c r="AF484" s="8"/>
      <c r="AG484" s="8"/>
      <c r="AH484" s="3"/>
    </row>
    <row r="485" ht="14.2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3"/>
      <c r="AF485" s="8"/>
      <c r="AG485" s="8"/>
      <c r="AH485" s="3"/>
    </row>
    <row r="486" ht="14.2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3"/>
      <c r="AF486" s="8"/>
      <c r="AG486" s="8"/>
      <c r="AH486" s="3"/>
    </row>
    <row r="487" ht="14.2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3"/>
      <c r="AF487" s="8"/>
      <c r="AG487" s="8"/>
      <c r="AH487" s="3"/>
    </row>
    <row r="488" ht="14.2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3"/>
      <c r="AF488" s="8"/>
      <c r="AG488" s="8"/>
      <c r="AH488" s="3"/>
    </row>
    <row r="489" ht="14.2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3"/>
      <c r="AF489" s="8"/>
      <c r="AG489" s="8"/>
      <c r="AH489" s="3"/>
    </row>
    <row r="490" ht="14.2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3"/>
      <c r="AF490" s="8"/>
      <c r="AG490" s="8"/>
      <c r="AH490" s="3"/>
    </row>
    <row r="491" ht="14.2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3"/>
      <c r="AF491" s="8"/>
      <c r="AG491" s="8"/>
      <c r="AH491" s="3"/>
    </row>
    <row r="492" ht="14.2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3"/>
      <c r="AF492" s="8"/>
      <c r="AG492" s="8"/>
      <c r="AH492" s="3"/>
    </row>
    <row r="493" ht="14.2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3"/>
      <c r="AF493" s="8"/>
      <c r="AG493" s="8"/>
      <c r="AH493" s="3"/>
    </row>
    <row r="494" ht="14.2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3"/>
      <c r="AF494" s="8"/>
      <c r="AG494" s="8"/>
      <c r="AH494" s="3"/>
    </row>
    <row r="495" ht="14.2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3"/>
      <c r="AF495" s="8"/>
      <c r="AG495" s="8"/>
      <c r="AH495" s="3"/>
    </row>
    <row r="496" ht="14.2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3"/>
      <c r="AF496" s="8"/>
      <c r="AG496" s="8"/>
      <c r="AH496" s="3"/>
    </row>
    <row r="497" ht="14.2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3"/>
      <c r="AF497" s="8"/>
      <c r="AG497" s="8"/>
      <c r="AH497" s="3"/>
    </row>
    <row r="498" ht="14.2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3"/>
      <c r="AF498" s="8"/>
      <c r="AG498" s="8"/>
      <c r="AH498" s="3"/>
    </row>
    <row r="499" ht="14.2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3"/>
      <c r="AF499" s="8"/>
      <c r="AG499" s="8"/>
      <c r="AH499" s="3"/>
    </row>
    <row r="500" ht="14.2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3"/>
      <c r="AF500" s="8"/>
      <c r="AG500" s="8"/>
      <c r="AH500" s="3"/>
    </row>
    <row r="501" ht="14.2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3"/>
      <c r="AF501" s="8"/>
      <c r="AG501" s="8"/>
      <c r="AH501" s="3"/>
    </row>
    <row r="502" ht="14.2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3"/>
      <c r="AF502" s="8"/>
      <c r="AG502" s="8"/>
      <c r="AH502" s="3"/>
    </row>
    <row r="503" ht="14.2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3"/>
      <c r="AF503" s="8"/>
      <c r="AG503" s="8"/>
      <c r="AH503" s="3"/>
    </row>
    <row r="504" ht="14.2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3"/>
      <c r="AF504" s="8"/>
      <c r="AG504" s="8"/>
      <c r="AH504" s="3"/>
    </row>
    <row r="505" ht="14.2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3"/>
      <c r="AF505" s="8"/>
      <c r="AG505" s="8"/>
      <c r="AH505" s="3"/>
    </row>
    <row r="506" ht="14.2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3"/>
      <c r="AF506" s="8"/>
      <c r="AG506" s="8"/>
      <c r="AH506" s="3"/>
    </row>
    <row r="507" ht="14.2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3"/>
      <c r="AF507" s="8"/>
      <c r="AG507" s="8"/>
      <c r="AH507" s="3"/>
    </row>
    <row r="508" ht="14.2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3"/>
      <c r="AF508" s="8"/>
      <c r="AG508" s="8"/>
      <c r="AH508" s="3"/>
    </row>
    <row r="509" ht="14.2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3"/>
      <c r="AF509" s="8"/>
      <c r="AG509" s="8"/>
      <c r="AH509" s="3"/>
    </row>
    <row r="510" ht="14.2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3"/>
      <c r="AF510" s="8"/>
      <c r="AG510" s="8"/>
      <c r="AH510" s="3"/>
    </row>
    <row r="511" ht="14.2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3"/>
      <c r="AF511" s="8"/>
      <c r="AG511" s="8"/>
      <c r="AH511" s="3"/>
    </row>
    <row r="512" ht="14.2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3"/>
      <c r="AF512" s="8"/>
      <c r="AG512" s="8"/>
      <c r="AH512" s="3"/>
    </row>
    <row r="513" ht="14.2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3"/>
      <c r="AF513" s="8"/>
      <c r="AG513" s="8"/>
      <c r="AH513" s="3"/>
    </row>
    <row r="514" ht="14.2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3"/>
      <c r="AF514" s="8"/>
      <c r="AG514" s="8"/>
      <c r="AH514" s="3"/>
    </row>
    <row r="515" ht="14.2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3"/>
      <c r="AF515" s="8"/>
      <c r="AG515" s="8"/>
      <c r="AH515" s="3"/>
    </row>
    <row r="516" ht="14.2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3"/>
      <c r="AF516" s="8"/>
      <c r="AG516" s="8"/>
      <c r="AH516" s="3"/>
    </row>
    <row r="517" ht="14.2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3"/>
      <c r="AF517" s="8"/>
      <c r="AG517" s="8"/>
      <c r="AH517" s="3"/>
    </row>
    <row r="518" ht="14.2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3"/>
      <c r="AF518" s="8"/>
      <c r="AG518" s="8"/>
      <c r="AH518" s="3"/>
    </row>
    <row r="519" ht="14.2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3"/>
      <c r="AF519" s="8"/>
      <c r="AG519" s="8"/>
      <c r="AH519" s="3"/>
    </row>
    <row r="520" ht="14.2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3"/>
      <c r="AF520" s="8"/>
      <c r="AG520" s="8"/>
      <c r="AH520" s="3"/>
    </row>
    <row r="521" ht="14.2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3"/>
      <c r="AF521" s="8"/>
      <c r="AG521" s="8"/>
      <c r="AH521" s="3"/>
    </row>
    <row r="522" ht="14.2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3"/>
      <c r="AF522" s="8"/>
      <c r="AG522" s="8"/>
      <c r="AH522" s="3"/>
    </row>
    <row r="523" ht="14.2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3"/>
      <c r="AF523" s="8"/>
      <c r="AG523" s="8"/>
      <c r="AH523" s="3"/>
    </row>
    <row r="524" ht="14.2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3"/>
      <c r="AF524" s="8"/>
      <c r="AG524" s="8"/>
      <c r="AH524" s="3"/>
    </row>
    <row r="525" ht="14.2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3"/>
      <c r="AF525" s="8"/>
      <c r="AG525" s="8"/>
      <c r="AH525" s="3"/>
    </row>
    <row r="526" ht="14.2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3"/>
      <c r="AF526" s="8"/>
      <c r="AG526" s="8"/>
      <c r="AH526" s="3"/>
    </row>
    <row r="527" ht="14.2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3"/>
      <c r="AF527" s="8"/>
      <c r="AG527" s="8"/>
      <c r="AH527" s="3"/>
    </row>
    <row r="528" ht="14.2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3"/>
      <c r="AF528" s="8"/>
      <c r="AG528" s="8"/>
      <c r="AH528" s="3"/>
    </row>
    <row r="529" ht="14.2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3"/>
      <c r="AF529" s="8"/>
      <c r="AG529" s="8"/>
      <c r="AH529" s="3"/>
    </row>
    <row r="530" ht="14.2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3"/>
      <c r="AF530" s="8"/>
      <c r="AG530" s="8"/>
      <c r="AH530" s="3"/>
    </row>
    <row r="531" ht="14.2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3"/>
      <c r="AF531" s="8"/>
      <c r="AG531" s="8"/>
      <c r="AH531" s="3"/>
    </row>
    <row r="532" ht="14.2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3"/>
      <c r="AF532" s="8"/>
      <c r="AG532" s="8"/>
      <c r="AH532" s="3"/>
    </row>
    <row r="533" ht="14.2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3"/>
      <c r="AF533" s="8"/>
      <c r="AG533" s="8"/>
      <c r="AH533" s="3"/>
    </row>
    <row r="534" ht="14.2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3"/>
      <c r="AF534" s="8"/>
      <c r="AG534" s="8"/>
      <c r="AH534" s="3"/>
    </row>
    <row r="535" ht="14.2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3"/>
      <c r="AF535" s="8"/>
      <c r="AG535" s="8"/>
      <c r="AH535" s="3"/>
    </row>
    <row r="536" ht="14.2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3"/>
      <c r="AF536" s="8"/>
      <c r="AG536" s="8"/>
      <c r="AH536" s="3"/>
    </row>
    <row r="537" ht="14.2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3"/>
      <c r="AF537" s="8"/>
      <c r="AG537" s="8"/>
      <c r="AH537" s="3"/>
    </row>
    <row r="538" ht="14.2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3"/>
      <c r="AF538" s="8"/>
      <c r="AG538" s="8"/>
      <c r="AH538" s="3"/>
    </row>
    <row r="539" ht="14.2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3"/>
      <c r="AF539" s="8"/>
      <c r="AG539" s="8"/>
      <c r="AH539" s="3"/>
    </row>
    <row r="540" ht="14.2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3"/>
      <c r="AF540" s="8"/>
      <c r="AG540" s="8"/>
      <c r="AH540" s="3"/>
    </row>
    <row r="541" ht="14.2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3"/>
      <c r="AF541" s="8"/>
      <c r="AG541" s="8"/>
      <c r="AH541" s="3"/>
    </row>
    <row r="542" ht="14.2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3"/>
      <c r="AF542" s="8"/>
      <c r="AG542" s="8"/>
      <c r="AH542" s="3"/>
    </row>
    <row r="543" ht="14.2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3"/>
      <c r="AF543" s="8"/>
      <c r="AG543" s="8"/>
      <c r="AH543" s="3"/>
    </row>
    <row r="544" ht="14.2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3"/>
      <c r="AF544" s="8"/>
      <c r="AG544" s="8"/>
      <c r="AH544" s="3"/>
    </row>
    <row r="545" ht="14.2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3"/>
      <c r="AF545" s="8"/>
      <c r="AG545" s="8"/>
      <c r="AH545" s="3"/>
    </row>
    <row r="546" ht="14.2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3"/>
      <c r="AF546" s="8"/>
      <c r="AG546" s="8"/>
      <c r="AH546" s="3"/>
    </row>
    <row r="547" ht="14.2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3"/>
      <c r="AF547" s="8"/>
      <c r="AG547" s="8"/>
      <c r="AH547" s="3"/>
    </row>
    <row r="548" ht="14.2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3"/>
      <c r="AF548" s="8"/>
      <c r="AG548" s="8"/>
      <c r="AH548" s="3"/>
    </row>
    <row r="549" ht="14.2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3"/>
      <c r="AF549" s="8"/>
      <c r="AG549" s="8"/>
      <c r="AH549" s="3"/>
    </row>
    <row r="550" ht="14.2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3"/>
      <c r="AF550" s="8"/>
      <c r="AG550" s="8"/>
      <c r="AH550" s="3"/>
    </row>
    <row r="551" ht="14.2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3"/>
      <c r="AF551" s="8"/>
      <c r="AG551" s="8"/>
      <c r="AH551" s="3"/>
    </row>
    <row r="552" ht="14.2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3"/>
      <c r="AF552" s="8"/>
      <c r="AG552" s="8"/>
      <c r="AH552" s="3"/>
    </row>
    <row r="553" ht="14.2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3"/>
      <c r="AF553" s="8"/>
      <c r="AG553" s="8"/>
      <c r="AH553" s="3"/>
    </row>
    <row r="554" ht="14.2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3"/>
      <c r="AF554" s="8"/>
      <c r="AG554" s="8"/>
      <c r="AH554" s="3"/>
    </row>
    <row r="555" ht="14.2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3"/>
      <c r="AF555" s="8"/>
      <c r="AG555" s="8"/>
      <c r="AH555" s="3"/>
    </row>
    <row r="556" ht="14.2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3"/>
      <c r="AF556" s="8"/>
      <c r="AG556" s="8"/>
      <c r="AH556" s="3"/>
    </row>
    <row r="557" ht="14.2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3"/>
      <c r="AF557" s="8"/>
      <c r="AG557" s="8"/>
      <c r="AH557" s="3"/>
    </row>
    <row r="558" ht="14.2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3"/>
      <c r="AF558" s="8"/>
      <c r="AG558" s="8"/>
      <c r="AH558" s="3"/>
    </row>
    <row r="559" ht="14.2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3"/>
      <c r="AF559" s="8"/>
      <c r="AG559" s="8"/>
      <c r="AH559" s="3"/>
    </row>
    <row r="560" ht="14.2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3"/>
      <c r="AF560" s="8"/>
      <c r="AG560" s="8"/>
      <c r="AH560" s="3"/>
    </row>
    <row r="561" ht="14.2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3"/>
      <c r="AF561" s="8"/>
      <c r="AG561" s="8"/>
      <c r="AH561" s="3"/>
    </row>
    <row r="562" ht="14.2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3"/>
      <c r="AF562" s="8"/>
      <c r="AG562" s="8"/>
      <c r="AH562" s="3"/>
    </row>
    <row r="563" ht="14.2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3"/>
      <c r="AF563" s="8"/>
      <c r="AG563" s="8"/>
      <c r="AH563" s="3"/>
    </row>
    <row r="564" ht="14.2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3"/>
      <c r="AF564" s="8"/>
      <c r="AG564" s="8"/>
      <c r="AH564" s="3"/>
    </row>
    <row r="565" ht="14.2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3"/>
      <c r="AF565" s="8"/>
      <c r="AG565" s="8"/>
      <c r="AH565" s="3"/>
    </row>
    <row r="566" ht="14.2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3"/>
      <c r="AF566" s="8"/>
      <c r="AG566" s="8"/>
      <c r="AH566" s="3"/>
    </row>
    <row r="567" ht="14.2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3"/>
      <c r="AF567" s="8"/>
      <c r="AG567" s="8"/>
      <c r="AH567" s="3"/>
    </row>
    <row r="568" ht="14.2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3"/>
      <c r="AF568" s="8"/>
      <c r="AG568" s="8"/>
      <c r="AH568" s="3"/>
    </row>
    <row r="569" ht="14.2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3"/>
      <c r="AF569" s="8"/>
      <c r="AG569" s="8"/>
      <c r="AH569" s="3"/>
    </row>
    <row r="570" ht="14.2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3"/>
      <c r="AF570" s="8"/>
      <c r="AG570" s="8"/>
      <c r="AH570" s="3"/>
    </row>
    <row r="571" ht="14.2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3"/>
      <c r="AF571" s="8"/>
      <c r="AG571" s="8"/>
      <c r="AH571" s="3"/>
    </row>
    <row r="572" ht="14.2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3"/>
      <c r="AF572" s="8"/>
      <c r="AG572" s="8"/>
      <c r="AH572" s="3"/>
    </row>
    <row r="573" ht="14.2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3"/>
      <c r="AF573" s="8"/>
      <c r="AG573" s="8"/>
      <c r="AH573" s="3"/>
    </row>
    <row r="574" ht="14.2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3"/>
      <c r="AF574" s="8"/>
      <c r="AG574" s="8"/>
      <c r="AH574" s="3"/>
    </row>
    <row r="575" ht="14.2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3"/>
      <c r="AF575" s="8"/>
      <c r="AG575" s="8"/>
      <c r="AH575" s="3"/>
    </row>
    <row r="576" ht="14.2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3"/>
      <c r="AF576" s="8"/>
      <c r="AG576" s="8"/>
      <c r="AH576" s="3"/>
    </row>
    <row r="577" ht="14.2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3"/>
      <c r="AF577" s="8"/>
      <c r="AG577" s="8"/>
      <c r="AH577" s="3"/>
    </row>
    <row r="578" ht="14.2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3"/>
      <c r="AF578" s="8"/>
      <c r="AG578" s="8"/>
      <c r="AH578" s="3"/>
    </row>
    <row r="579" ht="14.2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3"/>
      <c r="AF579" s="8"/>
      <c r="AG579" s="8"/>
      <c r="AH579" s="3"/>
    </row>
    <row r="580" ht="14.2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3"/>
      <c r="AF580" s="8"/>
      <c r="AG580" s="8"/>
      <c r="AH580" s="3"/>
    </row>
    <row r="581" ht="14.2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3"/>
      <c r="AF581" s="8"/>
      <c r="AG581" s="8"/>
      <c r="AH581" s="3"/>
    </row>
    <row r="582" ht="14.2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3"/>
      <c r="AF582" s="8"/>
      <c r="AG582" s="8"/>
      <c r="AH582" s="3"/>
    </row>
    <row r="583" ht="14.2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3"/>
      <c r="AF583" s="8"/>
      <c r="AG583" s="8"/>
      <c r="AH583" s="3"/>
    </row>
    <row r="584" ht="14.2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3"/>
      <c r="AF584" s="8"/>
      <c r="AG584" s="8"/>
      <c r="AH584" s="3"/>
    </row>
    <row r="585" ht="14.2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3"/>
      <c r="AF585" s="8"/>
      <c r="AG585" s="8"/>
      <c r="AH585" s="3"/>
    </row>
    <row r="586" ht="14.2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3"/>
      <c r="AF586" s="8"/>
      <c r="AG586" s="8"/>
      <c r="AH586" s="3"/>
    </row>
    <row r="587" ht="14.2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3"/>
      <c r="AF587" s="8"/>
      <c r="AG587" s="8"/>
      <c r="AH587" s="3"/>
    </row>
    <row r="588" ht="14.2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3"/>
      <c r="AF588" s="8"/>
      <c r="AG588" s="8"/>
      <c r="AH588" s="3"/>
    </row>
    <row r="589" ht="14.2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3"/>
      <c r="AF589" s="8"/>
      <c r="AG589" s="8"/>
      <c r="AH589" s="3"/>
    </row>
    <row r="590" ht="14.2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3"/>
      <c r="AF590" s="8"/>
      <c r="AG590" s="8"/>
      <c r="AH590" s="3"/>
    </row>
    <row r="591" ht="14.2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3"/>
      <c r="AF591" s="8"/>
      <c r="AG591" s="8"/>
      <c r="AH591" s="3"/>
    </row>
    <row r="592" ht="14.2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3"/>
      <c r="AF592" s="8"/>
      <c r="AG592" s="8"/>
      <c r="AH592" s="3"/>
    </row>
    <row r="593" ht="14.2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3"/>
      <c r="AF593" s="8"/>
      <c r="AG593" s="8"/>
      <c r="AH593" s="3"/>
    </row>
    <row r="594" ht="14.2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3"/>
      <c r="AF594" s="8"/>
      <c r="AG594" s="8"/>
      <c r="AH594" s="3"/>
    </row>
    <row r="595" ht="14.2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3"/>
      <c r="AF595" s="8"/>
      <c r="AG595" s="8"/>
      <c r="AH595" s="3"/>
    </row>
    <row r="596" ht="14.2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3"/>
      <c r="AF596" s="8"/>
      <c r="AG596" s="8"/>
      <c r="AH596" s="3"/>
    </row>
    <row r="597" ht="14.2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3"/>
      <c r="AF597" s="8"/>
      <c r="AG597" s="8"/>
      <c r="AH597" s="3"/>
    </row>
    <row r="598" ht="14.2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3"/>
      <c r="AF598" s="8"/>
      <c r="AG598" s="8"/>
      <c r="AH598" s="3"/>
    </row>
    <row r="599" ht="14.2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3"/>
      <c r="AF599" s="8"/>
      <c r="AG599" s="8"/>
      <c r="AH599" s="3"/>
    </row>
    <row r="600" ht="14.2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3"/>
      <c r="AF600" s="8"/>
      <c r="AG600" s="8"/>
      <c r="AH600" s="3"/>
    </row>
    <row r="601" ht="14.2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3"/>
      <c r="AF601" s="8"/>
      <c r="AG601" s="8"/>
      <c r="AH601" s="3"/>
    </row>
    <row r="602" ht="14.2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3"/>
      <c r="AF602" s="8"/>
      <c r="AG602" s="8"/>
      <c r="AH602" s="3"/>
    </row>
    <row r="603" ht="14.2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3"/>
      <c r="AF603" s="8"/>
      <c r="AG603" s="8"/>
      <c r="AH603" s="3"/>
    </row>
    <row r="604" ht="14.2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3"/>
      <c r="AF604" s="8"/>
      <c r="AG604" s="8"/>
      <c r="AH604" s="3"/>
    </row>
    <row r="605" ht="14.2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3"/>
      <c r="AF605" s="8"/>
      <c r="AG605" s="8"/>
      <c r="AH605" s="3"/>
    </row>
    <row r="606" ht="14.2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3"/>
      <c r="AF606" s="8"/>
      <c r="AG606" s="8"/>
      <c r="AH606" s="3"/>
    </row>
    <row r="607" ht="14.2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3"/>
      <c r="AF607" s="8"/>
      <c r="AG607" s="8"/>
      <c r="AH607" s="3"/>
    </row>
    <row r="608" ht="14.2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3"/>
      <c r="AF608" s="8"/>
      <c r="AG608" s="8"/>
      <c r="AH608" s="3"/>
    </row>
    <row r="609" ht="14.2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3"/>
      <c r="AF609" s="8"/>
      <c r="AG609" s="8"/>
      <c r="AH609" s="3"/>
    </row>
    <row r="610" ht="14.2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3"/>
      <c r="AF610" s="8"/>
      <c r="AG610" s="8"/>
      <c r="AH610" s="3"/>
    </row>
    <row r="611" ht="14.2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3"/>
      <c r="AF611" s="8"/>
      <c r="AG611" s="8"/>
      <c r="AH611" s="3"/>
    </row>
    <row r="612" ht="14.2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3"/>
      <c r="AF612" s="8"/>
      <c r="AG612" s="8"/>
      <c r="AH612" s="3"/>
    </row>
    <row r="613" ht="14.2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3"/>
      <c r="AF613" s="8"/>
      <c r="AG613" s="8"/>
      <c r="AH613" s="3"/>
    </row>
    <row r="614" ht="14.2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3"/>
      <c r="AF614" s="8"/>
      <c r="AG614" s="8"/>
      <c r="AH614" s="3"/>
    </row>
    <row r="615" ht="14.2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3"/>
      <c r="AF615" s="8"/>
      <c r="AG615" s="8"/>
      <c r="AH615" s="3"/>
    </row>
    <row r="616" ht="14.2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3"/>
      <c r="AF616" s="8"/>
      <c r="AG616" s="8"/>
      <c r="AH616" s="3"/>
    </row>
    <row r="617" ht="14.2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3"/>
      <c r="AF617" s="8"/>
      <c r="AG617" s="8"/>
      <c r="AH617" s="3"/>
    </row>
    <row r="618" ht="14.2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3"/>
      <c r="AF618" s="8"/>
      <c r="AG618" s="8"/>
      <c r="AH618" s="3"/>
    </row>
    <row r="619" ht="14.2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3"/>
      <c r="AF619" s="8"/>
      <c r="AG619" s="8"/>
      <c r="AH619" s="3"/>
    </row>
    <row r="620" ht="14.2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3"/>
      <c r="AF620" s="8"/>
      <c r="AG620" s="8"/>
      <c r="AH620" s="3"/>
    </row>
    <row r="621" ht="14.2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3"/>
      <c r="AF621" s="8"/>
      <c r="AG621" s="8"/>
      <c r="AH621" s="3"/>
    </row>
    <row r="622" ht="14.2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3"/>
      <c r="AF622" s="8"/>
      <c r="AG622" s="8"/>
      <c r="AH622" s="3"/>
    </row>
    <row r="623" ht="14.2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3"/>
      <c r="AF623" s="8"/>
      <c r="AG623" s="8"/>
      <c r="AH623" s="3"/>
    </row>
    <row r="624" ht="14.2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3"/>
      <c r="AF624" s="8"/>
      <c r="AG624" s="8"/>
      <c r="AH624" s="3"/>
    </row>
    <row r="625" ht="14.2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3"/>
      <c r="AF625" s="8"/>
      <c r="AG625" s="8"/>
      <c r="AH625" s="3"/>
    </row>
    <row r="626" ht="14.2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3"/>
      <c r="AF626" s="8"/>
      <c r="AG626" s="8"/>
      <c r="AH626" s="3"/>
    </row>
    <row r="627" ht="14.2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3"/>
      <c r="AF627" s="8"/>
      <c r="AG627" s="8"/>
      <c r="AH627" s="3"/>
    </row>
    <row r="628" ht="14.2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3"/>
      <c r="AF628" s="8"/>
      <c r="AG628" s="8"/>
      <c r="AH628" s="3"/>
    </row>
    <row r="629" ht="14.2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3"/>
      <c r="AF629" s="8"/>
      <c r="AG629" s="8"/>
      <c r="AH629" s="3"/>
    </row>
    <row r="630" ht="14.2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3"/>
      <c r="AF630" s="8"/>
      <c r="AG630" s="8"/>
      <c r="AH630" s="3"/>
    </row>
    <row r="631" ht="14.2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3"/>
      <c r="AF631" s="8"/>
      <c r="AG631" s="8"/>
      <c r="AH631" s="3"/>
    </row>
    <row r="632" ht="14.2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3"/>
      <c r="AF632" s="8"/>
      <c r="AG632" s="8"/>
      <c r="AH632" s="3"/>
    </row>
    <row r="633" ht="14.2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3"/>
      <c r="AF633" s="8"/>
      <c r="AG633" s="8"/>
      <c r="AH633" s="3"/>
    </row>
    <row r="634" ht="14.2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3"/>
      <c r="AF634" s="8"/>
      <c r="AG634" s="8"/>
      <c r="AH634" s="3"/>
    </row>
    <row r="635" ht="14.2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3"/>
      <c r="AF635" s="8"/>
      <c r="AG635" s="8"/>
      <c r="AH635" s="3"/>
    </row>
    <row r="636" ht="14.2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3"/>
      <c r="AF636" s="8"/>
      <c r="AG636" s="8"/>
      <c r="AH636" s="3"/>
    </row>
    <row r="637" ht="14.2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3"/>
      <c r="AF637" s="8"/>
      <c r="AG637" s="8"/>
      <c r="AH637" s="3"/>
    </row>
    <row r="638" ht="14.2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3"/>
      <c r="AF638" s="8"/>
      <c r="AG638" s="8"/>
      <c r="AH638" s="3"/>
    </row>
    <row r="639" ht="14.2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3"/>
      <c r="AF639" s="8"/>
      <c r="AG639" s="8"/>
      <c r="AH639" s="3"/>
    </row>
    <row r="640" ht="14.2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3"/>
      <c r="AF640" s="8"/>
      <c r="AG640" s="8"/>
      <c r="AH640" s="3"/>
    </row>
    <row r="641" ht="14.2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3"/>
      <c r="AF641" s="8"/>
      <c r="AG641" s="8"/>
      <c r="AH641" s="3"/>
    </row>
    <row r="642" ht="14.2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3"/>
      <c r="AF642" s="8"/>
      <c r="AG642" s="8"/>
      <c r="AH642" s="3"/>
    </row>
    <row r="643" ht="14.2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3"/>
      <c r="AF643" s="8"/>
      <c r="AG643" s="8"/>
      <c r="AH643" s="3"/>
    </row>
    <row r="644" ht="14.2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3"/>
      <c r="AF644" s="8"/>
      <c r="AG644" s="8"/>
      <c r="AH644" s="3"/>
    </row>
    <row r="645" ht="14.2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3"/>
      <c r="AF645" s="8"/>
      <c r="AG645" s="8"/>
      <c r="AH645" s="3"/>
    </row>
    <row r="646" ht="14.2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3"/>
      <c r="AF646" s="8"/>
      <c r="AG646" s="8"/>
      <c r="AH646" s="3"/>
    </row>
    <row r="647" ht="14.2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3"/>
      <c r="AF647" s="8"/>
      <c r="AG647" s="8"/>
      <c r="AH647" s="3"/>
    </row>
    <row r="648" ht="14.2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3"/>
      <c r="AF648" s="8"/>
      <c r="AG648" s="8"/>
      <c r="AH648" s="3"/>
    </row>
    <row r="649" ht="14.2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3"/>
      <c r="AF649" s="8"/>
      <c r="AG649" s="8"/>
      <c r="AH649" s="3"/>
    </row>
    <row r="650" ht="14.2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3"/>
      <c r="AF650" s="8"/>
      <c r="AG650" s="8"/>
      <c r="AH650" s="3"/>
    </row>
    <row r="651" ht="14.2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3"/>
      <c r="AF651" s="8"/>
      <c r="AG651" s="8"/>
      <c r="AH651" s="3"/>
    </row>
    <row r="652" ht="14.2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3"/>
      <c r="AF652" s="8"/>
      <c r="AG652" s="8"/>
      <c r="AH652" s="3"/>
    </row>
    <row r="653" ht="14.2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3"/>
      <c r="AF653" s="8"/>
      <c r="AG653" s="8"/>
      <c r="AH653" s="3"/>
    </row>
    <row r="654" ht="14.2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3"/>
      <c r="AF654" s="8"/>
      <c r="AG654" s="8"/>
      <c r="AH654" s="3"/>
    </row>
    <row r="655" ht="14.2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3"/>
      <c r="AF655" s="8"/>
      <c r="AG655" s="8"/>
      <c r="AH655" s="3"/>
    </row>
    <row r="656" ht="14.2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3"/>
      <c r="AF656" s="8"/>
      <c r="AG656" s="8"/>
      <c r="AH656" s="3"/>
    </row>
    <row r="657" ht="14.2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3"/>
      <c r="AF657" s="8"/>
      <c r="AG657" s="8"/>
      <c r="AH657" s="3"/>
    </row>
    <row r="658" ht="14.2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3"/>
      <c r="AF658" s="8"/>
      <c r="AG658" s="8"/>
      <c r="AH658" s="3"/>
    </row>
    <row r="659" ht="14.2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3"/>
      <c r="AF659" s="8"/>
      <c r="AG659" s="8"/>
      <c r="AH659" s="3"/>
    </row>
    <row r="660" ht="14.2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3"/>
      <c r="AF660" s="8"/>
      <c r="AG660" s="8"/>
      <c r="AH660" s="3"/>
    </row>
    <row r="661" ht="14.2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3"/>
      <c r="AF661" s="8"/>
      <c r="AG661" s="8"/>
      <c r="AH661" s="3"/>
    </row>
    <row r="662" ht="14.2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3"/>
      <c r="AF662" s="8"/>
      <c r="AG662" s="8"/>
      <c r="AH662" s="3"/>
    </row>
    <row r="663" ht="14.2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3"/>
      <c r="AF663" s="8"/>
      <c r="AG663" s="8"/>
      <c r="AH663" s="3"/>
    </row>
    <row r="664" ht="14.2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3"/>
      <c r="AF664" s="8"/>
      <c r="AG664" s="8"/>
      <c r="AH664" s="3"/>
    </row>
    <row r="665" ht="14.2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3"/>
      <c r="AF665" s="8"/>
      <c r="AG665" s="8"/>
      <c r="AH665" s="3"/>
    </row>
    <row r="666" ht="14.2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3"/>
      <c r="AF666" s="8"/>
      <c r="AG666" s="8"/>
      <c r="AH666" s="3"/>
    </row>
    <row r="667" ht="14.2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3"/>
      <c r="AF667" s="8"/>
      <c r="AG667" s="8"/>
      <c r="AH667" s="3"/>
    </row>
    <row r="668" ht="14.2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3"/>
      <c r="AF668" s="8"/>
      <c r="AG668" s="8"/>
      <c r="AH668" s="3"/>
    </row>
    <row r="669" ht="14.2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3"/>
      <c r="AF669" s="8"/>
      <c r="AG669" s="8"/>
      <c r="AH669" s="3"/>
    </row>
    <row r="670" ht="14.2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3"/>
      <c r="AF670" s="8"/>
      <c r="AG670" s="8"/>
      <c r="AH670" s="3"/>
    </row>
    <row r="671" ht="14.2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3"/>
      <c r="AF671" s="8"/>
      <c r="AG671" s="8"/>
      <c r="AH671" s="3"/>
    </row>
    <row r="672" ht="14.2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3"/>
      <c r="AF672" s="8"/>
      <c r="AG672" s="8"/>
      <c r="AH672" s="3"/>
    </row>
    <row r="673" ht="14.2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3"/>
      <c r="AF673" s="8"/>
      <c r="AG673" s="8"/>
      <c r="AH673" s="3"/>
    </row>
    <row r="674" ht="14.2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3"/>
      <c r="AF674" s="8"/>
      <c r="AG674" s="8"/>
      <c r="AH674" s="3"/>
    </row>
    <row r="675" ht="14.2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3"/>
      <c r="AF675" s="8"/>
      <c r="AG675" s="8"/>
      <c r="AH675" s="3"/>
    </row>
    <row r="676" ht="14.2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3"/>
      <c r="AF676" s="8"/>
      <c r="AG676" s="8"/>
      <c r="AH676" s="3"/>
    </row>
    <row r="677" ht="14.2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3"/>
      <c r="AF677" s="8"/>
      <c r="AG677" s="8"/>
      <c r="AH677" s="3"/>
    </row>
    <row r="678" ht="14.2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3"/>
      <c r="AF678" s="8"/>
      <c r="AG678" s="8"/>
      <c r="AH678" s="3"/>
    </row>
    <row r="679" ht="14.2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3"/>
      <c r="AF679" s="8"/>
      <c r="AG679" s="8"/>
      <c r="AH679" s="3"/>
    </row>
    <row r="680" ht="14.2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3"/>
      <c r="AF680" s="8"/>
      <c r="AG680" s="8"/>
      <c r="AH680" s="3"/>
    </row>
    <row r="681" ht="14.2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3"/>
      <c r="AF681" s="8"/>
      <c r="AG681" s="8"/>
      <c r="AH681" s="3"/>
    </row>
    <row r="682" ht="14.2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3"/>
      <c r="AF682" s="8"/>
      <c r="AG682" s="8"/>
      <c r="AH682" s="3"/>
    </row>
    <row r="683" ht="14.2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3"/>
      <c r="AF683" s="8"/>
      <c r="AG683" s="8"/>
      <c r="AH683" s="3"/>
    </row>
    <row r="684" ht="14.2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3"/>
      <c r="AF684" s="8"/>
      <c r="AG684" s="8"/>
      <c r="AH684" s="3"/>
    </row>
    <row r="685" ht="14.2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3"/>
      <c r="AF685" s="8"/>
      <c r="AG685" s="8"/>
      <c r="AH685" s="3"/>
    </row>
    <row r="686" ht="14.2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3"/>
      <c r="AF686" s="8"/>
      <c r="AG686" s="8"/>
      <c r="AH686" s="3"/>
    </row>
    <row r="687" ht="14.2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3"/>
      <c r="AF687" s="8"/>
      <c r="AG687" s="8"/>
      <c r="AH687" s="3"/>
    </row>
    <row r="688" ht="14.2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3"/>
      <c r="AF688" s="8"/>
      <c r="AG688" s="8"/>
      <c r="AH688" s="3"/>
    </row>
    <row r="689" ht="14.2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3"/>
      <c r="AF689" s="8"/>
      <c r="AG689" s="8"/>
      <c r="AH689" s="3"/>
    </row>
    <row r="690" ht="14.2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3"/>
      <c r="AF690" s="8"/>
      <c r="AG690" s="8"/>
      <c r="AH690" s="3"/>
    </row>
    <row r="691" ht="14.2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3"/>
      <c r="AF691" s="8"/>
      <c r="AG691" s="8"/>
      <c r="AH691" s="3"/>
    </row>
    <row r="692" ht="14.2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3"/>
      <c r="AF692" s="8"/>
      <c r="AG692" s="8"/>
      <c r="AH692" s="3"/>
    </row>
    <row r="693" ht="14.2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3"/>
      <c r="AF693" s="8"/>
      <c r="AG693" s="8"/>
      <c r="AH693" s="3"/>
    </row>
    <row r="694" ht="14.2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3"/>
      <c r="AF694" s="8"/>
      <c r="AG694" s="8"/>
      <c r="AH694" s="3"/>
    </row>
    <row r="695" ht="14.2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3"/>
      <c r="AF695" s="8"/>
      <c r="AG695" s="8"/>
      <c r="AH695" s="3"/>
    </row>
    <row r="696" ht="14.2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3"/>
      <c r="AF696" s="8"/>
      <c r="AG696" s="8"/>
      <c r="AH696" s="3"/>
    </row>
    <row r="697" ht="14.2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3"/>
      <c r="AF697" s="8"/>
      <c r="AG697" s="8"/>
      <c r="AH697" s="3"/>
    </row>
    <row r="698" ht="14.2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3"/>
      <c r="AF698" s="8"/>
      <c r="AG698" s="8"/>
      <c r="AH698" s="3"/>
    </row>
    <row r="699" ht="14.2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3"/>
      <c r="AF699" s="8"/>
      <c r="AG699" s="8"/>
      <c r="AH699" s="3"/>
    </row>
    <row r="700" ht="14.2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3"/>
      <c r="AF700" s="8"/>
      <c r="AG700" s="8"/>
      <c r="AH700" s="3"/>
    </row>
    <row r="701" ht="14.2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3"/>
      <c r="AF701" s="8"/>
      <c r="AG701" s="8"/>
      <c r="AH701" s="3"/>
    </row>
    <row r="702" ht="14.2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3"/>
      <c r="AF702" s="8"/>
      <c r="AG702" s="8"/>
      <c r="AH702" s="3"/>
    </row>
    <row r="703" ht="14.2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3"/>
      <c r="AF703" s="8"/>
      <c r="AG703" s="8"/>
      <c r="AH703" s="3"/>
    </row>
    <row r="704" ht="14.2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3"/>
      <c r="AF704" s="8"/>
      <c r="AG704" s="8"/>
      <c r="AH704" s="3"/>
    </row>
    <row r="705" ht="14.2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3"/>
      <c r="AF705" s="8"/>
      <c r="AG705" s="8"/>
      <c r="AH705" s="3"/>
    </row>
    <row r="706" ht="14.2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3"/>
      <c r="AF706" s="8"/>
      <c r="AG706" s="8"/>
      <c r="AH706" s="3"/>
    </row>
    <row r="707" ht="14.2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3"/>
      <c r="AF707" s="8"/>
      <c r="AG707" s="8"/>
      <c r="AH707" s="3"/>
    </row>
    <row r="708" ht="14.2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3"/>
      <c r="AF708" s="8"/>
      <c r="AG708" s="8"/>
      <c r="AH708" s="3"/>
    </row>
    <row r="709" ht="14.2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3"/>
      <c r="AF709" s="8"/>
      <c r="AG709" s="8"/>
      <c r="AH709" s="3"/>
    </row>
    <row r="710" ht="14.2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3"/>
      <c r="AF710" s="8"/>
      <c r="AG710" s="8"/>
      <c r="AH710" s="3"/>
    </row>
    <row r="711" ht="14.2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3"/>
      <c r="AF711" s="8"/>
      <c r="AG711" s="8"/>
      <c r="AH711" s="3"/>
    </row>
    <row r="712" ht="14.2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3"/>
      <c r="AF712" s="8"/>
      <c r="AG712" s="8"/>
      <c r="AH712" s="3"/>
    </row>
    <row r="713" ht="14.2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3"/>
      <c r="AF713" s="8"/>
      <c r="AG713" s="8"/>
      <c r="AH713" s="3"/>
    </row>
    <row r="714" ht="14.2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3"/>
      <c r="AF714" s="8"/>
      <c r="AG714" s="8"/>
      <c r="AH714" s="3"/>
    </row>
    <row r="715" ht="14.2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3"/>
      <c r="AF715" s="8"/>
      <c r="AG715" s="8"/>
      <c r="AH715" s="3"/>
    </row>
    <row r="716" ht="14.2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3"/>
      <c r="AF716" s="8"/>
      <c r="AG716" s="8"/>
      <c r="AH716" s="3"/>
    </row>
    <row r="717" ht="14.2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3"/>
      <c r="AF717" s="8"/>
      <c r="AG717" s="8"/>
      <c r="AH717" s="3"/>
    </row>
    <row r="718" ht="14.2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3"/>
      <c r="AF718" s="8"/>
      <c r="AG718" s="8"/>
      <c r="AH718" s="3"/>
    </row>
    <row r="719" ht="14.2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3"/>
      <c r="AF719" s="8"/>
      <c r="AG719" s="8"/>
      <c r="AH719" s="3"/>
    </row>
    <row r="720" ht="14.2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3"/>
      <c r="AF720" s="8"/>
      <c r="AG720" s="8"/>
      <c r="AH720" s="3"/>
    </row>
    <row r="721" ht="14.2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3"/>
      <c r="AF721" s="8"/>
      <c r="AG721" s="8"/>
      <c r="AH721" s="3"/>
    </row>
    <row r="722" ht="14.2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3"/>
      <c r="AF722" s="8"/>
      <c r="AG722" s="8"/>
      <c r="AH722" s="3"/>
    </row>
    <row r="723" ht="14.2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3"/>
      <c r="AF723" s="8"/>
      <c r="AG723" s="8"/>
      <c r="AH723" s="3"/>
    </row>
    <row r="724" ht="14.2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3"/>
      <c r="AF724" s="8"/>
      <c r="AG724" s="8"/>
      <c r="AH724" s="3"/>
    </row>
    <row r="725" ht="14.2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3"/>
      <c r="AF725" s="8"/>
      <c r="AG725" s="8"/>
      <c r="AH725" s="3"/>
    </row>
    <row r="726" ht="14.2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3"/>
      <c r="AF726" s="8"/>
      <c r="AG726" s="8"/>
      <c r="AH726" s="3"/>
    </row>
    <row r="727" ht="14.2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3"/>
      <c r="AF727" s="8"/>
      <c r="AG727" s="8"/>
      <c r="AH727" s="3"/>
    </row>
    <row r="728" ht="14.2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3"/>
      <c r="AF728" s="8"/>
      <c r="AG728" s="8"/>
      <c r="AH728" s="3"/>
    </row>
    <row r="729" ht="14.2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3"/>
      <c r="AF729" s="8"/>
      <c r="AG729" s="8"/>
      <c r="AH729" s="3"/>
    </row>
    <row r="730" ht="14.2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3"/>
      <c r="AF730" s="8"/>
      <c r="AG730" s="8"/>
      <c r="AH730" s="3"/>
    </row>
    <row r="731" ht="14.2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3"/>
      <c r="AF731" s="8"/>
      <c r="AG731" s="8"/>
      <c r="AH731" s="3"/>
    </row>
    <row r="732" ht="14.2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3"/>
      <c r="AF732" s="8"/>
      <c r="AG732" s="8"/>
      <c r="AH732" s="3"/>
    </row>
    <row r="733" ht="14.2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3"/>
      <c r="AF733" s="8"/>
      <c r="AG733" s="8"/>
      <c r="AH733" s="3"/>
    </row>
    <row r="734" ht="14.2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3"/>
      <c r="AF734" s="8"/>
      <c r="AG734" s="8"/>
      <c r="AH734" s="3"/>
    </row>
    <row r="735" ht="14.2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3"/>
      <c r="AF735" s="8"/>
      <c r="AG735" s="8"/>
      <c r="AH735" s="3"/>
    </row>
    <row r="736" ht="14.2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3"/>
      <c r="AF736" s="8"/>
      <c r="AG736" s="8"/>
      <c r="AH736" s="3"/>
    </row>
    <row r="737" ht="14.2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3"/>
      <c r="AF737" s="8"/>
      <c r="AG737" s="8"/>
      <c r="AH737" s="3"/>
    </row>
    <row r="738" ht="14.2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3"/>
      <c r="AF738" s="8"/>
      <c r="AG738" s="8"/>
      <c r="AH738" s="3"/>
    </row>
    <row r="739" ht="14.2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3"/>
      <c r="AF739" s="8"/>
      <c r="AG739" s="8"/>
      <c r="AH739" s="3"/>
    </row>
    <row r="740" ht="14.2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3"/>
      <c r="AF740" s="8"/>
      <c r="AG740" s="8"/>
      <c r="AH740" s="3"/>
    </row>
    <row r="741" ht="14.2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3"/>
      <c r="AF741" s="8"/>
      <c r="AG741" s="8"/>
      <c r="AH741" s="3"/>
    </row>
    <row r="742" ht="14.2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3"/>
      <c r="AF742" s="8"/>
      <c r="AG742" s="8"/>
      <c r="AH742" s="3"/>
    </row>
    <row r="743" ht="14.2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3"/>
      <c r="AF743" s="8"/>
      <c r="AG743" s="8"/>
      <c r="AH743" s="3"/>
    </row>
    <row r="744" ht="14.2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3"/>
      <c r="AF744" s="8"/>
      <c r="AG744" s="8"/>
      <c r="AH744" s="3"/>
    </row>
    <row r="745" ht="14.2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3"/>
      <c r="AF745" s="8"/>
      <c r="AG745" s="8"/>
      <c r="AH745" s="3"/>
    </row>
    <row r="746" ht="14.2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3"/>
      <c r="AF746" s="8"/>
      <c r="AG746" s="8"/>
      <c r="AH746" s="3"/>
    </row>
    <row r="747" ht="14.2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3"/>
      <c r="AF747" s="8"/>
      <c r="AG747" s="8"/>
      <c r="AH747" s="3"/>
    </row>
    <row r="748" ht="14.2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3"/>
      <c r="AF748" s="8"/>
      <c r="AG748" s="8"/>
      <c r="AH748" s="3"/>
    </row>
    <row r="749" ht="14.2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3"/>
      <c r="AF749" s="8"/>
      <c r="AG749" s="8"/>
      <c r="AH749" s="3"/>
    </row>
    <row r="750" ht="14.2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3"/>
      <c r="AF750" s="8"/>
      <c r="AG750" s="8"/>
      <c r="AH750" s="3"/>
    </row>
    <row r="751" ht="14.2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3"/>
      <c r="AF751" s="8"/>
      <c r="AG751" s="8"/>
      <c r="AH751" s="3"/>
    </row>
    <row r="752" ht="14.2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3"/>
      <c r="AF752" s="8"/>
      <c r="AG752" s="8"/>
      <c r="AH752" s="3"/>
    </row>
    <row r="753" ht="14.2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3"/>
      <c r="AF753" s="8"/>
      <c r="AG753" s="8"/>
      <c r="AH753" s="3"/>
    </row>
    <row r="754" ht="14.2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3"/>
      <c r="AF754" s="8"/>
      <c r="AG754" s="8"/>
      <c r="AH754" s="3"/>
    </row>
    <row r="755" ht="14.2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3"/>
      <c r="AF755" s="8"/>
      <c r="AG755" s="8"/>
      <c r="AH755" s="3"/>
    </row>
    <row r="756" ht="14.2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3"/>
      <c r="AF756" s="8"/>
      <c r="AG756" s="8"/>
      <c r="AH756" s="3"/>
    </row>
    <row r="757" ht="14.2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3"/>
      <c r="AF757" s="8"/>
      <c r="AG757" s="8"/>
      <c r="AH757" s="3"/>
    </row>
    <row r="758" ht="14.2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3"/>
      <c r="AF758" s="8"/>
      <c r="AG758" s="8"/>
      <c r="AH758" s="3"/>
    </row>
    <row r="759" ht="14.2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3"/>
      <c r="AF759" s="8"/>
      <c r="AG759" s="8"/>
      <c r="AH759" s="3"/>
    </row>
    <row r="760" ht="14.2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3"/>
      <c r="AF760" s="8"/>
      <c r="AG760" s="8"/>
      <c r="AH760" s="3"/>
    </row>
    <row r="761" ht="14.2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3"/>
      <c r="AF761" s="8"/>
      <c r="AG761" s="8"/>
      <c r="AH761" s="3"/>
    </row>
    <row r="762" ht="14.2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3"/>
      <c r="AF762" s="8"/>
      <c r="AG762" s="8"/>
      <c r="AH762" s="3"/>
    </row>
    <row r="763" ht="14.2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3"/>
      <c r="AF763" s="8"/>
      <c r="AG763" s="8"/>
      <c r="AH763" s="3"/>
    </row>
    <row r="764" ht="14.2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3"/>
      <c r="AF764" s="8"/>
      <c r="AG764" s="8"/>
      <c r="AH764" s="3"/>
    </row>
    <row r="765" ht="14.2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3"/>
      <c r="AF765" s="8"/>
      <c r="AG765" s="8"/>
      <c r="AH765" s="3"/>
    </row>
    <row r="766" ht="14.2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3"/>
      <c r="AF766" s="8"/>
      <c r="AG766" s="8"/>
      <c r="AH766" s="3"/>
    </row>
    <row r="767" ht="14.2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3"/>
      <c r="AF767" s="8"/>
      <c r="AG767" s="8"/>
      <c r="AH767" s="3"/>
    </row>
    <row r="768" ht="14.2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3"/>
      <c r="AF768" s="8"/>
      <c r="AG768" s="8"/>
      <c r="AH768" s="3"/>
    </row>
    <row r="769" ht="14.2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3"/>
      <c r="AF769" s="8"/>
      <c r="AG769" s="8"/>
      <c r="AH769" s="3"/>
    </row>
    <row r="770" ht="14.2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3"/>
      <c r="AF770" s="8"/>
      <c r="AG770" s="8"/>
      <c r="AH770" s="3"/>
    </row>
    <row r="771" ht="14.2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3"/>
      <c r="AF771" s="8"/>
      <c r="AG771" s="8"/>
      <c r="AH771" s="3"/>
    </row>
    <row r="772" ht="14.2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3"/>
      <c r="AF772" s="8"/>
      <c r="AG772" s="8"/>
      <c r="AH772" s="3"/>
    </row>
    <row r="773" ht="14.2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3"/>
      <c r="AF773" s="8"/>
      <c r="AG773" s="8"/>
      <c r="AH773" s="3"/>
    </row>
    <row r="774" ht="14.2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3"/>
      <c r="AF774" s="8"/>
      <c r="AG774" s="8"/>
      <c r="AH774" s="3"/>
    </row>
    <row r="775" ht="14.2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3"/>
      <c r="AF775" s="8"/>
      <c r="AG775" s="8"/>
      <c r="AH775" s="3"/>
    </row>
    <row r="776" ht="14.2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3"/>
      <c r="AF776" s="8"/>
      <c r="AG776" s="8"/>
      <c r="AH776" s="3"/>
    </row>
    <row r="777" ht="14.2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3"/>
      <c r="AF777" s="8"/>
      <c r="AG777" s="8"/>
      <c r="AH777" s="3"/>
    </row>
    <row r="778" ht="14.2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3"/>
      <c r="AF778" s="8"/>
      <c r="AG778" s="8"/>
      <c r="AH778" s="3"/>
    </row>
    <row r="779" ht="14.2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3"/>
      <c r="AF779" s="8"/>
      <c r="AG779" s="8"/>
      <c r="AH779" s="3"/>
    </row>
    <row r="780" ht="14.2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3"/>
      <c r="AF780" s="8"/>
      <c r="AG780" s="8"/>
      <c r="AH780" s="3"/>
    </row>
    <row r="781" ht="14.2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3"/>
      <c r="AF781" s="8"/>
      <c r="AG781" s="8"/>
      <c r="AH781" s="3"/>
    </row>
    <row r="782" ht="14.2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3"/>
      <c r="AF782" s="8"/>
      <c r="AG782" s="8"/>
      <c r="AH782" s="3"/>
    </row>
    <row r="783" ht="14.2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3"/>
      <c r="AF783" s="8"/>
      <c r="AG783" s="8"/>
      <c r="AH783" s="3"/>
    </row>
    <row r="784" ht="14.2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3"/>
      <c r="AF784" s="8"/>
      <c r="AG784" s="8"/>
      <c r="AH784" s="3"/>
    </row>
    <row r="785" ht="14.2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3"/>
      <c r="AF785" s="8"/>
      <c r="AG785" s="8"/>
      <c r="AH785" s="3"/>
    </row>
    <row r="786" ht="14.2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3"/>
      <c r="AF786" s="8"/>
      <c r="AG786" s="8"/>
      <c r="AH786" s="3"/>
    </row>
    <row r="787" ht="14.2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3"/>
      <c r="AF787" s="8"/>
      <c r="AG787" s="8"/>
      <c r="AH787" s="3"/>
    </row>
    <row r="788" ht="14.2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3"/>
      <c r="AF788" s="8"/>
      <c r="AG788" s="8"/>
      <c r="AH788" s="3"/>
    </row>
    <row r="789" ht="14.2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3"/>
      <c r="AF789" s="8"/>
      <c r="AG789" s="8"/>
      <c r="AH789" s="3"/>
    </row>
    <row r="790" ht="14.2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3"/>
      <c r="AF790" s="8"/>
      <c r="AG790" s="8"/>
      <c r="AH790" s="3"/>
    </row>
    <row r="791" ht="14.2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3"/>
      <c r="AF791" s="8"/>
      <c r="AG791" s="8"/>
      <c r="AH791" s="3"/>
    </row>
    <row r="792" ht="14.2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3"/>
      <c r="AF792" s="8"/>
      <c r="AG792" s="8"/>
      <c r="AH792" s="3"/>
    </row>
    <row r="793" ht="14.2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3"/>
      <c r="AF793" s="8"/>
      <c r="AG793" s="8"/>
      <c r="AH793" s="3"/>
    </row>
    <row r="794" ht="14.2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3"/>
      <c r="AF794" s="8"/>
      <c r="AG794" s="8"/>
      <c r="AH794" s="3"/>
    </row>
    <row r="795" ht="14.2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3"/>
      <c r="AF795" s="8"/>
      <c r="AG795" s="8"/>
      <c r="AH795" s="3"/>
    </row>
    <row r="796" ht="14.2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3"/>
      <c r="AF796" s="8"/>
      <c r="AG796" s="8"/>
      <c r="AH796" s="3"/>
    </row>
    <row r="797" ht="14.2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3"/>
      <c r="AF797" s="8"/>
      <c r="AG797" s="8"/>
      <c r="AH797" s="3"/>
    </row>
    <row r="798" ht="14.2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3"/>
      <c r="AF798" s="8"/>
      <c r="AG798" s="8"/>
      <c r="AH798" s="3"/>
    </row>
    <row r="799" ht="14.2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3"/>
      <c r="AF799" s="8"/>
      <c r="AG799" s="8"/>
      <c r="AH799" s="3"/>
    </row>
    <row r="800" ht="14.2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3"/>
      <c r="AF800" s="8"/>
      <c r="AG800" s="8"/>
      <c r="AH800" s="3"/>
    </row>
    <row r="801" ht="14.2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3"/>
      <c r="AF801" s="8"/>
      <c r="AG801" s="8"/>
      <c r="AH801" s="3"/>
    </row>
    <row r="802" ht="14.2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3"/>
      <c r="AF802" s="8"/>
      <c r="AG802" s="8"/>
      <c r="AH802" s="3"/>
    </row>
    <row r="803" ht="14.2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3"/>
      <c r="AF803" s="8"/>
      <c r="AG803" s="8"/>
      <c r="AH803" s="3"/>
    </row>
    <row r="804" ht="14.2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3"/>
      <c r="AF804" s="8"/>
      <c r="AG804" s="8"/>
      <c r="AH804" s="3"/>
    </row>
    <row r="805" ht="14.2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3"/>
      <c r="AF805" s="8"/>
      <c r="AG805" s="8"/>
      <c r="AH805" s="3"/>
    </row>
    <row r="806" ht="14.2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3"/>
      <c r="AF806" s="8"/>
      <c r="AG806" s="8"/>
      <c r="AH806" s="3"/>
    </row>
    <row r="807" ht="14.2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3"/>
      <c r="AF807" s="8"/>
      <c r="AG807" s="8"/>
      <c r="AH807" s="3"/>
    </row>
    <row r="808" ht="14.2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3"/>
      <c r="AF808" s="8"/>
      <c r="AG808" s="8"/>
      <c r="AH808" s="3"/>
    </row>
    <row r="809" ht="14.2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3"/>
      <c r="AF809" s="8"/>
      <c r="AG809" s="8"/>
      <c r="AH809" s="3"/>
    </row>
    <row r="810" ht="14.2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3"/>
      <c r="AF810" s="8"/>
      <c r="AG810" s="8"/>
      <c r="AH810" s="3"/>
    </row>
    <row r="811" ht="14.2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3"/>
      <c r="AF811" s="8"/>
      <c r="AG811" s="8"/>
      <c r="AH811" s="3"/>
    </row>
    <row r="812" ht="14.2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3"/>
      <c r="AF812" s="8"/>
      <c r="AG812" s="8"/>
      <c r="AH812" s="3"/>
    </row>
    <row r="813" ht="14.2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3"/>
      <c r="AF813" s="8"/>
      <c r="AG813" s="8"/>
      <c r="AH813" s="3"/>
    </row>
    <row r="814" ht="14.2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3"/>
      <c r="AF814" s="8"/>
      <c r="AG814" s="8"/>
      <c r="AH814" s="3"/>
    </row>
    <row r="815" ht="14.2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3"/>
      <c r="AF815" s="8"/>
      <c r="AG815" s="8"/>
      <c r="AH815" s="3"/>
    </row>
    <row r="816" ht="14.2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3"/>
      <c r="AF816" s="8"/>
      <c r="AG816" s="8"/>
      <c r="AH816" s="3"/>
    </row>
    <row r="817" ht="14.2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3"/>
      <c r="AF817" s="8"/>
      <c r="AG817" s="8"/>
      <c r="AH817" s="3"/>
    </row>
    <row r="818" ht="14.2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3"/>
      <c r="AF818" s="8"/>
      <c r="AG818" s="8"/>
      <c r="AH818" s="3"/>
    </row>
    <row r="819" ht="14.2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3"/>
      <c r="AF819" s="8"/>
      <c r="AG819" s="8"/>
      <c r="AH819" s="3"/>
    </row>
    <row r="820" ht="14.2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3"/>
      <c r="AF820" s="8"/>
      <c r="AG820" s="8"/>
      <c r="AH820" s="3"/>
    </row>
    <row r="821" ht="14.2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3"/>
      <c r="AF821" s="8"/>
      <c r="AG821" s="8"/>
      <c r="AH821" s="3"/>
    </row>
    <row r="822" ht="14.2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3"/>
      <c r="AF822" s="8"/>
      <c r="AG822" s="8"/>
      <c r="AH822" s="3"/>
    </row>
    <row r="823" ht="14.2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3"/>
      <c r="AF823" s="8"/>
      <c r="AG823" s="8"/>
      <c r="AH823" s="3"/>
    </row>
    <row r="824" ht="14.2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3"/>
      <c r="AF824" s="8"/>
      <c r="AG824" s="8"/>
      <c r="AH824" s="3"/>
    </row>
    <row r="825" ht="14.2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3"/>
      <c r="AF825" s="8"/>
      <c r="AG825" s="8"/>
      <c r="AH825" s="3"/>
    </row>
    <row r="826" ht="14.2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3"/>
      <c r="AF826" s="8"/>
      <c r="AG826" s="8"/>
      <c r="AH826" s="3"/>
    </row>
    <row r="827" ht="14.2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3"/>
      <c r="AF827" s="8"/>
      <c r="AG827" s="8"/>
      <c r="AH827" s="3"/>
    </row>
    <row r="828" ht="14.2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3"/>
      <c r="AF828" s="8"/>
      <c r="AG828" s="8"/>
      <c r="AH828" s="3"/>
    </row>
    <row r="829" ht="14.2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3"/>
      <c r="AF829" s="8"/>
      <c r="AG829" s="8"/>
      <c r="AH829" s="3"/>
    </row>
    <row r="830" ht="14.2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3"/>
      <c r="AF830" s="8"/>
      <c r="AG830" s="8"/>
      <c r="AH830" s="3"/>
    </row>
    <row r="831" ht="14.2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3"/>
      <c r="AF831" s="8"/>
      <c r="AG831" s="8"/>
      <c r="AH831" s="3"/>
    </row>
    <row r="832" ht="14.2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3"/>
      <c r="AF832" s="8"/>
      <c r="AG832" s="8"/>
      <c r="AH832" s="3"/>
    </row>
    <row r="833" ht="14.2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3"/>
      <c r="AF833" s="8"/>
      <c r="AG833" s="8"/>
      <c r="AH833" s="3"/>
    </row>
    <row r="834" ht="14.2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3"/>
      <c r="AF834" s="8"/>
      <c r="AG834" s="8"/>
      <c r="AH834" s="3"/>
    </row>
    <row r="835" ht="14.2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3"/>
      <c r="AF835" s="8"/>
      <c r="AG835" s="8"/>
      <c r="AH835" s="3"/>
    </row>
    <row r="836" ht="14.2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3"/>
      <c r="AF836" s="8"/>
      <c r="AG836" s="8"/>
      <c r="AH836" s="3"/>
    </row>
    <row r="837" ht="14.2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3"/>
      <c r="AF837" s="8"/>
      <c r="AG837" s="8"/>
      <c r="AH837" s="3"/>
    </row>
    <row r="838" ht="14.2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3"/>
      <c r="AF838" s="8"/>
      <c r="AG838" s="8"/>
      <c r="AH838" s="3"/>
    </row>
    <row r="839" ht="14.2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3"/>
      <c r="AF839" s="8"/>
      <c r="AG839" s="8"/>
      <c r="AH839" s="3"/>
    </row>
    <row r="840" ht="14.2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3"/>
      <c r="AF840" s="8"/>
      <c r="AG840" s="8"/>
      <c r="AH840" s="3"/>
    </row>
    <row r="841" ht="14.2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3"/>
      <c r="AF841" s="8"/>
      <c r="AG841" s="8"/>
      <c r="AH841" s="3"/>
    </row>
    <row r="842" ht="14.2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3"/>
      <c r="AF842" s="8"/>
      <c r="AG842" s="8"/>
      <c r="AH842" s="3"/>
    </row>
    <row r="843" ht="14.2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3"/>
      <c r="AF843" s="8"/>
      <c r="AG843" s="8"/>
      <c r="AH843" s="3"/>
    </row>
    <row r="844" ht="14.2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3"/>
      <c r="AF844" s="8"/>
      <c r="AG844" s="8"/>
      <c r="AH844" s="3"/>
    </row>
    <row r="845" ht="14.2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3"/>
      <c r="AF845" s="8"/>
      <c r="AG845" s="8"/>
      <c r="AH845" s="3"/>
    </row>
    <row r="846" ht="14.2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3"/>
      <c r="AF846" s="8"/>
      <c r="AG846" s="8"/>
      <c r="AH846" s="3"/>
    </row>
    <row r="847" ht="14.2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3"/>
      <c r="AF847" s="8"/>
      <c r="AG847" s="8"/>
      <c r="AH847" s="3"/>
    </row>
    <row r="848" ht="14.2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3"/>
      <c r="AF848" s="8"/>
      <c r="AG848" s="8"/>
      <c r="AH848" s="3"/>
    </row>
    <row r="849" ht="14.2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3"/>
      <c r="AF849" s="8"/>
      <c r="AG849" s="8"/>
      <c r="AH849" s="3"/>
    </row>
    <row r="850" ht="14.2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3"/>
      <c r="AF850" s="8"/>
      <c r="AG850" s="8"/>
      <c r="AH850" s="3"/>
    </row>
    <row r="851" ht="14.2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3"/>
      <c r="AF851" s="8"/>
      <c r="AG851" s="8"/>
      <c r="AH851" s="3"/>
    </row>
    <row r="852" ht="14.2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3"/>
      <c r="AF852" s="8"/>
      <c r="AG852" s="8"/>
      <c r="AH852" s="3"/>
    </row>
    <row r="853" ht="14.2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3"/>
      <c r="AF853" s="8"/>
      <c r="AG853" s="8"/>
      <c r="AH853" s="3"/>
    </row>
    <row r="854" ht="14.2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3"/>
      <c r="AF854" s="8"/>
      <c r="AG854" s="8"/>
      <c r="AH854" s="3"/>
    </row>
    <row r="855" ht="14.2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3"/>
      <c r="AF855" s="8"/>
      <c r="AG855" s="8"/>
      <c r="AH855" s="3"/>
    </row>
    <row r="856" ht="14.2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3"/>
      <c r="AF856" s="8"/>
      <c r="AG856" s="8"/>
      <c r="AH856" s="3"/>
    </row>
    <row r="857" ht="14.2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3"/>
      <c r="AF857" s="8"/>
      <c r="AG857" s="8"/>
      <c r="AH857" s="3"/>
    </row>
    <row r="858" ht="14.2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3"/>
      <c r="AF858" s="8"/>
      <c r="AG858" s="8"/>
      <c r="AH858" s="3"/>
    </row>
    <row r="859" ht="14.2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3"/>
      <c r="AF859" s="8"/>
      <c r="AG859" s="8"/>
      <c r="AH859" s="3"/>
    </row>
    <row r="860" ht="14.2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3"/>
      <c r="AF860" s="8"/>
      <c r="AG860" s="8"/>
      <c r="AH860" s="3"/>
    </row>
    <row r="861" ht="14.2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3"/>
      <c r="AF861" s="8"/>
      <c r="AG861" s="8"/>
      <c r="AH861" s="3"/>
    </row>
    <row r="862" ht="14.2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3"/>
      <c r="AF862" s="8"/>
      <c r="AG862" s="8"/>
      <c r="AH862" s="3"/>
    </row>
    <row r="863" ht="14.2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3"/>
      <c r="AF863" s="8"/>
      <c r="AG863" s="8"/>
      <c r="AH863" s="3"/>
    </row>
    <row r="864" ht="14.2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3"/>
      <c r="AF864" s="8"/>
      <c r="AG864" s="8"/>
      <c r="AH864" s="3"/>
    </row>
    <row r="865" ht="14.2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3"/>
      <c r="AF865" s="8"/>
      <c r="AG865" s="8"/>
      <c r="AH865" s="3"/>
    </row>
    <row r="866" ht="14.2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3"/>
      <c r="AF866" s="8"/>
      <c r="AG866" s="8"/>
      <c r="AH866" s="3"/>
    </row>
    <row r="867" ht="14.2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3"/>
      <c r="AF867" s="8"/>
      <c r="AG867" s="8"/>
      <c r="AH867" s="3"/>
    </row>
    <row r="868" ht="14.2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3"/>
      <c r="AF868" s="8"/>
      <c r="AG868" s="8"/>
      <c r="AH868" s="3"/>
    </row>
    <row r="869" ht="14.2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3"/>
      <c r="AF869" s="8"/>
      <c r="AG869" s="8"/>
      <c r="AH869" s="3"/>
    </row>
    <row r="870" ht="14.2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3"/>
      <c r="AF870" s="8"/>
      <c r="AG870" s="8"/>
      <c r="AH870" s="3"/>
    </row>
    <row r="871" ht="14.2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3"/>
      <c r="AF871" s="8"/>
      <c r="AG871" s="8"/>
      <c r="AH871" s="3"/>
    </row>
    <row r="872" ht="14.2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3"/>
      <c r="AF872" s="8"/>
      <c r="AG872" s="8"/>
      <c r="AH872" s="3"/>
    </row>
    <row r="873" ht="14.2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3"/>
      <c r="AF873" s="8"/>
      <c r="AG873" s="8"/>
      <c r="AH873" s="3"/>
    </row>
    <row r="874" ht="14.2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3"/>
      <c r="AF874" s="8"/>
      <c r="AG874" s="8"/>
      <c r="AH874" s="3"/>
    </row>
    <row r="875" ht="14.2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3"/>
      <c r="AF875" s="8"/>
      <c r="AG875" s="8"/>
      <c r="AH875" s="3"/>
    </row>
    <row r="876" ht="14.2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3"/>
      <c r="AF876" s="8"/>
      <c r="AG876" s="8"/>
      <c r="AH876" s="3"/>
    </row>
    <row r="877" ht="14.2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3"/>
      <c r="AF877" s="8"/>
      <c r="AG877" s="8"/>
      <c r="AH877" s="3"/>
    </row>
    <row r="878" ht="14.2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3"/>
      <c r="AF878" s="8"/>
      <c r="AG878" s="8"/>
      <c r="AH878" s="3"/>
    </row>
    <row r="879" ht="14.2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3"/>
      <c r="AF879" s="8"/>
      <c r="AG879" s="8"/>
      <c r="AH879" s="3"/>
    </row>
    <row r="880" ht="14.2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3"/>
      <c r="AF880" s="8"/>
      <c r="AG880" s="8"/>
      <c r="AH880" s="3"/>
    </row>
    <row r="881" ht="14.2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3"/>
      <c r="AF881" s="8"/>
      <c r="AG881" s="8"/>
      <c r="AH881" s="3"/>
    </row>
    <row r="882" ht="14.2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3"/>
      <c r="AF882" s="8"/>
      <c r="AG882" s="8"/>
      <c r="AH882" s="3"/>
    </row>
    <row r="883" ht="14.2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3"/>
      <c r="AF883" s="8"/>
      <c r="AG883" s="8"/>
      <c r="AH883" s="3"/>
    </row>
    <row r="884" ht="14.2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3"/>
      <c r="AF884" s="8"/>
      <c r="AG884" s="8"/>
      <c r="AH884" s="3"/>
    </row>
    <row r="885" ht="14.2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3"/>
      <c r="AF885" s="8"/>
      <c r="AG885" s="8"/>
      <c r="AH885" s="3"/>
    </row>
    <row r="886" ht="14.2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3"/>
      <c r="AF886" s="8"/>
      <c r="AG886" s="8"/>
      <c r="AH886" s="3"/>
    </row>
    <row r="887" ht="14.2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3"/>
      <c r="AF887" s="8"/>
      <c r="AG887" s="8"/>
      <c r="AH887" s="3"/>
    </row>
    <row r="888" ht="14.2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3"/>
      <c r="AF888" s="8"/>
      <c r="AG888" s="8"/>
      <c r="AH888" s="3"/>
    </row>
    <row r="889" ht="14.2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3"/>
      <c r="AF889" s="8"/>
      <c r="AG889" s="8"/>
      <c r="AH889" s="3"/>
    </row>
    <row r="890" ht="14.2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3"/>
      <c r="AF890" s="8"/>
      <c r="AG890" s="8"/>
      <c r="AH890" s="3"/>
    </row>
    <row r="891" ht="14.2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3"/>
      <c r="AF891" s="8"/>
      <c r="AG891" s="8"/>
      <c r="AH891" s="3"/>
    </row>
    <row r="892" ht="14.2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3"/>
      <c r="AF892" s="8"/>
      <c r="AG892" s="8"/>
      <c r="AH892" s="3"/>
    </row>
    <row r="893" ht="14.2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3"/>
      <c r="AF893" s="8"/>
      <c r="AG893" s="8"/>
      <c r="AH893" s="3"/>
    </row>
    <row r="894" ht="14.2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3"/>
      <c r="AF894" s="8"/>
      <c r="AG894" s="8"/>
      <c r="AH894" s="3"/>
    </row>
    <row r="895" ht="14.2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3"/>
      <c r="AF895" s="8"/>
      <c r="AG895" s="8"/>
      <c r="AH895" s="3"/>
    </row>
    <row r="896" ht="14.2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3"/>
      <c r="AF896" s="8"/>
      <c r="AG896" s="8"/>
      <c r="AH896" s="3"/>
    </row>
    <row r="897" ht="14.2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3"/>
      <c r="AF897" s="8"/>
      <c r="AG897" s="8"/>
      <c r="AH897" s="3"/>
    </row>
    <row r="898" ht="14.2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3"/>
      <c r="AF898" s="8"/>
      <c r="AG898" s="8"/>
      <c r="AH898" s="3"/>
    </row>
    <row r="899" ht="14.2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3"/>
      <c r="AF899" s="8"/>
      <c r="AG899" s="8"/>
      <c r="AH899" s="3"/>
    </row>
    <row r="900" ht="14.2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3"/>
      <c r="AF900" s="8"/>
      <c r="AG900" s="8"/>
      <c r="AH900" s="3"/>
    </row>
    <row r="901" ht="14.2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3"/>
      <c r="AF901" s="8"/>
      <c r="AG901" s="8"/>
      <c r="AH901" s="3"/>
    </row>
    <row r="902" ht="14.2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3"/>
      <c r="AF902" s="8"/>
      <c r="AG902" s="8"/>
      <c r="AH902" s="3"/>
    </row>
    <row r="903" ht="14.2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3"/>
      <c r="AF903" s="8"/>
      <c r="AG903" s="8"/>
      <c r="AH903" s="3"/>
    </row>
    <row r="904" ht="14.2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3"/>
      <c r="AF904" s="8"/>
      <c r="AG904" s="8"/>
      <c r="AH904" s="3"/>
    </row>
    <row r="905" ht="14.2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3"/>
      <c r="AF905" s="8"/>
      <c r="AG905" s="8"/>
      <c r="AH905" s="3"/>
    </row>
    <row r="906" ht="14.2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3"/>
      <c r="AF906" s="8"/>
      <c r="AG906" s="8"/>
      <c r="AH906" s="3"/>
    </row>
    <row r="907" ht="14.2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3"/>
      <c r="AF907" s="8"/>
      <c r="AG907" s="8"/>
      <c r="AH907" s="3"/>
    </row>
    <row r="908" ht="14.2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3"/>
      <c r="AF908" s="8"/>
      <c r="AG908" s="8"/>
      <c r="AH908" s="3"/>
    </row>
    <row r="909" ht="14.2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3"/>
      <c r="AF909" s="8"/>
      <c r="AG909" s="8"/>
      <c r="AH909" s="3"/>
    </row>
    <row r="910" ht="14.2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3"/>
      <c r="AF910" s="8"/>
      <c r="AG910" s="8"/>
      <c r="AH910" s="3"/>
    </row>
    <row r="911" ht="14.2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3"/>
      <c r="AF911" s="8"/>
      <c r="AG911" s="8"/>
      <c r="AH911" s="3"/>
    </row>
    <row r="912" ht="14.2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3"/>
      <c r="AF912" s="8"/>
      <c r="AG912" s="8"/>
      <c r="AH912" s="3"/>
    </row>
    <row r="913" ht="14.2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3"/>
      <c r="AF913" s="8"/>
      <c r="AG913" s="8"/>
      <c r="AH913" s="3"/>
    </row>
    <row r="914" ht="14.2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3"/>
      <c r="AF914" s="8"/>
      <c r="AG914" s="8"/>
      <c r="AH914" s="3"/>
    </row>
    <row r="915" ht="14.2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3"/>
      <c r="AF915" s="8"/>
      <c r="AG915" s="8"/>
      <c r="AH915" s="3"/>
    </row>
    <row r="916" ht="14.2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3"/>
      <c r="AF916" s="8"/>
      <c r="AG916" s="8"/>
      <c r="AH916" s="3"/>
    </row>
    <row r="917" ht="14.2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3"/>
      <c r="AF917" s="8"/>
      <c r="AG917" s="8"/>
      <c r="AH917" s="3"/>
    </row>
    <row r="918" ht="14.2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3"/>
      <c r="AF918" s="8"/>
      <c r="AG918" s="8"/>
      <c r="AH918" s="3"/>
    </row>
    <row r="919" ht="14.2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3"/>
      <c r="AF919" s="8"/>
      <c r="AG919" s="8"/>
      <c r="AH919" s="3"/>
    </row>
    <row r="920" ht="14.2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3"/>
      <c r="AF920" s="8"/>
      <c r="AG920" s="8"/>
      <c r="AH920" s="3"/>
    </row>
    <row r="921" ht="14.2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3"/>
      <c r="AF921" s="8"/>
      <c r="AG921" s="8"/>
      <c r="AH921" s="3"/>
    </row>
    <row r="922" ht="14.2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3"/>
      <c r="AF922" s="8"/>
      <c r="AG922" s="8"/>
      <c r="AH922" s="3"/>
    </row>
    <row r="923" ht="14.2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3"/>
      <c r="AF923" s="8"/>
      <c r="AG923" s="8"/>
      <c r="AH923" s="3"/>
    </row>
    <row r="924" ht="14.2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3"/>
      <c r="AF924" s="8"/>
      <c r="AG924" s="8"/>
      <c r="AH924" s="3"/>
    </row>
    <row r="925" ht="14.2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3"/>
      <c r="AF925" s="8"/>
      <c r="AG925" s="8"/>
      <c r="AH925" s="3"/>
    </row>
    <row r="926" ht="14.2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3"/>
      <c r="AF926" s="8"/>
      <c r="AG926" s="8"/>
      <c r="AH926" s="3"/>
    </row>
    <row r="927" ht="14.2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3"/>
      <c r="AF927" s="8"/>
      <c r="AG927" s="8"/>
      <c r="AH927" s="3"/>
    </row>
    <row r="928" ht="14.2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3"/>
      <c r="AF928" s="8"/>
      <c r="AG928" s="8"/>
      <c r="AH928" s="3"/>
    </row>
    <row r="929" ht="14.2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3"/>
      <c r="AF929" s="8"/>
      <c r="AG929" s="8"/>
      <c r="AH929" s="3"/>
    </row>
    <row r="930" ht="14.2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3"/>
      <c r="AF930" s="8"/>
      <c r="AG930" s="8"/>
      <c r="AH930" s="3"/>
    </row>
    <row r="931" ht="14.2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3"/>
      <c r="AF931" s="8"/>
      <c r="AG931" s="8"/>
      <c r="AH931" s="3"/>
    </row>
    <row r="932" ht="14.2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3"/>
      <c r="AF932" s="8"/>
      <c r="AG932" s="8"/>
      <c r="AH932" s="3"/>
    </row>
    <row r="933" ht="14.2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3"/>
      <c r="AF933" s="8"/>
      <c r="AG933" s="8"/>
      <c r="AH933" s="3"/>
    </row>
    <row r="934" ht="14.2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3"/>
      <c r="AF934" s="8"/>
      <c r="AG934" s="8"/>
      <c r="AH934" s="3"/>
    </row>
    <row r="935" ht="14.2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3"/>
      <c r="AF935" s="8"/>
      <c r="AG935" s="8"/>
      <c r="AH935" s="3"/>
    </row>
    <row r="936" ht="14.2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3"/>
      <c r="AF936" s="8"/>
      <c r="AG936" s="8"/>
      <c r="AH936" s="3"/>
    </row>
    <row r="937" ht="14.2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3"/>
      <c r="AF937" s="8"/>
      <c r="AG937" s="8"/>
      <c r="AH937" s="3"/>
    </row>
    <row r="938" ht="14.2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3"/>
      <c r="AF938" s="8"/>
      <c r="AG938" s="8"/>
      <c r="AH938" s="3"/>
    </row>
    <row r="939" ht="14.2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3"/>
      <c r="AF939" s="8"/>
      <c r="AG939" s="8"/>
      <c r="AH939" s="3"/>
    </row>
    <row r="940" ht="14.2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3"/>
      <c r="AF940" s="8"/>
      <c r="AG940" s="8"/>
      <c r="AH940" s="3"/>
    </row>
    <row r="941" ht="14.2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3"/>
      <c r="AF941" s="8"/>
      <c r="AG941" s="8"/>
      <c r="AH941" s="3"/>
    </row>
    <row r="942" ht="14.2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3"/>
      <c r="AF942" s="8"/>
      <c r="AG942" s="8"/>
      <c r="AH942" s="3"/>
    </row>
    <row r="943" ht="14.2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3"/>
      <c r="AF943" s="8"/>
      <c r="AG943" s="8"/>
      <c r="AH943" s="3"/>
    </row>
    <row r="944" ht="14.2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3"/>
      <c r="AF944" s="8"/>
      <c r="AG944" s="8"/>
      <c r="AH944" s="3"/>
    </row>
    <row r="945" ht="14.2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3"/>
      <c r="AF945" s="8"/>
      <c r="AG945" s="8"/>
      <c r="AH945" s="3"/>
    </row>
    <row r="946" ht="14.2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3"/>
      <c r="AF946" s="8"/>
      <c r="AG946" s="8"/>
      <c r="AH946" s="3"/>
    </row>
    <row r="947" ht="14.2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3"/>
      <c r="AF947" s="8"/>
      <c r="AG947" s="8"/>
      <c r="AH947" s="3"/>
    </row>
    <row r="948" ht="14.2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3"/>
      <c r="AF948" s="8"/>
      <c r="AG948" s="8"/>
      <c r="AH948" s="3"/>
    </row>
    <row r="949" ht="14.2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3"/>
      <c r="AF949" s="8"/>
      <c r="AG949" s="8"/>
      <c r="AH949" s="3"/>
    </row>
    <row r="950" ht="14.2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3"/>
      <c r="AF950" s="8"/>
      <c r="AG950" s="8"/>
      <c r="AH950" s="3"/>
    </row>
    <row r="951" ht="14.2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3"/>
      <c r="AF951" s="8"/>
      <c r="AG951" s="8"/>
      <c r="AH951" s="3"/>
    </row>
    <row r="952" ht="14.2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3"/>
      <c r="AF952" s="8"/>
      <c r="AG952" s="8"/>
      <c r="AH952" s="3"/>
    </row>
    <row r="953" ht="14.2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3"/>
      <c r="AF953" s="8"/>
      <c r="AG953" s="8"/>
      <c r="AH953" s="3"/>
    </row>
    <row r="954" ht="14.2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3"/>
      <c r="AF954" s="8"/>
      <c r="AG954" s="8"/>
      <c r="AH954" s="3"/>
    </row>
    <row r="955" ht="14.2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3"/>
      <c r="AF955" s="8"/>
      <c r="AG955" s="8"/>
      <c r="AH955" s="3"/>
    </row>
    <row r="956" ht="14.2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3"/>
      <c r="AF956" s="8"/>
      <c r="AG956" s="8"/>
      <c r="AH956" s="3"/>
    </row>
    <row r="957" ht="14.2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3"/>
      <c r="AF957" s="8"/>
      <c r="AG957" s="8"/>
      <c r="AH957" s="3"/>
    </row>
    <row r="958" ht="14.2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3"/>
      <c r="AF958" s="8"/>
      <c r="AG958" s="8"/>
      <c r="AH958" s="3"/>
    </row>
    <row r="959" ht="14.2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3"/>
      <c r="AF959" s="8"/>
      <c r="AG959" s="8"/>
      <c r="AH959" s="3"/>
    </row>
    <row r="960" ht="14.2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3"/>
      <c r="AF960" s="8"/>
      <c r="AG960" s="8"/>
      <c r="AH960" s="3"/>
    </row>
    <row r="961" ht="14.2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3"/>
      <c r="AF961" s="8"/>
      <c r="AG961" s="8"/>
      <c r="AH961" s="3"/>
    </row>
    <row r="962" ht="14.2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3"/>
      <c r="AF962" s="8"/>
      <c r="AG962" s="8"/>
      <c r="AH962" s="3"/>
    </row>
    <row r="963" ht="14.2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3"/>
      <c r="AF963" s="8"/>
      <c r="AG963" s="8"/>
      <c r="AH963" s="3"/>
    </row>
    <row r="964" ht="14.2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3"/>
      <c r="AF964" s="8"/>
      <c r="AG964" s="8"/>
      <c r="AH964" s="3"/>
    </row>
    <row r="965" ht="14.2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3"/>
      <c r="AF965" s="8"/>
      <c r="AG965" s="8"/>
      <c r="AH965" s="3"/>
    </row>
    <row r="966" ht="14.2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3"/>
      <c r="AF966" s="8"/>
      <c r="AG966" s="8"/>
      <c r="AH966" s="3"/>
    </row>
    <row r="967" ht="14.2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3"/>
      <c r="AF967" s="8"/>
      <c r="AG967" s="8"/>
      <c r="AH967" s="3"/>
    </row>
    <row r="968" ht="14.2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3"/>
      <c r="AF968" s="8"/>
      <c r="AG968" s="8"/>
      <c r="AH968" s="3"/>
    </row>
    <row r="969" ht="14.2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3"/>
      <c r="AF969" s="8"/>
      <c r="AG969" s="8"/>
      <c r="AH969" s="3"/>
    </row>
    <row r="970" ht="14.2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3"/>
      <c r="AF970" s="8"/>
      <c r="AG970" s="8"/>
      <c r="AH970" s="3"/>
    </row>
    <row r="971" ht="14.2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3"/>
      <c r="AF971" s="8"/>
      <c r="AG971" s="8"/>
      <c r="AH971" s="3"/>
    </row>
    <row r="972" ht="14.2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3"/>
      <c r="AF972" s="8"/>
      <c r="AG972" s="8"/>
      <c r="AH972" s="3"/>
    </row>
    <row r="973" ht="14.2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3"/>
      <c r="AF973" s="8"/>
      <c r="AG973" s="8"/>
      <c r="AH973" s="3"/>
    </row>
    <row r="974" ht="14.2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3"/>
      <c r="AF974" s="8"/>
      <c r="AG974" s="8"/>
      <c r="AH974" s="3"/>
    </row>
    <row r="975" ht="14.2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3"/>
      <c r="AF975" s="8"/>
      <c r="AG975" s="8"/>
      <c r="AH975" s="3"/>
    </row>
    <row r="976" ht="14.2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3"/>
      <c r="AF976" s="8"/>
      <c r="AG976" s="8"/>
      <c r="AH976" s="3"/>
    </row>
    <row r="977" ht="14.2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3"/>
      <c r="AF977" s="8"/>
      <c r="AG977" s="8"/>
      <c r="AH977" s="3"/>
    </row>
    <row r="978" ht="14.2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3"/>
      <c r="AF978" s="8"/>
      <c r="AG978" s="8"/>
      <c r="AH978" s="3"/>
    </row>
    <row r="979" ht="14.2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3"/>
      <c r="AF979" s="8"/>
      <c r="AG979" s="8"/>
      <c r="AH979" s="3"/>
    </row>
    <row r="980" ht="14.2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3"/>
      <c r="AF980" s="8"/>
      <c r="AG980" s="8"/>
      <c r="AH980" s="3"/>
    </row>
    <row r="981" ht="14.2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3"/>
      <c r="AF981" s="8"/>
      <c r="AG981" s="8"/>
      <c r="AH981" s="3"/>
    </row>
    <row r="982" ht="14.2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3"/>
      <c r="AF982" s="8"/>
      <c r="AG982" s="8"/>
      <c r="AH982" s="3"/>
    </row>
    <row r="983" ht="14.2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3"/>
      <c r="AF983" s="8"/>
      <c r="AG983" s="8"/>
      <c r="AH983" s="3"/>
    </row>
    <row r="984" ht="14.2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3"/>
      <c r="AF984" s="8"/>
      <c r="AG984" s="8"/>
      <c r="AH984" s="3"/>
    </row>
    <row r="985" ht="14.2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3"/>
      <c r="AF985" s="8"/>
      <c r="AG985" s="8"/>
      <c r="AH985" s="3"/>
    </row>
    <row r="986" ht="14.2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3"/>
      <c r="AF986" s="8"/>
      <c r="AG986" s="8"/>
      <c r="AH986" s="3"/>
    </row>
    <row r="987" ht="14.2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3"/>
      <c r="AF987" s="8"/>
      <c r="AG987" s="8"/>
      <c r="AH987" s="3"/>
    </row>
    <row r="988" ht="14.2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3"/>
      <c r="AF988" s="8"/>
      <c r="AG988" s="8"/>
      <c r="AH988" s="3"/>
    </row>
    <row r="989" ht="14.2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3"/>
      <c r="AF989" s="8"/>
      <c r="AG989" s="8"/>
      <c r="AH989" s="3"/>
    </row>
    <row r="990" ht="14.2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3"/>
      <c r="AF990" s="8"/>
      <c r="AG990" s="8"/>
      <c r="AH990" s="3"/>
    </row>
    <row r="991" ht="14.2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3"/>
      <c r="AF991" s="8"/>
      <c r="AG991" s="8"/>
      <c r="AH991" s="3"/>
    </row>
    <row r="992" ht="14.2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3"/>
      <c r="AF992" s="8"/>
      <c r="AG992" s="8"/>
      <c r="AH992" s="3"/>
    </row>
    <row r="993" ht="14.2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3"/>
      <c r="AF993" s="8"/>
      <c r="AG993" s="8"/>
      <c r="AH993" s="3"/>
    </row>
    <row r="994" ht="14.2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3"/>
      <c r="AF994" s="8"/>
      <c r="AG994" s="8"/>
      <c r="AH994" s="3"/>
    </row>
    <row r="995" ht="14.2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3"/>
      <c r="AF995" s="8"/>
      <c r="AG995" s="8"/>
      <c r="AH995" s="3"/>
    </row>
    <row r="996" ht="14.2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3"/>
      <c r="AF996" s="8"/>
      <c r="AG996" s="8"/>
      <c r="AH996" s="3"/>
    </row>
    <row r="997" ht="14.2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3"/>
      <c r="AF997" s="8"/>
      <c r="AG997" s="8"/>
      <c r="AH997" s="3"/>
    </row>
    <row r="998" ht="14.2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3"/>
      <c r="AF998" s="8"/>
      <c r="AG998" s="8"/>
      <c r="AH998" s="3"/>
    </row>
    <row r="999" ht="14.2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3"/>
      <c r="AF999" s="8"/>
      <c r="AG999" s="8"/>
      <c r="AH999" s="3"/>
    </row>
    <row r="1000" ht="14.2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3"/>
      <c r="AF1000" s="8"/>
      <c r="AG1000" s="8"/>
      <c r="AH1000" s="3"/>
    </row>
  </sheetData>
  <mergeCells count="7">
    <mergeCell ref="B1:AD1"/>
    <mergeCell ref="AF1:AG1"/>
    <mergeCell ref="B2:AD2"/>
    <mergeCell ref="B3:I3"/>
    <mergeCell ref="L3:S3"/>
    <mergeCell ref="V3:AC3"/>
    <mergeCell ref="B46:I46"/>
  </mergeCells>
  <conditionalFormatting sqref="B5:E44">
    <cfRule type="expression" dxfId="0" priority="1">
      <formula>ISEVEN($B5)</formula>
    </cfRule>
  </conditionalFormatting>
  <conditionalFormatting sqref="B48:E84">
    <cfRule type="expression" dxfId="0" priority="2">
      <formula>ISEVEN($B48)</formula>
    </cfRule>
  </conditionalFormatting>
  <conditionalFormatting sqref="B5:I44">
    <cfRule type="expression" dxfId="1" priority="3">
      <formula>$I5="x"</formula>
    </cfRule>
  </conditionalFormatting>
  <conditionalFormatting sqref="B5:I44">
    <cfRule type="expression" dxfId="2" priority="4">
      <formula>$I5="o"</formula>
    </cfRule>
  </conditionalFormatting>
  <conditionalFormatting sqref="B48:I84">
    <cfRule type="expression" dxfId="1" priority="5">
      <formula>$I48="x"</formula>
    </cfRule>
  </conditionalFormatting>
  <conditionalFormatting sqref="B48:I84">
    <cfRule type="expression" dxfId="2" priority="6">
      <formula>$I48="o"</formula>
    </cfRule>
  </conditionalFormatting>
  <conditionalFormatting sqref="C5:C44">
    <cfRule type="expression" dxfId="3" priority="7">
      <formula>$C5=$AG$5</formula>
    </cfRule>
  </conditionalFormatting>
  <conditionalFormatting sqref="C48:C84">
    <cfRule type="expression" dxfId="3" priority="8">
      <formula>$C48=$AG$5</formula>
    </cfRule>
  </conditionalFormatting>
  <conditionalFormatting sqref="F5:F44">
    <cfRule type="colorScale" priority="9">
      <colorScale>
        <cfvo type="percentile" val="10"/>
        <cfvo type="formula" val="0"/>
        <cfvo type="percentile" val="90"/>
        <color rgb="FFF8696B"/>
        <color rgb="FFFFEB84"/>
        <color rgb="FF63BE7B"/>
      </colorScale>
    </cfRule>
  </conditionalFormatting>
  <conditionalFormatting sqref="F48:F84">
    <cfRule type="colorScale" priority="10">
      <colorScale>
        <cfvo type="percentile" val="10"/>
        <cfvo type="formula" val="0"/>
        <cfvo type="percentile" val="90"/>
        <color rgb="FFF8696B"/>
        <color rgb="FFFFEB84"/>
        <color rgb="FF63BE7B"/>
      </colorScale>
    </cfRule>
  </conditionalFormatting>
  <conditionalFormatting sqref="G5:G44">
    <cfRule type="expression" dxfId="4" priority="11">
      <formula>OR($I5="x",$I5="o")</formula>
    </cfRule>
  </conditionalFormatting>
  <conditionalFormatting sqref="G5:G44">
    <cfRule type="colorScale" priority="12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G48:G84">
    <cfRule type="expression" dxfId="4" priority="13">
      <formula>OR($I48="x",$I48="o")</formula>
    </cfRule>
  </conditionalFormatting>
  <conditionalFormatting sqref="G48:G84">
    <cfRule type="colorScale" priority="14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H5:H44">
    <cfRule type="expression" dxfId="0" priority="15">
      <formula>ISEVEN($B5)</formula>
    </cfRule>
  </conditionalFormatting>
  <conditionalFormatting sqref="H48:H84">
    <cfRule type="expression" dxfId="0" priority="16">
      <formula>ISEVEN($B48)</formula>
    </cfRule>
  </conditionalFormatting>
  <conditionalFormatting sqref="L5:O84">
    <cfRule type="expression" dxfId="0" priority="17">
      <formula>ISEVEN($L5)</formula>
    </cfRule>
  </conditionalFormatting>
  <conditionalFormatting sqref="L5:S84">
    <cfRule type="expression" dxfId="1" priority="18">
      <formula>$S5="x"</formula>
    </cfRule>
  </conditionalFormatting>
  <conditionalFormatting sqref="L5:S84">
    <cfRule type="expression" dxfId="2" priority="19">
      <formula>$S5="o"</formula>
    </cfRule>
  </conditionalFormatting>
  <conditionalFormatting sqref="M5:M84">
    <cfRule type="expression" dxfId="3" priority="20">
      <formula>$M5=$AG$5</formula>
    </cfRule>
  </conditionalFormatting>
  <conditionalFormatting sqref="P5:P84">
    <cfRule type="colorScale" priority="21">
      <colorScale>
        <cfvo type="percentile" val="10"/>
        <cfvo type="formula" val="0"/>
        <cfvo type="percentile" val="90"/>
        <color rgb="FFF8696B"/>
        <color rgb="FFFFEB84"/>
        <color rgb="FF63BE7B"/>
      </colorScale>
    </cfRule>
  </conditionalFormatting>
  <conditionalFormatting sqref="Q5:Q84">
    <cfRule type="expression" dxfId="4" priority="22">
      <formula>OR($S5="x",$S5="o")</formula>
    </cfRule>
  </conditionalFormatting>
  <conditionalFormatting sqref="Q5:Q84">
    <cfRule type="colorScale" priority="23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R5:R84">
    <cfRule type="expression" dxfId="0" priority="24">
      <formula>ISEVEN($L5)</formula>
    </cfRule>
  </conditionalFormatting>
  <conditionalFormatting sqref="V5:Y84">
    <cfRule type="expression" dxfId="0" priority="25">
      <formula>ISEVEN($V5)</formula>
    </cfRule>
  </conditionalFormatting>
  <conditionalFormatting sqref="V5:AC84">
    <cfRule type="expression" dxfId="1" priority="26">
      <formula>$AC5="x"</formula>
    </cfRule>
  </conditionalFormatting>
  <conditionalFormatting sqref="V5:AC84">
    <cfRule type="expression" dxfId="2" priority="27">
      <formula>$AC5="o"</formula>
    </cfRule>
  </conditionalFormatting>
  <conditionalFormatting sqref="W5:W84">
    <cfRule type="expression" dxfId="3" priority="28">
      <formula>$W5=$AG$5</formula>
    </cfRule>
  </conditionalFormatting>
  <conditionalFormatting sqref="Z5:Z84">
    <cfRule type="colorScale" priority="29">
      <colorScale>
        <cfvo type="percentile" val="10"/>
        <cfvo type="formula" val="0"/>
        <cfvo type="percentile" val="90"/>
        <color rgb="FFF8696B"/>
        <color rgb="FFFFEB84"/>
        <color rgb="FF63BE7B"/>
      </colorScale>
    </cfRule>
  </conditionalFormatting>
  <conditionalFormatting sqref="AA5:AA84">
    <cfRule type="expression" dxfId="4" priority="30">
      <formula>OR($AC5="x",$AC5="o")</formula>
    </cfRule>
  </conditionalFormatting>
  <conditionalFormatting sqref="AA5:AA84">
    <cfRule type="colorScale" priority="31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AB5:AB84">
    <cfRule type="expression" dxfId="0" priority="32">
      <formula>ISEVEN($V5)</formula>
    </cfRule>
  </conditionalFormatting>
  <dataValidations>
    <dataValidation type="list" allowBlank="1" showInputMessage="1" showErrorMessage="1" prompt="Invalid entry - Only &quot;x&quot; (drafted by someone else) or &quot;o&quot; (drafted by you) allowed." sqref="J5:J44 J48:J84 T5:T84 AD5:AD84">
      <formula1>"x,o"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0.75"/>
    <col customWidth="1" min="3" max="3" width="12.0"/>
    <col customWidth="1" min="4" max="4" width="10.5"/>
    <col customWidth="1" min="5" max="5" width="16.0"/>
    <col customWidth="1" min="6" max="6" width="11.5"/>
    <col customWidth="1" min="7" max="7" width="10.88"/>
    <col customWidth="1" min="8" max="8" width="11.88"/>
    <col customWidth="1" min="9" max="9" width="22.38"/>
    <col customWidth="1" min="10" max="10" width="10.88"/>
    <col customWidth="1" min="11" max="12" width="10.5"/>
    <col customWidth="1" min="13" max="13" width="19.75"/>
    <col customWidth="1" min="14" max="14" width="5.0"/>
    <col customWidth="1" min="15" max="15" width="8.5"/>
    <col customWidth="1" min="16" max="16" width="20.13"/>
    <col customWidth="1" min="17" max="17" width="12.0"/>
    <col customWidth="1" min="18" max="18" width="10.5"/>
    <col customWidth="1" min="19" max="19" width="16.0"/>
    <col customWidth="1" min="20" max="20" width="11.5"/>
    <col customWidth="1" min="21" max="21" width="10.88"/>
    <col customWidth="1" min="22" max="22" width="11.88"/>
    <col customWidth="1" min="23" max="23" width="22.38"/>
    <col customWidth="1" min="24" max="24" width="10.88"/>
    <col customWidth="1" min="25" max="25" width="13.88"/>
    <col customWidth="1" min="26" max="26" width="10.5"/>
    <col customWidth="1" min="27" max="27" width="19.75"/>
    <col customWidth="1" min="28" max="28" width="4.5"/>
    <col customWidth="1" min="29" max="29" width="8.5"/>
    <col customWidth="1" min="30" max="30" width="20.25"/>
    <col customWidth="1" min="31" max="31" width="12.0"/>
    <col customWidth="1" min="32" max="32" width="10.5"/>
    <col customWidth="1" min="33" max="33" width="16.0"/>
    <col customWidth="1" min="34" max="34" width="11.5"/>
    <col customWidth="1" min="35" max="35" width="10.88"/>
    <col customWidth="1" min="36" max="36" width="11.88"/>
    <col customWidth="1" min="37" max="37" width="22.38"/>
    <col customWidth="1" min="38" max="38" width="10.88"/>
    <col customWidth="1" min="39" max="39" width="13.88"/>
    <col customWidth="1" min="40" max="40" width="10.5"/>
    <col customWidth="1" min="41" max="41" width="19.75"/>
    <col customWidth="1" min="42" max="42" width="7.63"/>
    <col customWidth="1" min="43" max="43" width="8.5"/>
    <col customWidth="1" min="44" max="44" width="16.63"/>
    <col customWidth="1" min="45" max="45" width="12.0"/>
    <col customWidth="1" min="46" max="46" width="10.5"/>
    <col customWidth="1" min="47" max="47" width="16.0"/>
    <col customWidth="1" min="48" max="48" width="11.5"/>
    <col customWidth="1" min="49" max="49" width="10.88"/>
    <col customWidth="1" min="50" max="50" width="11.88"/>
    <col customWidth="1" min="51" max="51" width="22.38"/>
    <col customWidth="1" min="52" max="52" width="10.88"/>
    <col customWidth="1" min="53" max="53" width="13.88"/>
    <col customWidth="1" min="54" max="54" width="10.5"/>
    <col customWidth="1" min="55" max="55" width="19.75"/>
    <col customWidth="1" min="56" max="56" width="10.5"/>
    <col customWidth="1" min="57" max="57" width="3.88"/>
    <col customWidth="1" min="58" max="58" width="7.75"/>
    <col customWidth="1" min="59" max="59" width="6.38"/>
    <col customWidth="1" min="60" max="60" width="5.0"/>
    <col customWidth="1" min="61" max="61" width="6.63"/>
    <col customWidth="1" min="62" max="62" width="4.13"/>
    <col customWidth="1" min="63" max="63" width="7.5"/>
    <col customWidth="1" min="64" max="64" width="6.0"/>
    <col customWidth="1" min="65" max="66" width="6.63"/>
    <col customWidth="1" min="67" max="67" width="4.13"/>
    <col customWidth="1" min="68" max="68" width="8.0"/>
    <col customWidth="1" min="69" max="69" width="6.63"/>
    <col customWidth="1" min="70" max="70" width="6.0"/>
    <col customWidth="1" min="71" max="71" width="6.88"/>
    <col customWidth="1" min="72" max="72" width="4.88"/>
    <col customWidth="1" min="73" max="73" width="7.25"/>
    <col customWidth="1" min="74" max="74" width="5.75"/>
    <col customWidth="1" min="75" max="75" width="6.63"/>
    <col customWidth="1" min="76" max="76" width="6.13"/>
    <col customWidth="1" min="77" max="77" width="6.0"/>
    <col customWidth="1" min="78" max="78" width="13.38"/>
    <col customWidth="1" min="79" max="79" width="4.5"/>
    <col customWidth="1" min="80" max="80" width="13.38"/>
    <col customWidth="1" min="81" max="81" width="6.0"/>
    <col customWidth="1" min="82" max="82" width="13.38"/>
    <col customWidth="1" min="83" max="85" width="11.0"/>
  </cols>
  <sheetData>
    <row r="1" ht="14.25" customHeight="1">
      <c r="A1" s="2" t="s">
        <v>1</v>
      </c>
      <c r="B1" s="2">
        <f>Scoring!B43</f>
        <v>12</v>
      </c>
      <c r="C1" s="7">
        <f>LARGE(I3:I50, $B$1)</f>
        <v>221.646806</v>
      </c>
      <c r="D1" s="2"/>
      <c r="E1" s="2"/>
      <c r="F1" s="2"/>
      <c r="G1" s="2"/>
      <c r="H1" s="2"/>
      <c r="I1" s="10"/>
      <c r="J1" s="10">
        <f>SUMIF(Aggregate!$J$3:$J$52,"&gt;0")</f>
        <v>192.2347561</v>
      </c>
      <c r="K1" s="10"/>
      <c r="L1" s="10"/>
      <c r="M1" s="10"/>
      <c r="N1" s="10"/>
      <c r="O1" s="2" t="s">
        <v>1</v>
      </c>
      <c r="P1" s="2">
        <f>Scoring!C43</f>
        <v>48</v>
      </c>
      <c r="Q1" s="10">
        <f>LARGE($W$3:$W$102,P1)</f>
        <v>78.3908891</v>
      </c>
      <c r="R1" s="2"/>
      <c r="S1" s="2"/>
      <c r="T1" s="2"/>
      <c r="U1" s="2"/>
      <c r="V1" s="2"/>
      <c r="W1" s="10"/>
      <c r="X1" s="10">
        <f>SUMIF(Aggregate!$X$3:$X$102,"&gt;0")</f>
        <v>3214.22888</v>
      </c>
      <c r="Y1" s="10"/>
      <c r="Z1" s="10"/>
      <c r="AA1" s="10"/>
      <c r="AB1" s="2"/>
      <c r="AC1" s="2" t="s">
        <v>1</v>
      </c>
      <c r="AD1" s="2">
        <f>Scoring!D43</f>
        <v>65</v>
      </c>
      <c r="AE1" s="10">
        <f>LARGE(Aggregate!$AK$3:$AK$102,AD1)</f>
        <v>81.52092706</v>
      </c>
      <c r="AF1" s="2"/>
      <c r="AG1" s="2"/>
      <c r="AH1" s="2"/>
      <c r="AI1" s="10"/>
      <c r="AJ1" s="2"/>
      <c r="AK1" s="10"/>
      <c r="AL1" s="10">
        <f>SUMIF(Aggregate!$AL$3:$AL$102,"&gt;0")</f>
        <v>3066.102303</v>
      </c>
      <c r="AM1" s="10"/>
      <c r="AN1" s="10"/>
      <c r="AO1" s="10"/>
      <c r="AP1" s="2"/>
      <c r="AQ1" s="2" t="s">
        <v>1</v>
      </c>
      <c r="AR1" s="2">
        <f>Scoring!E43</f>
        <v>24</v>
      </c>
      <c r="AS1" s="10">
        <f>IF(AR1=0,AE1,LARGE($AY$3:$AY$202,AR1))</f>
        <v>81.5383314</v>
      </c>
      <c r="AT1" s="2"/>
      <c r="AU1" s="2"/>
      <c r="AV1" s="2"/>
      <c r="AW1" s="2"/>
      <c r="AX1" s="2"/>
      <c r="AY1" s="2"/>
      <c r="AZ1" s="10">
        <f>SUMIF(Aggregate!$AZ$3:$AZ$52,"&gt;0")</f>
        <v>664.2004276</v>
      </c>
      <c r="BA1" s="10"/>
      <c r="BB1" s="10"/>
      <c r="BC1" s="10"/>
      <c r="BD1" s="10"/>
      <c r="BE1" s="2"/>
      <c r="BF1" s="2"/>
      <c r="BG1" s="2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ht="14.25" customHeight="1">
      <c r="A2" s="42"/>
      <c r="B2" s="43" t="s">
        <v>40</v>
      </c>
      <c r="C2" s="42" t="s">
        <v>2</v>
      </c>
      <c r="D2" s="42" t="s">
        <v>42</v>
      </c>
      <c r="E2" s="42" t="s">
        <v>44</v>
      </c>
      <c r="F2" s="42" t="s">
        <v>12</v>
      </c>
      <c r="G2" s="42" t="s">
        <v>13</v>
      </c>
      <c r="H2" s="42" t="s">
        <v>14</v>
      </c>
      <c r="I2" s="42" t="s">
        <v>50</v>
      </c>
      <c r="J2" s="42" t="s">
        <v>53</v>
      </c>
      <c r="K2" s="42" t="s">
        <v>55</v>
      </c>
      <c r="L2" s="42" t="s">
        <v>57</v>
      </c>
      <c r="M2" s="42" t="s">
        <v>58</v>
      </c>
      <c r="N2" s="2"/>
      <c r="O2" s="42"/>
      <c r="P2" s="43" t="s">
        <v>40</v>
      </c>
      <c r="Q2" s="42" t="s">
        <v>2</v>
      </c>
      <c r="R2" s="42" t="s">
        <v>42</v>
      </c>
      <c r="S2" s="42" t="s">
        <v>44</v>
      </c>
      <c r="T2" s="42" t="s">
        <v>12</v>
      </c>
      <c r="U2" s="42" t="s">
        <v>13</v>
      </c>
      <c r="V2" s="42" t="s">
        <v>14</v>
      </c>
      <c r="W2" s="42" t="s">
        <v>50</v>
      </c>
      <c r="X2" s="42" t="s">
        <v>53</v>
      </c>
      <c r="Y2" s="42" t="s">
        <v>62</v>
      </c>
      <c r="Z2" s="42" t="s">
        <v>57</v>
      </c>
      <c r="AA2" s="42" t="s">
        <v>58</v>
      </c>
      <c r="AB2" s="2"/>
      <c r="AC2" s="49"/>
      <c r="AD2" s="49" t="s">
        <v>40</v>
      </c>
      <c r="AE2" s="49" t="s">
        <v>2</v>
      </c>
      <c r="AF2" s="49" t="s">
        <v>42</v>
      </c>
      <c r="AG2" s="49" t="s">
        <v>44</v>
      </c>
      <c r="AH2" s="49" t="s">
        <v>12</v>
      </c>
      <c r="AI2" s="49" t="s">
        <v>13</v>
      </c>
      <c r="AJ2" s="50" t="s">
        <v>14</v>
      </c>
      <c r="AK2" s="42" t="s">
        <v>50</v>
      </c>
      <c r="AL2" s="42" t="s">
        <v>53</v>
      </c>
      <c r="AM2" s="42" t="s">
        <v>62</v>
      </c>
      <c r="AN2" s="52" t="s">
        <v>57</v>
      </c>
      <c r="AO2" s="52" t="s">
        <v>58</v>
      </c>
      <c r="AP2" s="2"/>
      <c r="AQ2" s="49"/>
      <c r="AR2" s="49" t="s">
        <v>40</v>
      </c>
      <c r="AS2" s="49" t="s">
        <v>2</v>
      </c>
      <c r="AT2" s="49" t="s">
        <v>42</v>
      </c>
      <c r="AU2" s="49" t="s">
        <v>44</v>
      </c>
      <c r="AV2" s="49" t="s">
        <v>12</v>
      </c>
      <c r="AW2" s="49" t="s">
        <v>13</v>
      </c>
      <c r="AX2" s="50" t="s">
        <v>14</v>
      </c>
      <c r="AY2" s="42" t="s">
        <v>50</v>
      </c>
      <c r="AZ2" s="42" t="s">
        <v>53</v>
      </c>
      <c r="BA2" s="42" t="s">
        <v>62</v>
      </c>
      <c r="BB2" s="52" t="s">
        <v>57</v>
      </c>
      <c r="BC2" s="52" t="s">
        <v>58</v>
      </c>
      <c r="BD2" s="52" t="s">
        <v>68</v>
      </c>
      <c r="BE2" s="2"/>
      <c r="BF2" s="2" t="s">
        <v>69</v>
      </c>
      <c r="BG2" s="2" t="s">
        <v>70</v>
      </c>
      <c r="BH2" s="7" t="s">
        <v>72</v>
      </c>
      <c r="BI2" s="7" t="s">
        <v>73</v>
      </c>
      <c r="BJ2" s="7" t="s">
        <v>57</v>
      </c>
      <c r="BK2" s="55" t="s">
        <v>75</v>
      </c>
      <c r="BL2" s="56" t="s">
        <v>76</v>
      </c>
      <c r="BM2" s="56" t="s">
        <v>77</v>
      </c>
      <c r="BN2" s="56" t="s">
        <v>79</v>
      </c>
      <c r="BO2" s="57" t="s">
        <v>57</v>
      </c>
      <c r="BP2" s="7" t="s">
        <v>80</v>
      </c>
      <c r="BQ2" s="7" t="s">
        <v>81</v>
      </c>
      <c r="BR2" s="7" t="s">
        <v>82</v>
      </c>
      <c r="BS2" s="7" t="s">
        <v>84</v>
      </c>
      <c r="BT2" s="7" t="s">
        <v>57</v>
      </c>
      <c r="BU2" s="7" t="s">
        <v>85</v>
      </c>
      <c r="BV2" s="7" t="s">
        <v>86</v>
      </c>
      <c r="BW2" s="7" t="s">
        <v>87</v>
      </c>
      <c r="BX2" s="7" t="s">
        <v>88</v>
      </c>
      <c r="BY2" s="7" t="s">
        <v>57</v>
      </c>
      <c r="BZ2" s="7"/>
      <c r="CA2" s="7"/>
      <c r="CB2" s="7"/>
      <c r="CC2" s="7"/>
      <c r="CD2" s="7"/>
      <c r="CE2" s="7"/>
      <c r="CF2" s="7"/>
      <c r="CG2" s="7"/>
    </row>
    <row r="3" ht="14.25" customHeight="1">
      <c r="A3" s="59" t="s">
        <v>89</v>
      </c>
      <c r="B3" s="59" t="str">
        <f>VLOOKUP(A3,ECR!E:L,8,FALSE())</f>
        <v>Josh Allen</v>
      </c>
      <c r="C3" s="60" t="str">
        <f>IFERROR(VLOOKUP(Aggregate!$B3,ECR!C:F,2,FALSE()),"-")</f>
        <v>BUF</v>
      </c>
      <c r="D3" s="60">
        <f>IFERROR(VLOOKUP(Aggregate!$B3,ECR!C:F,4,FALSE()),"-")</f>
        <v>7</v>
      </c>
      <c r="E3" s="60" t="str">
        <f>Aggregate!$C3 &amp; "/" &amp; Aggregate!$D3</f>
        <v>BUF/7</v>
      </c>
      <c r="F3" s="62">
        <f>IFERROR(VLOOKUP(Aggregate!$B3,QB!A:Q,15,FALSE())/17*(16-Aggregate!$M3),0)</f>
        <v>266.1862329</v>
      </c>
      <c r="G3" s="62">
        <f>IFERROR(VLOOKUP(Aggregate!$B3,QB!A:Q,16,FALSE())/17*(16-Aggregate!$M3),0)</f>
        <v>283.6423826</v>
      </c>
      <c r="H3" s="62">
        <f>IFERROR(VLOOKUP(Aggregate!$B3,QB!A:Q,17,FALSE())/17*(16-Aggregate!$M3),0)</f>
        <v>308.2794789</v>
      </c>
      <c r="I3" s="69">
        <f>AVERAGE(Aggregate!$F3,Aggregate!$G3,Aggregate!$H3,VLOOKUP(Aggregate!$B3,ECR!L:N,3,FALSE))</f>
        <v>285.4376193</v>
      </c>
      <c r="J3" s="69">
        <f>Aggregate!$I3-$C$1</f>
        <v>63.79081326</v>
      </c>
      <c r="K3" s="72">
        <f>MAX(Aggregate!$J3*Scoring!$B$48+1,1)</f>
        <v>17.71468767</v>
      </c>
      <c r="L3" s="73">
        <f>VLOOKUP(Aggregate!$J3,BH:BJ,3,FALSE)</f>
        <v>1</v>
      </c>
      <c r="M3" s="80">
        <f t="array" ref="M3">VLOOKUP(INDEX(ECR!$E:$E,MATCH(B3,ECR!$C:$C,0)),RISK!A:B,2,FALSE())</f>
        <v>1.7985</v>
      </c>
      <c r="N3" s="81"/>
      <c r="O3" s="73" t="s">
        <v>103</v>
      </c>
      <c r="P3" s="59" t="str">
        <f>VLOOKUP(O3,ECR!E:L,8,FALSE())</f>
        <v>Jahmyr Gibbs</v>
      </c>
      <c r="Q3" s="60" t="str">
        <f>IFERROR(VLOOKUP(Aggregate!$P3,ECR!C:F,2,FALSE()),"-")</f>
        <v>DET</v>
      </c>
      <c r="R3" s="60">
        <f>IFERROR(VLOOKUP(Aggregate!$P3,ECR!C:F,4,FALSE()),"-")</f>
        <v>6</v>
      </c>
      <c r="S3" s="60" t="str">
        <f>Aggregate!$Q3 &amp; "/" &amp; Aggregate!$R3</f>
        <v>DET/6</v>
      </c>
      <c r="T3" s="62">
        <f>IFERROR(VLOOKUP(Aggregate!$P3,RB!A:Q,13,FALSE())/17*(16-Aggregate!$AA3),0)</f>
        <v>239.8041176</v>
      </c>
      <c r="U3" s="62">
        <f>IFERROR(VLOOKUP(Aggregate!$P3,RB!A:Q,14,FALSE())/17*(16-Aggregate!$AA3),0)</f>
        <v>257.8588235</v>
      </c>
      <c r="V3" s="62">
        <f>IFERROR(VLOOKUP(Aggregate!$P3,RB!A:Q,15,FALSE())/17*(16-Aggregate!$AA3),0)</f>
        <v>275.0647059</v>
      </c>
      <c r="W3" s="69">
        <f>AVERAGE(Aggregate!$T3,Aggregate!$U3,Aggregate!$V3,VLOOKUP(Aggregate!$P3,ECR!L:N,3,FALSE))</f>
        <v>257.6466176</v>
      </c>
      <c r="X3" s="69">
        <f>Aggregate!$W3-$Q$1</f>
        <v>179.2557285</v>
      </c>
      <c r="Y3" s="72">
        <f>MAX(Aggregate!$X3*Scoring!$B$48+1,1)</f>
        <v>47.96920077</v>
      </c>
      <c r="Z3" s="73">
        <f>VLOOKUP(Aggregate!$X3,BM:BO,3,FALSE)</f>
        <v>1</v>
      </c>
      <c r="AA3" s="80">
        <f t="array" ref="AA3">VLOOKUP(INDEX(ECR!$E:$E,MATCH(P3,ECR!$C:$C,0)),RISK!A:B,2,FALSE())</f>
        <v>3</v>
      </c>
      <c r="AB3" s="81"/>
      <c r="AC3" s="60" t="s">
        <v>118</v>
      </c>
      <c r="AD3" s="60" t="str">
        <f>VLOOKUP(AC3,ECR!E:L,8,FALSE())</f>
        <v>Ja'Marr Chase</v>
      </c>
      <c r="AE3" s="60" t="str">
        <f>IFERROR(VLOOKUP(Aggregate!$AD3,ECR!C:F,2,FALSE()),"-")</f>
        <v>CIN</v>
      </c>
      <c r="AF3" s="60">
        <f>IFERROR(VLOOKUP(Aggregate!$AD3,ECR!C:F,4,FALSE()),"-")</f>
        <v>6</v>
      </c>
      <c r="AG3" s="60" t="str">
        <f>Aggregate!$AE3 &amp; "/" &amp; Aggregate!$AF3</f>
        <v>CIN/6</v>
      </c>
      <c r="AH3" s="62">
        <f>IFERROR(VLOOKUP(Aggregate!$AD3,WR!A:Q,13,FALSE())/17*(16-Aggregate!$AO3),0)</f>
        <v>224.1170735</v>
      </c>
      <c r="AI3" s="62">
        <f>IFERROR(VLOOKUP(Aggregate!$AD3,WR!A:Q,14,FALSE())/17*(16-Aggregate!$AO3),0)</f>
        <v>233.0393903</v>
      </c>
      <c r="AJ3" s="62">
        <f>IFERROR(VLOOKUP(Aggregate!$AD3,WR!A:Q,15,FALSE())/17*(16-Aggregate!$AO3),0)</f>
        <v>242.3260562</v>
      </c>
      <c r="AK3" s="69">
        <f>AVERAGE(Aggregate!$AH3,Aggregate!$AI3,Aggregate!$AJ3,VLOOKUP(Aggregate!$AD3,ECR!L:N,3,FALSE))</f>
        <v>234.1372306</v>
      </c>
      <c r="AL3" s="69">
        <f>Aggregate!$AK3-$AE$1</f>
        <v>152.6163035</v>
      </c>
      <c r="AM3" s="72">
        <f>MAX(Aggregate!$AL3*Scoring!$B$48+1,1)</f>
        <v>40.98904727</v>
      </c>
      <c r="AN3" s="73">
        <f>VLOOKUP(Aggregate!$AL3,BR:BT,3,FALSE)</f>
        <v>1</v>
      </c>
      <c r="AO3" s="80">
        <f t="array" ref="AO3">VLOOKUP(INDEX(ECR!$E:$E,MATCH(AD3,ECR!$C:$C,0)),RISK!A:B,2,FALSE())</f>
        <v>1.5955</v>
      </c>
      <c r="AP3" s="81"/>
      <c r="AQ3" s="85" t="s">
        <v>130</v>
      </c>
      <c r="AR3" s="85" t="str">
        <f>VLOOKUP(AQ3,ECR!E:L,8,FALSE())</f>
        <v>Brock Bowers</v>
      </c>
      <c r="AS3" s="85" t="str">
        <f>IFERROR(VLOOKUP(Aggregate!$AR3,ECR!C:F,2,FALSE()),"-")</f>
        <v>LV</v>
      </c>
      <c r="AT3" s="85">
        <f>IFERROR(VLOOKUP(Aggregate!$AR3,ECR!C:F,4,FALSE()),"-")</f>
        <v>13</v>
      </c>
      <c r="AU3" s="85" t="str">
        <f>Aggregate!$AS3 &amp; "/" &amp; Aggregate!$AT3</f>
        <v>LV/13</v>
      </c>
      <c r="AV3" s="62">
        <f>IFERROR(VLOOKUP(Aggregate!$AR3,TE!A:K,9,FALSE())/17*(16-Aggregate!$BC3),0)</f>
        <v>146.1042647</v>
      </c>
      <c r="AW3" s="62">
        <f>IFERROR(VLOOKUP(Aggregate!$AR3,TE!A:K,10,FALSE())/17*(16-Aggregate!$BC3),0)</f>
        <v>165.3964853</v>
      </c>
      <c r="AX3" s="62">
        <f>IFERROR(VLOOKUP(Aggregate!$AR3,TE!A:K,11,FALSE())/17*(16-Aggregate!$BC3),0)</f>
        <v>178.1503382</v>
      </c>
      <c r="AY3" s="69">
        <f>AVERAGE(Aggregate!$AV3,Aggregate!$AW3,Aggregate!$AX3,VLOOKUP(Aggregate!$AR3,ECR!L:N,3,FALSE))</f>
        <v>163.7618934</v>
      </c>
      <c r="AZ3" s="69">
        <f>Aggregate!$AY3-$AS$1</f>
        <v>82.22356199</v>
      </c>
      <c r="BA3" s="72">
        <f>MAX(Aggregate!$AZ3*Scoring!$B$48+1,1)</f>
        <v>22.54449971</v>
      </c>
      <c r="BB3" s="62">
        <f>VLOOKUP(Aggregate!$AZ3,BW:BY,3,FALSE)</f>
        <v>1</v>
      </c>
      <c r="BC3" s="80">
        <f t="array" ref="BC3">VLOOKUP(INDEX(ECR!$E:$E,MATCH(AR3,ECR!$C:$C,0)),RISK!A:B,2,FALSE())</f>
        <v>2.2775</v>
      </c>
      <c r="BD3" s="62"/>
      <c r="BE3" s="81"/>
      <c r="BF3" s="81">
        <v>1.0</v>
      </c>
      <c r="BG3" s="81">
        <f t="shared" ref="BG3:BG102" si="1">IFERROR(LARGE($G$3:$G$52,BF3),"")</f>
        <v>283.6423826</v>
      </c>
      <c r="BH3" s="81">
        <f>IFERROR(LARGE($J$3:$J$52,1),"")</f>
        <v>63.79081326</v>
      </c>
      <c r="BI3" s="81">
        <f>BH3</f>
        <v>63.79081326</v>
      </c>
      <c r="BJ3" s="81">
        <v>1.0</v>
      </c>
      <c r="BK3" s="90">
        <v>1.0</v>
      </c>
      <c r="BL3" s="81">
        <f t="shared" ref="BL3:BL102" si="2">IFERROR(LARGE($U$3:$U$102,BK3),"")</f>
        <v>257.8588235</v>
      </c>
      <c r="BM3" s="91">
        <f>IFERROR(LARGE($X$3:$X$102,1),"")</f>
        <v>179.2557285</v>
      </c>
      <c r="BN3" s="91">
        <f>BM3</f>
        <v>179.2557285</v>
      </c>
      <c r="BO3" s="93">
        <v>1.0</v>
      </c>
      <c r="BP3" s="91">
        <v>1.0</v>
      </c>
      <c r="BQ3" s="81">
        <f t="shared" ref="BQ3:BQ102" si="3">IFERROR(LARGE($AI$3:$AI$102,BP3),"")</f>
        <v>237.0664024</v>
      </c>
      <c r="BR3" s="91">
        <f>IFERROR(LARGE($AL$3:$AL$102,1),"")</f>
        <v>154.7915482</v>
      </c>
      <c r="BS3" s="91">
        <f>BR3</f>
        <v>154.7915482</v>
      </c>
      <c r="BT3" s="91">
        <v>1.0</v>
      </c>
      <c r="BU3" s="81">
        <v>1.0</v>
      </c>
      <c r="BV3" s="81">
        <f t="shared" ref="BV3:BV102" si="4">IFERROR(LARGE($AW$3:$AW$52,BU3),"")</f>
        <v>165.3964853</v>
      </c>
      <c r="BW3" s="91">
        <f>IFERROR(LARGE($AZ$3:$AZ$52,1),"")</f>
        <v>82.22356199</v>
      </c>
      <c r="BX3" s="91">
        <f>BW3</f>
        <v>82.22356199</v>
      </c>
      <c r="BY3" s="91">
        <v>1.0</v>
      </c>
      <c r="BZ3" s="91"/>
      <c r="CA3" s="91"/>
      <c r="CB3" s="91"/>
      <c r="CC3" s="91"/>
      <c r="CD3" s="91"/>
      <c r="CE3" s="91"/>
      <c r="CF3" s="91"/>
      <c r="CG3" s="91"/>
    </row>
    <row r="4" ht="14.25" customHeight="1">
      <c r="A4" s="59" t="s">
        <v>141</v>
      </c>
      <c r="B4" s="59" t="str">
        <f>VLOOKUP(A4,ECR!E:L,8,FALSE())</f>
        <v>Lamar Jackson</v>
      </c>
      <c r="C4" s="60" t="str">
        <f>IFERROR(VLOOKUP(Aggregate!$B4,ECR!C:F,2,FALSE()),"-")</f>
        <v>BAL</v>
      </c>
      <c r="D4" s="60">
        <f>IFERROR(VLOOKUP(Aggregate!$B4,ECR!C:F,4,FALSE()),"-")</f>
        <v>13</v>
      </c>
      <c r="E4" s="60" t="str">
        <f>Aggregate!$C4 &amp; "/" &amp; Aggregate!$D4</f>
        <v>BAL/13</v>
      </c>
      <c r="F4" s="62">
        <f>IFERROR(VLOOKUP(Aggregate!$B4,QB!A:Q,15,FALSE())/17*(16-Aggregate!$M4),0)</f>
        <v>227.0127612</v>
      </c>
      <c r="G4" s="62">
        <f>IFERROR(VLOOKUP(Aggregate!$B4,QB!A:Q,16,FALSE())/17*(16-Aggregate!$M4),0)</f>
        <v>249.9434784</v>
      </c>
      <c r="H4" s="62">
        <f>IFERROR(VLOOKUP(Aggregate!$B4,QB!A:Q,17,FALSE())/17*(16-Aggregate!$M4),0)</f>
        <v>285.6039928</v>
      </c>
      <c r="I4" s="69">
        <f>AVERAGE(Aggregate!$F4,Aggregate!$G4,Aggregate!$H4,VLOOKUP(Aggregate!$B4,ECR!L:N,3,FALSE))</f>
        <v>253.1259277</v>
      </c>
      <c r="J4" s="69">
        <f>Aggregate!$I4-$C$1</f>
        <v>31.47912172</v>
      </c>
      <c r="K4" s="72">
        <f>MAX(Aggregate!$J4*Scoring!$B$48+1,1)</f>
        <v>9.248267436</v>
      </c>
      <c r="L4" s="73">
        <f>VLOOKUP(Aggregate!$J4,BH:BJ,3,FALSE)</f>
        <v>2</v>
      </c>
      <c r="M4" s="80">
        <f t="array" ref="M4">VLOOKUP(INDEX(ECR!$E:$E,MATCH(B4,ECR!$C:$C,0)),RISK!A:B,2,FALSE())</f>
        <v>1.7646</v>
      </c>
      <c r="N4" s="81"/>
      <c r="O4" s="73" t="s">
        <v>147</v>
      </c>
      <c r="P4" s="59" t="str">
        <f>VLOOKUP(O4,ECR!E:L,8,FALSE())</f>
        <v>Bijan Robinson</v>
      </c>
      <c r="Q4" s="60" t="str">
        <f>IFERROR(VLOOKUP(Aggregate!$P4,ECR!C:F,2,FALSE()),"-")</f>
        <v>ATL</v>
      </c>
      <c r="R4" s="60">
        <f>IFERROR(VLOOKUP(Aggregate!$P4,ECR!C:F,4,FALSE()),"-")</f>
        <v>11</v>
      </c>
      <c r="S4" s="60" t="str">
        <f>Aggregate!$Q4 &amp; "/" &amp; Aggregate!$R4</f>
        <v>ATL/11</v>
      </c>
      <c r="T4" s="62">
        <f>IFERROR(VLOOKUP(Aggregate!$P4,RB!A:Q,13,FALSE())/17*(16-Aggregate!$AA4),0)</f>
        <v>235.3305882</v>
      </c>
      <c r="U4" s="62">
        <f>IFERROR(VLOOKUP(Aggregate!$P4,RB!A:Q,14,FALSE())/17*(16-Aggregate!$AA4),0)</f>
        <v>243.62</v>
      </c>
      <c r="V4" s="62">
        <f>IFERROR(VLOOKUP(Aggregate!$P4,RB!A:Q,15,FALSE())/17*(16-Aggregate!$AA4),0)</f>
        <v>250.6476471</v>
      </c>
      <c r="W4" s="69">
        <f>AVERAGE(Aggregate!$T4,Aggregate!$U4,Aggregate!$V4,VLOOKUP(Aggregate!$P4,ECR!L:N,3,FALSE))</f>
        <v>243.3045588</v>
      </c>
      <c r="X4" s="69">
        <f>Aggregate!$W4-$Q$1</f>
        <v>164.9136697</v>
      </c>
      <c r="Y4" s="72">
        <f>MAX(Aggregate!$X4*Scoring!$B$48+1,1)</f>
        <v>44.21124533</v>
      </c>
      <c r="Z4" s="73">
        <f>VLOOKUP(Aggregate!$X4,BM:BO,3,FALSE)</f>
        <v>1</v>
      </c>
      <c r="AA4" s="80">
        <f t="array" ref="AA4">VLOOKUP(INDEX(ECR!$E:$E,MATCH(P4,ECR!$C:$C,0)),RISK!A:B,2,FALSE())</f>
        <v>3</v>
      </c>
      <c r="AB4" s="81"/>
      <c r="AC4" s="60" t="s">
        <v>152</v>
      </c>
      <c r="AD4" s="60" t="str">
        <f>VLOOKUP(AC4,ECR!E:L,8,FALSE())</f>
        <v>Puka Nacua</v>
      </c>
      <c r="AE4" s="60" t="str">
        <f>IFERROR(VLOOKUP(Aggregate!$AD4,ECR!C:F,2,FALSE()),"-")</f>
        <v>LAR</v>
      </c>
      <c r="AF4" s="60">
        <f>IFERROR(VLOOKUP(Aggregate!$AD4,ECR!C:F,4,FALSE()),"-")</f>
        <v>11</v>
      </c>
      <c r="AG4" s="60" t="str">
        <f>Aggregate!$AE4 &amp; "/" &amp; Aggregate!$AF4</f>
        <v>LAR/11</v>
      </c>
      <c r="AH4" s="62">
        <f>IFERROR(VLOOKUP(Aggregate!$AD4,WR!A:Q,13,FALSE())/17*(16-Aggregate!$AO4),0)</f>
        <v>235.0437953</v>
      </c>
      <c r="AI4" s="62">
        <f>IFERROR(VLOOKUP(Aggregate!$AD4,WR!A:Q,14,FALSE())/17*(16-Aggregate!$AO4),0)</f>
        <v>237.0664024</v>
      </c>
      <c r="AJ4" s="62">
        <f>IFERROR(VLOOKUP(Aggregate!$AD4,WR!A:Q,15,FALSE())/17*(16-Aggregate!$AO4),0)</f>
        <v>240.1003129</v>
      </c>
      <c r="AK4" s="69">
        <f>AVERAGE(Aggregate!$AH4,Aggregate!$AI4,Aggregate!$AJ4,VLOOKUP(Aggregate!$AD4,ECR!L:N,3,FALSE))</f>
        <v>236.3124752</v>
      </c>
      <c r="AL4" s="69">
        <f>Aggregate!$AK4-$AE$1</f>
        <v>154.7915482</v>
      </c>
      <c r="AM4" s="72">
        <f>MAX(Aggregate!$AL4*Scoring!$B$48+1,1)</f>
        <v>41.55901233</v>
      </c>
      <c r="AN4" s="73">
        <f>VLOOKUP(Aggregate!$AL4,BR:BT,3,FALSE)</f>
        <v>1</v>
      </c>
      <c r="AO4" s="80">
        <f t="array" ref="AO4">VLOOKUP(INDEX(ECR!$E:$E,MATCH(AD4,ECR!$C:$C,0)),RISK!A:B,2,FALSE())</f>
        <v>1.6732</v>
      </c>
      <c r="AP4" s="81"/>
      <c r="AQ4" s="85" t="s">
        <v>156</v>
      </c>
      <c r="AR4" s="85" t="str">
        <f>VLOOKUP(AQ4,ECR!E:L,8,FALSE())</f>
        <v>Trey McBride</v>
      </c>
      <c r="AS4" s="85" t="str">
        <f>IFERROR(VLOOKUP(Aggregate!$AR4,ECR!C:F,2,FALSE()),"-")</f>
        <v>ARI</v>
      </c>
      <c r="AT4" s="85">
        <f>IFERROR(VLOOKUP(Aggregate!$AR4,ECR!C:F,4,FALSE()),"-")</f>
        <v>14</v>
      </c>
      <c r="AU4" s="85" t="str">
        <f>Aggregate!$AS4 &amp; "/" &amp; Aggregate!$AT4</f>
        <v>ARI/14</v>
      </c>
      <c r="AV4" s="62">
        <f>IFERROR(VLOOKUP(Aggregate!$AR4,TE!A:K,9,FALSE())/17*(16-Aggregate!$BC4),0)</f>
        <v>149.0472325</v>
      </c>
      <c r="AW4" s="62">
        <f>IFERROR(VLOOKUP(Aggregate!$AR4,TE!A:K,10,FALSE())/17*(16-Aggregate!$BC4),0)</f>
        <v>161.9112132</v>
      </c>
      <c r="AX4" s="62">
        <f>IFERROR(VLOOKUP(Aggregate!$AR4,TE!A:K,11,FALSE())/17*(16-Aggregate!$BC4),0)</f>
        <v>175.7462118</v>
      </c>
      <c r="AY4" s="69">
        <f>AVERAGE(Aggregate!$AV4,Aggregate!$AW4,Aggregate!$AX4,VLOOKUP(Aggregate!$AR4,ECR!L:N,3,FALSE))</f>
        <v>162.1539676</v>
      </c>
      <c r="AZ4" s="69">
        <f>Aggregate!$AY4-$AS$1</f>
        <v>80.61563625</v>
      </c>
      <c r="BA4" s="72">
        <f>MAX(Aggregate!$AZ4*Scoring!$B$48+1,1)</f>
        <v>22.12318549</v>
      </c>
      <c r="BB4" s="62">
        <f>VLOOKUP(Aggregate!$AZ4,BW:BY,3,FALSE)</f>
        <v>1</v>
      </c>
      <c r="BC4" s="80">
        <f t="array" ref="BC4">VLOOKUP(INDEX(ECR!$E:$E,MATCH(AR4,ECR!$C:$C,0)),RISK!A:B,2,FALSE())</f>
        <v>2.3576</v>
      </c>
      <c r="BD4" s="62"/>
      <c r="BE4" s="81"/>
      <c r="BF4" s="81">
        <v>2.0</v>
      </c>
      <c r="BG4" s="81">
        <f t="shared" si="1"/>
        <v>249.9434784</v>
      </c>
      <c r="BH4" s="81">
        <f>IFERROR(LARGE($J$3:$J$52,2),"")</f>
        <v>31.47912172</v>
      </c>
      <c r="BI4" s="81">
        <f t="shared" ref="BI4:BI52" si="5">IF(BH4="",BI3,IF((BI3-BH4)&gt;0.4*LARGE($J$3:$J$52,2),BH4,BI3))</f>
        <v>31.47912172</v>
      </c>
      <c r="BJ4" s="81">
        <f t="shared" ref="BJ4:BJ52" si="6">MIN(IF(BH4="",BJ3,IF((BI3-BH4)&gt;0.4*LARGE($J$3:$J$52,2),BJ3+1,BJ3)),15)</f>
        <v>2</v>
      </c>
      <c r="BK4" s="90">
        <v>2.0</v>
      </c>
      <c r="BL4" s="81">
        <f t="shared" si="2"/>
        <v>243.62</v>
      </c>
      <c r="BM4" s="91">
        <f>IFERROR(LARGE($X$3:$X$102,2),"")</f>
        <v>164.9136697</v>
      </c>
      <c r="BN4" s="91">
        <f t="shared" ref="BN4:BN102" si="7">IF(BM4="",BN3,IF((BN3-BM4)&gt;0.15*LARGE($X$3:$X$102,2),BM4,BN3))</f>
        <v>179.2557285</v>
      </c>
      <c r="BO4" s="93">
        <f t="shared" ref="BO4:BO102" si="8">IF(BM4="",BO3,IF((BN3-BM4)&gt;0.15*LARGE($X$3:$X$102,2),BO3+1,BO3))</f>
        <v>1</v>
      </c>
      <c r="BP4" s="91">
        <v>2.0</v>
      </c>
      <c r="BQ4" s="81">
        <f t="shared" si="3"/>
        <v>233.0393903</v>
      </c>
      <c r="BR4" s="91">
        <f>IFERROR(LARGE($AL$3:$AL$102,2),"")</f>
        <v>152.6163035</v>
      </c>
      <c r="BS4" s="91">
        <f t="shared" ref="BS4:BS102" si="9">IF(BR4="",BS3,IF((BS3-BR4)&gt;0.15*LARGE($AL$3:$AL$102,2),BR4,BS3))</f>
        <v>154.7915482</v>
      </c>
      <c r="BT4" s="91">
        <f t="shared" ref="BT4:BT102" si="10">IF(BR4="",BT3,IF((BS3-BR4)&gt;0.15*LARGE($AL$3:$AL$102,2),BT3+1,BT3))</f>
        <v>1</v>
      </c>
      <c r="BU4" s="81">
        <v>2.0</v>
      </c>
      <c r="BV4" s="81">
        <f t="shared" si="4"/>
        <v>161.9112132</v>
      </c>
      <c r="BW4" s="91">
        <f>IFERROR(LARGE($AZ$3:$AZ$52,2),"")</f>
        <v>80.61563625</v>
      </c>
      <c r="BX4" s="91">
        <f t="shared" ref="BX4:BX52" si="11">IF(BW4="",BX3,IF((BX3-BW4)&gt;0.2*LARGE($AZ$3:$AZ$52,2),BW4,BX3))</f>
        <v>82.22356199</v>
      </c>
      <c r="BY4" s="91">
        <f t="shared" ref="BY4:BY52" si="12">IF(BW4="",BY3,IF((BX3-BW4)&gt;0.2*LARGE($AZ$3:$AZ$52,2),BY3+1,BY3))</f>
        <v>1</v>
      </c>
      <c r="BZ4" s="91"/>
      <c r="CA4" s="91"/>
      <c r="CB4" s="91"/>
      <c r="CC4" s="91"/>
      <c r="CD4" s="91"/>
      <c r="CE4" s="91"/>
      <c r="CF4" s="91"/>
      <c r="CG4" s="91"/>
    </row>
    <row r="5" ht="14.25" customHeight="1">
      <c r="A5" s="59" t="s">
        <v>166</v>
      </c>
      <c r="B5" s="59" t="str">
        <f>VLOOKUP(A5,ECR!E:L,8,FALSE())</f>
        <v>Drake Maye</v>
      </c>
      <c r="C5" s="60" t="str">
        <f>IFERROR(VLOOKUP(Aggregate!$B5,ECR!C:F,2,FALSE()),"-")</f>
        <v>NE</v>
      </c>
      <c r="D5" s="60">
        <f>IFERROR(VLOOKUP(Aggregate!$B5,ECR!C:F,4,FALSE()),"-")</f>
        <v>11</v>
      </c>
      <c r="E5" s="60" t="str">
        <f>Aggregate!$C5 &amp; "/" &amp; Aggregate!$D5</f>
        <v>NE/11</v>
      </c>
      <c r="F5" s="62">
        <f>IFERROR(VLOOKUP(Aggregate!$B5,QB!A:Q,15,FALSE())/17*(16-Aggregate!$M5),0)</f>
        <v>222.9378274</v>
      </c>
      <c r="G5" s="62">
        <f>IFERROR(VLOOKUP(Aggregate!$B5,QB!A:Q,16,FALSE())/17*(16-Aggregate!$M5),0)</f>
        <v>241.6046135</v>
      </c>
      <c r="H5" s="62">
        <f>IFERROR(VLOOKUP(Aggregate!$B5,QB!A:Q,17,FALSE())/17*(16-Aggregate!$M5),0)</f>
        <v>257.0017343</v>
      </c>
      <c r="I5" s="69">
        <f>AVERAGE(Aggregate!$F5,Aggregate!$G5,Aggregate!$H5,VLOOKUP(Aggregate!$B5,ECR!L:N,3,FALSE))</f>
        <v>241.3365151</v>
      </c>
      <c r="J5" s="69">
        <f>Aggregate!$I5-$C$1</f>
        <v>19.68970913</v>
      </c>
      <c r="K5" s="72">
        <f>MAX(Aggregate!$J5*Scoring!$B$48+1,1)</f>
        <v>6.159165115</v>
      </c>
      <c r="L5" s="73">
        <f>VLOOKUP(Aggregate!$J5,BH:BJ,3,FALSE)</f>
        <v>2</v>
      </c>
      <c r="M5" s="80">
        <f t="array" ref="M5">VLOOKUP(INDEX(ECR!$E:$E,MATCH(B5,ECR!$C:$C,0)),RISK!A:B,2,FALSE())</f>
        <v>1.7403</v>
      </c>
      <c r="N5" s="81"/>
      <c r="O5" s="73" t="s">
        <v>172</v>
      </c>
      <c r="P5" s="59" t="str">
        <f>VLOOKUP(O5,ECR!E:L,8,FALSE())</f>
        <v>Christian McCaffrey</v>
      </c>
      <c r="Q5" s="60" t="str">
        <f>IFERROR(VLOOKUP(Aggregate!$P5,ECR!C:F,2,FALSE()),"-")</f>
        <v>SF</v>
      </c>
      <c r="R5" s="60">
        <f>IFERROR(VLOOKUP(Aggregate!$P5,ECR!C:F,4,FALSE()),"-")</f>
        <v>8</v>
      </c>
      <c r="S5" s="60" t="str">
        <f>Aggregate!$Q5 &amp; "/" &amp; Aggregate!$R5</f>
        <v>SF/8</v>
      </c>
      <c r="T5" s="62">
        <f>IFERROR(VLOOKUP(Aggregate!$P5,RB!A:Q,13,FALSE())/17*(16-Aggregate!$AA5),0)</f>
        <v>210.6</v>
      </c>
      <c r="U5" s="62">
        <f>IFERROR(VLOOKUP(Aggregate!$P5,RB!A:Q,14,FALSE())/17*(16-Aggregate!$AA5),0)</f>
        <v>225.9858824</v>
      </c>
      <c r="V5" s="62">
        <f>IFERROR(VLOOKUP(Aggregate!$P5,RB!A:Q,15,FALSE())/17*(16-Aggregate!$AA5),0)</f>
        <v>237.1352941</v>
      </c>
      <c r="W5" s="69">
        <f>AVERAGE(Aggregate!$T5,Aggregate!$U5,Aggregate!$V5,VLOOKUP(Aggregate!$P5,ECR!L:N,3,FALSE))</f>
        <v>224.9267647</v>
      </c>
      <c r="X5" s="69">
        <f>Aggregate!$W5-$Q$1</f>
        <v>146.5358756</v>
      </c>
      <c r="Y5" s="72">
        <f>MAX(Aggregate!$X5*Scoring!$B$48+1,1)</f>
        <v>39.39583269</v>
      </c>
      <c r="Z5" s="73">
        <f>VLOOKUP(Aggregate!$X5,BM:BO,3,FALSE)</f>
        <v>2</v>
      </c>
      <c r="AA5" s="80">
        <f t="array" ref="AA5">VLOOKUP(INDEX(ECR!$E:$E,MATCH(P5,ECR!$C:$C,0)),RISK!A:B,2,FALSE())</f>
        <v>3</v>
      </c>
      <c r="AB5" s="81"/>
      <c r="AC5" s="60" t="s">
        <v>177</v>
      </c>
      <c r="AD5" s="60" t="str">
        <f>VLOOKUP(AC5,ECR!E:L,8,FALSE())</f>
        <v>Jaxon Smith-Njigba</v>
      </c>
      <c r="AE5" s="60" t="str">
        <f>IFERROR(VLOOKUP(Aggregate!$AD5,ECR!C:F,2,FALSE()),"-")</f>
        <v>SEA</v>
      </c>
      <c r="AF5" s="60">
        <f>IFERROR(VLOOKUP(Aggregate!$AD5,ECR!C:F,4,FALSE()),"-")</f>
        <v>11</v>
      </c>
      <c r="AG5" s="60" t="str">
        <f>Aggregate!$AE5 &amp; "/" &amp; Aggregate!$AF5</f>
        <v>SEA/11</v>
      </c>
      <c r="AH5" s="62">
        <f>IFERROR(VLOOKUP(Aggregate!$AD5,WR!A:Q,13,FALSE())/17*(16-Aggregate!$AO5),0)</f>
        <v>211.8373369</v>
      </c>
      <c r="AI5" s="62">
        <f>IFERROR(VLOOKUP(Aggregate!$AD5,WR!A:Q,14,FALSE())/17*(16-Aggregate!$AO5),0)</f>
        <v>227.0679654</v>
      </c>
      <c r="AJ5" s="62">
        <f>IFERROR(VLOOKUP(Aggregate!$AD5,WR!A:Q,15,FALSE())/17*(16-Aggregate!$AO5),0)</f>
        <v>247.4034109</v>
      </c>
      <c r="AK5" s="69">
        <f>AVERAGE(Aggregate!$AH5,Aggregate!$AI5,Aggregate!$AJ5,VLOOKUP(Aggregate!$AD5,ECR!L:N,3,FALSE))</f>
        <v>228.3441696</v>
      </c>
      <c r="AL5" s="69">
        <f>Aggregate!$AK5-$AE$1</f>
        <v>146.8232426</v>
      </c>
      <c r="AM5" s="72">
        <f>MAX(Aggregate!$AL5*Scoring!$B$48+1,1)</f>
        <v>39.47112957</v>
      </c>
      <c r="AN5" s="73">
        <f>VLOOKUP(Aggregate!$AL5,BR:BT,3,FALSE)</f>
        <v>1</v>
      </c>
      <c r="AO5" s="80">
        <f t="array" ref="AO5">VLOOKUP(INDEX(ECR!$E:$E,MATCH(AD5,ECR!$C:$C,0)),RISK!A:B,2,FALSE())</f>
        <v>1.7501</v>
      </c>
      <c r="AP5" s="81"/>
      <c r="AQ5" s="85" t="s">
        <v>180</v>
      </c>
      <c r="AR5" s="85" t="str">
        <f>VLOOKUP(AQ5,ECR!E:L,8,FALSE())</f>
        <v>Colston Loveland</v>
      </c>
      <c r="AS5" s="85" t="str">
        <f>IFERROR(VLOOKUP(Aggregate!$AR5,ECR!C:F,2,FALSE()),"-")</f>
        <v>CHI</v>
      </c>
      <c r="AT5" s="85">
        <f>IFERROR(VLOOKUP(Aggregate!$AR5,ECR!C:F,4,FALSE()),"-")</f>
        <v>10</v>
      </c>
      <c r="AU5" s="85" t="str">
        <f>Aggregate!$AS5 &amp; "/" &amp; Aggregate!$AT5</f>
        <v>CHI/10</v>
      </c>
      <c r="AV5" s="62">
        <f>IFERROR(VLOOKUP(Aggregate!$AR5,TE!A:K,9,FALSE())/17*(16-Aggregate!$BC5),0)</f>
        <v>124.9118559</v>
      </c>
      <c r="AW5" s="62">
        <f>IFERROR(VLOOKUP(Aggregate!$AR5,TE!A:K,10,FALSE())/17*(16-Aggregate!$BC5),0)</f>
        <v>137.3312072</v>
      </c>
      <c r="AX5" s="62">
        <f>IFERROR(VLOOKUP(Aggregate!$AR5,TE!A:K,11,FALSE())/17*(16-Aggregate!$BC5),0)</f>
        <v>154.5235482</v>
      </c>
      <c r="AY5" s="69">
        <f>AVERAGE(Aggregate!$AV5,Aggregate!$AW5,Aggregate!$AX5,VLOOKUP(Aggregate!$AR5,ECR!L:N,3,FALSE))</f>
        <v>138.5244546</v>
      </c>
      <c r="AZ5" s="69">
        <f>Aggregate!$AY5-$AS$1</f>
        <v>56.98612322</v>
      </c>
      <c r="BA5" s="72">
        <f>MAX(Aggregate!$AZ5*Scoring!$B$48+1,1)</f>
        <v>15.93169945</v>
      </c>
      <c r="BB5" s="62">
        <f>VLOOKUP(Aggregate!$AZ5,BW:BY,3,FALSE)</f>
        <v>2</v>
      </c>
      <c r="BC5" s="80">
        <f t="array" ref="BC5">VLOOKUP(INDEX(ECR!$E:$E,MATCH(AR5,ECR!$C:$C,0)),RISK!A:B,2,FALSE())</f>
        <v>2.4313</v>
      </c>
      <c r="BD5" s="62"/>
      <c r="BE5" s="81"/>
      <c r="BF5" s="81">
        <v>3.0</v>
      </c>
      <c r="BG5" s="81">
        <f t="shared" si="1"/>
        <v>243.8018853</v>
      </c>
      <c r="BH5" s="81">
        <f>IFERROR(LARGE($J$3:$J$52,3),"")</f>
        <v>21.73693178</v>
      </c>
      <c r="BI5" s="81">
        <f t="shared" si="5"/>
        <v>31.47912172</v>
      </c>
      <c r="BJ5" s="81">
        <f t="shared" si="6"/>
        <v>2</v>
      </c>
      <c r="BK5" s="90">
        <v>3.0</v>
      </c>
      <c r="BL5" s="81">
        <f t="shared" si="2"/>
        <v>225.9858824</v>
      </c>
      <c r="BM5" s="91">
        <f>IFERROR(LARGE($X$3:$X$102,3),"")</f>
        <v>146.5358756</v>
      </c>
      <c r="BN5" s="91">
        <f t="shared" si="7"/>
        <v>146.5358756</v>
      </c>
      <c r="BO5" s="93">
        <f t="shared" si="8"/>
        <v>2</v>
      </c>
      <c r="BP5" s="91">
        <v>3.0</v>
      </c>
      <c r="BQ5" s="81">
        <f t="shared" si="3"/>
        <v>227.0679654</v>
      </c>
      <c r="BR5" s="91">
        <f>IFERROR(LARGE($AL$3:$AL$102,3),"")</f>
        <v>146.8232426</v>
      </c>
      <c r="BS5" s="91">
        <f t="shared" si="9"/>
        <v>154.7915482</v>
      </c>
      <c r="BT5" s="91">
        <f t="shared" si="10"/>
        <v>1</v>
      </c>
      <c r="BU5" s="81">
        <v>3.0</v>
      </c>
      <c r="BV5" s="81">
        <f t="shared" si="4"/>
        <v>137.3312072</v>
      </c>
      <c r="BW5" s="91">
        <f>IFERROR(LARGE($AZ$3:$AZ$52,3),"")</f>
        <v>56.98612322</v>
      </c>
      <c r="BX5" s="91">
        <f t="shared" si="11"/>
        <v>56.98612322</v>
      </c>
      <c r="BY5" s="91">
        <f t="shared" si="12"/>
        <v>2</v>
      </c>
      <c r="BZ5" s="91"/>
      <c r="CA5" s="91"/>
      <c r="CB5" s="91"/>
      <c r="CC5" s="91"/>
      <c r="CD5" s="91"/>
      <c r="CE5" s="91"/>
      <c r="CF5" s="91"/>
      <c r="CG5" s="91"/>
    </row>
    <row r="6" ht="14.25" customHeight="1">
      <c r="A6" s="59" t="s">
        <v>184</v>
      </c>
      <c r="B6" s="59" t="str">
        <f>VLOOKUP(A6,ECR!E:L,8,FALSE())</f>
        <v>Joe Burrow</v>
      </c>
      <c r="C6" s="60" t="str">
        <f>IFERROR(VLOOKUP(Aggregate!$B6,ECR!C:F,2,FALSE()),"-")</f>
        <v>CIN</v>
      </c>
      <c r="D6" s="60">
        <f>IFERROR(VLOOKUP(Aggregate!$B6,ECR!C:F,4,FALSE()),"-")</f>
        <v>6</v>
      </c>
      <c r="E6" s="60" t="str">
        <f>Aggregate!$C6 &amp; "/" &amp; Aggregate!$D6</f>
        <v>CIN/6</v>
      </c>
      <c r="F6" s="62">
        <f>IFERROR(VLOOKUP(Aggregate!$B6,QB!A:Q,15,FALSE())/17*(16-Aggregate!$M6),0)</f>
        <v>226.0897026</v>
      </c>
      <c r="G6" s="62">
        <f>IFERROR(VLOOKUP(Aggregate!$B6,QB!A:Q,16,FALSE())/17*(16-Aggregate!$M6),0)</f>
        <v>237.250604</v>
      </c>
      <c r="H6" s="62">
        <f>IFERROR(VLOOKUP(Aggregate!$B6,QB!A:Q,17,FALSE())/17*(16-Aggregate!$M6),0)</f>
        <v>252.5393261</v>
      </c>
      <c r="I6" s="69">
        <f>AVERAGE(Aggregate!$F6,Aggregate!$G6,Aggregate!$H6,VLOOKUP(Aggregate!$B6,ECR!L:N,3,FALSE))</f>
        <v>239.3710616</v>
      </c>
      <c r="J6" s="69">
        <f>Aggregate!$I6-$C$1</f>
        <v>17.72425557</v>
      </c>
      <c r="K6" s="72">
        <f>MAX(Aggregate!$J6*Scoring!$B$48+1,1)</f>
        <v>5.644170231</v>
      </c>
      <c r="L6" s="73">
        <f>VLOOKUP(Aggregate!$J6,BH:BJ,3,FALSE)</f>
        <v>3</v>
      </c>
      <c r="M6" s="80">
        <f t="array" ref="M6">VLOOKUP(INDEX(ECR!$E:$E,MATCH(B6,ECR!$C:$C,0)),RISK!A:B,2,FALSE())</f>
        <v>1.7256</v>
      </c>
      <c r="N6" s="81"/>
      <c r="O6" s="73" t="s">
        <v>187</v>
      </c>
      <c r="P6" s="59" t="str">
        <f>VLOOKUP(O6,ECR!E:L,8,FALSE())</f>
        <v>Jonathan Taylor</v>
      </c>
      <c r="Q6" s="60" t="str">
        <f>IFERROR(VLOOKUP(Aggregate!$P6,ECR!C:F,2,FALSE()),"-")</f>
        <v>IND</v>
      </c>
      <c r="R6" s="60">
        <f>IFERROR(VLOOKUP(Aggregate!$P6,ECR!C:F,4,FALSE()),"-")</f>
        <v>13</v>
      </c>
      <c r="S6" s="60" t="str">
        <f>Aggregate!$Q6 &amp; "/" &amp; Aggregate!$R6</f>
        <v>IND/13</v>
      </c>
      <c r="T6" s="62">
        <f>IFERROR(VLOOKUP(Aggregate!$P6,RB!A:Q,13,FALSE())/17*(16-Aggregate!$AA6),0)</f>
        <v>200.4294118</v>
      </c>
      <c r="U6" s="62">
        <f>IFERROR(VLOOKUP(Aggregate!$P6,RB!A:Q,14,FALSE())/17*(16-Aggregate!$AA6),0)</f>
        <v>221.0458824</v>
      </c>
      <c r="V6" s="62">
        <f>IFERROR(VLOOKUP(Aggregate!$P6,RB!A:Q,15,FALSE())/17*(16-Aggregate!$AA6),0)</f>
        <v>245.6158824</v>
      </c>
      <c r="W6" s="69">
        <f>AVERAGE(Aggregate!$T6,Aggregate!$U6,Aggregate!$V6,VLOOKUP(Aggregate!$P6,ECR!L:N,3,FALSE))</f>
        <v>222.0342647</v>
      </c>
      <c r="X6" s="69">
        <f>Aggregate!$W6-$Q$1</f>
        <v>143.6433756</v>
      </c>
      <c r="Y6" s="72">
        <f>MAX(Aggregate!$X6*Scoring!$B$48+1,1)</f>
        <v>38.63792992</v>
      </c>
      <c r="Z6" s="73">
        <f>VLOOKUP(Aggregate!$X6,BM:BO,3,FALSE)</f>
        <v>2</v>
      </c>
      <c r="AA6" s="80">
        <f t="array" ref="AA6">VLOOKUP(INDEX(ECR!$E:$E,MATCH(P6,ECR!$C:$C,0)),RISK!A:B,2,FALSE())</f>
        <v>3</v>
      </c>
      <c r="AB6" s="81"/>
      <c r="AC6" s="60" t="s">
        <v>191</v>
      </c>
      <c r="AD6" s="60" t="str">
        <f>VLOOKUP(AC6,ECR!E:L,8,FALSE())</f>
        <v>Amon-Ra St. Brown</v>
      </c>
      <c r="AE6" s="60" t="str">
        <f>IFERROR(VLOOKUP(Aggregate!$AD6,ECR!C:F,2,FALSE()),"-")</f>
        <v>DET</v>
      </c>
      <c r="AF6" s="60">
        <f>IFERROR(VLOOKUP(Aggregate!$AD6,ECR!C:F,4,FALSE()),"-")</f>
        <v>6</v>
      </c>
      <c r="AG6" s="60" t="str">
        <f>Aggregate!$AE6 &amp; "/" &amp; Aggregate!$AF6</f>
        <v>DET/6</v>
      </c>
      <c r="AH6" s="62">
        <f>IFERROR(VLOOKUP(Aggregate!$AD6,WR!A:Q,13,FALSE())/17*(16-Aggregate!$AO6),0)</f>
        <v>211.5231212</v>
      </c>
      <c r="AI6" s="62">
        <f>IFERROR(VLOOKUP(Aggregate!$AD6,WR!A:Q,14,FALSE())/17*(16-Aggregate!$AO6),0)</f>
        <v>217.7512556</v>
      </c>
      <c r="AJ6" s="62">
        <f>IFERROR(VLOOKUP(Aggregate!$AD6,WR!A:Q,15,FALSE())/17*(16-Aggregate!$AO6),0)</f>
        <v>225.1633193</v>
      </c>
      <c r="AK6" s="69">
        <f>AVERAGE(Aggregate!$AH6,Aggregate!$AI6,Aggregate!$AJ6,VLOOKUP(Aggregate!$AD6,ECR!L:N,3,FALSE))</f>
        <v>218.0472379</v>
      </c>
      <c r="AL6" s="69">
        <f>Aggregate!$AK6-$AE$1</f>
        <v>136.5263109</v>
      </c>
      <c r="AM6" s="72">
        <f>MAX(Aggregate!$AL6*Scoring!$B$48+1,1)</f>
        <v>36.77309221</v>
      </c>
      <c r="AN6" s="73">
        <f>VLOOKUP(Aggregate!$AL6,BR:BT,3,FALSE)</f>
        <v>1</v>
      </c>
      <c r="AO6" s="80">
        <f t="array" ref="AO6">VLOOKUP(INDEX(ECR!$E:$E,MATCH(AD6,ECR!$C:$C,0)),RISK!A:B,2,FALSE())</f>
        <v>1.8262</v>
      </c>
      <c r="AP6" s="81"/>
      <c r="AQ6" s="85" t="s">
        <v>194</v>
      </c>
      <c r="AR6" s="85" t="str">
        <f>VLOOKUP(AQ6,ECR!E:L,8,FALSE())</f>
        <v>Tyler Warren</v>
      </c>
      <c r="AS6" s="85" t="str">
        <f>IFERROR(VLOOKUP(Aggregate!$AR6,ECR!C:F,2,FALSE()),"-")</f>
        <v>IND</v>
      </c>
      <c r="AT6" s="85">
        <f>IFERROR(VLOOKUP(Aggregate!$AR6,ECR!C:F,4,FALSE()),"-")</f>
        <v>13</v>
      </c>
      <c r="AU6" s="85" t="str">
        <f>Aggregate!$AS6 &amp; "/" &amp; Aggregate!$AT6</f>
        <v>IND/13</v>
      </c>
      <c r="AV6" s="62">
        <f>IFERROR(VLOOKUP(Aggregate!$AR6,TE!A:K,9,FALSE())/17*(16-Aggregate!$BC6),0)</f>
        <v>118.65348</v>
      </c>
      <c r="AW6" s="62">
        <f>IFERROR(VLOOKUP(Aggregate!$AR6,TE!A:K,10,FALSE())/17*(16-Aggregate!$BC6),0)</f>
        <v>126.87345</v>
      </c>
      <c r="AX6" s="62">
        <f>IFERROR(VLOOKUP(Aggregate!$AR6,TE!A:K,11,FALSE())/17*(16-Aggregate!$BC6),0)</f>
        <v>134.2198</v>
      </c>
      <c r="AY6" s="69">
        <f>AVERAGE(Aggregate!$AV6,Aggregate!$AW6,Aggregate!$AX6,VLOOKUP(Aggregate!$AR6,ECR!L:N,3,FALSE))</f>
        <v>126.655045</v>
      </c>
      <c r="AZ6" s="69">
        <f>Aggregate!$AY6-$AS$1</f>
        <v>45.1167136</v>
      </c>
      <c r="BA6" s="72">
        <f>MAX(Aggregate!$AZ6*Scoring!$B$48+1,1)</f>
        <v>12.82163603</v>
      </c>
      <c r="BB6" s="62">
        <f>VLOOKUP(Aggregate!$AZ6,BW:BY,3,FALSE)</f>
        <v>2</v>
      </c>
      <c r="BC6" s="80">
        <f t="array" ref="BC6">VLOOKUP(INDEX(ECR!$E:$E,MATCH(AR6,ECR!$C:$C,0)),RISK!A:B,2,FALSE())</f>
        <v>2.4986</v>
      </c>
      <c r="BD6" s="62"/>
      <c r="BE6" s="81"/>
      <c r="BF6" s="81">
        <v>4.0</v>
      </c>
      <c r="BG6" s="81">
        <f t="shared" si="1"/>
        <v>241.6046135</v>
      </c>
      <c r="BH6" s="81">
        <f>IFERROR(LARGE($J$3:$J$52,4),"")</f>
        <v>19.68970913</v>
      </c>
      <c r="BI6" s="81">
        <f t="shared" si="5"/>
        <v>31.47912172</v>
      </c>
      <c r="BJ6" s="81">
        <f t="shared" si="6"/>
        <v>2</v>
      </c>
      <c r="BK6" s="90">
        <v>4.0</v>
      </c>
      <c r="BL6" s="81">
        <f t="shared" si="2"/>
        <v>221.0458824</v>
      </c>
      <c r="BM6" s="91">
        <f>IFERROR(LARGE($X$3:$X$102,4),"")</f>
        <v>143.6433756</v>
      </c>
      <c r="BN6" s="91">
        <f t="shared" si="7"/>
        <v>146.5358756</v>
      </c>
      <c r="BO6" s="93">
        <f t="shared" si="8"/>
        <v>2</v>
      </c>
      <c r="BP6" s="91">
        <v>4.0</v>
      </c>
      <c r="BQ6" s="81">
        <f t="shared" si="3"/>
        <v>217.7512556</v>
      </c>
      <c r="BR6" s="91">
        <f>IFERROR(LARGE($AL$3:$AL$102,4),"")</f>
        <v>136.5263109</v>
      </c>
      <c r="BS6" s="91">
        <f t="shared" si="9"/>
        <v>154.7915482</v>
      </c>
      <c r="BT6" s="91">
        <f t="shared" si="10"/>
        <v>1</v>
      </c>
      <c r="BU6" s="81">
        <v>4.0</v>
      </c>
      <c r="BV6" s="81">
        <f t="shared" si="4"/>
        <v>126.87345</v>
      </c>
      <c r="BW6" s="91">
        <f>IFERROR(LARGE($AZ$3:$AZ$52,4),"")</f>
        <v>45.1167136</v>
      </c>
      <c r="BX6" s="91">
        <f t="shared" si="11"/>
        <v>56.98612322</v>
      </c>
      <c r="BY6" s="91">
        <f t="shared" si="12"/>
        <v>2</v>
      </c>
      <c r="BZ6" s="91"/>
      <c r="CA6" s="91"/>
      <c r="CB6" s="91"/>
      <c r="CC6" s="91"/>
      <c r="CD6" s="91"/>
      <c r="CE6" s="91"/>
      <c r="CF6" s="91"/>
      <c r="CG6" s="91"/>
    </row>
    <row r="7" ht="14.25" customHeight="1">
      <c r="A7" s="59" t="s">
        <v>197</v>
      </c>
      <c r="B7" s="59" t="str">
        <f>VLOOKUP(A7,ECR!E:L,8,FALSE())</f>
        <v>Jayden Daniels</v>
      </c>
      <c r="C7" s="60" t="str">
        <f>IFERROR(VLOOKUP(Aggregate!$B7,ECR!C:F,2,FALSE()),"-")</f>
        <v>WAS</v>
      </c>
      <c r="D7" s="60">
        <f>IFERROR(VLOOKUP(Aggregate!$B7,ECR!C:F,4,FALSE()),"-")</f>
        <v>7</v>
      </c>
      <c r="E7" s="60" t="str">
        <f>Aggregate!$C7 &amp; "/" &amp; Aggregate!$D7</f>
        <v>WAS/7</v>
      </c>
      <c r="F7" s="62">
        <f>IFERROR(VLOOKUP(Aggregate!$B7,QB!A:Q,15,FALSE())/17*(16-Aggregate!$M7),0)</f>
        <v>218.0227659</v>
      </c>
      <c r="G7" s="62">
        <f>IFERROR(VLOOKUP(Aggregate!$B7,QB!A:Q,16,FALSE())/17*(16-Aggregate!$M7),0)</f>
        <v>239.0489096</v>
      </c>
      <c r="H7" s="62">
        <f>IFERROR(VLOOKUP(Aggregate!$B7,QB!A:Q,17,FALSE())/17*(16-Aggregate!$M7),0)</f>
        <v>263.2585419</v>
      </c>
      <c r="I7" s="69">
        <f>AVERAGE(Aggregate!$F7,Aggregate!$G7,Aggregate!$H7,VLOOKUP(Aggregate!$B7,ECR!L:N,3,FALSE))</f>
        <v>239.8447818</v>
      </c>
      <c r="J7" s="69">
        <f>Aggregate!$I7-$C$1</f>
        <v>18.19797578</v>
      </c>
      <c r="K7" s="72">
        <f>MAX(Aggregate!$J7*Scoring!$B$48+1,1)</f>
        <v>5.768296026</v>
      </c>
      <c r="L7" s="73">
        <f>VLOOKUP(Aggregate!$J7,BH:BJ,3,FALSE)</f>
        <v>3</v>
      </c>
      <c r="M7" s="80">
        <f t="array" ref="M7">VLOOKUP(INDEX(ECR!$E:$E,MATCH(B7,ECR!$C:$C,0)),RISK!A:B,2,FALSE())</f>
        <v>1.7205</v>
      </c>
      <c r="N7" s="81"/>
      <c r="O7" s="73" t="s">
        <v>200</v>
      </c>
      <c r="P7" s="59" t="str">
        <f>VLOOKUP(O7,ECR!E:L,8,FALSE())</f>
        <v>James Cook III</v>
      </c>
      <c r="Q7" s="60" t="str">
        <f>IFERROR(VLOOKUP(Aggregate!$P7,ECR!C:F,2,FALSE()),"-")</f>
        <v>BUF</v>
      </c>
      <c r="R7" s="60">
        <f>IFERROR(VLOOKUP(Aggregate!$P7,ECR!C:F,4,FALSE()),"-")</f>
        <v>7</v>
      </c>
      <c r="S7" s="60" t="str">
        <f>Aggregate!$Q7 &amp; "/" &amp; Aggregate!$R7</f>
        <v>BUF/7</v>
      </c>
      <c r="T7" s="62">
        <f>IFERROR(VLOOKUP(Aggregate!$P7,RB!A:Q,13,FALSE())/17*(16-Aggregate!$AA7),0)</f>
        <v>182.5352941</v>
      </c>
      <c r="U7" s="62">
        <f>IFERROR(VLOOKUP(Aggregate!$P7,RB!A:Q,14,FALSE())/17*(16-Aggregate!$AA7),0)</f>
        <v>194.1817647</v>
      </c>
      <c r="V7" s="62">
        <f>IFERROR(VLOOKUP(Aggregate!$P7,RB!A:Q,15,FALSE())/17*(16-Aggregate!$AA7),0)</f>
        <v>203.6105882</v>
      </c>
      <c r="W7" s="69">
        <f>AVERAGE(Aggregate!$T7,Aggregate!$U7,Aggregate!$V7,VLOOKUP(Aggregate!$P7,ECR!L:N,3,FALSE))</f>
        <v>195.6939706</v>
      </c>
      <c r="X7" s="69">
        <f>Aggregate!$W7-$Q$1</f>
        <v>117.3030815</v>
      </c>
      <c r="Y7" s="72">
        <f>MAX(Aggregate!$X7*Scoring!$B$48+1,1)</f>
        <v>31.73615572</v>
      </c>
      <c r="Z7" s="73">
        <f>VLOOKUP(Aggregate!$X7,BM:BO,3,FALSE)</f>
        <v>3</v>
      </c>
      <c r="AA7" s="80">
        <f t="array" ref="AA7">VLOOKUP(INDEX(ECR!$E:$E,MATCH(P7,ECR!$C:$C,0)),RISK!A:B,2,FALSE())</f>
        <v>3</v>
      </c>
      <c r="AB7" s="81"/>
      <c r="AC7" s="60" t="s">
        <v>203</v>
      </c>
      <c r="AD7" s="60" t="str">
        <f>VLOOKUP(AC7,ECR!E:L,8,FALSE())</f>
        <v>CeeDee Lamb</v>
      </c>
      <c r="AE7" s="60" t="str">
        <f>IFERROR(VLOOKUP(Aggregate!$AD7,ECR!C:F,2,FALSE()),"-")</f>
        <v>DAL</v>
      </c>
      <c r="AF7" s="60">
        <f>IFERROR(VLOOKUP(Aggregate!$AD7,ECR!C:F,4,FALSE()),"-")</f>
        <v>14</v>
      </c>
      <c r="AG7" s="60" t="str">
        <f>Aggregate!$AE7 &amp; "/" &amp; Aggregate!$AF7</f>
        <v>DAL/14</v>
      </c>
      <c r="AH7" s="62">
        <f>IFERROR(VLOOKUP(Aggregate!$AD7,WR!A:Q,13,FALSE())/17*(16-Aggregate!$AO7),0)</f>
        <v>162.3815471</v>
      </c>
      <c r="AI7" s="62">
        <f>IFERROR(VLOOKUP(Aggregate!$AD7,WR!A:Q,14,FALSE())/17*(16-Aggregate!$AO7),0)</f>
        <v>185.7352976</v>
      </c>
      <c r="AJ7" s="62">
        <f>IFERROR(VLOOKUP(Aggregate!$AD7,WR!A:Q,15,FALSE())/17*(16-Aggregate!$AO7),0)</f>
        <v>202.313475</v>
      </c>
      <c r="AK7" s="69">
        <f>AVERAGE(Aggregate!$AH7,Aggregate!$AI7,Aggregate!$AJ7,VLOOKUP(Aggregate!$AD7,ECR!L:N,3,FALSE))</f>
        <v>184.0414043</v>
      </c>
      <c r="AL7" s="69">
        <f>Aggregate!$AK7-$AE$1</f>
        <v>102.5204773</v>
      </c>
      <c r="AM7" s="72">
        <f>MAX(Aggregate!$AL7*Scoring!$B$48+1,1)</f>
        <v>27.86276706</v>
      </c>
      <c r="AN7" s="73">
        <f>VLOOKUP(Aggregate!$AL7,BR:BT,3,FALSE)</f>
        <v>2</v>
      </c>
      <c r="AO7" s="80">
        <f t="array" ref="AO7">VLOOKUP(INDEX(ECR!$E:$E,MATCH(AD7,ECR!$C:$C,0)),RISK!A:B,2,FALSE())</f>
        <v>1.9015</v>
      </c>
      <c r="AP7" s="81"/>
      <c r="AQ7" s="85" t="s">
        <v>206</v>
      </c>
      <c r="AR7" s="85" t="str">
        <f>VLOOKUP(AQ7,ECR!E:L,8,FALSE())</f>
        <v>Tucker Kraft</v>
      </c>
      <c r="AS7" s="85" t="str">
        <f>IFERROR(VLOOKUP(Aggregate!$AR7,ECR!C:F,2,FALSE()),"-")</f>
        <v>GB</v>
      </c>
      <c r="AT7" s="85">
        <f>IFERROR(VLOOKUP(Aggregate!$AR7,ECR!C:F,4,FALSE()),"-")</f>
        <v>11</v>
      </c>
      <c r="AU7" s="85" t="str">
        <f>Aggregate!$AS7 &amp; "/" &amp; Aggregate!$AT7</f>
        <v>GB/11</v>
      </c>
      <c r="AV7" s="62">
        <f>IFERROR(VLOOKUP(Aggregate!$AR7,TE!A:K,9,FALSE())/17*(16-Aggregate!$BC7),0)</f>
        <v>99.4597</v>
      </c>
      <c r="AW7" s="62">
        <f>IFERROR(VLOOKUP(Aggregate!$AR7,TE!A:K,10,FALSE())/17*(16-Aggregate!$BC7),0)</f>
        <v>116.9560685</v>
      </c>
      <c r="AX7" s="62">
        <f>IFERROR(VLOOKUP(Aggregate!$AR7,TE!A:K,11,FALSE())/17*(16-Aggregate!$BC7),0)</f>
        <v>140.3662571</v>
      </c>
      <c r="AY7" s="69">
        <f>AVERAGE(Aggregate!$AV7,Aggregate!$AW7,Aggregate!$AX7,VLOOKUP(Aggregate!$AR7,ECR!L:N,3,FALSE))</f>
        <v>119.1722723</v>
      </c>
      <c r="AZ7" s="69">
        <f>Aggregate!$AY7-$AS$1</f>
        <v>37.63394088</v>
      </c>
      <c r="BA7" s="72">
        <f>MAX(Aggregate!$AZ7*Scoring!$B$48+1,1)</f>
        <v>10.86097426</v>
      </c>
      <c r="BB7" s="62">
        <f>VLOOKUP(Aggregate!$AZ7,BW:BY,3,FALSE)</f>
        <v>3</v>
      </c>
      <c r="BC7" s="80">
        <f t="array" ref="BC7">VLOOKUP(INDEX(ECR!$E:$E,MATCH(AR7,ECR!$C:$C,0)),RISK!A:B,2,FALSE())</f>
        <v>2.5595</v>
      </c>
      <c r="BD7" s="62"/>
      <c r="BE7" s="81"/>
      <c r="BF7" s="81">
        <v>5.0</v>
      </c>
      <c r="BG7" s="81">
        <f t="shared" si="1"/>
        <v>239.0489096</v>
      </c>
      <c r="BH7" s="81">
        <f>IFERROR(LARGE($J$3:$J$52,5),"")</f>
        <v>18.19797578</v>
      </c>
      <c r="BI7" s="81">
        <f t="shared" si="5"/>
        <v>18.19797578</v>
      </c>
      <c r="BJ7" s="81">
        <f t="shared" si="6"/>
        <v>3</v>
      </c>
      <c r="BK7" s="90">
        <v>5.0</v>
      </c>
      <c r="BL7" s="81">
        <f t="shared" si="2"/>
        <v>202.4482353</v>
      </c>
      <c r="BM7" s="91">
        <f>IFERROR(LARGE($X$3:$X$102,5),"")</f>
        <v>119.3429344</v>
      </c>
      <c r="BN7" s="91">
        <f t="shared" si="7"/>
        <v>119.3429344</v>
      </c>
      <c r="BO7" s="93">
        <f t="shared" si="8"/>
        <v>3</v>
      </c>
      <c r="BP7" s="91">
        <v>5.0</v>
      </c>
      <c r="BQ7" s="81">
        <f t="shared" si="3"/>
        <v>185.7352976</v>
      </c>
      <c r="BR7" s="91">
        <f>IFERROR(LARGE($AL$3:$AL$102,5),"")</f>
        <v>103.7113647</v>
      </c>
      <c r="BS7" s="91">
        <f t="shared" si="9"/>
        <v>103.7113647</v>
      </c>
      <c r="BT7" s="91">
        <f t="shared" si="10"/>
        <v>2</v>
      </c>
      <c r="BU7" s="81">
        <v>5.0</v>
      </c>
      <c r="BV7" s="81">
        <f t="shared" si="4"/>
        <v>119.9070635</v>
      </c>
      <c r="BW7" s="91">
        <f>IFERROR(LARGE($AZ$3:$AZ$52,5),"")</f>
        <v>38.13524774</v>
      </c>
      <c r="BX7" s="91">
        <f t="shared" si="11"/>
        <v>38.13524774</v>
      </c>
      <c r="BY7" s="91">
        <f t="shared" si="12"/>
        <v>3</v>
      </c>
      <c r="BZ7" s="91"/>
      <c r="CA7" s="91"/>
      <c r="CB7" s="91"/>
      <c r="CC7" s="91"/>
      <c r="CD7" s="91"/>
      <c r="CE7" s="91"/>
      <c r="CF7" s="91"/>
      <c r="CG7" s="91"/>
    </row>
    <row r="8" ht="14.25" customHeight="1">
      <c r="A8" s="59" t="s">
        <v>211</v>
      </c>
      <c r="B8" s="59" t="str">
        <f>VLOOKUP(A8,ECR!E:L,8,FALSE())</f>
        <v>Jalen Hurts</v>
      </c>
      <c r="C8" s="60" t="str">
        <f>IFERROR(VLOOKUP(Aggregate!$B8,ECR!C:F,2,FALSE()),"-")</f>
        <v>PHI</v>
      </c>
      <c r="D8" s="60">
        <f>IFERROR(VLOOKUP(Aggregate!$B8,ECR!C:F,4,FALSE()),"-")</f>
        <v>10</v>
      </c>
      <c r="E8" s="60" t="str">
        <f>Aggregate!$C8 &amp; "/" &amp; Aggregate!$D8</f>
        <v>PHI/10</v>
      </c>
      <c r="F8" s="62">
        <f>IFERROR(VLOOKUP(Aggregate!$B8,QB!A:Q,15,FALSE())/17*(16-Aggregate!$M8),0)</f>
        <v>227.3251765</v>
      </c>
      <c r="G8" s="62">
        <f>IFERROR(VLOOKUP(Aggregate!$B8,QB!A:Q,16,FALSE())/17*(16-Aggregate!$M8),0)</f>
        <v>243.8018853</v>
      </c>
      <c r="H8" s="62">
        <f>IFERROR(VLOOKUP(Aggregate!$B8,QB!A:Q,17,FALSE())/17*(16-Aggregate!$M8),0)</f>
        <v>265.1572853</v>
      </c>
      <c r="I8" s="69">
        <f>AVERAGE(Aggregate!$F8,Aggregate!$G8,Aggregate!$H8,VLOOKUP(Aggregate!$B8,ECR!L:N,3,FALSE))</f>
        <v>243.3837378</v>
      </c>
      <c r="J8" s="69">
        <f>Aggregate!$I8-$C$1</f>
        <v>21.73693178</v>
      </c>
      <c r="K8" s="72">
        <f>MAX(Aggregate!$J8*Scoring!$B$48+1,1)</f>
        <v>6.695585414</v>
      </c>
      <c r="L8" s="73">
        <f>VLOOKUP(Aggregate!$J8,BH:BJ,3,FALSE)</f>
        <v>2</v>
      </c>
      <c r="M8" s="80">
        <f t="array" ref="M8">VLOOKUP(INDEX(ECR!$E:$E,MATCH(B8,ECR!$C:$C,0)),RISK!A:B,2,FALSE())</f>
        <v>1.725</v>
      </c>
      <c r="N8" s="81"/>
      <c r="O8" s="73" t="s">
        <v>212</v>
      </c>
      <c r="P8" s="59" t="str">
        <f>VLOOKUP(O8,ECR!E:L,8,FALSE())</f>
        <v>Chase Brown</v>
      </c>
      <c r="Q8" s="60" t="str">
        <f>IFERROR(VLOOKUP(Aggregate!$P8,ECR!C:F,2,FALSE()),"-")</f>
        <v>CIN</v>
      </c>
      <c r="R8" s="60">
        <f>IFERROR(VLOOKUP(Aggregate!$P8,ECR!C:F,4,FALSE()),"-")</f>
        <v>6</v>
      </c>
      <c r="S8" s="60" t="str">
        <f>Aggregate!$Q8 &amp; "/" &amp; Aggregate!$R8</f>
        <v>CIN/6</v>
      </c>
      <c r="T8" s="62">
        <f>IFERROR(VLOOKUP(Aggregate!$P8,RB!A:Q,13,FALSE())/17*(16-Aggregate!$AA8),0)</f>
        <v>170.5294118</v>
      </c>
      <c r="U8" s="62">
        <f>IFERROR(VLOOKUP(Aggregate!$P8,RB!A:Q,14,FALSE())/17*(16-Aggregate!$AA8),0)</f>
        <v>188.89</v>
      </c>
      <c r="V8" s="62">
        <f>IFERROR(VLOOKUP(Aggregate!$P8,RB!A:Q,15,FALSE())/17*(16-Aggregate!$AA8),0)</f>
        <v>207.7705882</v>
      </c>
      <c r="W8" s="69">
        <f>AVERAGE(Aggregate!$T8,Aggregate!$U8,Aggregate!$V8,VLOOKUP(Aggregate!$P8,ECR!L:N,3,FALSE))</f>
        <v>191.4536765</v>
      </c>
      <c r="X8" s="69">
        <f>Aggregate!$W8-$Q$1</f>
        <v>113.0627874</v>
      </c>
      <c r="Y8" s="72">
        <f>MAX(Aggregate!$X8*Scoring!$B$48+1,1)</f>
        <v>30.62509931</v>
      </c>
      <c r="Z8" s="73">
        <f>VLOOKUP(Aggregate!$X8,BM:BO,3,FALSE)</f>
        <v>3</v>
      </c>
      <c r="AA8" s="80">
        <f t="array" ref="AA8">VLOOKUP(INDEX(ECR!$E:$E,MATCH(P8,ECR!$C:$C,0)),RISK!A:B,2,FALSE())</f>
        <v>3</v>
      </c>
      <c r="AB8" s="81"/>
      <c r="AC8" s="60" t="s">
        <v>215</v>
      </c>
      <c r="AD8" s="60" t="str">
        <f>VLOOKUP(AC8,ECR!E:L,8,FALSE())</f>
        <v>Justin Jefferson</v>
      </c>
      <c r="AE8" s="60" t="str">
        <f>IFERROR(VLOOKUP(Aggregate!$AD8,ECR!C:F,2,FALSE()),"-")</f>
        <v>MIN</v>
      </c>
      <c r="AF8" s="60">
        <f>IFERROR(VLOOKUP(Aggregate!$AD8,ECR!C:F,4,FALSE()),"-")</f>
        <v>6</v>
      </c>
      <c r="AG8" s="60" t="str">
        <f>Aggregate!$AE8 &amp; "/" &amp; Aggregate!$AF8</f>
        <v>MIN/6</v>
      </c>
      <c r="AH8" s="62">
        <f>IFERROR(VLOOKUP(Aggregate!$AD8,WR!A:Q,13,FALSE())/17*(16-Aggregate!$AO8),0)</f>
        <v>175.7124706</v>
      </c>
      <c r="AI8" s="62">
        <f>IFERROR(VLOOKUP(Aggregate!$AD8,WR!A:Q,14,FALSE())/17*(16-Aggregate!$AO8),0)</f>
        <v>184.0361271</v>
      </c>
      <c r="AJ8" s="62">
        <f>IFERROR(VLOOKUP(Aggregate!$AD8,WR!A:Q,15,FALSE())/17*(16-Aggregate!$AO8),0)</f>
        <v>197.1444424</v>
      </c>
      <c r="AK8" s="69">
        <f>AVERAGE(Aggregate!$AH8,Aggregate!$AI8,Aggregate!$AJ8,VLOOKUP(Aggregate!$AD8,ECR!L:N,3,FALSE))</f>
        <v>185.2322918</v>
      </c>
      <c r="AL8" s="69">
        <f>Aggregate!$AK8-$AE$1</f>
        <v>103.7113647</v>
      </c>
      <c r="AM8" s="72">
        <f>MAX(Aggregate!$AL8*Scoring!$B$48+1,1)</f>
        <v>28.17480747</v>
      </c>
      <c r="AN8" s="73">
        <f>VLOOKUP(Aggregate!$AL8,BR:BT,3,FALSE)</f>
        <v>2</v>
      </c>
      <c r="AO8" s="80">
        <f t="array" ref="AO8">VLOOKUP(INDEX(ECR!$E:$E,MATCH(AD8,ECR!$C:$C,0)),RISK!A:B,2,FALSE())</f>
        <v>1.976</v>
      </c>
      <c r="AP8" s="81"/>
      <c r="AQ8" s="85" t="s">
        <v>218</v>
      </c>
      <c r="AR8" s="85" t="str">
        <f>VLOOKUP(AQ8,ECR!E:L,8,FALSE())</f>
        <v>Harold Fannin Jr.</v>
      </c>
      <c r="AS8" s="85" t="str">
        <f>IFERROR(VLOOKUP(Aggregate!$AR8,ECR!C:F,2,FALSE()),"-")</f>
        <v>CLE</v>
      </c>
      <c r="AT8" s="85">
        <f>IFERROR(VLOOKUP(Aggregate!$AR8,ECR!C:F,4,FALSE()),"-")</f>
        <v>11</v>
      </c>
      <c r="AU8" s="85" t="str">
        <f>Aggregate!$AS8 &amp; "/" &amp; Aggregate!$AT8</f>
        <v>CLE/11</v>
      </c>
      <c r="AV8" s="62">
        <f>IFERROR(VLOOKUP(Aggregate!$AR8,TE!A:K,9,FALSE())/17*(16-Aggregate!$BC8),0)</f>
        <v>106.9305176</v>
      </c>
      <c r="AW8" s="62">
        <f>IFERROR(VLOOKUP(Aggregate!$AR8,TE!A:K,10,FALSE())/17*(16-Aggregate!$BC8),0)</f>
        <v>119.9070635</v>
      </c>
      <c r="AX8" s="62">
        <f>IFERROR(VLOOKUP(Aggregate!$AR8,TE!A:K,11,FALSE())/17*(16-Aggregate!$BC8),0)</f>
        <v>134.8048941</v>
      </c>
      <c r="AY8" s="69">
        <f>AVERAGE(Aggregate!$AV8,Aggregate!$AW8,Aggregate!$AX8,VLOOKUP(Aggregate!$AR8,ECR!L:N,3,FALSE))</f>
        <v>119.6735791</v>
      </c>
      <c r="AZ8" s="69">
        <f>Aggregate!$AY8-$AS$1</f>
        <v>38.13524774</v>
      </c>
      <c r="BA8" s="72">
        <f>MAX(Aggregate!$AZ8*Scoring!$B$48+1,1)</f>
        <v>10.9923284</v>
      </c>
      <c r="BB8" s="62">
        <f>VLOOKUP(Aggregate!$AZ8,BW:BY,3,FALSE)</f>
        <v>3</v>
      </c>
      <c r="BC8" s="80">
        <f t="array" ref="BC8">VLOOKUP(INDEX(ECR!$E:$E,MATCH(AR8,ECR!$C:$C,0)),RISK!A:B,2,FALSE())</f>
        <v>2.614</v>
      </c>
      <c r="BD8" s="62"/>
      <c r="BE8" s="81"/>
      <c r="BF8" s="81">
        <v>6.0</v>
      </c>
      <c r="BG8" s="81">
        <f t="shared" si="1"/>
        <v>237.250604</v>
      </c>
      <c r="BH8" s="81">
        <f>IFERROR(LARGE($J$3:$J$52,6),"")</f>
        <v>17.72425557</v>
      </c>
      <c r="BI8" s="81">
        <f t="shared" si="5"/>
        <v>18.19797578</v>
      </c>
      <c r="BJ8" s="81">
        <f t="shared" si="6"/>
        <v>3</v>
      </c>
      <c r="BK8" s="90">
        <v>6.0</v>
      </c>
      <c r="BL8" s="81">
        <f t="shared" si="2"/>
        <v>198.6247059</v>
      </c>
      <c r="BM8" s="91">
        <f>IFERROR(LARGE($X$3:$X$102,6),"")</f>
        <v>118.4902874</v>
      </c>
      <c r="BN8" s="91">
        <f t="shared" si="7"/>
        <v>119.3429344</v>
      </c>
      <c r="BO8" s="93">
        <f t="shared" si="8"/>
        <v>3</v>
      </c>
      <c r="BP8" s="91">
        <v>6.0</v>
      </c>
      <c r="BQ8" s="81">
        <f t="shared" si="3"/>
        <v>184.0361271</v>
      </c>
      <c r="BR8" s="91">
        <f>IFERROR(LARGE($AL$3:$AL$102,6),"")</f>
        <v>102.5204773</v>
      </c>
      <c r="BS8" s="91">
        <f t="shared" si="9"/>
        <v>103.7113647</v>
      </c>
      <c r="BT8" s="91">
        <f t="shared" si="10"/>
        <v>2</v>
      </c>
      <c r="BU8" s="81">
        <v>6.0</v>
      </c>
      <c r="BV8" s="81">
        <f t="shared" si="4"/>
        <v>117.0518412</v>
      </c>
      <c r="BW8" s="91">
        <f>IFERROR(LARGE($AZ$3:$AZ$52,6),"")</f>
        <v>37.63394088</v>
      </c>
      <c r="BX8" s="91">
        <f t="shared" si="11"/>
        <v>38.13524774</v>
      </c>
      <c r="BY8" s="91">
        <f t="shared" si="12"/>
        <v>3</v>
      </c>
      <c r="BZ8" s="91"/>
      <c r="CA8" s="91"/>
      <c r="CB8" s="91"/>
      <c r="CC8" s="91"/>
      <c r="CD8" s="91"/>
      <c r="CE8" s="91"/>
      <c r="CF8" s="91"/>
      <c r="CG8" s="91"/>
    </row>
    <row r="9" ht="14.25" customHeight="1">
      <c r="A9" s="59" t="s">
        <v>223</v>
      </c>
      <c r="B9" s="59" t="str">
        <f>VLOOKUP(A9,ECR!E:L,8,FALSE())</f>
        <v>Caleb Williams</v>
      </c>
      <c r="C9" s="60" t="str">
        <f>IFERROR(VLOOKUP(Aggregate!$B9,ECR!C:F,2,FALSE()),"-")</f>
        <v>CHI</v>
      </c>
      <c r="D9" s="60">
        <f>IFERROR(VLOOKUP(Aggregate!$B9,ECR!C:F,4,FALSE()),"-")</f>
        <v>10</v>
      </c>
      <c r="E9" s="60" t="str">
        <f>Aggregate!$C9 &amp; "/" &amp; Aggregate!$D9</f>
        <v>CHI/10</v>
      </c>
      <c r="F9" s="62">
        <f>IFERROR(VLOOKUP(Aggregate!$B9,QB!A:Q,15,FALSE())/17*(16-Aggregate!$M9),0)</f>
        <v>210.0529905</v>
      </c>
      <c r="G9" s="62">
        <f>IFERROR(VLOOKUP(Aggregate!$B9,QB!A:Q,16,FALSE())/17*(16-Aggregate!$M9),0)</f>
        <v>226.1493522</v>
      </c>
      <c r="H9" s="62">
        <f>IFERROR(VLOOKUP(Aggregate!$B9,QB!A:Q,17,FALSE())/17*(16-Aggregate!$M9),0)</f>
        <v>245.9082486</v>
      </c>
      <c r="I9" s="69">
        <f>AVERAGE(Aggregate!$F9,Aggregate!$G9,Aggregate!$H9,VLOOKUP(Aggregate!$B9,ECR!L:N,3,FALSE))</f>
        <v>227.0649859</v>
      </c>
      <c r="J9" s="69">
        <f>Aggregate!$I9-$C$1</f>
        <v>5.418179868</v>
      </c>
      <c r="K9" s="72">
        <f>MAX(Aggregate!$J9*Scoring!$B$48+1,1)</f>
        <v>2.419690071</v>
      </c>
      <c r="L9" s="73">
        <f>VLOOKUP(Aggregate!$J9,BH:BJ,3,FALSE)</f>
        <v>4</v>
      </c>
      <c r="M9" s="80">
        <f t="array" ref="M9">VLOOKUP(INDEX(ECR!$E:$E,MATCH(B9,ECR!$C:$C,0)),RISK!A:B,2,FALSE())</f>
        <v>1.7391</v>
      </c>
      <c r="N9" s="81"/>
      <c r="O9" s="73" t="s">
        <v>224</v>
      </c>
      <c r="P9" s="59" t="str">
        <f>VLOOKUP(O9,ECR!E:L,8,FALSE())</f>
        <v>Saquon Barkley</v>
      </c>
      <c r="Q9" s="60" t="str">
        <f>IFERROR(VLOOKUP(Aggregate!$P9,ECR!C:F,2,FALSE()),"-")</f>
        <v>PHI</v>
      </c>
      <c r="R9" s="60">
        <f>IFERROR(VLOOKUP(Aggregate!$P9,ECR!C:F,4,FALSE()),"-")</f>
        <v>10</v>
      </c>
      <c r="S9" s="60" t="str">
        <f>Aggregate!$Q9 &amp; "/" &amp; Aggregate!$R9</f>
        <v>PHI/10</v>
      </c>
      <c r="T9" s="62">
        <f>IFERROR(VLOOKUP(Aggregate!$P9,RB!A:Q,13,FALSE())/17*(16-Aggregate!$AA9),0)</f>
        <v>173.0529412</v>
      </c>
      <c r="U9" s="62">
        <f>IFERROR(VLOOKUP(Aggregate!$P9,RB!A:Q,14,FALSE())/17*(16-Aggregate!$AA9),0)</f>
        <v>186.2823529</v>
      </c>
      <c r="V9" s="62">
        <f>IFERROR(VLOOKUP(Aggregate!$P9,RB!A:Q,15,FALSE())/17*(16-Aggregate!$AA9),0)</f>
        <v>200.4370588</v>
      </c>
      <c r="W9" s="69">
        <f>AVERAGE(Aggregate!$T9,Aggregate!$U9,Aggregate!$V9,VLOOKUP(Aggregate!$P9,ECR!L:N,3,FALSE))</f>
        <v>188.4885294</v>
      </c>
      <c r="X9" s="69">
        <f>Aggregate!$W9-$Q$1</f>
        <v>110.0976403</v>
      </c>
      <c r="Y9" s="72">
        <f>MAX(Aggregate!$X9*Scoring!$B$48+1,1)</f>
        <v>29.84816131</v>
      </c>
      <c r="Z9" s="73">
        <f>VLOOKUP(Aggregate!$X9,BM:BO,3,FALSE)</f>
        <v>3</v>
      </c>
      <c r="AA9" s="80">
        <f t="array" ref="AA9">VLOOKUP(INDEX(ECR!$E:$E,MATCH(P9,ECR!$C:$C,0)),RISK!A:B,2,FALSE())</f>
        <v>3</v>
      </c>
      <c r="AB9" s="81"/>
      <c r="AC9" s="60" t="s">
        <v>227</v>
      </c>
      <c r="AD9" s="60" t="str">
        <f>VLOOKUP(AC9,ECR!E:L,8,FALSE())</f>
        <v>Drake London</v>
      </c>
      <c r="AE9" s="60" t="str">
        <f>IFERROR(VLOOKUP(Aggregate!$AD9,ECR!C:F,2,FALSE()),"-")</f>
        <v>ATL</v>
      </c>
      <c r="AF9" s="60">
        <f>IFERROR(VLOOKUP(Aggregate!$AD9,ECR!C:F,4,FALSE()),"-")</f>
        <v>11</v>
      </c>
      <c r="AG9" s="60" t="str">
        <f>Aggregate!$AE9 &amp; "/" &amp; Aggregate!$AF9</f>
        <v>ATL/11</v>
      </c>
      <c r="AH9" s="62">
        <f>IFERROR(VLOOKUP(Aggregate!$AD9,WR!A:Q,13,FALSE())/17*(16-Aggregate!$AO9),0)</f>
        <v>173.9438289</v>
      </c>
      <c r="AI9" s="62">
        <f>IFERROR(VLOOKUP(Aggregate!$AD9,WR!A:Q,14,FALSE())/17*(16-Aggregate!$AO9),0)</f>
        <v>182.5766028</v>
      </c>
      <c r="AJ9" s="62">
        <f>IFERROR(VLOOKUP(Aggregate!$AD9,WR!A:Q,15,FALSE())/17*(16-Aggregate!$AO9),0)</f>
        <v>185.9492929</v>
      </c>
      <c r="AK9" s="69">
        <f>AVERAGE(Aggregate!$AH9,Aggregate!$AI9,Aggregate!$AJ9,VLOOKUP(Aggregate!$AD9,ECR!L:N,3,FALSE))</f>
        <v>181.2615818</v>
      </c>
      <c r="AL9" s="69">
        <f>Aggregate!$AK9-$AE$1</f>
        <v>99.74065478</v>
      </c>
      <c r="AM9" s="72">
        <f>MAX(Aggregate!$AL9*Scoring!$B$48+1,1)</f>
        <v>27.13438844</v>
      </c>
      <c r="AN9" s="73">
        <f>VLOOKUP(Aggregate!$AL9,BR:BT,3,FALSE)</f>
        <v>2</v>
      </c>
      <c r="AO9" s="80">
        <f t="array" ref="AO9">VLOOKUP(INDEX(ECR!$E:$E,MATCH(AD9,ECR!$C:$C,0)),RISK!A:B,2,FALSE())</f>
        <v>2.0497</v>
      </c>
      <c r="AP9" s="81"/>
      <c r="AQ9" s="85" t="s">
        <v>230</v>
      </c>
      <c r="AR9" s="85" t="str">
        <f>VLOOKUP(AQ9,ECR!E:L,8,FALSE())</f>
        <v>Sam LaPorta</v>
      </c>
      <c r="AS9" s="85" t="str">
        <f>IFERROR(VLOOKUP(Aggregate!$AR9,ECR!C:F,2,FALSE()),"-")</f>
        <v>DET</v>
      </c>
      <c r="AT9" s="85">
        <f>IFERROR(VLOOKUP(Aggregate!$AR9,ECR!C:F,4,FALSE()),"-")</f>
        <v>6</v>
      </c>
      <c r="AU9" s="85" t="str">
        <f>Aggregate!$AS9 &amp; "/" &amp; Aggregate!$AT9</f>
        <v>DET/6</v>
      </c>
      <c r="AV9" s="62">
        <f>IFERROR(VLOOKUP(Aggregate!$AR9,TE!A:K,9,FALSE())/17*(16-Aggregate!$BC9),0)</f>
        <v>105.2909518</v>
      </c>
      <c r="AW9" s="62">
        <f>IFERROR(VLOOKUP(Aggregate!$AR9,TE!A:K,10,FALSE())/17*(16-Aggregate!$BC9),0)</f>
        <v>117.0518412</v>
      </c>
      <c r="AX9" s="62">
        <f>IFERROR(VLOOKUP(Aggregate!$AR9,TE!A:K,11,FALSE())/17*(16-Aggregate!$BC9),0)</f>
        <v>130.3583579</v>
      </c>
      <c r="AY9" s="69">
        <f>AVERAGE(Aggregate!$AV9,Aggregate!$AW9,Aggregate!$AX9,VLOOKUP(Aggregate!$AR9,ECR!L:N,3,FALSE))</f>
        <v>117.4143049</v>
      </c>
      <c r="AZ9" s="69">
        <f>Aggregate!$AY9-$AS$1</f>
        <v>35.87597347</v>
      </c>
      <c r="BA9" s="72">
        <f>MAX(Aggregate!$AZ9*Scoring!$B$48+1,1)</f>
        <v>10.40034561</v>
      </c>
      <c r="BB9" s="62">
        <f>VLOOKUP(Aggregate!$AZ9,BW:BY,3,FALSE)</f>
        <v>3</v>
      </c>
      <c r="BC9" s="80">
        <f t="array" ref="BC9">VLOOKUP(INDEX(ECR!$E:$E,MATCH(AR9,ECR!$C:$C,0)),RISK!A:B,2,FALSE())</f>
        <v>2.6621</v>
      </c>
      <c r="BD9" s="62"/>
      <c r="BE9" s="81"/>
      <c r="BF9" s="81">
        <v>7.0</v>
      </c>
      <c r="BG9" s="81">
        <f t="shared" si="1"/>
        <v>226.1493522</v>
      </c>
      <c r="BH9" s="81">
        <f>IFERROR(LARGE($J$3:$J$52,7),"")</f>
        <v>5.440134059</v>
      </c>
      <c r="BI9" s="81">
        <f t="shared" si="5"/>
        <v>5.440134059</v>
      </c>
      <c r="BJ9" s="81">
        <f t="shared" si="6"/>
        <v>4</v>
      </c>
      <c r="BK9" s="90">
        <v>7.0</v>
      </c>
      <c r="BL9" s="81">
        <f t="shared" si="2"/>
        <v>194.1817647</v>
      </c>
      <c r="BM9" s="91">
        <f>IFERROR(LARGE($X$3:$X$102,7),"")</f>
        <v>117.3030815</v>
      </c>
      <c r="BN9" s="91">
        <f t="shared" si="7"/>
        <v>119.3429344</v>
      </c>
      <c r="BO9" s="93">
        <f t="shared" si="8"/>
        <v>3</v>
      </c>
      <c r="BP9" s="91">
        <v>7.0</v>
      </c>
      <c r="BQ9" s="81">
        <f t="shared" si="3"/>
        <v>182.5766028</v>
      </c>
      <c r="BR9" s="91">
        <f>IFERROR(LARGE($AL$3:$AL$102,7),"")</f>
        <v>99.74065478</v>
      </c>
      <c r="BS9" s="91">
        <f t="shared" si="9"/>
        <v>103.7113647</v>
      </c>
      <c r="BT9" s="91">
        <f t="shared" si="10"/>
        <v>2</v>
      </c>
      <c r="BU9" s="81">
        <v>7.0</v>
      </c>
      <c r="BV9" s="81">
        <f t="shared" si="4"/>
        <v>116.9560685</v>
      </c>
      <c r="BW9" s="91">
        <f>IFERROR(LARGE($AZ$3:$AZ$52,7),"")</f>
        <v>35.87597347</v>
      </c>
      <c r="BX9" s="91">
        <f t="shared" si="11"/>
        <v>38.13524774</v>
      </c>
      <c r="BY9" s="91">
        <f t="shared" si="12"/>
        <v>3</v>
      </c>
      <c r="BZ9" s="91"/>
      <c r="CA9" s="91"/>
      <c r="CB9" s="91"/>
      <c r="CC9" s="91"/>
      <c r="CD9" s="91"/>
      <c r="CE9" s="91"/>
      <c r="CF9" s="91"/>
      <c r="CG9" s="91"/>
    </row>
    <row r="10" ht="14.25" customHeight="1">
      <c r="A10" s="59" t="s">
        <v>233</v>
      </c>
      <c r="B10" s="59" t="str">
        <f>VLOOKUP(A10,ECR!E:L,8,FALSE())</f>
        <v>Justin Herbert</v>
      </c>
      <c r="C10" s="60" t="str">
        <f>IFERROR(VLOOKUP(Aggregate!$B10,ECR!C:F,2,FALSE()),"-")</f>
        <v>LAC</v>
      </c>
      <c r="D10" s="60">
        <f>IFERROR(VLOOKUP(Aggregate!$B10,ECR!C:F,4,FALSE()),"-")</f>
        <v>7</v>
      </c>
      <c r="E10" s="60" t="str">
        <f>Aggregate!$C10 &amp; "/" &amp; Aggregate!$D10</f>
        <v>LAC/7</v>
      </c>
      <c r="F10" s="62">
        <f>IFERROR(VLOOKUP(Aggregate!$B10,QB!A:Q,15,FALSE())/17*(16-Aggregate!$M10),0)</f>
        <v>205.0910534</v>
      </c>
      <c r="G10" s="62">
        <f>IFERROR(VLOOKUP(Aggregate!$B10,QB!A:Q,16,FALSE())/17*(16-Aggregate!$M10),0)</f>
        <v>220.2411092</v>
      </c>
      <c r="H10" s="62">
        <f>IFERROR(VLOOKUP(Aggregate!$B10,QB!A:Q,17,FALSE())/17*(16-Aggregate!$M10),0)</f>
        <v>240.4746828</v>
      </c>
      <c r="I10" s="69">
        <f>AVERAGE(Aggregate!$F10,Aggregate!$G10,Aggregate!$H10,VLOOKUP(Aggregate!$B10,ECR!L:N,3,FALSE))</f>
        <v>222.7966644</v>
      </c>
      <c r="J10" s="69">
        <f>Aggregate!$I10-$C$1</f>
        <v>1.149858353</v>
      </c>
      <c r="K10" s="72">
        <f>MAX(Aggregate!$J10*Scoring!$B$48+1,1)</f>
        <v>1.301289829</v>
      </c>
      <c r="L10" s="73">
        <f>VLOOKUP(Aggregate!$J10,BH:BJ,3,FALSE)</f>
        <v>4</v>
      </c>
      <c r="M10" s="80">
        <f t="array" ref="M10">VLOOKUP(INDEX(ECR!$E:$E,MATCH(B10,ECR!$C:$C,0)),RISK!A:B,2,FALSE())</f>
        <v>1.7628</v>
      </c>
      <c r="N10" s="81"/>
      <c r="O10" s="73" t="s">
        <v>235</v>
      </c>
      <c r="P10" s="59" t="str">
        <f>VLOOKUP(O10,ECR!E:L,8,FALSE())</f>
        <v>De'Von Achane</v>
      </c>
      <c r="Q10" s="60" t="str">
        <f>IFERROR(VLOOKUP(Aggregate!$P10,ECR!C:F,2,FALSE()),"-")</f>
        <v>MIA</v>
      </c>
      <c r="R10" s="60">
        <f>IFERROR(VLOOKUP(Aggregate!$P10,ECR!C:F,4,FALSE()),"-")</f>
        <v>6</v>
      </c>
      <c r="S10" s="60" t="str">
        <f>Aggregate!$Q10 &amp; "/" &amp; Aggregate!$R10</f>
        <v>MIA/6</v>
      </c>
      <c r="T10" s="62">
        <f>IFERROR(VLOOKUP(Aggregate!$P10,RB!A:Q,13,FALSE())/17*(16-Aggregate!$AA10),0)</f>
        <v>174.5058824</v>
      </c>
      <c r="U10" s="62">
        <f>IFERROR(VLOOKUP(Aggregate!$P10,RB!A:Q,14,FALSE())/17*(16-Aggregate!$AA10),0)</f>
        <v>198.6247059</v>
      </c>
      <c r="V10" s="62">
        <f>IFERROR(VLOOKUP(Aggregate!$P10,RB!A:Q,15,FALSE())/17*(16-Aggregate!$AA10),0)</f>
        <v>228.9147059</v>
      </c>
      <c r="W10" s="69">
        <f>AVERAGE(Aggregate!$T10,Aggregate!$U10,Aggregate!$V10,VLOOKUP(Aggregate!$P10,ECR!L:N,3,FALSE))</f>
        <v>197.7338235</v>
      </c>
      <c r="X10" s="69">
        <f>Aggregate!$W10-$Q$1</f>
        <v>119.3429344</v>
      </c>
      <c r="Y10" s="72">
        <f>MAX(Aggregate!$X10*Scoring!$B$48+1,1)</f>
        <v>32.27064498</v>
      </c>
      <c r="Z10" s="73">
        <f>VLOOKUP(Aggregate!$X10,BM:BO,3,FALSE)</f>
        <v>3</v>
      </c>
      <c r="AA10" s="80">
        <f t="array" ref="AA10">VLOOKUP(INDEX(ECR!$E:$E,MATCH(P10,ECR!$C:$C,0)),RISK!A:B,2,FALSE())</f>
        <v>3</v>
      </c>
      <c r="AB10" s="81"/>
      <c r="AC10" s="60" t="s">
        <v>237</v>
      </c>
      <c r="AD10" s="60" t="str">
        <f>VLOOKUP(AC10,ECR!E:L,8,FALSE())</f>
        <v>A.J. Brown</v>
      </c>
      <c r="AE10" s="60" t="str">
        <f>IFERROR(VLOOKUP(Aggregate!$AD10,ECR!C:F,2,FALSE()),"-")</f>
        <v>NE</v>
      </c>
      <c r="AF10" s="60">
        <f>IFERROR(VLOOKUP(Aggregate!$AD10,ECR!C:F,4,FALSE()),"-")</f>
        <v>11</v>
      </c>
      <c r="AG10" s="60" t="str">
        <f>Aggregate!$AE10 &amp; "/" &amp; Aggregate!$AF10</f>
        <v>NE/11</v>
      </c>
      <c r="AH10" s="62">
        <f>IFERROR(VLOOKUP(Aggregate!$AD10,WR!A:Q,13,FALSE())/17*(16-Aggregate!$AO10),0)</f>
        <v>162.6921071</v>
      </c>
      <c r="AI10" s="62">
        <f>IFERROR(VLOOKUP(Aggregate!$AD10,WR!A:Q,14,FALSE())/17*(16-Aggregate!$AO10),0)</f>
        <v>173.5409686</v>
      </c>
      <c r="AJ10" s="62">
        <f>IFERROR(VLOOKUP(Aggregate!$AD10,WR!A:Q,15,FALSE())/17*(16-Aggregate!$AO10),0)</f>
        <v>189.3856941</v>
      </c>
      <c r="AK10" s="69">
        <f>AVERAGE(Aggregate!$AH10,Aggregate!$AI10,Aggregate!$AJ10,VLOOKUP(Aggregate!$AD10,ECR!L:N,3,FALSE))</f>
        <v>176.0786305</v>
      </c>
      <c r="AL10" s="69">
        <f>Aggregate!$AK10-$AE$1</f>
        <v>94.55770346</v>
      </c>
      <c r="AM10" s="72">
        <f>MAX(Aggregate!$AL10*Scoring!$B$48+1,1)</f>
        <v>25.77633376</v>
      </c>
      <c r="AN10" s="73">
        <f>VLOOKUP(Aggregate!$AL10,BR:BT,3,FALSE)</f>
        <v>2</v>
      </c>
      <c r="AO10" s="80">
        <f t="array" ref="AO10">VLOOKUP(INDEX(ECR!$E:$E,MATCH(AD10,ECR!$C:$C,0)),RISK!A:B,2,FALSE())</f>
        <v>2.1226</v>
      </c>
      <c r="AP10" s="81"/>
      <c r="AQ10" s="85" t="s">
        <v>239</v>
      </c>
      <c r="AR10" s="85" t="str">
        <f>VLOOKUP(AQ10,ECR!E:L,8,FALSE())</f>
        <v>Kyle Pitts Sr.</v>
      </c>
      <c r="AS10" s="85" t="str">
        <f>IFERROR(VLOOKUP(Aggregate!$AR10,ECR!C:F,2,FALSE()),"-")</f>
        <v>ATL</v>
      </c>
      <c r="AT10" s="85">
        <f>IFERROR(VLOOKUP(Aggregate!$AR10,ECR!C:F,4,FALSE()),"-")</f>
        <v>11</v>
      </c>
      <c r="AU10" s="85" t="str">
        <f>Aggregate!$AS10 &amp; "/" &amp; Aggregate!$AT10</f>
        <v>ATL/11</v>
      </c>
      <c r="AV10" s="62">
        <f>IFERROR(VLOOKUP(Aggregate!$AR10,TE!A:K,9,FALSE())/17*(16-Aggregate!$BC10),0)</f>
        <v>108.1684976</v>
      </c>
      <c r="AW10" s="62">
        <f>IFERROR(VLOOKUP(Aggregate!$AR10,TE!A:K,10,FALSE())/17*(16-Aggregate!$BC10),0)</f>
        <v>116.7875638</v>
      </c>
      <c r="AX10" s="62">
        <f>IFERROR(VLOOKUP(Aggregate!$AR10,TE!A:K,11,FALSE())/17*(16-Aggregate!$BC10),0)</f>
        <v>126.712786</v>
      </c>
      <c r="AY10" s="69">
        <f>AVERAGE(Aggregate!$AV10,Aggregate!$AW10,Aggregate!$AX10,VLOOKUP(Aggregate!$AR10,ECR!L:N,3,FALSE))</f>
        <v>117.1141028</v>
      </c>
      <c r="AZ10" s="69">
        <f>Aggregate!$AY10-$AS$1</f>
        <v>35.5757714</v>
      </c>
      <c r="BA10" s="72">
        <f>MAX(Aggregate!$AZ10*Scoring!$B$48+1,1)</f>
        <v>10.32168563</v>
      </c>
      <c r="BB10" s="62">
        <f>VLOOKUP(Aggregate!$AZ10,BW:BY,3,FALSE)</f>
        <v>3</v>
      </c>
      <c r="BC10" s="80">
        <f t="array" ref="BC10">VLOOKUP(INDEX(ECR!$E:$E,MATCH(AR10,ECR!$C:$C,0)),RISK!A:B,2,FALSE())</f>
        <v>2.7038</v>
      </c>
      <c r="BD10" s="62"/>
      <c r="BE10" s="81"/>
      <c r="BF10" s="81">
        <v>8.0</v>
      </c>
      <c r="BG10" s="81">
        <f t="shared" si="1"/>
        <v>225.379812</v>
      </c>
      <c r="BH10" s="81">
        <f>IFERROR(LARGE($J$3:$J$52,8),"")</f>
        <v>5.418179868</v>
      </c>
      <c r="BI10" s="81">
        <f t="shared" si="5"/>
        <v>5.440134059</v>
      </c>
      <c r="BJ10" s="81">
        <f t="shared" si="6"/>
        <v>4</v>
      </c>
      <c r="BK10" s="90">
        <v>8.0</v>
      </c>
      <c r="BL10" s="81">
        <f t="shared" si="2"/>
        <v>188.89</v>
      </c>
      <c r="BM10" s="91">
        <f>IFERROR(LARGE($X$3:$X$102,8),"")</f>
        <v>113.0627874</v>
      </c>
      <c r="BN10" s="91">
        <f t="shared" si="7"/>
        <v>119.3429344</v>
      </c>
      <c r="BO10" s="93">
        <f t="shared" si="8"/>
        <v>3</v>
      </c>
      <c r="BP10" s="91">
        <v>8.0</v>
      </c>
      <c r="BQ10" s="81">
        <f t="shared" si="3"/>
        <v>178.6957523</v>
      </c>
      <c r="BR10" s="91">
        <f>IFERROR(LARGE($AL$3:$AL$102,8),"")</f>
        <v>94.55770346</v>
      </c>
      <c r="BS10" s="91">
        <f t="shared" si="9"/>
        <v>103.7113647</v>
      </c>
      <c r="BT10" s="91">
        <f t="shared" si="10"/>
        <v>2</v>
      </c>
      <c r="BU10" s="81">
        <v>8.0</v>
      </c>
      <c r="BV10" s="81">
        <f t="shared" si="4"/>
        <v>116.7875638</v>
      </c>
      <c r="BW10" s="91">
        <f>IFERROR(LARGE($AZ$3:$AZ$52,8),"")</f>
        <v>35.5757714</v>
      </c>
      <c r="BX10" s="91">
        <f t="shared" si="11"/>
        <v>38.13524774</v>
      </c>
      <c r="BY10" s="91">
        <f t="shared" si="12"/>
        <v>3</v>
      </c>
      <c r="BZ10" s="91"/>
      <c r="CA10" s="91"/>
      <c r="CB10" s="91"/>
      <c r="CC10" s="91"/>
      <c r="CD10" s="91"/>
      <c r="CE10" s="91"/>
      <c r="CF10" s="91"/>
      <c r="CG10" s="91"/>
    </row>
    <row r="11" ht="14.25" customHeight="1">
      <c r="A11" s="59" t="s">
        <v>241</v>
      </c>
      <c r="B11" s="59" t="str">
        <f>VLOOKUP(A11,ECR!E:L,8,FALSE())</f>
        <v>Trevor Lawrence</v>
      </c>
      <c r="C11" s="60" t="str">
        <f>IFERROR(VLOOKUP(Aggregate!$B11,ECR!C:F,2,FALSE()),"-")</f>
        <v>JAC</v>
      </c>
      <c r="D11" s="60">
        <f>IFERROR(VLOOKUP(Aggregate!$B11,ECR!C:F,4,FALSE()),"-")</f>
        <v>7</v>
      </c>
      <c r="E11" s="60" t="str">
        <f>Aggregate!$C11 &amp; "/" &amp; Aggregate!$D11</f>
        <v>JAC/7</v>
      </c>
      <c r="F11" s="62">
        <f>IFERROR(VLOOKUP(Aggregate!$B11,QB!A:Q,15,FALSE())/17*(16-Aggregate!$M11),0)</f>
        <v>202.8651129</v>
      </c>
      <c r="G11" s="62">
        <f>IFERROR(VLOOKUP(Aggregate!$B11,QB!A:Q,16,FALSE())/17*(16-Aggregate!$M11),0)</f>
        <v>224.7224085</v>
      </c>
      <c r="H11" s="62">
        <f>IFERROR(VLOOKUP(Aggregate!$B11,QB!A:Q,17,FALSE())/17*(16-Aggregate!$M11),0)</f>
        <v>256.0378304</v>
      </c>
      <c r="I11" s="69">
        <f>AVERAGE(Aggregate!$F11,Aggregate!$G11,Aggregate!$H11,VLOOKUP(Aggregate!$B11,ECR!L:N,3,FALSE))</f>
        <v>227.0869401</v>
      </c>
      <c r="J11" s="69">
        <f>Aggregate!$I11-$C$1</f>
        <v>5.440134059</v>
      </c>
      <c r="K11" s="72">
        <f>MAX(Aggregate!$J11*Scoring!$B$48+1,1)</f>
        <v>2.425442584</v>
      </c>
      <c r="L11" s="73">
        <f>VLOOKUP(Aggregate!$J11,BH:BJ,3,FALSE)</f>
        <v>4</v>
      </c>
      <c r="M11" s="80">
        <f t="array" ref="M11">VLOOKUP(INDEX(ECR!$E:$E,MATCH(B11,ECR!$C:$C,0)),RISK!A:B,2,FALSE())</f>
        <v>1.7961</v>
      </c>
      <c r="N11" s="81"/>
      <c r="O11" s="73" t="s">
        <v>243</v>
      </c>
      <c r="P11" s="59" t="str">
        <f>VLOOKUP(O11,ECR!E:L,8,FALSE())</f>
        <v>Omarion Hampton</v>
      </c>
      <c r="Q11" s="60" t="str">
        <f>IFERROR(VLOOKUP(Aggregate!$P11,ECR!C:F,2,FALSE()),"-")</f>
        <v>LAC</v>
      </c>
      <c r="R11" s="60">
        <f>IFERROR(VLOOKUP(Aggregate!$P11,ECR!C:F,4,FALSE()),"-")</f>
        <v>7</v>
      </c>
      <c r="S11" s="60" t="str">
        <f>Aggregate!$Q11 &amp; "/" &amp; Aggregate!$R11</f>
        <v>LAC/7</v>
      </c>
      <c r="T11" s="62">
        <f>IFERROR(VLOOKUP(Aggregate!$P11,RB!A:Q,13,FALSE())/17*(16-Aggregate!$AA11),0)</f>
        <v>156.8411765</v>
      </c>
      <c r="U11" s="62">
        <f>IFERROR(VLOOKUP(Aggregate!$P11,RB!A:Q,14,FALSE())/17*(16-Aggregate!$AA11),0)</f>
        <v>175.3164706</v>
      </c>
      <c r="V11" s="62">
        <f>IFERROR(VLOOKUP(Aggregate!$P11,RB!A:Q,15,FALSE())/17*(16-Aggregate!$AA11),0)</f>
        <v>187.7352941</v>
      </c>
      <c r="W11" s="69">
        <f>AVERAGE(Aggregate!$T11,Aggregate!$U11,Aggregate!$V11,VLOOKUP(Aggregate!$P11,ECR!L:N,3,FALSE))</f>
        <v>176.5438235</v>
      </c>
      <c r="X11" s="69">
        <f>Aggregate!$W11-$Q$1</f>
        <v>98.15293443</v>
      </c>
      <c r="Y11" s="72">
        <f>MAX(Aggregate!$X11*Scoring!$B$48+1,1)</f>
        <v>26.71836851</v>
      </c>
      <c r="Z11" s="73">
        <f>VLOOKUP(Aggregate!$X11,BM:BO,3,FALSE)</f>
        <v>3</v>
      </c>
      <c r="AA11" s="80">
        <f t="array" ref="AA11">VLOOKUP(INDEX(ECR!$E:$E,MATCH(P11,ECR!$C:$C,0)),RISK!A:B,2,FALSE())</f>
        <v>3</v>
      </c>
      <c r="AB11" s="81"/>
      <c r="AC11" s="60" t="s">
        <v>245</v>
      </c>
      <c r="AD11" s="60" t="str">
        <f>VLOOKUP(AC11,ECR!E:L,8,FALSE())</f>
        <v>Nico Collins</v>
      </c>
      <c r="AE11" s="60" t="str">
        <f>IFERROR(VLOOKUP(Aggregate!$AD11,ECR!C:F,2,FALSE()),"-")</f>
        <v>HOU</v>
      </c>
      <c r="AF11" s="60">
        <f>IFERROR(VLOOKUP(Aggregate!$AD11,ECR!C:F,4,FALSE()),"-")</f>
        <v>8</v>
      </c>
      <c r="AG11" s="60" t="str">
        <f>Aggregate!$AE11 &amp; "/" &amp; Aggregate!$AF11</f>
        <v>HOU/8</v>
      </c>
      <c r="AH11" s="62">
        <f>IFERROR(VLOOKUP(Aggregate!$AD11,WR!A:Q,13,FALSE())/17*(16-Aggregate!$AO11),0)</f>
        <v>159.8978571</v>
      </c>
      <c r="AI11" s="62">
        <f>IFERROR(VLOOKUP(Aggregate!$AD11,WR!A:Q,14,FALSE())/17*(16-Aggregate!$AO11),0)</f>
        <v>168.5221092</v>
      </c>
      <c r="AJ11" s="62">
        <f>IFERROR(VLOOKUP(Aggregate!$AD11,WR!A:Q,15,FALSE())/17*(16-Aggregate!$AO11),0)</f>
        <v>179.0222579</v>
      </c>
      <c r="AK11" s="69">
        <f>AVERAGE(Aggregate!$AH11,Aggregate!$AI11,Aggregate!$AJ11,VLOOKUP(Aggregate!$AD11,ECR!L:N,3,FALSE))</f>
        <v>170.2457982</v>
      </c>
      <c r="AL11" s="69">
        <f>Aggregate!$AK11-$AE$1</f>
        <v>88.72487113</v>
      </c>
      <c r="AM11" s="72">
        <f>MAX(Aggregate!$AL11*Scoring!$B$48+1,1)</f>
        <v>24.24799503</v>
      </c>
      <c r="AN11" s="73">
        <f>VLOOKUP(Aggregate!$AL11,BR:BT,3,FALSE)</f>
        <v>2</v>
      </c>
      <c r="AO11" s="80">
        <f t="array" ref="AO11">VLOOKUP(INDEX(ECR!$E:$E,MATCH(AD11,ECR!$C:$C,0)),RISK!A:B,2,FALSE())</f>
        <v>2.1947</v>
      </c>
      <c r="AP11" s="81"/>
      <c r="AQ11" s="85" t="s">
        <v>247</v>
      </c>
      <c r="AR11" s="85" t="str">
        <f>VLOOKUP(AQ11,ECR!E:L,8,FALSE())</f>
        <v>George Kittle</v>
      </c>
      <c r="AS11" s="85" t="str">
        <f>IFERROR(VLOOKUP(Aggregate!$AR11,ECR!C:F,2,FALSE()),"-")</f>
        <v>SF</v>
      </c>
      <c r="AT11" s="85">
        <f>IFERROR(VLOOKUP(Aggregate!$AR11,ECR!C:F,4,FALSE()),"-")</f>
        <v>8</v>
      </c>
      <c r="AU11" s="85" t="str">
        <f>Aggregate!$AS11 &amp; "/" &amp; Aggregate!$AT11</f>
        <v>SF/8</v>
      </c>
      <c r="AV11" s="62">
        <f>IFERROR(VLOOKUP(Aggregate!$AR11,TE!A:K,9,FALSE())/17*(16-Aggregate!$BC11),0)</f>
        <v>96.25853294</v>
      </c>
      <c r="AW11" s="62">
        <f>IFERROR(VLOOKUP(Aggregate!$AR11,TE!A:K,10,FALSE())/17*(16-Aggregate!$BC11),0)</f>
        <v>114.8705961</v>
      </c>
      <c r="AX11" s="62">
        <f>IFERROR(VLOOKUP(Aggregate!$AR11,TE!A:K,11,FALSE())/17*(16-Aggregate!$BC11),0)</f>
        <v>137.5233335</v>
      </c>
      <c r="AY11" s="69">
        <f>AVERAGE(Aggregate!$AV11,Aggregate!$AW11,Aggregate!$AX11,VLOOKUP(Aggregate!$AR11,ECR!L:N,3,FALSE))</f>
        <v>115.8807647</v>
      </c>
      <c r="AZ11" s="69">
        <f>Aggregate!$AY11-$AS$1</f>
        <v>34.34243328</v>
      </c>
      <c r="BA11" s="72">
        <f>MAX(Aggregate!$AZ11*Scoring!$B$48+1,1)</f>
        <v>9.99852215</v>
      </c>
      <c r="BB11" s="62">
        <f>VLOOKUP(Aggregate!$AZ11,BW:BY,3,FALSE)</f>
        <v>3</v>
      </c>
      <c r="BC11" s="80">
        <f t="array" ref="BC11">VLOOKUP(INDEX(ECR!$E:$E,MATCH(AR11,ECR!$C:$C,0)),RISK!A:B,2,FALSE())</f>
        <v>2.7391</v>
      </c>
      <c r="BD11" s="62"/>
      <c r="BE11" s="81"/>
      <c r="BF11" s="81">
        <v>9.0</v>
      </c>
      <c r="BG11" s="81">
        <f t="shared" si="1"/>
        <v>224.7224085</v>
      </c>
      <c r="BH11" s="81">
        <f>IFERROR(LARGE($J$3:$J$52,9),"")</f>
        <v>4.456158735</v>
      </c>
      <c r="BI11" s="81">
        <f t="shared" si="5"/>
        <v>5.440134059</v>
      </c>
      <c r="BJ11" s="81">
        <f t="shared" si="6"/>
        <v>4</v>
      </c>
      <c r="BK11" s="90">
        <v>9.0</v>
      </c>
      <c r="BL11" s="81">
        <f t="shared" si="2"/>
        <v>186.2823529</v>
      </c>
      <c r="BM11" s="91">
        <f>IFERROR(LARGE($X$3:$X$102,9),"")</f>
        <v>110.0976403</v>
      </c>
      <c r="BN11" s="91">
        <f t="shared" si="7"/>
        <v>119.3429344</v>
      </c>
      <c r="BO11" s="93">
        <f t="shared" si="8"/>
        <v>3</v>
      </c>
      <c r="BP11" s="91">
        <v>9.0</v>
      </c>
      <c r="BQ11" s="81">
        <f t="shared" si="3"/>
        <v>173.5409686</v>
      </c>
      <c r="BR11" s="91">
        <f>IFERROR(LARGE($AL$3:$AL$102,9),"")</f>
        <v>93.20452126</v>
      </c>
      <c r="BS11" s="91">
        <f t="shared" si="9"/>
        <v>103.7113647</v>
      </c>
      <c r="BT11" s="91">
        <f t="shared" si="10"/>
        <v>2</v>
      </c>
      <c r="BU11" s="81">
        <v>9.0</v>
      </c>
      <c r="BV11" s="81">
        <f t="shared" si="4"/>
        <v>114.8705961</v>
      </c>
      <c r="BW11" s="91">
        <f>IFERROR(LARGE($AZ$3:$AZ$52,9),"")</f>
        <v>34.34243328</v>
      </c>
      <c r="BX11" s="91">
        <f t="shared" si="11"/>
        <v>38.13524774</v>
      </c>
      <c r="BY11" s="91">
        <f t="shared" si="12"/>
        <v>3</v>
      </c>
      <c r="BZ11" s="91"/>
      <c r="CA11" s="91"/>
      <c r="CB11" s="91"/>
      <c r="CC11" s="91"/>
      <c r="CD11" s="91"/>
      <c r="CE11" s="91"/>
      <c r="CF11" s="91"/>
      <c r="CG11" s="91"/>
    </row>
    <row r="12" ht="14.25" customHeight="1">
      <c r="A12" s="59" t="s">
        <v>249</v>
      </c>
      <c r="B12" s="59" t="str">
        <f>VLOOKUP(A12,ECR!E:L,8,FALSE())</f>
        <v>Dak Prescott</v>
      </c>
      <c r="C12" s="60" t="str">
        <f>IFERROR(VLOOKUP(Aggregate!$B12,ECR!C:F,2,FALSE()),"-")</f>
        <v>DAL</v>
      </c>
      <c r="D12" s="60">
        <f>IFERROR(VLOOKUP(Aggregate!$B12,ECR!C:F,4,FALSE()),"-")</f>
        <v>14</v>
      </c>
      <c r="E12" s="60" t="str">
        <f>Aggregate!$C12 &amp; "/" &amp; Aggregate!$D12</f>
        <v>DAL/14</v>
      </c>
      <c r="F12" s="62">
        <f>IFERROR(VLOOKUP(Aggregate!$B12,QB!A:Q,15,FALSE())/17*(16-Aggregate!$M12),0)</f>
        <v>209.876016</v>
      </c>
      <c r="G12" s="62">
        <f>IFERROR(VLOOKUP(Aggregate!$B12,QB!A:Q,16,FALSE())/17*(16-Aggregate!$M12),0)</f>
        <v>225.379812</v>
      </c>
      <c r="H12" s="62">
        <f>IFERROR(VLOOKUP(Aggregate!$B12,QB!A:Q,17,FALSE())/17*(16-Aggregate!$M12),0)</f>
        <v>244.79371</v>
      </c>
      <c r="I12" s="69">
        <f>AVERAGE(Aggregate!$F12,Aggregate!$G12,Aggregate!$H12,VLOOKUP(Aggregate!$B12,ECR!L:N,3,FALSE))</f>
        <v>226.1029647</v>
      </c>
      <c r="J12" s="69">
        <f>Aggregate!$I12-$C$1</f>
        <v>4.456158735</v>
      </c>
      <c r="K12" s="72">
        <f>MAX(Aggregate!$J12*Scoring!$B$48+1,1)</f>
        <v>2.167617995</v>
      </c>
      <c r="L12" s="73">
        <f>VLOOKUP(Aggregate!$J12,BH:BJ,3,FALSE)</f>
        <v>4</v>
      </c>
      <c r="M12" s="80">
        <f t="array" ref="M12">VLOOKUP(INDEX(ECR!$E:$E,MATCH(B12,ECR!$C:$C,0)),RISK!A:B,2,FALSE())</f>
        <v>1.839</v>
      </c>
      <c r="N12" s="81"/>
      <c r="O12" s="73" t="s">
        <v>251</v>
      </c>
      <c r="P12" s="59" t="str">
        <f>VLOOKUP(O12,ECR!E:L,8,FALSE())</f>
        <v>Derrick Henry</v>
      </c>
      <c r="Q12" s="60" t="str">
        <f>IFERROR(VLOOKUP(Aggregate!$P12,ECR!C:F,2,FALSE()),"-")</f>
        <v>BAL</v>
      </c>
      <c r="R12" s="60">
        <f>IFERROR(VLOOKUP(Aggregate!$P12,ECR!C:F,4,FALSE()),"-")</f>
        <v>13</v>
      </c>
      <c r="S12" s="60" t="str">
        <f>Aggregate!$Q12 &amp; "/" &amp; Aggregate!$R12</f>
        <v>BAL/13</v>
      </c>
      <c r="T12" s="62">
        <f>IFERROR(VLOOKUP(Aggregate!$P12,RB!A:Q,13,FALSE())/17*(16-Aggregate!$AA12),0)</f>
        <v>182.5735294</v>
      </c>
      <c r="U12" s="62">
        <f>IFERROR(VLOOKUP(Aggregate!$P12,RB!A:Q,14,FALSE())/17*(16-Aggregate!$AA12),0)</f>
        <v>202.4482353</v>
      </c>
      <c r="V12" s="62">
        <f>IFERROR(VLOOKUP(Aggregate!$P12,RB!A:Q,15,FALSE())/17*(16-Aggregate!$AA12),0)</f>
        <v>222.7817647</v>
      </c>
      <c r="W12" s="69">
        <f>AVERAGE(Aggregate!$T12,Aggregate!$U12,Aggregate!$V12,VLOOKUP(Aggregate!$P12,ECR!L:N,3,FALSE))</f>
        <v>196.8811765</v>
      </c>
      <c r="X12" s="69">
        <f>Aggregate!$W12-$Q$1</f>
        <v>118.4902874</v>
      </c>
      <c r="Y12" s="72">
        <f>MAX(Aggregate!$X12*Scoring!$B$48+1,1)</f>
        <v>32.04723147</v>
      </c>
      <c r="Z12" s="73">
        <f>VLOOKUP(Aggregate!$X12,BM:BO,3,FALSE)</f>
        <v>3</v>
      </c>
      <c r="AA12" s="80">
        <f t="array" ref="AA12">VLOOKUP(INDEX(ECR!$E:$E,MATCH(P12,ECR!$C:$C,0)),RISK!A:B,2,FALSE())</f>
        <v>3</v>
      </c>
      <c r="AB12" s="81"/>
      <c r="AC12" s="60" t="s">
        <v>253</v>
      </c>
      <c r="AD12" s="60" t="str">
        <f>VLOOKUP(AC12,ECR!E:L,8,FALSE())</f>
        <v>George Pickens</v>
      </c>
      <c r="AE12" s="60" t="str">
        <f>IFERROR(VLOOKUP(Aggregate!$AD12,ECR!C:F,2,FALSE()),"-")</f>
        <v>DAL</v>
      </c>
      <c r="AF12" s="60">
        <f>IFERROR(VLOOKUP(Aggregate!$AD12,ECR!C:F,4,FALSE()),"-")</f>
        <v>14</v>
      </c>
      <c r="AG12" s="60" t="str">
        <f>Aggregate!$AE12 &amp; "/" &amp; Aggregate!$AF12</f>
        <v>DAL/14</v>
      </c>
      <c r="AH12" s="62">
        <f>IFERROR(VLOOKUP(Aggregate!$AD12,WR!A:Q,13,FALSE())/17*(16-Aggregate!$AO12),0)</f>
        <v>151.3971529</v>
      </c>
      <c r="AI12" s="62">
        <f>IFERROR(VLOOKUP(Aggregate!$AD12,WR!A:Q,14,FALSE())/17*(16-Aggregate!$AO12),0)</f>
        <v>170.3823882</v>
      </c>
      <c r="AJ12" s="62">
        <f>IFERROR(VLOOKUP(Aggregate!$AD12,WR!A:Q,15,FALSE())/17*(16-Aggregate!$AO12),0)</f>
        <v>198.5774824</v>
      </c>
      <c r="AK12" s="69">
        <f>AVERAGE(Aggregate!$AH12,Aggregate!$AI12,Aggregate!$AJ12,VLOOKUP(Aggregate!$AD12,ECR!L:N,3,FALSE))</f>
        <v>173.1393276</v>
      </c>
      <c r="AL12" s="69">
        <f>Aggregate!$AK12-$AE$1</f>
        <v>91.61840051</v>
      </c>
      <c r="AM12" s="72">
        <f>MAX(Aggregate!$AL12*Scoring!$B$48+1,1)</f>
        <v>25.00616752</v>
      </c>
      <c r="AN12" s="73">
        <f>VLOOKUP(Aggregate!$AL12,BR:BT,3,FALSE)</f>
        <v>2</v>
      </c>
      <c r="AO12" s="80">
        <f t="array" ref="AO12">VLOOKUP(INDEX(ECR!$E:$E,MATCH(AD12,ECR!$C:$C,0)),RISK!A:B,2,FALSE())</f>
        <v>2.266</v>
      </c>
      <c r="AP12" s="81"/>
      <c r="AQ12" s="85" t="s">
        <v>255</v>
      </c>
      <c r="AR12" s="85" t="str">
        <f>VLOOKUP(AQ12,ECR!E:L,8,FALSE())</f>
        <v>Travis Kelce</v>
      </c>
      <c r="AS12" s="85" t="str">
        <f>IFERROR(VLOOKUP(Aggregate!$AR12,ECR!C:F,2,FALSE()),"-")</f>
        <v>KC</v>
      </c>
      <c r="AT12" s="85">
        <f>IFERROR(VLOOKUP(Aggregate!$AR12,ECR!C:F,4,FALSE()),"-")</f>
        <v>5</v>
      </c>
      <c r="AU12" s="85" t="str">
        <f>Aggregate!$AS12 &amp; "/" &amp; Aggregate!$AT12</f>
        <v>KC/5</v>
      </c>
      <c r="AV12" s="62">
        <f>IFERROR(VLOOKUP(Aggregate!$AR12,TE!A:K,9,FALSE())/17*(16-Aggregate!$BC12),0)</f>
        <v>106.3230118</v>
      </c>
      <c r="AW12" s="62">
        <f>IFERROR(VLOOKUP(Aggregate!$AR12,TE!A:K,10,FALSE())/17*(16-Aggregate!$BC12),0)</f>
        <v>112.4097318</v>
      </c>
      <c r="AX12" s="62">
        <f>IFERROR(VLOOKUP(Aggregate!$AR12,TE!A:K,11,FALSE())/17*(16-Aggregate!$BC12),0)</f>
        <v>122.2014118</v>
      </c>
      <c r="AY12" s="69">
        <f>AVERAGE(Aggregate!$AV12,Aggregate!$AW12,Aggregate!$AX12,VLOOKUP(Aggregate!$AR12,ECR!L:N,3,FALSE))</f>
        <v>113.7293426</v>
      </c>
      <c r="AZ12" s="69">
        <f>Aggregate!$AY12-$AS$1</f>
        <v>32.19101122</v>
      </c>
      <c r="BA12" s="72">
        <f>MAX(Aggregate!$AZ12*Scoring!$B$48+1,1)</f>
        <v>9.434799163</v>
      </c>
      <c r="BB12" s="62">
        <f>VLOOKUP(Aggregate!$AZ12,BW:BY,3,FALSE)</f>
        <v>3</v>
      </c>
      <c r="BC12" s="80">
        <f t="array" ref="BC12">VLOOKUP(INDEX(ECR!$E:$E,MATCH(AR12,ECR!$C:$C,0)),RISK!A:B,2,FALSE())</f>
        <v>2.768</v>
      </c>
      <c r="BD12" s="62"/>
      <c r="BE12" s="81"/>
      <c r="BF12" s="81">
        <v>10.0</v>
      </c>
      <c r="BG12" s="81">
        <f t="shared" si="1"/>
        <v>224.3623209</v>
      </c>
      <c r="BH12" s="81">
        <f>IFERROR(LARGE($J$3:$J$52,10),"")</f>
        <v>3.151617885</v>
      </c>
      <c r="BI12" s="81">
        <f t="shared" si="5"/>
        <v>5.440134059</v>
      </c>
      <c r="BJ12" s="81">
        <f t="shared" si="6"/>
        <v>4</v>
      </c>
      <c r="BK12" s="90">
        <v>10.0</v>
      </c>
      <c r="BL12" s="81">
        <f t="shared" si="2"/>
        <v>179.7211765</v>
      </c>
      <c r="BM12" s="91">
        <f>IFERROR(LARGE($X$3:$X$102,10),"")</f>
        <v>100.4863388</v>
      </c>
      <c r="BN12" s="91">
        <f t="shared" si="7"/>
        <v>119.3429344</v>
      </c>
      <c r="BO12" s="93">
        <f t="shared" si="8"/>
        <v>3</v>
      </c>
      <c r="BP12" s="91">
        <v>10.0</v>
      </c>
      <c r="BQ12" s="81">
        <f t="shared" si="3"/>
        <v>172.2002868</v>
      </c>
      <c r="BR12" s="91">
        <f>IFERROR(LARGE($AL$3:$AL$102,10),"")</f>
        <v>91.61840051</v>
      </c>
      <c r="BS12" s="91">
        <f t="shared" si="9"/>
        <v>103.7113647</v>
      </c>
      <c r="BT12" s="91">
        <f t="shared" si="10"/>
        <v>2</v>
      </c>
      <c r="BU12" s="81">
        <v>10.0</v>
      </c>
      <c r="BV12" s="81">
        <f t="shared" si="4"/>
        <v>113.9832152</v>
      </c>
      <c r="BW12" s="91">
        <f>IFERROR(LARGE($AZ$3:$AZ$52,10),"")</f>
        <v>32.19101122</v>
      </c>
      <c r="BX12" s="91">
        <f t="shared" si="11"/>
        <v>38.13524774</v>
      </c>
      <c r="BY12" s="91">
        <f t="shared" si="12"/>
        <v>3</v>
      </c>
      <c r="BZ12" s="91"/>
      <c r="CA12" s="91"/>
      <c r="CB12" s="91"/>
      <c r="CC12" s="91"/>
      <c r="CD12" s="91"/>
      <c r="CE12" s="91"/>
      <c r="CF12" s="91"/>
      <c r="CG12" s="91"/>
    </row>
    <row r="13" ht="14.25" customHeight="1">
      <c r="A13" s="59" t="s">
        <v>257</v>
      </c>
      <c r="B13" s="59" t="str">
        <f>VLOOKUP(A13,ECR!E:L,8,FALSE())</f>
        <v>Brock Purdy</v>
      </c>
      <c r="C13" s="60" t="str">
        <f>IFERROR(VLOOKUP(Aggregate!$B13,ECR!C:F,2,FALSE()),"-")</f>
        <v>SF</v>
      </c>
      <c r="D13" s="60">
        <f>IFERROR(VLOOKUP(Aggregate!$B13,ECR!C:F,4,FALSE()),"-")</f>
        <v>8</v>
      </c>
      <c r="E13" s="60" t="str">
        <f>Aggregate!$C13 &amp; "/" &amp; Aggregate!$D13</f>
        <v>SF/8</v>
      </c>
      <c r="F13" s="62">
        <f>IFERROR(VLOOKUP(Aggregate!$B13,QB!A:Q,15,FALSE())/17*(16-Aggregate!$M13),0)</f>
        <v>201.1125179</v>
      </c>
      <c r="G13" s="62">
        <f>IFERROR(VLOOKUP(Aggregate!$B13,QB!A:Q,16,FALSE())/17*(16-Aggregate!$M13),0)</f>
        <v>220.233685</v>
      </c>
      <c r="H13" s="62">
        <f>IFERROR(VLOOKUP(Aggregate!$B13,QB!A:Q,17,FALSE())/17*(16-Aggregate!$M13),0)</f>
        <v>244.9999119</v>
      </c>
      <c r="I13" s="69">
        <f>AVERAGE(Aggregate!$F13,Aggregate!$G13,Aggregate!$H13,VLOOKUP(Aggregate!$B13,ECR!L:N,3,FALSE))</f>
        <v>221.646806</v>
      </c>
      <c r="J13" s="69">
        <f>Aggregate!$I13-$C$1</f>
        <v>0</v>
      </c>
      <c r="K13" s="72">
        <f>MAX(Aggregate!$J13*Scoring!$B$48+1,1)</f>
        <v>1</v>
      </c>
      <c r="L13" s="73">
        <f>VLOOKUP(Aggregate!$J13,BH:BJ,3,FALSE)</f>
        <v>4</v>
      </c>
      <c r="M13" s="80">
        <f t="array" ref="M13">VLOOKUP(INDEX(ECR!$E:$E,MATCH(B13,ECR!$C:$C,0)),RISK!A:B,2,FALSE())</f>
        <v>1.8915</v>
      </c>
      <c r="N13" s="81"/>
      <c r="O13" s="73" t="s">
        <v>259</v>
      </c>
      <c r="P13" s="59" t="str">
        <f>VLOOKUP(O13,ECR!E:L,8,FALSE())</f>
        <v>Kenneth Walker III</v>
      </c>
      <c r="Q13" s="60" t="str">
        <f>IFERROR(VLOOKUP(Aggregate!$P13,ECR!C:F,2,FALSE()),"-")</f>
        <v>KC</v>
      </c>
      <c r="R13" s="60">
        <f>IFERROR(VLOOKUP(Aggregate!$P13,ECR!C:F,4,FALSE()),"-")</f>
        <v>5</v>
      </c>
      <c r="S13" s="60" t="str">
        <f>Aggregate!$Q13 &amp; "/" &amp; Aggregate!$R13</f>
        <v>KC/5</v>
      </c>
      <c r="T13" s="62">
        <f>IFERROR(VLOOKUP(Aggregate!$P13,RB!A:Q,13,FALSE())/17*(16-Aggregate!$AA13),0)</f>
        <v>164.5647059</v>
      </c>
      <c r="U13" s="62">
        <f>IFERROR(VLOOKUP(Aggregate!$P13,RB!A:Q,14,FALSE())/17*(16-Aggregate!$AA13),0)</f>
        <v>179.7211765</v>
      </c>
      <c r="V13" s="62">
        <f>IFERROR(VLOOKUP(Aggregate!$P13,RB!A:Q,15,FALSE())/17*(16-Aggregate!$AA13),0)</f>
        <v>191.5664706</v>
      </c>
      <c r="W13" s="69">
        <f>AVERAGE(Aggregate!$T13,Aggregate!$U13,Aggregate!$V13,VLOOKUP(Aggregate!$P13,ECR!L:N,3,FALSE))</f>
        <v>178.8772279</v>
      </c>
      <c r="X13" s="69">
        <f>Aggregate!$W13-$Q$1</f>
        <v>100.4863388</v>
      </c>
      <c r="Y13" s="72">
        <f>MAX(Aggregate!$X13*Scoring!$B$48+1,1)</f>
        <v>27.32977513</v>
      </c>
      <c r="Z13" s="73">
        <f>VLOOKUP(Aggregate!$X13,BM:BO,3,FALSE)</f>
        <v>3</v>
      </c>
      <c r="AA13" s="80">
        <f t="array" ref="AA13">VLOOKUP(INDEX(ECR!$E:$E,MATCH(P13,ECR!$C:$C,0)),RISK!A:B,2,FALSE())</f>
        <v>3</v>
      </c>
      <c r="AB13" s="81"/>
      <c r="AC13" s="60" t="s">
        <v>261</v>
      </c>
      <c r="AD13" s="60" t="str">
        <f>VLOOKUP(AC13,ECR!E:L,8,FALSE())</f>
        <v>Chris Olave</v>
      </c>
      <c r="AE13" s="60" t="str">
        <f>IFERROR(VLOOKUP(Aggregate!$AD13,ECR!C:F,2,FALSE()),"-")</f>
        <v>NO</v>
      </c>
      <c r="AF13" s="60">
        <f>IFERROR(VLOOKUP(Aggregate!$AD13,ECR!C:F,4,FALSE()),"-")</f>
        <v>8</v>
      </c>
      <c r="AG13" s="60" t="str">
        <f>Aggregate!$AE13 &amp; "/" &amp; Aggregate!$AF13</f>
        <v>NO/8</v>
      </c>
      <c r="AH13" s="62">
        <f>IFERROR(VLOOKUP(Aggregate!$AD13,WR!A:Q,13,FALSE())/17*(16-Aggregate!$AO13),0)</f>
        <v>160.2246309</v>
      </c>
      <c r="AI13" s="62">
        <f>IFERROR(VLOOKUP(Aggregate!$AD13,WR!A:Q,14,FALSE())/17*(16-Aggregate!$AO13),0)</f>
        <v>172.2002868</v>
      </c>
      <c r="AJ13" s="62">
        <f>IFERROR(VLOOKUP(Aggregate!$AD13,WR!A:Q,15,FALSE())/17*(16-Aggregate!$AO13),0)</f>
        <v>187.8329382</v>
      </c>
      <c r="AK13" s="69">
        <f>AVERAGE(Aggregate!$AH13,Aggregate!$AI13,Aggregate!$AJ13,VLOOKUP(Aggregate!$AD13,ECR!L:N,3,FALSE))</f>
        <v>172.660061</v>
      </c>
      <c r="AL13" s="69">
        <f>Aggregate!$AK13-$AE$1</f>
        <v>91.13913397</v>
      </c>
      <c r="AM13" s="72">
        <f>MAX(Aggregate!$AL13*Scoring!$B$48+1,1)</f>
        <v>24.88058846</v>
      </c>
      <c r="AN13" s="73">
        <f>VLOOKUP(Aggregate!$AL13,BR:BT,3,FALSE)</f>
        <v>2</v>
      </c>
      <c r="AO13" s="80">
        <f t="array" ref="AO13">VLOOKUP(INDEX(ECR!$E:$E,MATCH(AD13,ECR!$C:$C,0)),RISK!A:B,2,FALSE())</f>
        <v>2.3365</v>
      </c>
      <c r="AP13" s="81"/>
      <c r="AQ13" s="85" t="s">
        <v>263</v>
      </c>
      <c r="AR13" s="85" t="str">
        <f>VLOOKUP(AQ13,ECR!E:L,8,FALSE())</f>
        <v>Dalton Kincaid</v>
      </c>
      <c r="AS13" s="85" t="str">
        <f>IFERROR(VLOOKUP(Aggregate!$AR13,ECR!C:F,2,FALSE()),"-")</f>
        <v>BUF</v>
      </c>
      <c r="AT13" s="85">
        <f>IFERROR(VLOOKUP(Aggregate!$AR13,ECR!C:F,4,FALSE()),"-")</f>
        <v>7</v>
      </c>
      <c r="AU13" s="85" t="str">
        <f>Aggregate!$AS13 &amp; "/" &amp; Aggregate!$AT13</f>
        <v>BUF/7</v>
      </c>
      <c r="AV13" s="62">
        <f>IFERROR(VLOOKUP(Aggregate!$AR13,TE!A:K,9,FALSE())/17*(16-Aggregate!$BC13),0)</f>
        <v>90.05770882</v>
      </c>
      <c r="AW13" s="62">
        <f>IFERROR(VLOOKUP(Aggregate!$AR13,TE!A:K,10,FALSE())/17*(16-Aggregate!$BC13),0)</f>
        <v>102.4357874</v>
      </c>
      <c r="AX13" s="62">
        <f>IFERROR(VLOOKUP(Aggregate!$AR13,TE!A:K,11,FALSE())/17*(16-Aggregate!$BC13),0)</f>
        <v>116.3990059</v>
      </c>
      <c r="AY13" s="69">
        <f>AVERAGE(Aggregate!$AV13,Aggregate!$AW13,Aggregate!$AX13,VLOOKUP(Aggregate!$AR13,ECR!L:N,3,FALSE))</f>
        <v>105.3255585</v>
      </c>
      <c r="AZ13" s="69">
        <f>Aggregate!$AY13-$AS$1</f>
        <v>23.78722706</v>
      </c>
      <c r="BA13" s="72">
        <f>MAX(Aggregate!$AZ13*Scoring!$B$48+1,1)</f>
        <v>7.232810815</v>
      </c>
      <c r="BB13" s="62">
        <f>VLOOKUP(Aggregate!$AZ13,BW:BY,3,FALSE)</f>
        <v>3</v>
      </c>
      <c r="BC13" s="80">
        <f t="array" ref="BC13">VLOOKUP(INDEX(ECR!$E:$E,MATCH(AR13,ECR!$C:$C,0)),RISK!A:B,2,FALSE())</f>
        <v>2.7905</v>
      </c>
      <c r="BD13" s="62"/>
      <c r="BE13" s="81"/>
      <c r="BF13" s="81">
        <v>11.0</v>
      </c>
      <c r="BG13" s="81">
        <f t="shared" si="1"/>
        <v>220.2411092</v>
      </c>
      <c r="BH13" s="81">
        <f>IFERROR(LARGE($J$3:$J$52,11),"")</f>
        <v>1.149858353</v>
      </c>
      <c r="BI13" s="81">
        <f t="shared" si="5"/>
        <v>5.440134059</v>
      </c>
      <c r="BJ13" s="81">
        <f t="shared" si="6"/>
        <v>4</v>
      </c>
      <c r="BK13" s="90">
        <v>11.0</v>
      </c>
      <c r="BL13" s="81">
        <f t="shared" si="2"/>
        <v>179.6565588</v>
      </c>
      <c r="BM13" s="91">
        <f>IFERROR(LARGE($X$3:$X$102,11),"")</f>
        <v>99.81999325</v>
      </c>
      <c r="BN13" s="91">
        <f t="shared" si="7"/>
        <v>119.3429344</v>
      </c>
      <c r="BO13" s="93">
        <f t="shared" si="8"/>
        <v>3</v>
      </c>
      <c r="BP13" s="91">
        <v>11.0</v>
      </c>
      <c r="BQ13" s="81">
        <f t="shared" si="3"/>
        <v>170.3823882</v>
      </c>
      <c r="BR13" s="91">
        <f>IFERROR(LARGE($AL$3:$AL$102,11),"")</f>
        <v>91.13913397</v>
      </c>
      <c r="BS13" s="91">
        <f t="shared" si="9"/>
        <v>103.7113647</v>
      </c>
      <c r="BT13" s="91">
        <f t="shared" si="10"/>
        <v>2</v>
      </c>
      <c r="BU13" s="81">
        <v>11.0</v>
      </c>
      <c r="BV13" s="81">
        <f t="shared" si="4"/>
        <v>112.4097318</v>
      </c>
      <c r="BW13" s="91">
        <f>IFERROR(LARGE($AZ$3:$AZ$52,11),"")</f>
        <v>31.54553496</v>
      </c>
      <c r="BX13" s="91">
        <f t="shared" si="11"/>
        <v>38.13524774</v>
      </c>
      <c r="BY13" s="91">
        <f t="shared" si="12"/>
        <v>3</v>
      </c>
      <c r="BZ13" s="91"/>
      <c r="CA13" s="91"/>
      <c r="CB13" s="91"/>
      <c r="CC13" s="91"/>
      <c r="CD13" s="91"/>
      <c r="CE13" s="91"/>
      <c r="CF13" s="91"/>
      <c r="CG13" s="91"/>
    </row>
    <row r="14" ht="14.25" customHeight="1">
      <c r="A14" s="59" t="s">
        <v>265</v>
      </c>
      <c r="B14" s="59" t="str">
        <f>VLOOKUP(A14,ECR!E:L,8,FALSE())</f>
        <v>Jaxson Dart</v>
      </c>
      <c r="C14" s="60" t="str">
        <f>IFERROR(VLOOKUP(Aggregate!$B14,ECR!C:F,2,FALSE()),"-")</f>
        <v>NYG</v>
      </c>
      <c r="D14" s="60">
        <f>IFERROR(VLOOKUP(Aggregate!$B14,ECR!C:F,4,FALSE()),"-")</f>
        <v>8</v>
      </c>
      <c r="E14" s="60" t="str">
        <f>Aggregate!$C14 &amp; "/" &amp; Aggregate!$D14</f>
        <v>NYG/8</v>
      </c>
      <c r="F14" s="62">
        <f>IFERROR(VLOOKUP(Aggregate!$B14,QB!A:Q,15,FALSE())/17*(16-Aggregate!$M14),0)</f>
        <v>201.6732536</v>
      </c>
      <c r="G14" s="62">
        <f>IFERROR(VLOOKUP(Aggregate!$B14,QB!A:Q,16,FALSE())/17*(16-Aggregate!$M14),0)</f>
        <v>224.3623209</v>
      </c>
      <c r="H14" s="62">
        <f>IFERROR(VLOOKUP(Aggregate!$B14,QB!A:Q,17,FALSE())/17*(16-Aggregate!$M14),0)</f>
        <v>252.924436</v>
      </c>
      <c r="I14" s="69">
        <f>AVERAGE(Aggregate!$F14,Aggregate!$G14,Aggregate!$H14,VLOOKUP(Aggregate!$B14,ECR!L:N,3,FALSE))</f>
        <v>224.7984239</v>
      </c>
      <c r="J14" s="69">
        <f>Aggregate!$I14-$C$1</f>
        <v>3.151617885</v>
      </c>
      <c r="K14" s="72">
        <f>MAX(Aggregate!$J14*Scoring!$B$48+1,1)</f>
        <v>1.825797727</v>
      </c>
      <c r="L14" s="73">
        <f>VLOOKUP(Aggregate!$J14,BH:BJ,3,FALSE)</f>
        <v>4</v>
      </c>
      <c r="M14" s="80">
        <f t="array" ref="M14">VLOOKUP(INDEX(ECR!$E:$E,MATCH(B14,ECR!$C:$C,0)),RISK!A:B,2,FALSE())</f>
        <v>1.9536</v>
      </c>
      <c r="N14" s="81"/>
      <c r="O14" s="73" t="s">
        <v>267</v>
      </c>
      <c r="P14" s="59" t="str">
        <f>VLOOKUP(O14,ECR!E:L,8,FALSE())</f>
        <v>Ashton Jeanty</v>
      </c>
      <c r="Q14" s="60" t="str">
        <f>IFERROR(VLOOKUP(Aggregate!$P14,ECR!C:F,2,FALSE()),"-")</f>
        <v>LV</v>
      </c>
      <c r="R14" s="60">
        <f>IFERROR(VLOOKUP(Aggregate!$P14,ECR!C:F,4,FALSE()),"-")</f>
        <v>13</v>
      </c>
      <c r="S14" s="60" t="str">
        <f>Aggregate!$Q14 &amp; "/" &amp; Aggregate!$R14</f>
        <v>LV/13</v>
      </c>
      <c r="T14" s="62">
        <f>IFERROR(VLOOKUP(Aggregate!$P14,RB!A:Q,13,FALSE())/17*(16-Aggregate!$AA14),0)</f>
        <v>148.1235294</v>
      </c>
      <c r="U14" s="62">
        <f>IFERROR(VLOOKUP(Aggregate!$P14,RB!A:Q,14,FALSE())/17*(16-Aggregate!$AA14),0)</f>
        <v>178.4058824</v>
      </c>
      <c r="V14" s="62">
        <f>IFERROR(VLOOKUP(Aggregate!$P14,RB!A:Q,15,FALSE())/17*(16-Aggregate!$AA14),0)</f>
        <v>207.9082353</v>
      </c>
      <c r="W14" s="69">
        <f>AVERAGE(Aggregate!$T14,Aggregate!$U14,Aggregate!$V14,VLOOKUP(Aggregate!$P14,ECR!L:N,3,FALSE))</f>
        <v>178.2108824</v>
      </c>
      <c r="X14" s="69">
        <f>Aggregate!$W14-$Q$1</f>
        <v>99.81999325</v>
      </c>
      <c r="Y14" s="72">
        <f>MAX(Aggregate!$X14*Scoring!$B$48+1,1)</f>
        <v>27.15517698</v>
      </c>
      <c r="Z14" s="73">
        <f>VLOOKUP(Aggregate!$X14,BM:BO,3,FALSE)</f>
        <v>3</v>
      </c>
      <c r="AA14" s="80">
        <f t="array" ref="AA14">VLOOKUP(INDEX(ECR!$E:$E,MATCH(P14,ECR!$C:$C,0)),RISK!A:B,2,FALSE())</f>
        <v>3</v>
      </c>
      <c r="AB14" s="81"/>
      <c r="AC14" s="60" t="s">
        <v>269</v>
      </c>
      <c r="AD14" s="60" t="str">
        <f>VLOOKUP(AC14,ECR!E:L,8,FALSE())</f>
        <v>Malik Nabers</v>
      </c>
      <c r="AE14" s="60" t="str">
        <f>IFERROR(VLOOKUP(Aggregate!$AD14,ECR!C:F,2,FALSE()),"-")</f>
        <v>NYG</v>
      </c>
      <c r="AF14" s="60">
        <f>IFERROR(VLOOKUP(Aggregate!$AD14,ECR!C:F,4,FALSE()),"-")</f>
        <v>8</v>
      </c>
      <c r="AG14" s="60" t="str">
        <f>Aggregate!$AE14 &amp; "/" &amp; Aggregate!$AF14</f>
        <v>NYG/8</v>
      </c>
      <c r="AH14" s="62">
        <f>IFERROR(VLOOKUP(Aggregate!$AD14,WR!A:Q,13,FALSE())/17*(16-Aggregate!$AO14),0)</f>
        <v>145.6135871</v>
      </c>
      <c r="AI14" s="62">
        <f>IFERROR(VLOOKUP(Aggregate!$AD14,WR!A:Q,14,FALSE())/17*(16-Aggregate!$AO14),0)</f>
        <v>159.8311026</v>
      </c>
      <c r="AJ14" s="62">
        <f>IFERROR(VLOOKUP(Aggregate!$AD14,WR!A:Q,15,FALSE())/17*(16-Aggregate!$AO14),0)</f>
        <v>180.8615108</v>
      </c>
      <c r="AK14" s="69">
        <f>AVERAGE(Aggregate!$AH14,Aggregate!$AI14,Aggregate!$AJ14,VLOOKUP(Aggregate!$AD14,ECR!L:N,3,FALSE))</f>
        <v>163.7070774</v>
      </c>
      <c r="AL14" s="69">
        <f>Aggregate!$AK14-$AE$1</f>
        <v>82.18615035</v>
      </c>
      <c r="AM14" s="72">
        <f>MAX(Aggregate!$AL14*Scoring!$B$48+1,1)</f>
        <v>22.53469698</v>
      </c>
      <c r="AN14" s="73">
        <f>VLOOKUP(Aggregate!$AL14,BR:BT,3,FALSE)</f>
        <v>2</v>
      </c>
      <c r="AO14" s="80">
        <f t="array" ref="AO14">VLOOKUP(INDEX(ECR!$E:$E,MATCH(AD14,ECR!$C:$C,0)),RISK!A:B,2,FALSE())</f>
        <v>2.4062</v>
      </c>
      <c r="AP14" s="81"/>
      <c r="AQ14" s="85" t="s">
        <v>271</v>
      </c>
      <c r="AR14" s="85" t="str">
        <f>VLOOKUP(AQ14,ECR!E:L,8,FALSE())</f>
        <v>Dallas Goedert</v>
      </c>
      <c r="AS14" s="85" t="str">
        <f>IFERROR(VLOOKUP(Aggregate!$AR14,ECR!C:F,2,FALSE()),"-")</f>
        <v>PHI</v>
      </c>
      <c r="AT14" s="85">
        <f>IFERROR(VLOOKUP(Aggregate!$AR14,ECR!C:F,4,FALSE()),"-")</f>
        <v>10</v>
      </c>
      <c r="AU14" s="85" t="str">
        <f>Aggregate!$AS14 &amp; "/" &amp; Aggregate!$AT14</f>
        <v>PHI/10</v>
      </c>
      <c r="AV14" s="62">
        <f>IFERROR(VLOOKUP(Aggregate!$AR14,TE!A:K,9,FALSE())/17*(16-Aggregate!$BC14),0)</f>
        <v>96.93268588</v>
      </c>
      <c r="AW14" s="62">
        <f>IFERROR(VLOOKUP(Aggregate!$AR14,TE!A:K,10,FALSE())/17*(16-Aggregate!$BC14),0)</f>
        <v>113.9832152</v>
      </c>
      <c r="AX14" s="62">
        <f>IFERROR(VLOOKUP(Aggregate!$AR14,TE!A:K,11,FALSE())/17*(16-Aggregate!$BC14),0)</f>
        <v>134.9374387</v>
      </c>
      <c r="AY14" s="69">
        <f>AVERAGE(Aggregate!$AV14,Aggregate!$AW14,Aggregate!$AX14,VLOOKUP(Aggregate!$AR14,ECR!L:N,3,FALSE))</f>
        <v>113.0838664</v>
      </c>
      <c r="AZ14" s="69">
        <f>Aggregate!$AY14-$AS$1</f>
        <v>31.54553496</v>
      </c>
      <c r="BA14" s="72">
        <f>MAX(Aggregate!$AZ14*Scoring!$B$48+1,1)</f>
        <v>9.265669259</v>
      </c>
      <c r="BB14" s="62">
        <f>VLOOKUP(Aggregate!$AZ14,BW:BY,3,FALSE)</f>
        <v>3</v>
      </c>
      <c r="BC14" s="80">
        <f t="array" ref="BC14">VLOOKUP(INDEX(ECR!$E:$E,MATCH(AR14,ECR!$C:$C,0)),RISK!A:B,2,FALSE())</f>
        <v>2.8066</v>
      </c>
      <c r="BD14" s="62"/>
      <c r="BE14" s="81"/>
      <c r="BF14" s="81">
        <v>12.0</v>
      </c>
      <c r="BG14" s="81">
        <f t="shared" si="1"/>
        <v>220.233685</v>
      </c>
      <c r="BH14" s="81">
        <f>IFERROR(LARGE($J$3:$J$52,12),"")</f>
        <v>0</v>
      </c>
      <c r="BI14" s="81">
        <f t="shared" si="5"/>
        <v>5.440134059</v>
      </c>
      <c r="BJ14" s="81">
        <f t="shared" si="6"/>
        <v>4</v>
      </c>
      <c r="BK14" s="90">
        <v>12.0</v>
      </c>
      <c r="BL14" s="81">
        <f t="shared" si="2"/>
        <v>178.4058824</v>
      </c>
      <c r="BM14" s="91">
        <f>IFERROR(LARGE($X$3:$X$102,12),"")</f>
        <v>98.30711825</v>
      </c>
      <c r="BN14" s="91">
        <f t="shared" si="7"/>
        <v>119.3429344</v>
      </c>
      <c r="BO14" s="93">
        <f t="shared" si="8"/>
        <v>3</v>
      </c>
      <c r="BP14" s="91">
        <v>12.0</v>
      </c>
      <c r="BQ14" s="81">
        <f t="shared" si="3"/>
        <v>168.5221092</v>
      </c>
      <c r="BR14" s="91">
        <f>IFERROR(LARGE($AL$3:$AL$102,12),"")</f>
        <v>88.72487113</v>
      </c>
      <c r="BS14" s="91">
        <f t="shared" si="9"/>
        <v>103.7113647</v>
      </c>
      <c r="BT14" s="91">
        <f t="shared" si="10"/>
        <v>2</v>
      </c>
      <c r="BU14" s="81">
        <v>12.0</v>
      </c>
      <c r="BV14" s="81">
        <f t="shared" si="4"/>
        <v>106.4821256</v>
      </c>
      <c r="BW14" s="91">
        <f>IFERROR(LARGE($AZ$3:$AZ$52,12),"")</f>
        <v>24.65325509</v>
      </c>
      <c r="BX14" s="91">
        <f t="shared" si="11"/>
        <v>38.13524774</v>
      </c>
      <c r="BY14" s="91">
        <f t="shared" si="12"/>
        <v>3</v>
      </c>
      <c r="BZ14" s="91"/>
      <c r="CA14" s="91"/>
      <c r="CB14" s="91"/>
      <c r="CC14" s="91"/>
      <c r="CD14" s="91"/>
      <c r="CE14" s="91"/>
      <c r="CF14" s="91"/>
      <c r="CG14" s="91"/>
    </row>
    <row r="15" ht="14.25" customHeight="1">
      <c r="A15" s="59" t="s">
        <v>274</v>
      </c>
      <c r="B15" s="59" t="str">
        <f>VLOOKUP(A15,ECR!E:L,8,FALSE())</f>
        <v>Bo Nix</v>
      </c>
      <c r="C15" s="60" t="str">
        <f>IFERROR(VLOOKUP(Aggregate!$B15,ECR!C:F,2,FALSE()),"-")</f>
        <v>DEN</v>
      </c>
      <c r="D15" s="60">
        <f>IFERROR(VLOOKUP(Aggregate!$B15,ECR!C:F,4,FALSE()),"-")</f>
        <v>10</v>
      </c>
      <c r="E15" s="60" t="str">
        <f>Aggregate!$C15 &amp; "/" &amp; Aggregate!$D15</f>
        <v>DEN/10</v>
      </c>
      <c r="F15" s="62">
        <f>IFERROR(VLOOKUP(Aggregate!$B15,QB!A:Q,15,FALSE())/17*(16-Aggregate!$M15),0)</f>
        <v>203.4880728</v>
      </c>
      <c r="G15" s="62">
        <f>IFERROR(VLOOKUP(Aggregate!$B15,QB!A:Q,16,FALSE())/17*(16-Aggregate!$M15),0)</f>
        <v>218.6925464</v>
      </c>
      <c r="H15" s="62">
        <f>IFERROR(VLOOKUP(Aggregate!$B15,QB!A:Q,17,FALSE())/17*(16-Aggregate!$M15),0)</f>
        <v>228.3202927</v>
      </c>
      <c r="I15" s="69">
        <f>AVERAGE(Aggregate!$F15,Aggregate!$G15,Aggregate!$H15,VLOOKUP(Aggregate!$B15,ECR!L:N,3,FALSE))</f>
        <v>217.496394</v>
      </c>
      <c r="J15" s="69">
        <f>Aggregate!$I15-$C$1</f>
        <v>-4.150411976</v>
      </c>
      <c r="K15" s="72">
        <f>MAX(Aggregate!$J15*Scoring!$B$48+1,1)</f>
        <v>1</v>
      </c>
      <c r="L15" s="73">
        <f>VLOOKUP(Aggregate!$J15,BH:BJ,3,FALSE)</f>
        <v>4</v>
      </c>
      <c r="M15" s="80">
        <f t="array" ref="M15">VLOOKUP(INDEX(ECR!$E:$E,MATCH(B15,ECR!$C:$C,0)),RISK!A:B,2,FALSE())</f>
        <v>2.0253</v>
      </c>
      <c r="N15" s="81"/>
      <c r="O15" s="73" t="s">
        <v>276</v>
      </c>
      <c r="P15" s="59" t="str">
        <f>VLOOKUP(O15,ECR!E:L,8,FALSE())</f>
        <v>Kyren Williams</v>
      </c>
      <c r="Q15" s="60" t="str">
        <f>IFERROR(VLOOKUP(Aggregate!$P15,ECR!C:F,2,FALSE()),"-")</f>
        <v>LAR</v>
      </c>
      <c r="R15" s="60">
        <f>IFERROR(VLOOKUP(Aggregate!$P15,ECR!C:F,4,FALSE()),"-")</f>
        <v>11</v>
      </c>
      <c r="S15" s="60" t="str">
        <f>Aggregate!$Q15 &amp; "/" &amp; Aggregate!$R15</f>
        <v>LAR/11</v>
      </c>
      <c r="T15" s="62">
        <f>IFERROR(VLOOKUP(Aggregate!$P15,RB!A:Q,13,FALSE())/17*(16-Aggregate!$AA15),0)</f>
        <v>161.9723529</v>
      </c>
      <c r="U15" s="62">
        <f>IFERROR(VLOOKUP(Aggregate!$P15,RB!A:Q,14,FALSE())/17*(16-Aggregate!$AA15),0)</f>
        <v>170.9117647</v>
      </c>
      <c r="V15" s="62">
        <f>IFERROR(VLOOKUP(Aggregate!$P15,RB!A:Q,15,FALSE())/17*(16-Aggregate!$AA15),0)</f>
        <v>180.5470588</v>
      </c>
      <c r="W15" s="69">
        <f>AVERAGE(Aggregate!$T15,Aggregate!$U15,Aggregate!$V15,VLOOKUP(Aggregate!$P15,ECR!L:N,3,FALSE))</f>
        <v>172.4564706</v>
      </c>
      <c r="X15" s="69">
        <f>Aggregate!$W15-$Q$1</f>
        <v>94.06558148</v>
      </c>
      <c r="Y15" s="72">
        <f>MAX(Aggregate!$X15*Scoring!$B$48+1,1)</f>
        <v>25.64738627</v>
      </c>
      <c r="Z15" s="73">
        <f>VLOOKUP(Aggregate!$X15,BM:BO,3,FALSE)</f>
        <v>4</v>
      </c>
      <c r="AA15" s="80">
        <f t="array" ref="AA15">VLOOKUP(INDEX(ECR!$E:$E,MATCH(P15,ECR!$C:$C,0)),RISK!A:B,2,FALSE())</f>
        <v>3</v>
      </c>
      <c r="AB15" s="81"/>
      <c r="AC15" s="60" t="s">
        <v>277</v>
      </c>
      <c r="AD15" s="60" t="str">
        <f>VLOOKUP(AC15,ECR!E:L,8,FALSE())</f>
        <v>Rashee Rice</v>
      </c>
      <c r="AE15" s="60" t="str">
        <f>IFERROR(VLOOKUP(Aggregate!$AD15,ECR!C:F,2,FALSE()),"-")</f>
        <v>KC</v>
      </c>
      <c r="AF15" s="60">
        <f>IFERROR(VLOOKUP(Aggregate!$AD15,ECR!C:F,4,FALSE()),"-")</f>
        <v>5</v>
      </c>
      <c r="AG15" s="60" t="str">
        <f>Aggregate!$AE15 &amp; "/" &amp; Aggregate!$AF15</f>
        <v>KC/5</v>
      </c>
      <c r="AH15" s="62">
        <f>IFERROR(VLOOKUP(Aggregate!$AD15,WR!A:Q,13,FALSE())/17*(16-Aggregate!$AO15),0)</f>
        <v>153.3882776</v>
      </c>
      <c r="AI15" s="62">
        <f>IFERROR(VLOOKUP(Aggregate!$AD15,WR!A:Q,14,FALSE())/17*(16-Aggregate!$AO15),0)</f>
        <v>178.6957523</v>
      </c>
      <c r="AJ15" s="62">
        <f>IFERROR(VLOOKUP(Aggregate!$AD15,WR!A:Q,15,FALSE())/17*(16-Aggregate!$AO15),0)</f>
        <v>206.9866608</v>
      </c>
      <c r="AK15" s="69">
        <f>AVERAGE(Aggregate!$AH15,Aggregate!$AI15,Aggregate!$AJ15,VLOOKUP(Aggregate!$AD15,ECR!L:N,3,FALSE))</f>
        <v>174.7254483</v>
      </c>
      <c r="AL15" s="69">
        <f>Aggregate!$AK15-$AE$1</f>
        <v>93.20452126</v>
      </c>
      <c r="AM15" s="72">
        <f>MAX(Aggregate!$AL15*Scoring!$B$48+1,1)</f>
        <v>25.42176832</v>
      </c>
      <c r="AN15" s="73">
        <f>VLOOKUP(Aggregate!$AL15,BR:BT,3,FALSE)</f>
        <v>2</v>
      </c>
      <c r="AO15" s="80">
        <f t="array" ref="AO15">VLOOKUP(INDEX(ECR!$E:$E,MATCH(AD15,ECR!$C:$C,0)),RISK!A:B,2,FALSE())</f>
        <v>2.4751</v>
      </c>
      <c r="AP15" s="81"/>
      <c r="AQ15" s="85" t="s">
        <v>279</v>
      </c>
      <c r="AR15" s="85" t="str">
        <f>VLOOKUP(AQ15,ECR!E:L,8,FALSE())</f>
        <v>Isaiah Likely</v>
      </c>
      <c r="AS15" s="85" t="str">
        <f>IFERROR(VLOOKUP(Aggregate!$AR15,ECR!C:F,2,FALSE()),"-")</f>
        <v>NYG</v>
      </c>
      <c r="AT15" s="85">
        <f>IFERROR(VLOOKUP(Aggregate!$AR15,ECR!C:F,4,FALSE()),"-")</f>
        <v>8</v>
      </c>
      <c r="AU15" s="85" t="str">
        <f>Aggregate!$AS15 &amp; "/" &amp; Aggregate!$AT15</f>
        <v>NYG/8</v>
      </c>
      <c r="AV15" s="62">
        <f>IFERROR(VLOOKUP(Aggregate!$AR15,TE!A:K,9,FALSE())/17*(16-Aggregate!$BC15),0)</f>
        <v>88.09813647</v>
      </c>
      <c r="AW15" s="62">
        <f>IFERROR(VLOOKUP(Aggregate!$AR15,TE!A:K,10,FALSE())/17*(16-Aggregate!$BC15),0)</f>
        <v>103.2671466</v>
      </c>
      <c r="AX15" s="62">
        <f>IFERROR(VLOOKUP(Aggregate!$AR15,TE!A:K,11,FALSE())/17*(16-Aggregate!$BC15),0)</f>
        <v>127.7267876</v>
      </c>
      <c r="AY15" s="69">
        <f>AVERAGE(Aggregate!$AV15,Aggregate!$AW15,Aggregate!$AX15,VLOOKUP(Aggregate!$AR15,ECR!L:N,3,FALSE))</f>
        <v>105.5898043</v>
      </c>
      <c r="AZ15" s="69">
        <f>Aggregate!$AY15-$AS$1</f>
        <v>24.05147293</v>
      </c>
      <c r="BA15" s="72">
        <f>MAX(Aggregate!$AZ15*Scoring!$B$48+1,1)</f>
        <v>7.302049424</v>
      </c>
      <c r="BB15" s="62">
        <f>VLOOKUP(Aggregate!$AZ15,BW:BY,3,FALSE)</f>
        <v>3</v>
      </c>
      <c r="BC15" s="80">
        <f t="array" ref="BC15">VLOOKUP(INDEX(ECR!$E:$E,MATCH(AR15,ECR!$C:$C,0)),RISK!A:B,2,FALSE())</f>
        <v>2.8163</v>
      </c>
      <c r="BD15" s="62"/>
      <c r="BE15" s="81"/>
      <c r="BF15" s="81">
        <v>13.0</v>
      </c>
      <c r="BG15" s="81">
        <f t="shared" si="1"/>
        <v>219.4846642</v>
      </c>
      <c r="BH15" s="81">
        <f>IFERROR(LARGE($J$3:$J$52,13),"")</f>
        <v>-0.3174650265</v>
      </c>
      <c r="BI15" s="81">
        <f t="shared" si="5"/>
        <v>5.440134059</v>
      </c>
      <c r="BJ15" s="81">
        <f t="shared" si="6"/>
        <v>4</v>
      </c>
      <c r="BK15" s="90">
        <v>13.0</v>
      </c>
      <c r="BL15" s="81">
        <f t="shared" si="2"/>
        <v>176.3947059</v>
      </c>
      <c r="BM15" s="91">
        <f>IFERROR(LARGE($X$3:$X$102,13),"")</f>
        <v>98.15293443</v>
      </c>
      <c r="BN15" s="91">
        <f t="shared" si="7"/>
        <v>119.3429344</v>
      </c>
      <c r="BO15" s="93">
        <f t="shared" si="8"/>
        <v>3</v>
      </c>
      <c r="BP15" s="91">
        <v>13.0</v>
      </c>
      <c r="BQ15" s="81">
        <f t="shared" si="3"/>
        <v>159.8311026</v>
      </c>
      <c r="BR15" s="91">
        <f>IFERROR(LARGE($AL$3:$AL$102,13),"")</f>
        <v>82.18615035</v>
      </c>
      <c r="BS15" s="91">
        <f t="shared" si="9"/>
        <v>103.7113647</v>
      </c>
      <c r="BT15" s="91">
        <f t="shared" si="10"/>
        <v>2</v>
      </c>
      <c r="BU15" s="81">
        <v>13.0</v>
      </c>
      <c r="BV15" s="81">
        <f t="shared" si="4"/>
        <v>103.2671466</v>
      </c>
      <c r="BW15" s="91">
        <f>IFERROR(LARGE($AZ$3:$AZ$52,13),"")</f>
        <v>24.05147293</v>
      </c>
      <c r="BX15" s="91">
        <f t="shared" si="11"/>
        <v>38.13524774</v>
      </c>
      <c r="BY15" s="91">
        <f t="shared" si="12"/>
        <v>3</v>
      </c>
      <c r="BZ15" s="91"/>
      <c r="CA15" s="91"/>
      <c r="CB15" s="91"/>
      <c r="CC15" s="91"/>
      <c r="CD15" s="91"/>
      <c r="CE15" s="91"/>
      <c r="CF15" s="91"/>
      <c r="CG15" s="91"/>
    </row>
    <row r="16" ht="14.25" customHeight="1">
      <c r="A16" s="59" t="s">
        <v>282</v>
      </c>
      <c r="B16" s="59" t="str">
        <f>VLOOKUP(A16,ECR!E:L,8,FALSE())</f>
        <v>Patrick Mahomes II</v>
      </c>
      <c r="C16" s="60" t="str">
        <f>IFERROR(VLOOKUP(Aggregate!$B16,ECR!C:F,2,FALSE()),"-")</f>
        <v>KC</v>
      </c>
      <c r="D16" s="60">
        <f>IFERROR(VLOOKUP(Aggregate!$B16,ECR!C:F,4,FALSE()),"-")</f>
        <v>5</v>
      </c>
      <c r="E16" s="60" t="str">
        <f>Aggregate!$C16 &amp; "/" &amp; Aggregate!$D16</f>
        <v>KC/5</v>
      </c>
      <c r="F16" s="62">
        <f>IFERROR(VLOOKUP(Aggregate!$B16,QB!A:Q,15,FALSE())/17*(16-Aggregate!$M16),0)</f>
        <v>203.6935892</v>
      </c>
      <c r="G16" s="62">
        <f>IFERROR(VLOOKUP(Aggregate!$B16,QB!A:Q,16,FALSE())/17*(16-Aggregate!$M16),0)</f>
        <v>219.4846642</v>
      </c>
      <c r="H16" s="62">
        <f>IFERROR(VLOOKUP(Aggregate!$B16,QB!A:Q,17,FALSE())/17*(16-Aggregate!$M16),0)</f>
        <v>243.3110279</v>
      </c>
      <c r="I16" s="69">
        <f>AVERAGE(Aggregate!$F16,Aggregate!$G16,Aggregate!$H16,VLOOKUP(Aggregate!$B16,ECR!L:N,3,FALSE))</f>
        <v>221.329341</v>
      </c>
      <c r="J16" s="69">
        <f>Aggregate!$I16-$C$1</f>
        <v>-0.3174650265</v>
      </c>
      <c r="K16" s="72">
        <f>MAX(Aggregate!$J16*Scoring!$B$48+1,1)</f>
        <v>1</v>
      </c>
      <c r="L16" s="73">
        <f>VLOOKUP(Aggregate!$J16,BH:BJ,3,FALSE)</f>
        <v>4</v>
      </c>
      <c r="M16" s="80">
        <f t="array" ref="M16">VLOOKUP(INDEX(ECR!$E:$E,MATCH(B16,ECR!$C:$C,0)),RISK!A:B,2,FALSE())</f>
        <v>2.1066</v>
      </c>
      <c r="N16" s="81"/>
      <c r="O16" s="73" t="s">
        <v>284</v>
      </c>
      <c r="P16" s="59" t="str">
        <f>VLOOKUP(O16,ECR!E:L,8,FALSE())</f>
        <v>Javonte Williams</v>
      </c>
      <c r="Q16" s="60" t="str">
        <f>IFERROR(VLOOKUP(Aggregate!$P16,ECR!C:F,2,FALSE()),"-")</f>
        <v>DAL</v>
      </c>
      <c r="R16" s="60">
        <f>IFERROR(VLOOKUP(Aggregate!$P16,ECR!C:F,4,FALSE()),"-")</f>
        <v>14</v>
      </c>
      <c r="S16" s="60" t="str">
        <f>Aggregate!$Q16 &amp; "/" &amp; Aggregate!$R16</f>
        <v>DAL/14</v>
      </c>
      <c r="T16" s="62">
        <f>IFERROR(VLOOKUP(Aggregate!$P16,RB!A:Q,13,FALSE())/17*(16-Aggregate!$AA16),0)</f>
        <v>152.5588235</v>
      </c>
      <c r="U16" s="62">
        <f>IFERROR(VLOOKUP(Aggregate!$P16,RB!A:Q,14,FALSE())/17*(16-Aggregate!$AA16),0)</f>
        <v>166.8129412</v>
      </c>
      <c r="V16" s="62">
        <f>IFERROR(VLOOKUP(Aggregate!$P16,RB!A:Q,15,FALSE())/17*(16-Aggregate!$AA16),0)</f>
        <v>183.5829412</v>
      </c>
      <c r="W16" s="69">
        <f>AVERAGE(Aggregate!$T16,Aggregate!$U16,Aggregate!$V16,VLOOKUP(Aggregate!$P16,ECR!L:N,3,FALSE))</f>
        <v>169.5677941</v>
      </c>
      <c r="X16" s="69">
        <f>Aggregate!$W16-$Q$1</f>
        <v>91.17690501</v>
      </c>
      <c r="Y16" s="72">
        <f>MAX(Aggregate!$X16*Scoring!$B$48+1,1)</f>
        <v>24.89048535</v>
      </c>
      <c r="Z16" s="73">
        <f>VLOOKUP(Aggregate!$X16,BM:BO,3,FALSE)</f>
        <v>4</v>
      </c>
      <c r="AA16" s="80">
        <f t="array" ref="AA16">VLOOKUP(INDEX(ECR!$E:$E,MATCH(P16,ECR!$C:$C,0)),RISK!A:B,2,FALSE())</f>
        <v>3</v>
      </c>
      <c r="AB16" s="81"/>
      <c r="AC16" s="60" t="s">
        <v>286</v>
      </c>
      <c r="AD16" s="60" t="str">
        <f>VLOOKUP(AC16,ECR!E:L,8,FALSE())</f>
        <v>DeVonta Smith</v>
      </c>
      <c r="AE16" s="60" t="str">
        <f>IFERROR(VLOOKUP(Aggregate!$AD16,ECR!C:F,2,FALSE()),"-")</f>
        <v>PHI</v>
      </c>
      <c r="AF16" s="60">
        <f>IFERROR(VLOOKUP(Aggregate!$AD16,ECR!C:F,4,FALSE()),"-")</f>
        <v>10</v>
      </c>
      <c r="AG16" s="60" t="str">
        <f>Aggregate!$AE16 &amp; "/" &amp; Aggregate!$AF16</f>
        <v>PHI/10</v>
      </c>
      <c r="AH16" s="62">
        <f>IFERROR(VLOOKUP(Aggregate!$AD16,WR!A:Q,13,FALSE())/17*(16-Aggregate!$AO16),0)</f>
        <v>149.2121647</v>
      </c>
      <c r="AI16" s="62">
        <f>IFERROR(VLOOKUP(Aggregate!$AD16,WR!A:Q,14,FALSE())/17*(16-Aggregate!$AO16),0)</f>
        <v>152.6159435</v>
      </c>
      <c r="AJ16" s="62">
        <f>IFERROR(VLOOKUP(Aggregate!$AD16,WR!A:Q,15,FALSE())/17*(16-Aggregate!$AO16),0)</f>
        <v>156.0593012</v>
      </c>
      <c r="AK16" s="69">
        <f>AVERAGE(Aggregate!$AH16,Aggregate!$AI16,Aggregate!$AJ16,VLOOKUP(Aggregate!$AD16,ECR!L:N,3,FALSE))</f>
        <v>154.0949271</v>
      </c>
      <c r="AL16" s="69">
        <f>Aggregate!$AK16-$AE$1</f>
        <v>72.57400007</v>
      </c>
      <c r="AM16" s="72">
        <f>MAX(Aggregate!$AL16*Scoring!$B$48+1,1)</f>
        <v>20.0160884</v>
      </c>
      <c r="AN16" s="73">
        <f>VLOOKUP(Aggregate!$AL16,BR:BT,3,FALSE)</f>
        <v>3</v>
      </c>
      <c r="AO16" s="80">
        <f t="array" ref="AO16">VLOOKUP(INDEX(ECR!$E:$E,MATCH(AD16,ECR!$C:$C,0)),RISK!A:B,2,FALSE())</f>
        <v>2.5432</v>
      </c>
      <c r="AP16" s="81"/>
      <c r="AQ16" s="85" t="s">
        <v>287</v>
      </c>
      <c r="AR16" s="85" t="str">
        <f>VLOOKUP(AQ16,ECR!E:L,8,FALSE())</f>
        <v>Mark Andrews</v>
      </c>
      <c r="AS16" s="85" t="str">
        <f>IFERROR(VLOOKUP(Aggregate!$AR16,ECR!C:F,2,FALSE()),"-")</f>
        <v>BAL</v>
      </c>
      <c r="AT16" s="85">
        <f>IFERROR(VLOOKUP(Aggregate!$AR16,ECR!C:F,4,FALSE()),"-")</f>
        <v>13</v>
      </c>
      <c r="AU16" s="85" t="str">
        <f>Aggregate!$AS16 &amp; "/" &amp; Aggregate!$AT16</f>
        <v>BAL/13</v>
      </c>
      <c r="AV16" s="62">
        <f>IFERROR(VLOOKUP(Aggregate!$AR16,TE!A:K,9,FALSE())/17*(16-Aggregate!$BC16),0)</f>
        <v>95.67419765</v>
      </c>
      <c r="AW16" s="62">
        <f>IFERROR(VLOOKUP(Aggregate!$AR16,TE!A:K,10,FALSE())/17*(16-Aggregate!$BC16),0)</f>
        <v>106.4821256</v>
      </c>
      <c r="AX16" s="62">
        <f>IFERROR(VLOOKUP(Aggregate!$AR16,TE!A:K,11,FALSE())/17*(16-Aggregate!$BC16),0)</f>
        <v>120.1742353</v>
      </c>
      <c r="AY16" s="69">
        <f>AVERAGE(Aggregate!$AV16,Aggregate!$AW16,Aggregate!$AX16,VLOOKUP(Aggregate!$AR16,ECR!L:N,3,FALSE))</f>
        <v>106.1915865</v>
      </c>
      <c r="AZ16" s="69">
        <f>Aggregate!$AY16-$AS$1</f>
        <v>24.65325509</v>
      </c>
      <c r="BA16" s="72">
        <f>MAX(Aggregate!$AZ16*Scoring!$B$48+1,1)</f>
        <v>7.45973045</v>
      </c>
      <c r="BB16" s="62">
        <f>VLOOKUP(Aggregate!$AZ16,BW:BY,3,FALSE)</f>
        <v>3</v>
      </c>
      <c r="BC16" s="80">
        <f t="array" ref="BC16">VLOOKUP(INDEX(ECR!$E:$E,MATCH(AR16,ECR!$C:$C,0)),RISK!A:B,2,FALSE())</f>
        <v>2.8196</v>
      </c>
      <c r="BD16" s="62"/>
      <c r="BE16" s="81"/>
      <c r="BF16" s="81">
        <v>14.0</v>
      </c>
      <c r="BG16" s="81">
        <f t="shared" si="1"/>
        <v>218.8280826</v>
      </c>
      <c r="BH16" s="81">
        <f>IFERROR(LARGE($J$3:$J$52,14),"")</f>
        <v>-2.793743806</v>
      </c>
      <c r="BI16" s="81">
        <f t="shared" si="5"/>
        <v>5.440134059</v>
      </c>
      <c r="BJ16" s="81">
        <f t="shared" si="6"/>
        <v>4</v>
      </c>
      <c r="BK16" s="90">
        <v>14.0</v>
      </c>
      <c r="BL16" s="81">
        <f t="shared" si="2"/>
        <v>175.3164706</v>
      </c>
      <c r="BM16" s="91">
        <f>IFERROR(LARGE($X$3:$X$102,14),"")</f>
        <v>95.51852266</v>
      </c>
      <c r="BN16" s="91">
        <f t="shared" si="7"/>
        <v>119.3429344</v>
      </c>
      <c r="BO16" s="93">
        <f t="shared" si="8"/>
        <v>3</v>
      </c>
      <c r="BP16" s="91">
        <v>14.0</v>
      </c>
      <c r="BQ16" s="81">
        <f t="shared" si="3"/>
        <v>158.4922991</v>
      </c>
      <c r="BR16" s="91">
        <f>IFERROR(LARGE($AL$3:$AL$102,14),"")</f>
        <v>75.77401125</v>
      </c>
      <c r="BS16" s="91">
        <f t="shared" si="9"/>
        <v>75.77401125</v>
      </c>
      <c r="BT16" s="91">
        <f t="shared" si="10"/>
        <v>3</v>
      </c>
      <c r="BU16" s="81">
        <v>14.0</v>
      </c>
      <c r="BV16" s="81">
        <f t="shared" si="4"/>
        <v>102.4357874</v>
      </c>
      <c r="BW16" s="91">
        <f>IFERROR(LARGE($AZ$3:$AZ$52,14),"")</f>
        <v>23.78722706</v>
      </c>
      <c r="BX16" s="91">
        <f t="shared" si="11"/>
        <v>38.13524774</v>
      </c>
      <c r="BY16" s="91">
        <f t="shared" si="12"/>
        <v>3</v>
      </c>
      <c r="BZ16" s="91"/>
      <c r="CA16" s="91"/>
      <c r="CB16" s="91"/>
      <c r="CC16" s="91"/>
      <c r="CD16" s="91"/>
      <c r="CE16" s="91"/>
      <c r="CF16" s="91"/>
      <c r="CG16" s="91"/>
    </row>
    <row r="17" ht="14.25" customHeight="1">
      <c r="A17" s="59" t="s">
        <v>290</v>
      </c>
      <c r="B17" s="59" t="str">
        <f>VLOOKUP(A17,ECR!E:L,8,FALSE())</f>
        <v>Matthew Stafford</v>
      </c>
      <c r="C17" s="60" t="str">
        <f>IFERROR(VLOOKUP(Aggregate!$B17,ECR!C:F,2,FALSE()),"-")</f>
        <v>LAR</v>
      </c>
      <c r="D17" s="60">
        <f>IFERROR(VLOOKUP(Aggregate!$B17,ECR!C:F,4,FALSE()),"-")</f>
        <v>11</v>
      </c>
      <c r="E17" s="60" t="str">
        <f>Aggregate!$C17 &amp; "/" &amp; Aggregate!$D17</f>
        <v>LAR/11</v>
      </c>
      <c r="F17" s="62">
        <f>IFERROR(VLOOKUP(Aggregate!$B17,QB!A:Q,15,FALSE())/17*(16-Aggregate!$M17),0)</f>
        <v>206.8426412</v>
      </c>
      <c r="G17" s="62">
        <f>IFERROR(VLOOKUP(Aggregate!$B17,QB!A:Q,16,FALSE())/17*(16-Aggregate!$M17),0)</f>
        <v>218.8280826</v>
      </c>
      <c r="H17" s="62">
        <f>IFERROR(VLOOKUP(Aggregate!$B17,QB!A:Q,17,FALSE())/17*(16-Aggregate!$M17),0)</f>
        <v>231.0489785</v>
      </c>
      <c r="I17" s="69">
        <f>AVERAGE(Aggregate!$F17,Aggregate!$G17,Aggregate!$H17,VLOOKUP(Aggregate!$B17,ECR!L:N,3,FALSE))</f>
        <v>218.8530622</v>
      </c>
      <c r="J17" s="69">
        <f>Aggregate!$I17-$C$1</f>
        <v>-2.793743806</v>
      </c>
      <c r="K17" s="72">
        <f>MAX(Aggregate!$J17*Scoring!$B$48+1,1)</f>
        <v>1</v>
      </c>
      <c r="L17" s="73">
        <f>VLOOKUP(Aggregate!$J17,BH:BJ,3,FALSE)</f>
        <v>4</v>
      </c>
      <c r="M17" s="80">
        <f t="array" ref="M17">VLOOKUP(INDEX(ECR!$E:$E,MATCH(B17,ECR!$C:$C,0)),RISK!A:B,2,FALSE())</f>
        <v>2.1975</v>
      </c>
      <c r="N17" s="81"/>
      <c r="O17" s="73" t="s">
        <v>292</v>
      </c>
      <c r="P17" s="59" t="str">
        <f>VLOOKUP(O17,ECR!E:L,8,FALSE())</f>
        <v>Breece Hall</v>
      </c>
      <c r="Q17" s="60" t="str">
        <f>IFERROR(VLOOKUP(Aggregate!$P17,ECR!C:F,2,FALSE()),"-")</f>
        <v>NYJ</v>
      </c>
      <c r="R17" s="60">
        <f>IFERROR(VLOOKUP(Aggregate!$P17,ECR!C:F,4,FALSE()),"-")</f>
        <v>13</v>
      </c>
      <c r="S17" s="60" t="str">
        <f>Aggregate!$Q17 &amp; "/" &amp; Aggregate!$R17</f>
        <v>NYJ/13</v>
      </c>
      <c r="T17" s="62">
        <f>IFERROR(VLOOKUP(Aggregate!$P17,RB!A:Q,13,FALSE())/17*(16-Aggregate!$AA17),0)</f>
        <v>150.1882353</v>
      </c>
      <c r="U17" s="62">
        <f>IFERROR(VLOOKUP(Aggregate!$P17,RB!A:Q,14,FALSE())/17*(16-Aggregate!$AA17),0)</f>
        <v>170.2311765</v>
      </c>
      <c r="V17" s="62">
        <f>IFERROR(VLOOKUP(Aggregate!$P17,RB!A:Q,15,FALSE())/17*(16-Aggregate!$AA17),0)</f>
        <v>188.2476471</v>
      </c>
      <c r="W17" s="69">
        <f>AVERAGE(Aggregate!$T17,Aggregate!$U17,Aggregate!$V17,VLOOKUP(Aggregate!$P17,ECR!L:N,3,FALSE))</f>
        <v>169.8947059</v>
      </c>
      <c r="X17" s="69">
        <f>Aggregate!$W17-$Q$1</f>
        <v>91.50381678</v>
      </c>
      <c r="Y17" s="72">
        <f>MAX(Aggregate!$X17*Scoring!$B$48+1,1)</f>
        <v>24.9761439</v>
      </c>
      <c r="Z17" s="73">
        <f>VLOOKUP(Aggregate!$X17,BM:BO,3,FALSE)</f>
        <v>4</v>
      </c>
      <c r="AA17" s="80">
        <f t="array" ref="AA17">VLOOKUP(INDEX(ECR!$E:$E,MATCH(P17,ECR!$C:$C,0)),RISK!A:B,2,FALSE())</f>
        <v>3</v>
      </c>
      <c r="AB17" s="81"/>
      <c r="AC17" s="60" t="s">
        <v>294</v>
      </c>
      <c r="AD17" s="60" t="str">
        <f>VLOOKUP(AC17,ECR!E:L,8,FALSE())</f>
        <v>Zay Flowers</v>
      </c>
      <c r="AE17" s="60" t="str">
        <f>IFERROR(VLOOKUP(Aggregate!$AD17,ECR!C:F,2,FALSE()),"-")</f>
        <v>BAL</v>
      </c>
      <c r="AF17" s="60">
        <f>IFERROR(VLOOKUP(Aggregate!$AD17,ECR!C:F,4,FALSE()),"-")</f>
        <v>13</v>
      </c>
      <c r="AG17" s="60" t="str">
        <f>Aggregate!$AE17 &amp; "/" &amp; Aggregate!$AF17</f>
        <v>BAL/13</v>
      </c>
      <c r="AH17" s="62">
        <f>IFERROR(VLOOKUP(Aggregate!$AD17,WR!A:Q,13,FALSE())/17*(16-Aggregate!$AO17),0)</f>
        <v>146.4496253</v>
      </c>
      <c r="AI17" s="62">
        <f>IFERROR(VLOOKUP(Aggregate!$AD17,WR!A:Q,14,FALSE())/17*(16-Aggregate!$AO17),0)</f>
        <v>158.4922991</v>
      </c>
      <c r="AJ17" s="62">
        <f>IFERROR(VLOOKUP(Aggregate!$AD17,WR!A:Q,15,FALSE())/17*(16-Aggregate!$AO17),0)</f>
        <v>171.6218853</v>
      </c>
      <c r="AK17" s="69">
        <f>AVERAGE(Aggregate!$AH17,Aggregate!$AI17,Aggregate!$AJ17,VLOOKUP(Aggregate!$AD17,ECR!L:N,3,FALSE))</f>
        <v>157.2949383</v>
      </c>
      <c r="AL17" s="69">
        <f>Aggregate!$AK17-$AE$1</f>
        <v>75.77401125</v>
      </c>
      <c r="AM17" s="72">
        <f>MAX(Aggregate!$AL17*Scoring!$B$48+1,1)</f>
        <v>20.8545663</v>
      </c>
      <c r="AN17" s="73">
        <f>VLOOKUP(Aggregate!$AL17,BR:BT,3,FALSE)</f>
        <v>3</v>
      </c>
      <c r="AO17" s="80">
        <f t="array" ref="AO17">VLOOKUP(INDEX(ECR!$E:$E,MATCH(AD17,ECR!$C:$C,0)),RISK!A:B,2,FALSE())</f>
        <v>2.6105</v>
      </c>
      <c r="AP17" s="81"/>
      <c r="AQ17" s="85" t="s">
        <v>296</v>
      </c>
      <c r="AR17" s="85" t="str">
        <f>VLOOKUP(AQ17,ECR!E:L,8,FALSE())</f>
        <v>Jake Ferguson</v>
      </c>
      <c r="AS17" s="85" t="str">
        <f>IFERROR(VLOOKUP(Aggregate!$AR17,ECR!C:F,2,FALSE()),"-")</f>
        <v>DAL</v>
      </c>
      <c r="AT17" s="85">
        <f>IFERROR(VLOOKUP(Aggregate!$AR17,ECR!C:F,4,FALSE()),"-")</f>
        <v>14</v>
      </c>
      <c r="AU17" s="85" t="str">
        <f>Aggregate!$AS17 &amp; "/" &amp; Aggregate!$AT17</f>
        <v>DAL/14</v>
      </c>
      <c r="AV17" s="62">
        <f>IFERROR(VLOOKUP(Aggregate!$AR17,TE!A:K,9,FALSE())/17*(16-Aggregate!$BC17),0)</f>
        <v>93.06</v>
      </c>
      <c r="AW17" s="62">
        <f>IFERROR(VLOOKUP(Aggregate!$AR17,TE!A:K,10,FALSE())/17*(16-Aggregate!$BC17),0)</f>
        <v>100.962345</v>
      </c>
      <c r="AX17" s="62">
        <f>IFERROR(VLOOKUP(Aggregate!$AR17,TE!A:K,11,FALSE())/17*(16-Aggregate!$BC17),0)</f>
        <v>110.8965</v>
      </c>
      <c r="AY17" s="69">
        <f>AVERAGE(Aggregate!$AV17,Aggregate!$AW17,Aggregate!$AX17,VLOOKUP(Aggregate!$AR17,ECR!L:N,3,FALSE))</f>
        <v>101.4702975</v>
      </c>
      <c r="AZ17" s="69">
        <f>Aggregate!$AY17-$AS$1</f>
        <v>19.9319661</v>
      </c>
      <c r="BA17" s="72">
        <f>MAX(Aggregate!$AZ17*Scoring!$B$48+1,1)</f>
        <v>6.222642118</v>
      </c>
      <c r="BB17" s="62">
        <f>VLOOKUP(Aggregate!$AZ17,BW:BY,3,FALSE)</f>
        <v>4</v>
      </c>
      <c r="BC17" s="80">
        <f t="array" ref="BC17">VLOOKUP(INDEX(ECR!$E:$E,MATCH(AR17,ECR!$C:$C,0)),RISK!A:B,2,FALSE())</f>
        <v>2.8165</v>
      </c>
      <c r="BD17" s="62"/>
      <c r="BE17" s="81"/>
      <c r="BF17" s="81">
        <v>15.0</v>
      </c>
      <c r="BG17" s="81">
        <f t="shared" si="1"/>
        <v>218.6925464</v>
      </c>
      <c r="BH17" s="81">
        <f>IFERROR(LARGE($J$3:$J$52,15),"")</f>
        <v>-4.150411976</v>
      </c>
      <c r="BI17" s="81">
        <f t="shared" si="5"/>
        <v>5.440134059</v>
      </c>
      <c r="BJ17" s="81">
        <f t="shared" si="6"/>
        <v>4</v>
      </c>
      <c r="BK17" s="90">
        <v>15.0</v>
      </c>
      <c r="BL17" s="81">
        <f t="shared" si="2"/>
        <v>170.9117647</v>
      </c>
      <c r="BM17" s="91">
        <f>IFERROR(LARGE($X$3:$X$102,15),"")</f>
        <v>94.06558148</v>
      </c>
      <c r="BN17" s="91">
        <f t="shared" si="7"/>
        <v>94.06558148</v>
      </c>
      <c r="BO17" s="93">
        <f t="shared" si="8"/>
        <v>4</v>
      </c>
      <c r="BP17" s="91">
        <v>15.0</v>
      </c>
      <c r="BQ17" s="81">
        <f t="shared" si="3"/>
        <v>152.6159435</v>
      </c>
      <c r="BR17" s="91">
        <f>IFERROR(LARGE($AL$3:$AL$102,15),"")</f>
        <v>72.57400007</v>
      </c>
      <c r="BS17" s="91">
        <f t="shared" si="9"/>
        <v>75.77401125</v>
      </c>
      <c r="BT17" s="91">
        <f t="shared" si="10"/>
        <v>3</v>
      </c>
      <c r="BU17" s="81">
        <v>15.0</v>
      </c>
      <c r="BV17" s="81">
        <f t="shared" si="4"/>
        <v>100.962345</v>
      </c>
      <c r="BW17" s="91">
        <f>IFERROR(LARGE($AZ$3:$AZ$52,15),"")</f>
        <v>19.9319661</v>
      </c>
      <c r="BX17" s="91">
        <f t="shared" si="11"/>
        <v>19.9319661</v>
      </c>
      <c r="BY17" s="91">
        <f t="shared" si="12"/>
        <v>4</v>
      </c>
      <c r="BZ17" s="91"/>
      <c r="CA17" s="91"/>
      <c r="CB17" s="91"/>
      <c r="CC17" s="91"/>
      <c r="CD17" s="91"/>
      <c r="CE17" s="91"/>
      <c r="CF17" s="91"/>
      <c r="CG17" s="91"/>
    </row>
    <row r="18" ht="14.25" customHeight="1">
      <c r="A18" s="59" t="s">
        <v>298</v>
      </c>
      <c r="B18" s="59" t="str">
        <f>VLOOKUP(A18,ECR!E:L,8,FALSE())</f>
        <v>Jared Goff</v>
      </c>
      <c r="C18" s="60" t="str">
        <f>IFERROR(VLOOKUP(Aggregate!$B18,ECR!C:F,2,FALSE()),"-")</f>
        <v>DET</v>
      </c>
      <c r="D18" s="60">
        <f>IFERROR(VLOOKUP(Aggregate!$B18,ECR!C:F,4,FALSE()),"-")</f>
        <v>6</v>
      </c>
      <c r="E18" s="60" t="str">
        <f>Aggregate!$C18 &amp; "/" &amp; Aggregate!$D18</f>
        <v>DET/6</v>
      </c>
      <c r="F18" s="62">
        <f>IFERROR(VLOOKUP(Aggregate!$B18,QB!A:Q,15,FALSE())/17*(16-Aggregate!$M18),0)</f>
        <v>189.750132</v>
      </c>
      <c r="G18" s="62">
        <f>IFERROR(VLOOKUP(Aggregate!$B18,QB!A:Q,16,FALSE())/17*(16-Aggregate!$M18),0)</f>
        <v>205.51388</v>
      </c>
      <c r="H18" s="62">
        <f>IFERROR(VLOOKUP(Aggregate!$B18,QB!A:Q,17,FALSE())/17*(16-Aggregate!$M18),0)</f>
        <v>221.95628</v>
      </c>
      <c r="I18" s="69">
        <f>AVERAGE(Aggregate!$F18,Aggregate!$G18,Aggregate!$H18,VLOOKUP(Aggregate!$B18,ECR!L:N,3,FALSE))</f>
        <v>205.683543</v>
      </c>
      <c r="J18" s="69">
        <f>Aggregate!$I18-$C$1</f>
        <v>-15.963263</v>
      </c>
      <c r="K18" s="72">
        <f>MAX(Aggregate!$J18*Scoring!$B$48+1,1)</f>
        <v>1</v>
      </c>
      <c r="L18" s="73">
        <f>VLOOKUP(Aggregate!$J18,BH:BJ,3,FALSE)</f>
        <v>5</v>
      </c>
      <c r="M18" s="80">
        <f t="array" ref="M18">VLOOKUP(INDEX(ECR!$E:$E,MATCH(B18,ECR!$C:$C,0)),RISK!A:B,2,FALSE())</f>
        <v>2.298</v>
      </c>
      <c r="N18" s="81"/>
      <c r="O18" s="73" t="s">
        <v>300</v>
      </c>
      <c r="P18" s="59" t="str">
        <f>VLOOKUP(O18,ECR!E:L,8,FALSE())</f>
        <v>Josh Jacobs</v>
      </c>
      <c r="Q18" s="60" t="str">
        <f>IFERROR(VLOOKUP(Aggregate!$P18,ECR!C:F,2,FALSE()),"-")</f>
        <v>GB</v>
      </c>
      <c r="R18" s="60">
        <f>IFERROR(VLOOKUP(Aggregate!$P18,ECR!C:F,4,FALSE()),"-")</f>
        <v>11</v>
      </c>
      <c r="S18" s="60" t="str">
        <f>Aggregate!$Q18 &amp; "/" &amp; Aggregate!$R18</f>
        <v>GB/11</v>
      </c>
      <c r="T18" s="62">
        <f>IFERROR(VLOOKUP(Aggregate!$P18,RB!A:Q,13,FALSE())/17*(16-Aggregate!$AA18),0)</f>
        <v>159.8235294</v>
      </c>
      <c r="U18" s="62">
        <f>IFERROR(VLOOKUP(Aggregate!$P18,RB!A:Q,14,FALSE())/17*(16-Aggregate!$AA18),0)</f>
        <v>176.3947059</v>
      </c>
      <c r="V18" s="62">
        <f>IFERROR(VLOOKUP(Aggregate!$P18,RB!A:Q,15,FALSE())/17*(16-Aggregate!$AA18),0)</f>
        <v>189.1882353</v>
      </c>
      <c r="W18" s="69">
        <f>AVERAGE(Aggregate!$T18,Aggregate!$U18,Aggregate!$V18,VLOOKUP(Aggregate!$P18,ECR!L:N,3,FALSE))</f>
        <v>173.9094118</v>
      </c>
      <c r="X18" s="69">
        <f>Aggregate!$W18-$Q$1</f>
        <v>95.51852266</v>
      </c>
      <c r="Y18" s="72">
        <f>MAX(Aggregate!$X18*Scoring!$B$48+1,1)</f>
        <v>26.0280909</v>
      </c>
      <c r="Z18" s="73">
        <f>VLOOKUP(Aggregate!$X18,BM:BO,3,FALSE)</f>
        <v>3</v>
      </c>
      <c r="AA18" s="80">
        <f t="array" ref="AA18">VLOOKUP(INDEX(ECR!$E:$E,MATCH(P18,ECR!$C:$C,0)),RISK!A:B,2,FALSE())</f>
        <v>3</v>
      </c>
      <c r="AB18" s="81"/>
      <c r="AC18" s="60" t="s">
        <v>302</v>
      </c>
      <c r="AD18" s="60" t="str">
        <f>VLOOKUP(AC18,ECR!E:L,8,FALSE())</f>
        <v>Tee Higgins</v>
      </c>
      <c r="AE18" s="60" t="str">
        <f>IFERROR(VLOOKUP(Aggregate!$AD18,ECR!C:F,2,FALSE()),"-")</f>
        <v>CIN</v>
      </c>
      <c r="AF18" s="60">
        <f>IFERROR(VLOOKUP(Aggregate!$AD18,ECR!C:F,4,FALSE()),"-")</f>
        <v>6</v>
      </c>
      <c r="AG18" s="60" t="str">
        <f>Aggregate!$AE18 &amp; "/" &amp; Aggregate!$AF18</f>
        <v>CIN/6</v>
      </c>
      <c r="AH18" s="62">
        <f>IFERROR(VLOOKUP(Aggregate!$AD18,WR!A:Q,13,FALSE())/17*(16-Aggregate!$AO18),0)</f>
        <v>133.4651118</v>
      </c>
      <c r="AI18" s="62">
        <f>IFERROR(VLOOKUP(Aggregate!$AD18,WR!A:Q,14,FALSE())/17*(16-Aggregate!$AO18),0)</f>
        <v>145.8790129</v>
      </c>
      <c r="AJ18" s="62">
        <f>IFERROR(VLOOKUP(Aggregate!$AD18,WR!A:Q,15,FALSE())/17*(16-Aggregate!$AO18),0)</f>
        <v>161.7568941</v>
      </c>
      <c r="AK18" s="69">
        <f>AVERAGE(Aggregate!$AH18,Aggregate!$AI18,Aggregate!$AJ18,VLOOKUP(Aggregate!$AD18,ECR!L:N,3,FALSE))</f>
        <v>148.0210392</v>
      </c>
      <c r="AL18" s="69">
        <f>Aggregate!$AK18-$AE$1</f>
        <v>66.50011212</v>
      </c>
      <c r="AM18" s="72">
        <f>MAX(Aggregate!$AL18*Scoring!$B$48+1,1)</f>
        <v>18.42458745</v>
      </c>
      <c r="AN18" s="73">
        <f>VLOOKUP(Aggregate!$AL18,BR:BT,3,FALSE)</f>
        <v>3</v>
      </c>
      <c r="AO18" s="80">
        <f t="array" ref="AO18">VLOOKUP(INDEX(ECR!$E:$E,MATCH(AD18,ECR!$C:$C,0)),RISK!A:B,2,FALSE())</f>
        <v>2.677</v>
      </c>
      <c r="AP18" s="81"/>
      <c r="AQ18" s="85" t="s">
        <v>304</v>
      </c>
      <c r="AR18" s="85" t="str">
        <f>VLOOKUP(AQ18,ECR!E:L,8,FALSE())</f>
        <v>Juwan Johnson</v>
      </c>
      <c r="AS18" s="85" t="str">
        <f>IFERROR(VLOOKUP(Aggregate!$AR18,ECR!C:F,2,FALSE()),"-")</f>
        <v>NO</v>
      </c>
      <c r="AT18" s="85">
        <f>IFERROR(VLOOKUP(Aggregate!$AR18,ECR!C:F,4,FALSE()),"-")</f>
        <v>8</v>
      </c>
      <c r="AU18" s="85" t="str">
        <f>Aggregate!$AS18 &amp; "/" &amp; Aggregate!$AT18</f>
        <v>NO/8</v>
      </c>
      <c r="AV18" s="62">
        <f>IFERROR(VLOOKUP(Aggregate!$AR18,TE!A:K,9,FALSE())/17*(16-Aggregate!$BC18),0)</f>
        <v>83.25559059</v>
      </c>
      <c r="AW18" s="62">
        <f>IFERROR(VLOOKUP(Aggregate!$AR18,TE!A:K,10,FALSE())/17*(16-Aggregate!$BC18),0)</f>
        <v>95.12929059</v>
      </c>
      <c r="AX18" s="62">
        <f>IFERROR(VLOOKUP(Aggregate!$AR18,TE!A:K,11,FALSE())/17*(16-Aggregate!$BC18),0)</f>
        <v>112.7613471</v>
      </c>
      <c r="AY18" s="69">
        <f>AVERAGE(Aggregate!$AV18,Aggregate!$AW18,Aggregate!$AX18,VLOOKUP(Aggregate!$AR18,ECR!L:N,3,FALSE))</f>
        <v>97.07150821</v>
      </c>
      <c r="AZ18" s="69">
        <f>Aggregate!$AY18-$AS$1</f>
        <v>15.53317681</v>
      </c>
      <c r="BA18" s="72">
        <f>MAX(Aggregate!$AZ18*Scoring!$B$48+1,1)</f>
        <v>5.070056261</v>
      </c>
      <c r="BB18" s="62">
        <f>VLOOKUP(Aggregate!$AZ18,BW:BY,3,FALSE)</f>
        <v>4</v>
      </c>
      <c r="BC18" s="80">
        <f t="array" ref="BC18">VLOOKUP(INDEX(ECR!$E:$E,MATCH(AR18,ECR!$C:$C,0)),RISK!A:B,2,FALSE())</f>
        <v>2.807</v>
      </c>
      <c r="BD18" s="62"/>
      <c r="BE18" s="81"/>
      <c r="BF18" s="81">
        <v>16.0</v>
      </c>
      <c r="BG18" s="81">
        <f t="shared" si="1"/>
        <v>205.51388</v>
      </c>
      <c r="BH18" s="81">
        <f>IFERROR(LARGE($J$3:$J$52,16),"")</f>
        <v>-15.963263</v>
      </c>
      <c r="BI18" s="81">
        <f t="shared" si="5"/>
        <v>-15.963263</v>
      </c>
      <c r="BJ18" s="81">
        <f t="shared" si="6"/>
        <v>5</v>
      </c>
      <c r="BK18" s="90">
        <v>16.0</v>
      </c>
      <c r="BL18" s="81">
        <f t="shared" si="2"/>
        <v>170.2311765</v>
      </c>
      <c r="BM18" s="91">
        <f>IFERROR(LARGE($X$3:$X$102,16),"")</f>
        <v>91.50381678</v>
      </c>
      <c r="BN18" s="91">
        <f t="shared" si="7"/>
        <v>94.06558148</v>
      </c>
      <c r="BO18" s="93">
        <f t="shared" si="8"/>
        <v>4</v>
      </c>
      <c r="BP18" s="91">
        <v>16.0</v>
      </c>
      <c r="BQ18" s="81">
        <f t="shared" si="3"/>
        <v>150.9831379</v>
      </c>
      <c r="BR18" s="91">
        <f>IFERROR(LARGE($AL$3:$AL$102,16),"")</f>
        <v>69.24966679</v>
      </c>
      <c r="BS18" s="91">
        <f t="shared" si="9"/>
        <v>75.77401125</v>
      </c>
      <c r="BT18" s="91">
        <f t="shared" si="10"/>
        <v>3</v>
      </c>
      <c r="BU18" s="81">
        <v>16.0</v>
      </c>
      <c r="BV18" s="81">
        <f t="shared" si="4"/>
        <v>97.13980459</v>
      </c>
      <c r="BW18" s="91">
        <f>IFERROR(LARGE($AZ$3:$AZ$52,16),"")</f>
        <v>15.75151975</v>
      </c>
      <c r="BX18" s="91">
        <f t="shared" si="11"/>
        <v>19.9319661</v>
      </c>
      <c r="BY18" s="91">
        <f t="shared" si="12"/>
        <v>4</v>
      </c>
      <c r="BZ18" s="91"/>
      <c r="CA18" s="91"/>
      <c r="CB18" s="91"/>
      <c r="CC18" s="91"/>
      <c r="CD18" s="91"/>
      <c r="CE18" s="91"/>
      <c r="CF18" s="91"/>
      <c r="CG18" s="91"/>
    </row>
    <row r="19" ht="14.25" customHeight="1">
      <c r="A19" s="59" t="s">
        <v>306</v>
      </c>
      <c r="B19" s="59" t="str">
        <f>VLOOKUP(A19,ECR!E:L,8,FALSE())</f>
        <v>Baker Mayfield</v>
      </c>
      <c r="C19" s="60" t="str">
        <f>IFERROR(VLOOKUP(Aggregate!$B19,ECR!C:F,2,FALSE()),"-")</f>
        <v>TB</v>
      </c>
      <c r="D19" s="60">
        <f>IFERROR(VLOOKUP(Aggregate!$B19,ECR!C:F,4,FALSE()),"-")</f>
        <v>10</v>
      </c>
      <c r="E19" s="60" t="str">
        <f>Aggregate!$C19 &amp; "/" &amp; Aggregate!$D19</f>
        <v>TB/10</v>
      </c>
      <c r="F19" s="62">
        <f>IFERROR(VLOOKUP(Aggregate!$B19,QB!A:Q,15,FALSE())/17*(16-Aggregate!$M19),0)</f>
        <v>174.7118816</v>
      </c>
      <c r="G19" s="62">
        <f>IFERROR(VLOOKUP(Aggregate!$B19,QB!A:Q,16,FALSE())/17*(16-Aggregate!$M19),0)</f>
        <v>195.2884192</v>
      </c>
      <c r="H19" s="62">
        <f>IFERROR(VLOOKUP(Aggregate!$B19,QB!A:Q,17,FALSE())/17*(16-Aggregate!$M19),0)</f>
        <v>220.3326942</v>
      </c>
      <c r="I19" s="69">
        <f>AVERAGE(Aggregate!$F19,Aggregate!$G19,Aggregate!$H19,VLOOKUP(Aggregate!$B19,ECR!L:N,3,FALSE))</f>
        <v>196.4053536</v>
      </c>
      <c r="J19" s="69">
        <f>Aggregate!$I19-$C$1</f>
        <v>-25.24145243</v>
      </c>
      <c r="K19" s="72">
        <f>MAX(Aggregate!$J19*Scoring!$B$48+1,1)</f>
        <v>1</v>
      </c>
      <c r="L19" s="73">
        <f>VLOOKUP(Aggregate!$J19,BH:BJ,3,FALSE)</f>
        <v>5</v>
      </c>
      <c r="M19" s="80">
        <f t="array" ref="M19">VLOOKUP(INDEX(ECR!$E:$E,MATCH(B19,ECR!$C:$C,0)),RISK!A:B,2,FALSE())</f>
        <v>2.4081</v>
      </c>
      <c r="N19" s="81"/>
      <c r="O19" s="73" t="s">
        <v>308</v>
      </c>
      <c r="P19" s="59" t="str">
        <f>VLOOKUP(O19,ECR!E:L,8,FALSE())</f>
        <v>Jeremiyah Love</v>
      </c>
      <c r="Q19" s="60" t="str">
        <f>IFERROR(VLOOKUP(Aggregate!$P19,ECR!C:F,2,FALSE()),"-")</f>
        <v>ARI</v>
      </c>
      <c r="R19" s="60">
        <f>IFERROR(VLOOKUP(Aggregate!$P19,ECR!C:F,4,FALSE()),"-")</f>
        <v>14</v>
      </c>
      <c r="S19" s="60" t="str">
        <f>Aggregate!$Q19 &amp; "/" &amp; Aggregate!$R19</f>
        <v>ARI/14</v>
      </c>
      <c r="T19" s="62">
        <f>IFERROR(VLOOKUP(Aggregate!$P19,RB!A:Q,13,FALSE())/17*(16-Aggregate!$AA19),0)</f>
        <v>162.1065588</v>
      </c>
      <c r="U19" s="62">
        <f>IFERROR(VLOOKUP(Aggregate!$P19,RB!A:Q,14,FALSE())/17*(16-Aggregate!$AA19),0)</f>
        <v>179.6565588</v>
      </c>
      <c r="V19" s="62">
        <f>IFERROR(VLOOKUP(Aggregate!$P19,RB!A:Q,15,FALSE())/17*(16-Aggregate!$AA19),0)</f>
        <v>198.2159706</v>
      </c>
      <c r="W19" s="69">
        <f>AVERAGE(Aggregate!$T19,Aggregate!$U19,Aggregate!$V19,VLOOKUP(Aggregate!$P19,ECR!L:N,3,FALSE))</f>
        <v>176.6980074</v>
      </c>
      <c r="X19" s="69">
        <f>Aggregate!$W19-$Q$1</f>
        <v>98.30711825</v>
      </c>
      <c r="Y19" s="72">
        <f>MAX(Aggregate!$X19*Scoring!$B$48+1,1)</f>
        <v>26.75876828</v>
      </c>
      <c r="Z19" s="73">
        <f>VLOOKUP(Aggregate!$X19,BM:BO,3,FALSE)</f>
        <v>3</v>
      </c>
      <c r="AA19" s="80">
        <f t="array" ref="AA19">VLOOKUP(INDEX(ECR!$E:$E,MATCH(P19,ECR!$C:$C,0)),RISK!A:B,2,FALSE())</f>
        <v>3</v>
      </c>
      <c r="AB19" s="81"/>
      <c r="AC19" s="60" t="s">
        <v>310</v>
      </c>
      <c r="AD19" s="60" t="str">
        <f>VLOOKUP(AC19,ECR!E:L,8,FALSE())</f>
        <v>Tetairoa McMillan</v>
      </c>
      <c r="AE19" s="60" t="str">
        <f>IFERROR(VLOOKUP(Aggregate!$AD19,ECR!C:F,2,FALSE()),"-")</f>
        <v>CAR</v>
      </c>
      <c r="AF19" s="60">
        <f>IFERROR(VLOOKUP(Aggregate!$AD19,ECR!C:F,4,FALSE()),"-")</f>
        <v>5</v>
      </c>
      <c r="AG19" s="60" t="str">
        <f>Aggregate!$AE19 &amp; "/" &amp; Aggregate!$AF19</f>
        <v>CAR/5</v>
      </c>
      <c r="AH19" s="62">
        <f>IFERROR(VLOOKUP(Aggregate!$AD19,WR!A:Q,13,FALSE())/17*(16-Aggregate!$AO19),0)</f>
        <v>140.7613324</v>
      </c>
      <c r="AI19" s="62">
        <f>IFERROR(VLOOKUP(Aggregate!$AD19,WR!A:Q,14,FALSE())/17*(16-Aggregate!$AO19),0)</f>
        <v>150.5639359</v>
      </c>
      <c r="AJ19" s="62">
        <f>IFERROR(VLOOKUP(Aggregate!$AD19,WR!A:Q,15,FALSE())/17*(16-Aggregate!$AO19),0)</f>
        <v>161.1931712</v>
      </c>
      <c r="AK19" s="69">
        <f>AVERAGE(Aggregate!$AH19,Aggregate!$AI19,Aggregate!$AJ19,VLOOKUP(Aggregate!$AD19,ECR!L:N,3,FALSE))</f>
        <v>150.7705939</v>
      </c>
      <c r="AL19" s="69">
        <f>Aggregate!$AK19-$AE$1</f>
        <v>69.24966679</v>
      </c>
      <c r="AM19" s="72">
        <f>MAX(Aggregate!$AL19*Scoring!$B$48+1,1)</f>
        <v>19.14503519</v>
      </c>
      <c r="AN19" s="73">
        <f>VLOOKUP(Aggregate!$AL19,BR:BT,3,FALSE)</f>
        <v>3</v>
      </c>
      <c r="AO19" s="80">
        <f t="array" ref="AO19">VLOOKUP(INDEX(ECR!$E:$E,MATCH(AD19,ECR!$C:$C,0)),RISK!A:B,2,FALSE())</f>
        <v>2.7427</v>
      </c>
      <c r="AP19" s="81"/>
      <c r="AQ19" s="85" t="s">
        <v>312</v>
      </c>
      <c r="AR19" s="85" t="str">
        <f>VLOOKUP(AQ19,ECR!E:L,8,FALSE())</f>
        <v>Hunter Henry</v>
      </c>
      <c r="AS19" s="85" t="str">
        <f>IFERROR(VLOOKUP(Aggregate!$AR19,ECR!C:F,2,FALSE()),"-")</f>
        <v>NE</v>
      </c>
      <c r="AT19" s="85">
        <f>IFERROR(VLOOKUP(Aggregate!$AR19,ECR!C:F,4,FALSE()),"-")</f>
        <v>11</v>
      </c>
      <c r="AU19" s="85" t="str">
        <f>Aggregate!$AS19 &amp; "/" &amp; Aggregate!$AT19</f>
        <v>NE/11</v>
      </c>
      <c r="AV19" s="62">
        <f>IFERROR(VLOOKUP(Aggregate!$AR19,TE!A:K,9,FALSE())/17*(16-Aggregate!$BC19),0)</f>
        <v>92.85079706</v>
      </c>
      <c r="AW19" s="62">
        <f>IFERROR(VLOOKUP(Aggregate!$AR19,TE!A:K,10,FALSE())/17*(16-Aggregate!$BC19),0)</f>
        <v>97.13980459</v>
      </c>
      <c r="AX19" s="62">
        <f>IFERROR(VLOOKUP(Aggregate!$AR19,TE!A:K,11,FALSE())/17*(16-Aggregate!$BC19),0)</f>
        <v>104.0395124</v>
      </c>
      <c r="AY19" s="69">
        <f>AVERAGE(Aggregate!$AV19,Aggregate!$AW19,Aggregate!$AX19,VLOOKUP(Aggregate!$AR19,ECR!L:N,3,FALSE))</f>
        <v>97.28985115</v>
      </c>
      <c r="AZ19" s="69">
        <f>Aggregate!$AY19-$AS$1</f>
        <v>15.75151975</v>
      </c>
      <c r="BA19" s="72">
        <f>MAX(Aggregate!$AZ19*Scoring!$B$48+1,1)</f>
        <v>5.127267227</v>
      </c>
      <c r="BB19" s="62">
        <f>VLOOKUP(Aggregate!$AZ19,BW:BY,3,FALSE)</f>
        <v>4</v>
      </c>
      <c r="BC19" s="80">
        <f t="array" ref="BC19">VLOOKUP(INDEX(ECR!$E:$E,MATCH(AR19,ECR!$C:$C,0)),RISK!A:B,2,FALSE())</f>
        <v>2.7911</v>
      </c>
      <c r="BD19" s="62"/>
      <c r="BE19" s="81"/>
      <c r="BF19" s="81">
        <v>17.0</v>
      </c>
      <c r="BG19" s="81">
        <f t="shared" si="1"/>
        <v>195.2884192</v>
      </c>
      <c r="BH19" s="81">
        <f>IFERROR(LARGE($J$3:$J$52,17),"")</f>
        <v>-25.24145243</v>
      </c>
      <c r="BI19" s="81">
        <f t="shared" si="5"/>
        <v>-15.963263</v>
      </c>
      <c r="BJ19" s="81">
        <f t="shared" si="6"/>
        <v>5</v>
      </c>
      <c r="BK19" s="90">
        <v>17.0</v>
      </c>
      <c r="BL19" s="81">
        <f t="shared" si="2"/>
        <v>166.8129412</v>
      </c>
      <c r="BM19" s="91">
        <f>IFERROR(LARGE($X$3:$X$102,17),"")</f>
        <v>91.17690501</v>
      </c>
      <c r="BN19" s="91">
        <f t="shared" si="7"/>
        <v>94.06558148</v>
      </c>
      <c r="BO19" s="93">
        <f t="shared" si="8"/>
        <v>4</v>
      </c>
      <c r="BP19" s="91">
        <v>17.0</v>
      </c>
      <c r="BQ19" s="81">
        <f t="shared" si="3"/>
        <v>150.5639359</v>
      </c>
      <c r="BR19" s="91">
        <f>IFERROR(LARGE($AL$3:$AL$102,17),"")</f>
        <v>68.35313357</v>
      </c>
      <c r="BS19" s="91">
        <f t="shared" si="9"/>
        <v>75.77401125</v>
      </c>
      <c r="BT19" s="91">
        <f t="shared" si="10"/>
        <v>3</v>
      </c>
      <c r="BU19" s="81">
        <v>17.0</v>
      </c>
      <c r="BV19" s="81">
        <f t="shared" si="4"/>
        <v>95.12929059</v>
      </c>
      <c r="BW19" s="91">
        <f>IFERROR(LARGE($AZ$3:$AZ$52,17),"")</f>
        <v>15.53317681</v>
      </c>
      <c r="BX19" s="91">
        <f t="shared" si="11"/>
        <v>19.9319661</v>
      </c>
      <c r="BY19" s="91">
        <f t="shared" si="12"/>
        <v>4</v>
      </c>
      <c r="BZ19" s="91"/>
      <c r="CA19" s="91"/>
      <c r="CB19" s="91"/>
      <c r="CC19" s="91"/>
      <c r="CD19" s="91"/>
      <c r="CE19" s="91"/>
      <c r="CF19" s="91"/>
      <c r="CG19" s="91"/>
    </row>
    <row r="20" ht="14.25" customHeight="1">
      <c r="A20" s="59" t="s">
        <v>315</v>
      </c>
      <c r="B20" s="59" t="str">
        <f>VLOOKUP(A20,ECR!E:L,8,FALSE())</f>
        <v>Kyler Murray</v>
      </c>
      <c r="C20" s="60" t="str">
        <f>IFERROR(VLOOKUP(Aggregate!$B20,ECR!C:F,2,FALSE()),"-")</f>
        <v>MIN</v>
      </c>
      <c r="D20" s="60">
        <f>IFERROR(VLOOKUP(Aggregate!$B20,ECR!C:F,4,FALSE()),"-")</f>
        <v>6</v>
      </c>
      <c r="E20" s="60" t="str">
        <f>Aggregate!$C20 &amp; "/" &amp; Aggregate!$D20</f>
        <v>MIN/6</v>
      </c>
      <c r="F20" s="62">
        <f>IFERROR(VLOOKUP(Aggregate!$B20,QB!A:Q,15,FALSE())/17*(16-Aggregate!$M20),0)</f>
        <v>157.1698551</v>
      </c>
      <c r="G20" s="62">
        <f>IFERROR(VLOOKUP(Aggregate!$B20,QB!A:Q,16,FALSE())/17*(16-Aggregate!$M20),0)</f>
        <v>192.923489</v>
      </c>
      <c r="H20" s="62">
        <f>IFERROR(VLOOKUP(Aggregate!$B20,QB!A:Q,17,FALSE())/17*(16-Aggregate!$M20),0)</f>
        <v>228.1081205</v>
      </c>
      <c r="I20" s="69">
        <f>AVERAGE(Aggregate!$F20,Aggregate!$G20,Aggregate!$H20,VLOOKUP(Aggregate!$B20,ECR!L:N,3,FALSE))</f>
        <v>192.7812384</v>
      </c>
      <c r="J20" s="69">
        <f>Aggregate!$I20-$C$1</f>
        <v>-28.86556762</v>
      </c>
      <c r="K20" s="72">
        <f>MAX(Aggregate!$J20*Scoring!$B$48+1,1)</f>
        <v>1</v>
      </c>
      <c r="L20" s="73">
        <f>VLOOKUP(Aggregate!$J20,BH:BJ,3,FALSE)</f>
        <v>6</v>
      </c>
      <c r="M20" s="80">
        <f t="array" ref="M20">VLOOKUP(INDEX(ECR!$E:$E,MATCH(B20,ECR!$C:$C,0)),RISK!A:B,2,FALSE())</f>
        <v>2.5278</v>
      </c>
      <c r="N20" s="81"/>
      <c r="O20" s="73" t="s">
        <v>317</v>
      </c>
      <c r="P20" s="59" t="str">
        <f>VLOOKUP(O20,ECR!E:L,8,FALSE())</f>
        <v>Travis Etienne Jr.</v>
      </c>
      <c r="Q20" s="60" t="str">
        <f>IFERROR(VLOOKUP(Aggregate!$P20,ECR!C:F,2,FALSE()),"-")</f>
        <v>NO</v>
      </c>
      <c r="R20" s="60">
        <f>IFERROR(VLOOKUP(Aggregate!$P20,ECR!C:F,4,FALSE()),"-")</f>
        <v>8</v>
      </c>
      <c r="S20" s="60" t="str">
        <f>Aggregate!$Q20 &amp; "/" &amp; Aggregate!$R20</f>
        <v>NO/8</v>
      </c>
      <c r="T20" s="62">
        <f>IFERROR(VLOOKUP(Aggregate!$P20,RB!A:Q,13,FALSE())/17*(16-Aggregate!$AA20),0)</f>
        <v>144.4529412</v>
      </c>
      <c r="U20" s="62">
        <f>IFERROR(VLOOKUP(Aggregate!$P20,RB!A:Q,14,FALSE())/17*(16-Aggregate!$AA20),0)</f>
        <v>162.3164706</v>
      </c>
      <c r="V20" s="62">
        <f>IFERROR(VLOOKUP(Aggregate!$P20,RB!A:Q,15,FALSE())/17*(16-Aggregate!$AA20),0)</f>
        <v>184.6382353</v>
      </c>
      <c r="W20" s="69">
        <f>AVERAGE(Aggregate!$T20,Aggregate!$U20,Aggregate!$V20,VLOOKUP(Aggregate!$P20,ECR!L:N,3,FALSE))</f>
        <v>163.6413235</v>
      </c>
      <c r="X20" s="69">
        <f>Aggregate!$W20-$Q$1</f>
        <v>85.25043443</v>
      </c>
      <c r="Y20" s="72">
        <f>MAX(Aggregate!$X20*Scoring!$B$48+1,1)</f>
        <v>23.33761121</v>
      </c>
      <c r="Z20" s="73">
        <f>VLOOKUP(Aggregate!$X20,BM:BO,3,FALSE)</f>
        <v>4</v>
      </c>
      <c r="AA20" s="80">
        <f t="array" ref="AA20">VLOOKUP(INDEX(ECR!$E:$E,MATCH(P20,ECR!$C:$C,0)),RISK!A:B,2,FALSE())</f>
        <v>3</v>
      </c>
      <c r="AB20" s="81"/>
      <c r="AC20" s="60" t="s">
        <v>319</v>
      </c>
      <c r="AD20" s="60" t="str">
        <f>VLOOKUP(AC20,ECR!E:L,8,FALSE())</f>
        <v>Garrett Wilson</v>
      </c>
      <c r="AE20" s="60" t="str">
        <f>IFERROR(VLOOKUP(Aggregate!$AD20,ECR!C:F,2,FALSE()),"-")</f>
        <v>NYJ</v>
      </c>
      <c r="AF20" s="60">
        <f>IFERROR(VLOOKUP(Aggregate!$AD20,ECR!C:F,4,FALSE()),"-")</f>
        <v>13</v>
      </c>
      <c r="AG20" s="60" t="str">
        <f>Aggregate!$AE20 &amp; "/" &amp; Aggregate!$AF20</f>
        <v>NYJ/13</v>
      </c>
      <c r="AH20" s="62">
        <f>IFERROR(VLOOKUP(Aggregate!$AD20,WR!A:Q,13,FALSE())/17*(16-Aggregate!$AO20),0)</f>
        <v>130.2943506</v>
      </c>
      <c r="AI20" s="62">
        <f>IFERROR(VLOOKUP(Aggregate!$AD20,WR!A:Q,14,FALSE())/17*(16-Aggregate!$AO20),0)</f>
        <v>150.9831379</v>
      </c>
      <c r="AJ20" s="62">
        <f>IFERROR(VLOOKUP(Aggregate!$AD20,WR!A:Q,15,FALSE())/17*(16-Aggregate!$AO20),0)</f>
        <v>171.7417673</v>
      </c>
      <c r="AK20" s="69">
        <f>AVERAGE(Aggregate!$AH20,Aggregate!$AI20,Aggregate!$AJ20,VLOOKUP(Aggregate!$AD20,ECR!L:N,3,FALSE))</f>
        <v>149.8740606</v>
      </c>
      <c r="AL20" s="69">
        <f>Aggregate!$AK20-$AE$1</f>
        <v>68.35313357</v>
      </c>
      <c r="AM20" s="72">
        <f>MAX(Aggregate!$AL20*Scoring!$B$48+1,1)</f>
        <v>18.91012248</v>
      </c>
      <c r="AN20" s="73">
        <f>VLOOKUP(Aggregate!$AL20,BR:BT,3,FALSE)</f>
        <v>3</v>
      </c>
      <c r="AO20" s="80">
        <f t="array" ref="AO20">VLOOKUP(INDEX(ECR!$E:$E,MATCH(AD20,ECR!$C:$C,0)),RISK!A:B,2,FALSE())</f>
        <v>2.8076</v>
      </c>
      <c r="AP20" s="81"/>
      <c r="AQ20" s="85" t="s">
        <v>320</v>
      </c>
      <c r="AR20" s="85" t="str">
        <f>VLOOKUP(AQ20,ECR!E:L,8,FALSE())</f>
        <v>Brenton Strange</v>
      </c>
      <c r="AS20" s="85" t="str">
        <f>IFERROR(VLOOKUP(Aggregate!$AR20,ECR!C:F,2,FALSE()),"-")</f>
        <v>JAC</v>
      </c>
      <c r="AT20" s="85">
        <f>IFERROR(VLOOKUP(Aggregate!$AR20,ECR!C:F,4,FALSE()),"-")</f>
        <v>7</v>
      </c>
      <c r="AU20" s="85" t="str">
        <f>Aggregate!$AS20 &amp; "/" &amp; Aggregate!$AT20</f>
        <v>JAC/7</v>
      </c>
      <c r="AV20" s="62">
        <f>IFERROR(VLOOKUP(Aggregate!$AR20,TE!A:K,9,FALSE())/17*(16-Aggregate!$BC20),0)</f>
        <v>82.34476235</v>
      </c>
      <c r="AW20" s="62">
        <f>IFERROR(VLOOKUP(Aggregate!$AR20,TE!A:K,10,FALSE())/17*(16-Aggregate!$BC20),0)</f>
        <v>94.57973082</v>
      </c>
      <c r="AX20" s="62">
        <f>IFERROR(VLOOKUP(Aggregate!$AR20,TE!A:K,11,FALSE())/17*(16-Aggregate!$BC20),0)</f>
        <v>113.9439812</v>
      </c>
      <c r="AY20" s="69">
        <f>AVERAGE(Aggregate!$AV20,Aggregate!$AW20,Aggregate!$AX20,VLOOKUP(Aggregate!$AR20,ECR!L:N,3,FALSE))</f>
        <v>96.36205129</v>
      </c>
      <c r="AZ20" s="69">
        <f>Aggregate!$AY20-$AS$1</f>
        <v>14.8237199</v>
      </c>
      <c r="BA20" s="72">
        <f>MAX(Aggregate!$AZ20*Scoring!$B$48+1,1)</f>
        <v>4.884161927</v>
      </c>
      <c r="BB20" s="62">
        <f>VLOOKUP(Aggregate!$AZ20,BW:BY,3,FALSE)</f>
        <v>4</v>
      </c>
      <c r="BC20" s="80">
        <f t="array" ref="BC20">VLOOKUP(INDEX(ECR!$E:$E,MATCH(AR20,ECR!$C:$C,0)),RISK!A:B,2,FALSE())</f>
        <v>2.7688</v>
      </c>
      <c r="BD20" s="62"/>
      <c r="BE20" s="81"/>
      <c r="BF20" s="81">
        <v>18.0</v>
      </c>
      <c r="BG20" s="81">
        <f t="shared" si="1"/>
        <v>192.923489</v>
      </c>
      <c r="BH20" s="81">
        <f>IFERROR(LARGE($J$3:$J$52,18),"")</f>
        <v>-28.86556762</v>
      </c>
      <c r="BI20" s="81">
        <f t="shared" si="5"/>
        <v>-28.86556762</v>
      </c>
      <c r="BJ20" s="81">
        <f t="shared" si="6"/>
        <v>6</v>
      </c>
      <c r="BK20" s="90">
        <v>18.0</v>
      </c>
      <c r="BL20" s="81">
        <f t="shared" si="2"/>
        <v>163.1576471</v>
      </c>
      <c r="BM20" s="91">
        <f>IFERROR(LARGE($X$3:$X$102,18),"")</f>
        <v>85.25043443</v>
      </c>
      <c r="BN20" s="91">
        <f t="shared" si="7"/>
        <v>94.06558148</v>
      </c>
      <c r="BO20" s="93">
        <f t="shared" si="8"/>
        <v>4</v>
      </c>
      <c r="BP20" s="91">
        <v>18.0</v>
      </c>
      <c r="BQ20" s="81">
        <f t="shared" si="3"/>
        <v>146.4769868</v>
      </c>
      <c r="BR20" s="91">
        <f>IFERROR(LARGE($AL$3:$AL$102,18),"")</f>
        <v>66.50011212</v>
      </c>
      <c r="BS20" s="91">
        <f t="shared" si="9"/>
        <v>75.77401125</v>
      </c>
      <c r="BT20" s="91">
        <f t="shared" si="10"/>
        <v>3</v>
      </c>
      <c r="BU20" s="81">
        <v>18.0</v>
      </c>
      <c r="BV20" s="81">
        <f t="shared" si="4"/>
        <v>94.57973082</v>
      </c>
      <c r="BW20" s="91">
        <f>IFERROR(LARGE($AZ$3:$AZ$52,18),"")</f>
        <v>14.8237199</v>
      </c>
      <c r="BX20" s="91">
        <f t="shared" si="11"/>
        <v>19.9319661</v>
      </c>
      <c r="BY20" s="91">
        <f t="shared" si="12"/>
        <v>4</v>
      </c>
      <c r="BZ20" s="91"/>
      <c r="CA20" s="91"/>
      <c r="CB20" s="91"/>
      <c r="CC20" s="91"/>
      <c r="CD20" s="91"/>
      <c r="CE20" s="91"/>
      <c r="CF20" s="91"/>
      <c r="CG20" s="91"/>
    </row>
    <row r="21" ht="14.25" customHeight="1">
      <c r="A21" s="59" t="s">
        <v>323</v>
      </c>
      <c r="B21" s="59" t="str">
        <f>VLOOKUP(A21,ECR!E:L,8,FALSE())</f>
        <v>Jordan Love</v>
      </c>
      <c r="C21" s="60" t="str">
        <f>IFERROR(VLOOKUP(Aggregate!$B21,ECR!C:F,2,FALSE()),"-")</f>
        <v>GB</v>
      </c>
      <c r="D21" s="60">
        <f>IFERROR(VLOOKUP(Aggregate!$B21,ECR!C:F,4,FALSE()),"-")</f>
        <v>11</v>
      </c>
      <c r="E21" s="60" t="str">
        <f>Aggregate!$C21 &amp; "/" &amp; Aggregate!$D21</f>
        <v>GB/11</v>
      </c>
      <c r="F21" s="62">
        <f>IFERROR(VLOOKUP(Aggregate!$B21,QB!A:Q,15,FALSE())/17*(16-Aggregate!$M21),0)</f>
        <v>167.1315956</v>
      </c>
      <c r="G21" s="62">
        <f>IFERROR(VLOOKUP(Aggregate!$B21,QB!A:Q,16,FALSE())/17*(16-Aggregate!$M21),0)</f>
        <v>183.5151071</v>
      </c>
      <c r="H21" s="62">
        <f>IFERROR(VLOOKUP(Aggregate!$B21,QB!A:Q,17,FALSE())/17*(16-Aggregate!$M21),0)</f>
        <v>201.769764</v>
      </c>
      <c r="I21" s="69">
        <f>AVERAGE(Aggregate!$F21,Aggregate!$G21,Aggregate!$H21,VLOOKUP(Aggregate!$B21,ECR!L:N,3,FALSE))</f>
        <v>184.555012</v>
      </c>
      <c r="J21" s="69">
        <f>Aggregate!$I21-$C$1</f>
        <v>-37.09179401</v>
      </c>
      <c r="K21" s="72">
        <f>MAX(Aggregate!$J21*Scoring!$B$48+1,1)</f>
        <v>1</v>
      </c>
      <c r="L21" s="73">
        <f>VLOOKUP(Aggregate!$J21,BH:BJ,3,FALSE)</f>
        <v>6</v>
      </c>
      <c r="M21" s="80">
        <f t="array" ref="M21">VLOOKUP(INDEX(ECR!$E:$E,MATCH(B21,ECR!$C:$C,0)),RISK!A:B,2,FALSE())</f>
        <v>2.6571</v>
      </c>
      <c r="N21" s="81"/>
      <c r="O21" s="73" t="s">
        <v>325</v>
      </c>
      <c r="P21" s="59" t="str">
        <f>VLOOKUP(O21,ECR!E:L,8,FALSE())</f>
        <v>D'Andre Swift</v>
      </c>
      <c r="Q21" s="60" t="str">
        <f>IFERROR(VLOOKUP(Aggregate!$P21,ECR!C:F,2,FALSE()),"-")</f>
        <v>CHI</v>
      </c>
      <c r="R21" s="60">
        <f>IFERROR(VLOOKUP(Aggregate!$P21,ECR!C:F,4,FALSE()),"-")</f>
        <v>10</v>
      </c>
      <c r="S21" s="60" t="str">
        <f>Aggregate!$Q21 &amp; "/" &amp; Aggregate!$R21</f>
        <v>CHI/10</v>
      </c>
      <c r="T21" s="62">
        <f>IFERROR(VLOOKUP(Aggregate!$P21,RB!A:Q,13,FALSE())/17*(16-Aggregate!$AA21),0)</f>
        <v>143.4358824</v>
      </c>
      <c r="U21" s="62">
        <f>IFERROR(VLOOKUP(Aggregate!$P21,RB!A:Q,14,FALSE())/17*(16-Aggregate!$AA21),0)</f>
        <v>157.0247059</v>
      </c>
      <c r="V21" s="62">
        <f>IFERROR(VLOOKUP(Aggregate!$P21,RB!A:Q,15,FALSE())/17*(16-Aggregate!$AA21),0)</f>
        <v>170.2235294</v>
      </c>
      <c r="W21" s="69">
        <f>AVERAGE(Aggregate!$T21,Aggregate!$U21,Aggregate!$V21,VLOOKUP(Aggregate!$P21,ECR!L:N,3,FALSE))</f>
        <v>158.2501471</v>
      </c>
      <c r="X21" s="69">
        <f>Aggregate!$W21-$Q$1</f>
        <v>79.85925796</v>
      </c>
      <c r="Y21" s="72">
        <f>MAX(Aggregate!$X21*Scoring!$B$48+1,1)</f>
        <v>21.92499666</v>
      </c>
      <c r="Z21" s="73">
        <f>VLOOKUP(Aggregate!$X21,BM:BO,3,FALSE)</f>
        <v>4</v>
      </c>
      <c r="AA21" s="80">
        <f t="array" ref="AA21">VLOOKUP(INDEX(ECR!$E:$E,MATCH(P21,ECR!$C:$C,0)),RISK!A:B,2,FALSE())</f>
        <v>3</v>
      </c>
      <c r="AB21" s="81"/>
      <c r="AC21" s="60" t="s">
        <v>328</v>
      </c>
      <c r="AD21" s="60" t="str">
        <f>VLOOKUP(AC21,ECR!E:L,8,FALSE())</f>
        <v>Jaylen Waddle</v>
      </c>
      <c r="AE21" s="60" t="str">
        <f>IFERROR(VLOOKUP(Aggregate!$AD21,ECR!C:F,2,FALSE()),"-")</f>
        <v>DEN</v>
      </c>
      <c r="AF21" s="60">
        <f>IFERROR(VLOOKUP(Aggregate!$AD21,ECR!C:F,4,FALSE()),"-")</f>
        <v>10</v>
      </c>
      <c r="AG21" s="60" t="str">
        <f>Aggregate!$AE21 &amp; "/" &amp; Aggregate!$AF21</f>
        <v>DEN/10</v>
      </c>
      <c r="AH21" s="62">
        <f>IFERROR(VLOOKUP(Aggregate!$AD21,WR!A:Q,13,FALSE())/17*(16-Aggregate!$AO21),0)</f>
        <v>130.7424229</v>
      </c>
      <c r="AI21" s="62">
        <f>IFERROR(VLOOKUP(Aggregate!$AD21,WR!A:Q,14,FALSE())/17*(16-Aggregate!$AO21),0)</f>
        <v>133.5457011</v>
      </c>
      <c r="AJ21" s="62">
        <f>IFERROR(VLOOKUP(Aggregate!$AD21,WR!A:Q,15,FALSE())/17*(16-Aggregate!$AO21),0)</f>
        <v>136.6115453</v>
      </c>
      <c r="AK21" s="69">
        <f>AVERAGE(Aggregate!$AH21,Aggregate!$AI21,Aggregate!$AJ21,VLOOKUP(Aggregate!$AD21,ECR!L:N,3,FALSE))</f>
        <v>136.6946706</v>
      </c>
      <c r="AL21" s="69">
        <f>Aggregate!$AK21-$AE$1</f>
        <v>55.17374351</v>
      </c>
      <c r="AM21" s="72">
        <f>MAX(Aggregate!$AL21*Scoring!$B$48+1,1)</f>
        <v>15.4568135</v>
      </c>
      <c r="AN21" s="73">
        <f>VLOOKUP(Aggregate!$AL21,BR:BT,3,FALSE)</f>
        <v>3</v>
      </c>
      <c r="AO21" s="80">
        <f t="array" ref="AO21">VLOOKUP(INDEX(ECR!$E:$E,MATCH(AD21,ECR!$C:$C,0)),RISK!A:B,2,FALSE())</f>
        <v>2.8717</v>
      </c>
      <c r="AP21" s="81"/>
      <c r="AQ21" s="85" t="s">
        <v>329</v>
      </c>
      <c r="AR21" s="85" t="str">
        <f>VLOOKUP(AQ21,ECR!E:L,8,FALSE())</f>
        <v>Chig Okonkwo</v>
      </c>
      <c r="AS21" s="85" t="str">
        <f>IFERROR(VLOOKUP(Aggregate!$AR21,ECR!C:F,2,FALSE()),"-")</f>
        <v>WAS</v>
      </c>
      <c r="AT21" s="85">
        <f>IFERROR(VLOOKUP(Aggregate!$AR21,ECR!C:F,4,FALSE()),"-")</f>
        <v>7</v>
      </c>
      <c r="AU21" s="85" t="str">
        <f>Aggregate!$AS21 &amp; "/" &amp; Aggregate!$AT21</f>
        <v>WAS/7</v>
      </c>
      <c r="AV21" s="62">
        <f>IFERROR(VLOOKUP(Aggregate!$AR21,TE!A:K,9,FALSE())/17*(16-Aggregate!$BC21),0)</f>
        <v>71.25246265</v>
      </c>
      <c r="AW21" s="62">
        <f>IFERROR(VLOOKUP(Aggregate!$AR21,TE!A:K,10,FALSE())/17*(16-Aggregate!$BC21),0)</f>
        <v>77.96041206</v>
      </c>
      <c r="AX21" s="62">
        <f>IFERROR(VLOOKUP(Aggregate!$AR21,TE!A:K,11,FALSE())/17*(16-Aggregate!$BC21),0)</f>
        <v>84.16136529</v>
      </c>
      <c r="AY21" s="69">
        <f>AVERAGE(Aggregate!$AV21,Aggregate!$AW21,Aggregate!$AX21,VLOOKUP(Aggregate!$AR21,ECR!L:N,3,FALSE))</f>
        <v>80.96461147</v>
      </c>
      <c r="AZ21" s="69">
        <f>Aggregate!$AY21-$AS$1</f>
        <v>-0.5737199265</v>
      </c>
      <c r="BA21" s="72">
        <f>MAX(Aggregate!$AZ21*Scoring!$B$48+1,1)</f>
        <v>1</v>
      </c>
      <c r="BB21" s="62">
        <f>VLOOKUP(Aggregate!$AZ21,BW:BY,3,FALSE)</f>
        <v>5</v>
      </c>
      <c r="BC21" s="80">
        <f t="array" ref="BC21">VLOOKUP(INDEX(ECR!$E:$E,MATCH(AR21,ECR!$C:$C,0)),RISK!A:B,2,FALSE())</f>
        <v>2.7401</v>
      </c>
      <c r="BD21" s="62"/>
      <c r="BE21" s="81"/>
      <c r="BF21" s="81">
        <v>19.0</v>
      </c>
      <c r="BG21" s="81">
        <f t="shared" si="1"/>
        <v>185.8035812</v>
      </c>
      <c r="BH21" s="81">
        <f>IFERROR(LARGE($J$3:$J$52,19),"")</f>
        <v>-36.3761197</v>
      </c>
      <c r="BI21" s="81">
        <f t="shared" si="5"/>
        <v>-28.86556762</v>
      </c>
      <c r="BJ21" s="81">
        <f t="shared" si="6"/>
        <v>6</v>
      </c>
      <c r="BK21" s="90">
        <v>19.0</v>
      </c>
      <c r="BL21" s="81">
        <f t="shared" si="2"/>
        <v>162.3164706</v>
      </c>
      <c r="BM21" s="91">
        <f>IFERROR(LARGE($X$3:$X$102,19),"")</f>
        <v>83.34249325</v>
      </c>
      <c r="BN21" s="91">
        <f t="shared" si="7"/>
        <v>94.06558148</v>
      </c>
      <c r="BO21" s="93">
        <f t="shared" si="8"/>
        <v>4</v>
      </c>
      <c r="BP21" s="91">
        <v>19.0</v>
      </c>
      <c r="BQ21" s="81">
        <f t="shared" si="3"/>
        <v>145.8790129</v>
      </c>
      <c r="BR21" s="91">
        <f>IFERROR(LARGE($AL$3:$AL$102,19),"")</f>
        <v>62.8305736</v>
      </c>
      <c r="BS21" s="91">
        <f t="shared" si="9"/>
        <v>75.77401125</v>
      </c>
      <c r="BT21" s="91">
        <f t="shared" si="10"/>
        <v>3</v>
      </c>
      <c r="BU21" s="81">
        <v>19.0</v>
      </c>
      <c r="BV21" s="81">
        <f t="shared" si="4"/>
        <v>90.48420588</v>
      </c>
      <c r="BW21" s="91">
        <f>IFERROR(LARGE($AZ$3:$AZ$52,19),"")</f>
        <v>7.987620515</v>
      </c>
      <c r="BX21" s="91">
        <f t="shared" si="11"/>
        <v>19.9319661</v>
      </c>
      <c r="BY21" s="91">
        <f t="shared" si="12"/>
        <v>4</v>
      </c>
      <c r="BZ21" s="91"/>
      <c r="CA21" s="91"/>
      <c r="CB21" s="91"/>
      <c r="CC21" s="91"/>
      <c r="CD21" s="91"/>
      <c r="CE21" s="91"/>
      <c r="CF21" s="91"/>
      <c r="CG21" s="91"/>
    </row>
    <row r="22" ht="14.25" customHeight="1">
      <c r="A22" s="59" t="s">
        <v>330</v>
      </c>
      <c r="B22" s="59" t="str">
        <f>VLOOKUP(A22,ECR!E:L,8,FALSE())</f>
        <v>Tyler Shough</v>
      </c>
      <c r="C22" s="60" t="str">
        <f>IFERROR(VLOOKUP(Aggregate!$B22,ECR!C:F,2,FALSE()),"-")</f>
        <v>NO</v>
      </c>
      <c r="D22" s="60">
        <f>IFERROR(VLOOKUP(Aggregate!$B22,ECR!C:F,4,FALSE()),"-")</f>
        <v>8</v>
      </c>
      <c r="E22" s="60" t="str">
        <f>Aggregate!$C22 &amp; "/" &amp; Aggregate!$D22</f>
        <v>NO/8</v>
      </c>
      <c r="F22" s="62">
        <f>IFERROR(VLOOKUP(Aggregate!$B22,QB!A:Q,15,FALSE())/17*(16-Aggregate!$M22),0)</f>
        <v>168.7642075</v>
      </c>
      <c r="G22" s="62">
        <f>IFERROR(VLOOKUP(Aggregate!$B22,QB!A:Q,16,FALSE())/17*(16-Aggregate!$M22),0)</f>
        <v>185.8035812</v>
      </c>
      <c r="H22" s="62">
        <f>IFERROR(VLOOKUP(Aggregate!$B22,QB!A:Q,17,FALSE())/17*(16-Aggregate!$M22),0)</f>
        <v>202.9998494</v>
      </c>
      <c r="I22" s="69">
        <f>AVERAGE(Aggregate!$F22,Aggregate!$G22,Aggregate!$H22,VLOOKUP(Aggregate!$B22,ECR!L:N,3,FALSE))</f>
        <v>185.2706863</v>
      </c>
      <c r="J22" s="69">
        <f>Aggregate!$I22-$C$1</f>
        <v>-36.3761197</v>
      </c>
      <c r="K22" s="72">
        <f>MAX(Aggregate!$J22*Scoring!$B$48+1,1)</f>
        <v>1</v>
      </c>
      <c r="L22" s="73">
        <f>VLOOKUP(Aggregate!$J22,BH:BJ,3,FALSE)</f>
        <v>6</v>
      </c>
      <c r="M22" s="80">
        <f t="array" ref="M22">VLOOKUP(INDEX(ECR!$E:$E,MATCH(B22,ECR!$C:$C,0)),RISK!A:B,2,FALSE())</f>
        <v>2.796</v>
      </c>
      <c r="N22" s="81"/>
      <c r="O22" s="73" t="s">
        <v>331</v>
      </c>
      <c r="P22" s="59" t="str">
        <f>VLOOKUP(O22,ECR!E:L,8,FALSE())</f>
        <v>Cam Skattebo</v>
      </c>
      <c r="Q22" s="60" t="str">
        <f>IFERROR(VLOOKUP(Aggregate!$P22,ECR!C:F,2,FALSE()),"-")</f>
        <v>NYG</v>
      </c>
      <c r="R22" s="60">
        <f>IFERROR(VLOOKUP(Aggregate!$P22,ECR!C:F,4,FALSE()),"-")</f>
        <v>8</v>
      </c>
      <c r="S22" s="60" t="str">
        <f>Aggregate!$Q22 &amp; "/" &amp; Aggregate!$R22</f>
        <v>NYG/8</v>
      </c>
      <c r="T22" s="62">
        <f>IFERROR(VLOOKUP(Aggregate!$P22,RB!A:Q,13,FALSE())/17*(16-Aggregate!$AA22),0)</f>
        <v>144.56</v>
      </c>
      <c r="U22" s="62">
        <f>IFERROR(VLOOKUP(Aggregate!$P22,RB!A:Q,14,FALSE())/17*(16-Aggregate!$AA22),0)</f>
        <v>163.1576471</v>
      </c>
      <c r="V22" s="62">
        <f>IFERROR(VLOOKUP(Aggregate!$P22,RB!A:Q,15,FALSE())/17*(16-Aggregate!$AA22),0)</f>
        <v>182.1911765</v>
      </c>
      <c r="W22" s="69">
        <f>AVERAGE(Aggregate!$T22,Aggregate!$U22,Aggregate!$V22,VLOOKUP(Aggregate!$P22,ECR!L:N,3,FALSE))</f>
        <v>161.7333824</v>
      </c>
      <c r="X22" s="69">
        <f>Aggregate!$W22-$Q$1</f>
        <v>83.34249325</v>
      </c>
      <c r="Y22" s="72">
        <f>MAX(Aggregate!$X22*Scoring!$B$48+1,1)</f>
        <v>22.83768592</v>
      </c>
      <c r="Z22" s="73">
        <f>VLOOKUP(Aggregate!$X22,BM:BO,3,FALSE)</f>
        <v>4</v>
      </c>
      <c r="AA22" s="80">
        <f t="array" ref="AA22">VLOOKUP(INDEX(ECR!$E:$E,MATCH(P22,ECR!$C:$C,0)),RISK!A:B,2,FALSE())</f>
        <v>3</v>
      </c>
      <c r="AB22" s="81"/>
      <c r="AC22" s="60" t="s">
        <v>332</v>
      </c>
      <c r="AD22" s="60" t="str">
        <f>VLOOKUP(AC22,ECR!E:L,8,FALSE())</f>
        <v>Ladd McConkey</v>
      </c>
      <c r="AE22" s="60" t="str">
        <f>IFERROR(VLOOKUP(Aggregate!$AD22,ECR!C:F,2,FALSE()),"-")</f>
        <v>LAC</v>
      </c>
      <c r="AF22" s="60">
        <f>IFERROR(VLOOKUP(Aggregate!$AD22,ECR!C:F,4,FALSE()),"-")</f>
        <v>7</v>
      </c>
      <c r="AG22" s="60" t="str">
        <f>Aggregate!$AE22 &amp; "/" &amp; Aggregate!$AF22</f>
        <v>LAC/7</v>
      </c>
      <c r="AH22" s="62">
        <f>IFERROR(VLOOKUP(Aggregate!$AD22,WR!A:Q,13,FALSE())/17*(16-Aggregate!$AO22),0)</f>
        <v>129.4203529</v>
      </c>
      <c r="AI22" s="62">
        <f>IFERROR(VLOOKUP(Aggregate!$AD22,WR!A:Q,14,FALSE())/17*(16-Aggregate!$AO22),0)</f>
        <v>138.9578029</v>
      </c>
      <c r="AJ22" s="62">
        <f>IFERROR(VLOOKUP(Aggregate!$AD22,WR!A:Q,15,FALSE())/17*(16-Aggregate!$AO22),0)</f>
        <v>148.2800647</v>
      </c>
      <c r="AK22" s="69">
        <f>AVERAGE(Aggregate!$AH22,Aggregate!$AI22,Aggregate!$AJ22,VLOOKUP(Aggregate!$AD22,ECR!L:N,3,FALSE))</f>
        <v>139.711185</v>
      </c>
      <c r="AL22" s="69">
        <f>Aggregate!$AK22-$AE$1</f>
        <v>58.19025799</v>
      </c>
      <c r="AM22" s="72">
        <f>MAX(Aggregate!$AL22*Scoring!$B$48+1,1)</f>
        <v>16.24721097</v>
      </c>
      <c r="AN22" s="73">
        <f>VLOOKUP(Aggregate!$AL22,BR:BT,3,FALSE)</f>
        <v>3</v>
      </c>
      <c r="AO22" s="80">
        <f t="array" ref="AO22">VLOOKUP(INDEX(ECR!$E:$E,MATCH(AD22,ECR!$C:$C,0)),RISK!A:B,2,FALSE())</f>
        <v>2.935</v>
      </c>
      <c r="AP22" s="81"/>
      <c r="AQ22" s="85" t="s">
        <v>333</v>
      </c>
      <c r="AR22" s="85" t="str">
        <f>VLOOKUP(AQ22,ECR!E:L,8,FALSE())</f>
        <v>Dalton Schultz</v>
      </c>
      <c r="AS22" s="85" t="str">
        <f>IFERROR(VLOOKUP(Aggregate!$AR22,ECR!C:F,2,FALSE()),"-")</f>
        <v>HOU</v>
      </c>
      <c r="AT22" s="85">
        <f>IFERROR(VLOOKUP(Aggregate!$AR22,ECR!C:F,4,FALSE()),"-")</f>
        <v>8</v>
      </c>
      <c r="AU22" s="85" t="str">
        <f>Aggregate!$AS22 &amp; "/" &amp; Aggregate!$AT22</f>
        <v>HOU/8</v>
      </c>
      <c r="AV22" s="62">
        <f>IFERROR(VLOOKUP(Aggregate!$AR22,TE!A:K,9,FALSE())/17*(16-Aggregate!$BC22),0)</f>
        <v>80.04372059</v>
      </c>
      <c r="AW22" s="62">
        <f>IFERROR(VLOOKUP(Aggregate!$AR22,TE!A:K,10,FALSE())/17*(16-Aggregate!$BC22),0)</f>
        <v>90.48420588</v>
      </c>
      <c r="AX22" s="62">
        <f>IFERROR(VLOOKUP(Aggregate!$AR22,TE!A:K,11,FALSE())/17*(16-Aggregate!$BC22),0)</f>
        <v>99.94711765</v>
      </c>
      <c r="AY22" s="69">
        <f>AVERAGE(Aggregate!$AV22,Aggregate!$AW22,Aggregate!$AX22,VLOOKUP(Aggregate!$AR22,ECR!L:N,3,FALSE))</f>
        <v>89.52595191</v>
      </c>
      <c r="AZ22" s="69">
        <f>Aggregate!$AY22-$AS$1</f>
        <v>7.987620515</v>
      </c>
      <c r="BA22" s="72">
        <f>MAX(Aggregate!$AZ22*Scoring!$B$48+1,1)</f>
        <v>3.092943722</v>
      </c>
      <c r="BB22" s="62">
        <f>VLOOKUP(Aggregate!$AZ22,BW:BY,3,FALSE)</f>
        <v>4</v>
      </c>
      <c r="BC22" s="80">
        <f t="array" ref="BC22">VLOOKUP(INDEX(ECR!$E:$E,MATCH(AR22,ECR!$C:$C,0)),RISK!A:B,2,FALSE())</f>
        <v>2.705</v>
      </c>
      <c r="BD22" s="62"/>
      <c r="BE22" s="81"/>
      <c r="BF22" s="81">
        <v>20.0</v>
      </c>
      <c r="BG22" s="81">
        <f t="shared" si="1"/>
        <v>183.5151071</v>
      </c>
      <c r="BH22" s="81">
        <f>IFERROR(LARGE($J$3:$J$52,20),"")</f>
        <v>-37.09179401</v>
      </c>
      <c r="BI22" s="81">
        <f t="shared" si="5"/>
        <v>-28.86556762</v>
      </c>
      <c r="BJ22" s="81">
        <f t="shared" si="6"/>
        <v>6</v>
      </c>
      <c r="BK22" s="90">
        <v>20.0</v>
      </c>
      <c r="BL22" s="81">
        <f t="shared" si="2"/>
        <v>157.0247059</v>
      </c>
      <c r="BM22" s="91">
        <f>IFERROR(LARGE($X$3:$X$102,20),"")</f>
        <v>79.85925796</v>
      </c>
      <c r="BN22" s="91">
        <f t="shared" si="7"/>
        <v>94.06558148</v>
      </c>
      <c r="BO22" s="93">
        <f t="shared" si="8"/>
        <v>4</v>
      </c>
      <c r="BP22" s="91">
        <v>20.0</v>
      </c>
      <c r="BQ22" s="81">
        <f t="shared" si="3"/>
        <v>142.1865196</v>
      </c>
      <c r="BR22" s="91">
        <f>IFERROR(LARGE($AL$3:$AL$102,20),"")</f>
        <v>59.08591169</v>
      </c>
      <c r="BS22" s="91">
        <f t="shared" si="9"/>
        <v>75.77401125</v>
      </c>
      <c r="BT22" s="91">
        <f t="shared" si="10"/>
        <v>3</v>
      </c>
      <c r="BU22" s="81">
        <v>20.0</v>
      </c>
      <c r="BV22" s="81">
        <f t="shared" si="4"/>
        <v>87.62876353</v>
      </c>
      <c r="BW22" s="91">
        <f>IFERROR(LARGE($AZ$3:$AZ$52,20),"")</f>
        <v>5.005592662</v>
      </c>
      <c r="BX22" s="91">
        <f t="shared" si="11"/>
        <v>19.9319661</v>
      </c>
      <c r="BY22" s="91">
        <f t="shared" si="12"/>
        <v>4</v>
      </c>
      <c r="BZ22" s="91"/>
      <c r="CA22" s="91"/>
      <c r="CB22" s="91"/>
      <c r="CC22" s="91"/>
      <c r="CD22" s="91"/>
      <c r="CE22" s="91"/>
      <c r="CF22" s="91"/>
      <c r="CG22" s="91"/>
    </row>
    <row r="23" ht="14.25" customHeight="1">
      <c r="A23" s="59" t="s">
        <v>334</v>
      </c>
      <c r="B23" s="59" t="str">
        <f>VLOOKUP(A23,ECR!E:L,8,FALSE())</f>
        <v>Malik Willis</v>
      </c>
      <c r="C23" s="60" t="str">
        <f>IFERROR(VLOOKUP(Aggregate!$B23,ECR!C:F,2,FALSE()),"-")</f>
        <v>MIA</v>
      </c>
      <c r="D23" s="60">
        <f>IFERROR(VLOOKUP(Aggregate!$B23,ECR!C:F,4,FALSE()),"-")</f>
        <v>6</v>
      </c>
      <c r="E23" s="60" t="str">
        <f>Aggregate!$C23 &amp; "/" &amp; Aggregate!$D23</f>
        <v>MIA/6</v>
      </c>
      <c r="F23" s="62">
        <f>IFERROR(VLOOKUP(Aggregate!$B23,QB!A:Q,15,FALSE())/17*(16-Aggregate!$M23),0)</f>
        <v>130.4398044</v>
      </c>
      <c r="G23" s="62">
        <f>IFERROR(VLOOKUP(Aggregate!$B23,QB!A:Q,16,FALSE())/17*(16-Aggregate!$M23),0)</f>
        <v>173.0145579</v>
      </c>
      <c r="H23" s="62">
        <f>IFERROR(VLOOKUP(Aggregate!$B23,QB!A:Q,17,FALSE())/17*(16-Aggregate!$M23),0)</f>
        <v>224.0200925</v>
      </c>
      <c r="I23" s="69">
        <f>AVERAGE(Aggregate!$F23,Aggregate!$G23,Aggregate!$H23,VLOOKUP(Aggregate!$B23,ECR!L:N,3,FALSE))</f>
        <v>176.0850843</v>
      </c>
      <c r="J23" s="69">
        <f>Aggregate!$I23-$C$1</f>
        <v>-45.56172172</v>
      </c>
      <c r="K23" s="72">
        <f>MAX(Aggregate!$J23*Scoring!$B$48+1,1)</f>
        <v>1</v>
      </c>
      <c r="L23" s="73">
        <f>VLOOKUP(Aggregate!$J23,BH:BJ,3,FALSE)</f>
        <v>7</v>
      </c>
      <c r="M23" s="80">
        <f t="array" ref="M23">VLOOKUP(INDEX(ECR!$E:$E,MATCH(B23,ECR!$C:$C,0)),RISK!A:B,2,FALSE())</f>
        <v>2.9445</v>
      </c>
      <c r="N23" s="81"/>
      <c r="O23" s="73" t="s">
        <v>335</v>
      </c>
      <c r="P23" s="59" t="str">
        <f>VLOOKUP(O23,ECR!E:L,8,FALSE())</f>
        <v>Bucky Irving</v>
      </c>
      <c r="Q23" s="60" t="str">
        <f>IFERROR(VLOOKUP(Aggregate!$P23,ECR!C:F,2,FALSE()),"-")</f>
        <v>TB</v>
      </c>
      <c r="R23" s="60">
        <f>IFERROR(VLOOKUP(Aggregate!$P23,ECR!C:F,4,FALSE()),"-")</f>
        <v>10</v>
      </c>
      <c r="S23" s="60" t="str">
        <f>Aggregate!$Q23 &amp; "/" &amp; Aggregate!$R23</f>
        <v>TB/10</v>
      </c>
      <c r="T23" s="62">
        <f>IFERROR(VLOOKUP(Aggregate!$P23,RB!A:Q,13,FALSE())/17*(16-Aggregate!$AA23),0)</f>
        <v>142.9388235</v>
      </c>
      <c r="U23" s="62">
        <f>IFERROR(VLOOKUP(Aggregate!$P23,RB!A:Q,14,FALSE())/17*(16-Aggregate!$AA23),0)</f>
        <v>155.6635294</v>
      </c>
      <c r="V23" s="62">
        <f>IFERROR(VLOOKUP(Aggregate!$P23,RB!A:Q,15,FALSE())/17*(16-Aggregate!$AA23),0)</f>
        <v>171.7529412</v>
      </c>
      <c r="W23" s="69">
        <f>AVERAGE(Aggregate!$T23,Aggregate!$U23,Aggregate!$V23,VLOOKUP(Aggregate!$P23,ECR!L:N,3,FALSE))</f>
        <v>156.5047059</v>
      </c>
      <c r="X23" s="69">
        <f>Aggregate!$W23-$Q$1</f>
        <v>78.11381678</v>
      </c>
      <c r="Y23" s="72">
        <f>MAX(Aggregate!$X23*Scoring!$B$48+1,1)</f>
        <v>21.46765017</v>
      </c>
      <c r="Z23" s="73">
        <f>VLOOKUP(Aggregate!$X23,BM:BO,3,FALSE)</f>
        <v>4</v>
      </c>
      <c r="AA23" s="80">
        <f t="array" ref="AA23">VLOOKUP(INDEX(ECR!$E:$E,MATCH(P23,ECR!$C:$C,0)),RISK!A:B,2,FALSE())</f>
        <v>3</v>
      </c>
      <c r="AB23" s="81"/>
      <c r="AC23" s="60" t="s">
        <v>336</v>
      </c>
      <c r="AD23" s="60" t="str">
        <f>VLOOKUP(AC23,ECR!E:L,8,FALSE())</f>
        <v>Emeka Egbuka</v>
      </c>
      <c r="AE23" s="60" t="str">
        <f>IFERROR(VLOOKUP(Aggregate!$AD23,ECR!C:F,2,FALSE()),"-")</f>
        <v>TB</v>
      </c>
      <c r="AF23" s="60">
        <f>IFERROR(VLOOKUP(Aggregate!$AD23,ECR!C:F,4,FALSE()),"-")</f>
        <v>10</v>
      </c>
      <c r="AG23" s="60" t="str">
        <f>Aggregate!$AE23 &amp; "/" &amp; Aggregate!$AF23</f>
        <v>TB/10</v>
      </c>
      <c r="AH23" s="62">
        <f>IFERROR(VLOOKUP(Aggregate!$AD23,WR!A:Q,13,FALSE())/17*(16-Aggregate!$AO23),0)</f>
        <v>137.8265</v>
      </c>
      <c r="AI23" s="62">
        <f>IFERROR(VLOOKUP(Aggregate!$AD23,WR!A:Q,14,FALSE())/17*(16-Aggregate!$AO23),0)</f>
        <v>146.4769868</v>
      </c>
      <c r="AJ23" s="62">
        <f>IFERROR(VLOOKUP(Aggregate!$AD23,WR!A:Q,15,FALSE())/17*(16-Aggregate!$AO23),0)</f>
        <v>154.1331647</v>
      </c>
      <c r="AK23" s="69">
        <f>AVERAGE(Aggregate!$AH23,Aggregate!$AI23,Aggregate!$AJ23,VLOOKUP(Aggregate!$AD23,ECR!L:N,3,FALSE))</f>
        <v>144.3515007</v>
      </c>
      <c r="AL23" s="69">
        <f>Aggregate!$AK23-$AE$1</f>
        <v>62.8305736</v>
      </c>
      <c r="AM23" s="72">
        <f>MAX(Aggregate!$AL23*Scoring!$B$48+1,1)</f>
        <v>17.46308238</v>
      </c>
      <c r="AN23" s="73">
        <f>VLOOKUP(Aggregate!$AL23,BR:BT,3,FALSE)</f>
        <v>3</v>
      </c>
      <c r="AO23" s="80">
        <f t="array" ref="AO23">VLOOKUP(INDEX(ECR!$E:$E,MATCH(AD23,ECR!$C:$C,0)),RISK!A:B,2,FALSE())</f>
        <v>2.9975</v>
      </c>
      <c r="AP23" s="81"/>
      <c r="AQ23" s="85" t="s">
        <v>337</v>
      </c>
      <c r="AR23" s="85" t="str">
        <f>VLOOKUP(AQ23,ECR!E:L,8,FALSE())</f>
        <v>AJ Barner</v>
      </c>
      <c r="AS23" s="85" t="str">
        <f>IFERROR(VLOOKUP(Aggregate!$AR23,ECR!C:F,2,FALSE()),"-")</f>
        <v>SEA</v>
      </c>
      <c r="AT23" s="85">
        <f>IFERROR(VLOOKUP(Aggregate!$AR23,ECR!C:F,4,FALSE()),"-")</f>
        <v>11</v>
      </c>
      <c r="AU23" s="85" t="str">
        <f>Aggregate!$AS23 &amp; "/" &amp; Aggregate!$AT23</f>
        <v>SEA/11</v>
      </c>
      <c r="AV23" s="62">
        <f>IFERROR(VLOOKUP(Aggregate!$AR23,TE!A:K,9,FALSE())/17*(16-Aggregate!$BC23),0)</f>
        <v>67.63959</v>
      </c>
      <c r="AW23" s="62">
        <f>IFERROR(VLOOKUP(Aggregate!$AR23,TE!A:K,10,FALSE())/17*(16-Aggregate!$BC23),0)</f>
        <v>78.677505</v>
      </c>
      <c r="AX23" s="62">
        <f>IFERROR(VLOOKUP(Aggregate!$AR23,TE!A:K,11,FALSE())/17*(16-Aggregate!$BC23),0)</f>
        <v>93.6693</v>
      </c>
      <c r="AY23" s="69">
        <f>AVERAGE(Aggregate!$AV23,Aggregate!$AW23,Aggregate!$AX23,VLOOKUP(Aggregate!$AR23,ECR!L:N,3,FALSE))</f>
        <v>81.5383314</v>
      </c>
      <c r="AZ23" s="69">
        <f>Aggregate!$AY23-$AS$1</f>
        <v>0</v>
      </c>
      <c r="BA23" s="72">
        <f>MAX(Aggregate!$AZ23*Scoring!$B$48+1,1)</f>
        <v>1</v>
      </c>
      <c r="BB23" s="62">
        <f>VLOOKUP(Aggregate!$AZ23,BW:BY,3,FALSE)</f>
        <v>5</v>
      </c>
      <c r="BC23" s="80">
        <f t="array" ref="BC23">VLOOKUP(INDEX(ECR!$E:$E,MATCH(AR23,ECR!$C:$C,0)),RISK!A:B,2,FALSE())</f>
        <v>2.6635</v>
      </c>
      <c r="BD23" s="62"/>
      <c r="BE23" s="81"/>
      <c r="BF23" s="81">
        <v>21.0</v>
      </c>
      <c r="BG23" s="81">
        <f t="shared" si="1"/>
        <v>176.8658824</v>
      </c>
      <c r="BH23" s="81">
        <f>IFERROR(LARGE($J$3:$J$52,21),"")</f>
        <v>-44.39805306</v>
      </c>
      <c r="BI23" s="81">
        <f t="shared" si="5"/>
        <v>-44.39805306</v>
      </c>
      <c r="BJ23" s="81">
        <f t="shared" si="6"/>
        <v>7</v>
      </c>
      <c r="BK23" s="90">
        <v>21.0</v>
      </c>
      <c r="BL23" s="81">
        <f t="shared" si="2"/>
        <v>155.6635294</v>
      </c>
      <c r="BM23" s="91">
        <f>IFERROR(LARGE($X$3:$X$102,21),"")</f>
        <v>78.11381678</v>
      </c>
      <c r="BN23" s="91">
        <f t="shared" si="7"/>
        <v>94.06558148</v>
      </c>
      <c r="BO23" s="93">
        <f t="shared" si="8"/>
        <v>4</v>
      </c>
      <c r="BP23" s="91">
        <v>21.0</v>
      </c>
      <c r="BQ23" s="81">
        <f t="shared" si="3"/>
        <v>138.9693512</v>
      </c>
      <c r="BR23" s="91">
        <f>IFERROR(LARGE($AL$3:$AL$102,21),"")</f>
        <v>58.19025799</v>
      </c>
      <c r="BS23" s="91">
        <f t="shared" si="9"/>
        <v>75.77401125</v>
      </c>
      <c r="BT23" s="91">
        <f t="shared" si="10"/>
        <v>3</v>
      </c>
      <c r="BU23" s="81">
        <v>21.0</v>
      </c>
      <c r="BV23" s="81">
        <f t="shared" si="4"/>
        <v>86.16693059</v>
      </c>
      <c r="BW23" s="91">
        <f>IFERROR(LARGE($AZ$3:$AZ$52,21),"")</f>
        <v>1.583113897</v>
      </c>
      <c r="BX23" s="91">
        <f t="shared" si="11"/>
        <v>1.583113897</v>
      </c>
      <c r="BY23" s="91">
        <f t="shared" si="12"/>
        <v>5</v>
      </c>
      <c r="BZ23" s="91"/>
      <c r="CA23" s="91"/>
      <c r="CB23" s="91"/>
      <c r="CC23" s="91"/>
      <c r="CD23" s="91"/>
      <c r="CE23" s="91"/>
      <c r="CF23" s="91"/>
      <c r="CG23" s="91"/>
    </row>
    <row r="24" ht="14.25" customHeight="1">
      <c r="A24" s="59" t="s">
        <v>338</v>
      </c>
      <c r="B24" s="59" t="str">
        <f>VLOOKUP(A24,ECR!E:L,8,FALSE())</f>
        <v>Sam Darnold</v>
      </c>
      <c r="C24" s="60" t="str">
        <f>IFERROR(VLOOKUP(Aggregate!$B24,ECR!C:F,2,FALSE()),"-")</f>
        <v>SEA</v>
      </c>
      <c r="D24" s="60">
        <f>IFERROR(VLOOKUP(Aggregate!$B24,ECR!C:F,4,FALSE()),"-")</f>
        <v>11</v>
      </c>
      <c r="E24" s="60" t="str">
        <f>Aggregate!$C24 &amp; "/" &amp; Aggregate!$D24</f>
        <v>SEA/11</v>
      </c>
      <c r="F24" s="62">
        <f>IFERROR(VLOOKUP(Aggregate!$B24,QB!A:Q,15,FALSE())/17*(16-Aggregate!$M24),0)</f>
        <v>150.7964008</v>
      </c>
      <c r="G24" s="62">
        <f>IFERROR(VLOOKUP(Aggregate!$B24,QB!A:Q,16,FALSE())/17*(16-Aggregate!$M24),0)</f>
        <v>171.6249431</v>
      </c>
      <c r="H24" s="62">
        <f>IFERROR(VLOOKUP(Aggregate!$B24,QB!A:Q,17,FALSE())/17*(16-Aggregate!$M24),0)</f>
        <v>198.104064</v>
      </c>
      <c r="I24" s="69">
        <f>AVERAGE(Aggregate!$F24,Aggregate!$G24,Aggregate!$H24,VLOOKUP(Aggregate!$B24,ECR!L:N,3,FALSE))</f>
        <v>173.3849915</v>
      </c>
      <c r="J24" s="69">
        <f>Aggregate!$I24-$C$1</f>
        <v>-48.26181455</v>
      </c>
      <c r="K24" s="72">
        <f>MAX(Aggregate!$J24*Scoring!$B$48+1,1)</f>
        <v>1</v>
      </c>
      <c r="L24" s="73">
        <f>VLOOKUP(Aggregate!$J24,BH:BJ,3,FALSE)</f>
        <v>7</v>
      </c>
      <c r="M24" s="80">
        <f t="array" ref="M24">VLOOKUP(INDEX(ECR!$E:$E,MATCH(B24,ECR!$C:$C,0)),RISK!A:B,2,FALSE())</f>
        <v>3.1026</v>
      </c>
      <c r="N24" s="81"/>
      <c r="O24" s="73" t="s">
        <v>339</v>
      </c>
      <c r="P24" s="59" t="str">
        <f>VLOOKUP(O24,ECR!E:L,8,FALSE())</f>
        <v>Quinshon Judkins</v>
      </c>
      <c r="Q24" s="60" t="str">
        <f>IFERROR(VLOOKUP(Aggregate!$P24,ECR!C:F,2,FALSE()),"-")</f>
        <v>CLE</v>
      </c>
      <c r="R24" s="60">
        <f>IFERROR(VLOOKUP(Aggregate!$P24,ECR!C:F,4,FALSE()),"-")</f>
        <v>11</v>
      </c>
      <c r="S24" s="60" t="str">
        <f>Aggregate!$Q24 &amp; "/" &amp; Aggregate!$R24</f>
        <v>CLE/11</v>
      </c>
      <c r="T24" s="62">
        <f>IFERROR(VLOOKUP(Aggregate!$P24,RB!A:Q,13,FALSE())/17*(16-Aggregate!$AA24),0)</f>
        <v>132.2941176</v>
      </c>
      <c r="U24" s="62">
        <f>IFERROR(VLOOKUP(Aggregate!$P24,RB!A:Q,14,FALSE())/17*(16-Aggregate!$AA24),0)</f>
        <v>152.0464706</v>
      </c>
      <c r="V24" s="62">
        <f>IFERROR(VLOOKUP(Aggregate!$P24,RB!A:Q,15,FALSE())/17*(16-Aggregate!$AA24),0)</f>
        <v>175.1941176</v>
      </c>
      <c r="W24" s="69">
        <f>AVERAGE(Aggregate!$T24,Aggregate!$U24,Aggregate!$V24,VLOOKUP(Aggregate!$P24,ECR!L:N,3,FALSE))</f>
        <v>152.8952941</v>
      </c>
      <c r="X24" s="69">
        <f>Aggregate!$W24-$Q$1</f>
        <v>74.50440501</v>
      </c>
      <c r="Y24" s="72">
        <f>MAX(Aggregate!$X24*Scoring!$B$48+1,1)</f>
        <v>20.52189972</v>
      </c>
      <c r="Z24" s="73">
        <f>VLOOKUP(Aggregate!$X24,BM:BO,3,FALSE)</f>
        <v>4</v>
      </c>
      <c r="AA24" s="80">
        <f t="array" ref="AA24">VLOOKUP(INDEX(ECR!$E:$E,MATCH(P24,ECR!$C:$C,0)),RISK!A:B,2,FALSE())</f>
        <v>3</v>
      </c>
      <c r="AB24" s="81"/>
      <c r="AC24" s="60" t="s">
        <v>340</v>
      </c>
      <c r="AD24" s="60" t="str">
        <f>VLOOKUP(AC24,ECR!E:L,8,FALSE())</f>
        <v>Terry McLaurin</v>
      </c>
      <c r="AE24" s="60" t="str">
        <f>IFERROR(VLOOKUP(Aggregate!$AD24,ECR!C:F,2,FALSE()),"-")</f>
        <v>WAS</v>
      </c>
      <c r="AF24" s="60">
        <f>IFERROR(VLOOKUP(Aggregate!$AD24,ECR!C:F,4,FALSE()),"-")</f>
        <v>7</v>
      </c>
      <c r="AG24" s="60" t="str">
        <f>Aggregate!$AE24 &amp; "/" &amp; Aggregate!$AF24</f>
        <v>WAS/7</v>
      </c>
      <c r="AH24" s="62">
        <f>IFERROR(VLOOKUP(Aggregate!$AD24,WR!A:Q,13,FALSE())/17*(16-Aggregate!$AO24),0)</f>
        <v>121.7196424</v>
      </c>
      <c r="AI24" s="62">
        <f>IFERROR(VLOOKUP(Aggregate!$AD24,WR!A:Q,14,FALSE())/17*(16-Aggregate!$AO24),0)</f>
        <v>133.6251784</v>
      </c>
      <c r="AJ24" s="62">
        <f>IFERROR(VLOOKUP(Aggregate!$AD24,WR!A:Q,15,FALSE())/17*(16-Aggregate!$AO24),0)</f>
        <v>155.2439266</v>
      </c>
      <c r="AK24" s="69">
        <f>AVERAGE(Aggregate!$AH24,Aggregate!$AI24,Aggregate!$AJ24,VLOOKUP(Aggregate!$AD24,ECR!L:N,3,FALSE))</f>
        <v>137.3866376</v>
      </c>
      <c r="AL24" s="69">
        <f>Aggregate!$AK24-$AE$1</f>
        <v>55.8657105</v>
      </c>
      <c r="AM24" s="72">
        <f>MAX(Aggregate!$AL24*Scoring!$B$48+1,1)</f>
        <v>15.63812506</v>
      </c>
      <c r="AN24" s="73">
        <f>VLOOKUP(Aggregate!$AL24,BR:BT,3,FALSE)</f>
        <v>3</v>
      </c>
      <c r="AO24" s="80">
        <f t="array" ref="AO24">VLOOKUP(INDEX(ECR!$E:$E,MATCH(AD24,ECR!$C:$C,0)),RISK!A:B,2,FALSE())</f>
        <v>3.0592</v>
      </c>
      <c r="AP24" s="81"/>
      <c r="AQ24" s="85" t="s">
        <v>341</v>
      </c>
      <c r="AR24" s="85" t="str">
        <f>VLOOKUP(AQ24,ECR!E:L,8,FALSE())</f>
        <v>T.J. Hockenson</v>
      </c>
      <c r="AS24" s="85" t="str">
        <f>IFERROR(VLOOKUP(Aggregate!$AR24,ECR!C:F,2,FALSE()),"-")</f>
        <v>MIN</v>
      </c>
      <c r="AT24" s="85">
        <f>IFERROR(VLOOKUP(Aggregate!$AR24,ECR!C:F,4,FALSE()),"-")</f>
        <v>6</v>
      </c>
      <c r="AU24" s="85" t="str">
        <f>Aggregate!$AS24 &amp; "/" &amp; Aggregate!$AT24</f>
        <v>MIN/6</v>
      </c>
      <c r="AV24" s="62">
        <f>IFERROR(VLOOKUP(Aggregate!$AR24,TE!A:K,9,FALSE())/17*(16-Aggregate!$BC24),0)</f>
        <v>75.03137176</v>
      </c>
      <c r="AW24" s="62">
        <f>IFERROR(VLOOKUP(Aggregate!$AR24,TE!A:K,10,FALSE())/17*(16-Aggregate!$BC24),0)</f>
        <v>85.66016</v>
      </c>
      <c r="AX24" s="62">
        <f>IFERROR(VLOOKUP(Aggregate!$AR24,TE!A:K,11,FALSE())/17*(16-Aggregate!$BC24),0)</f>
        <v>99.82400447</v>
      </c>
      <c r="AY24" s="69">
        <f>AVERAGE(Aggregate!$AV24,Aggregate!$AW24,Aggregate!$AX24,VLOOKUP(Aggregate!$AR24,ECR!L:N,3,FALSE))</f>
        <v>86.54392406</v>
      </c>
      <c r="AZ24" s="69">
        <f>Aggregate!$AY24-$AS$1</f>
        <v>5.005592662</v>
      </c>
      <c r="BA24" s="72">
        <f>MAX(Aggregate!$AZ24*Scoring!$B$48+1,1)</f>
        <v>2.311582557</v>
      </c>
      <c r="BB24" s="62">
        <f>VLOOKUP(Aggregate!$AZ24,BW:BY,3,FALSE)</f>
        <v>4</v>
      </c>
      <c r="BC24" s="80">
        <f t="array" ref="BC24">VLOOKUP(INDEX(ECR!$E:$E,MATCH(AR24,ECR!$C:$C,0)),RISK!A:B,2,FALSE())</f>
        <v>2.6156</v>
      </c>
      <c r="BD24" s="62"/>
      <c r="BE24" s="81"/>
      <c r="BF24" s="81">
        <v>22.0</v>
      </c>
      <c r="BG24" s="81">
        <f t="shared" si="1"/>
        <v>173.0145579</v>
      </c>
      <c r="BH24" s="81">
        <f>IFERROR(LARGE($J$3:$J$52,22),"")</f>
        <v>-45.56172172</v>
      </c>
      <c r="BI24" s="81">
        <f t="shared" si="5"/>
        <v>-44.39805306</v>
      </c>
      <c r="BJ24" s="81">
        <f t="shared" si="6"/>
        <v>7</v>
      </c>
      <c r="BK24" s="90">
        <v>22.0</v>
      </c>
      <c r="BL24" s="81">
        <f t="shared" si="2"/>
        <v>152.0464706</v>
      </c>
      <c r="BM24" s="91">
        <f>IFERROR(LARGE($X$3:$X$102,22),"")</f>
        <v>74.50440501</v>
      </c>
      <c r="BN24" s="91">
        <f t="shared" si="7"/>
        <v>94.06558148</v>
      </c>
      <c r="BO24" s="93">
        <f t="shared" si="8"/>
        <v>4</v>
      </c>
      <c r="BP24" s="91">
        <v>22.0</v>
      </c>
      <c r="BQ24" s="81">
        <f t="shared" si="3"/>
        <v>138.9578029</v>
      </c>
      <c r="BR24" s="91">
        <f>IFERROR(LARGE($AL$3:$AL$102,22),"")</f>
        <v>55.8657105</v>
      </c>
      <c r="BS24" s="91">
        <f t="shared" si="9"/>
        <v>75.77401125</v>
      </c>
      <c r="BT24" s="91">
        <f t="shared" si="10"/>
        <v>3</v>
      </c>
      <c r="BU24" s="81">
        <v>22.0</v>
      </c>
      <c r="BV24" s="81">
        <f t="shared" si="4"/>
        <v>85.66016</v>
      </c>
      <c r="BW24" s="91">
        <f>IFERROR(LARGE($AZ$3:$AZ$52,22),"")</f>
        <v>0.51083325</v>
      </c>
      <c r="BX24" s="91">
        <f t="shared" si="11"/>
        <v>1.583113897</v>
      </c>
      <c r="BY24" s="91">
        <f t="shared" si="12"/>
        <v>5</v>
      </c>
      <c r="BZ24" s="91"/>
      <c r="CA24" s="91"/>
      <c r="CB24" s="91"/>
      <c r="CC24" s="91"/>
      <c r="CD24" s="91"/>
      <c r="CE24" s="91"/>
      <c r="CF24" s="91"/>
      <c r="CG24" s="91"/>
    </row>
    <row r="25" ht="14.25" customHeight="1">
      <c r="A25" s="59" t="s">
        <v>342</v>
      </c>
      <c r="B25" s="59" t="str">
        <f>VLOOKUP(A25,ECR!E:L,8,FALSE())</f>
        <v>C.J. Stroud</v>
      </c>
      <c r="C25" s="60" t="str">
        <f>IFERROR(VLOOKUP(Aggregate!$B25,ECR!C:F,2,FALSE()),"-")</f>
        <v>HOU</v>
      </c>
      <c r="D25" s="60">
        <f>IFERROR(VLOOKUP(Aggregate!$B25,ECR!C:F,4,FALSE()),"-")</f>
        <v>8</v>
      </c>
      <c r="E25" s="60" t="str">
        <f>Aggregate!$C25 &amp; "/" &amp; Aggregate!$D25</f>
        <v>HOU/8</v>
      </c>
      <c r="F25" s="62">
        <f>IFERROR(VLOOKUP(Aggregate!$B25,QB!A:Q,15,FALSE())/17*(16-Aggregate!$M25),0)</f>
        <v>148.3143529</v>
      </c>
      <c r="G25" s="62">
        <f>IFERROR(VLOOKUP(Aggregate!$B25,QB!A:Q,16,FALSE())/17*(16-Aggregate!$M25),0)</f>
        <v>164.6185412</v>
      </c>
      <c r="H25" s="62">
        <f>IFERROR(VLOOKUP(Aggregate!$B25,QB!A:Q,17,FALSE())/17*(16-Aggregate!$M25),0)</f>
        <v>190.1417412</v>
      </c>
      <c r="I25" s="69">
        <f>AVERAGE(Aggregate!$F25,Aggregate!$G25,Aggregate!$H25,VLOOKUP(Aggregate!$B25,ECR!L:N,3,FALSE))</f>
        <v>168.6748946</v>
      </c>
      <c r="J25" s="69">
        <f>Aggregate!$I25-$C$1</f>
        <v>-52.97191139</v>
      </c>
      <c r="K25" s="72">
        <f>MAX(Aggregate!$J25*Scoring!$B$48+1,1)</f>
        <v>1</v>
      </c>
      <c r="L25" s="73">
        <f>VLOOKUP(Aggregate!$J25,BH:BJ,3,FALSE)</f>
        <v>7</v>
      </c>
      <c r="M25" s="80">
        <f t="array" ref="M25">VLOOKUP(INDEX(ECR!$E:$E,MATCH(B25,ECR!$C:$C,0)),RISK!A:B,2,FALSE())</f>
        <v>3.2</v>
      </c>
      <c r="N25" s="81"/>
      <c r="O25" s="73" t="s">
        <v>343</v>
      </c>
      <c r="P25" s="59" t="str">
        <f>VLOOKUP(O25,ECR!E:L,8,FALSE())</f>
        <v>David Montgomery</v>
      </c>
      <c r="Q25" s="60" t="str">
        <f>IFERROR(VLOOKUP(Aggregate!$P25,ECR!C:F,2,FALSE()),"-")</f>
        <v>HOU</v>
      </c>
      <c r="R25" s="60">
        <f>IFERROR(VLOOKUP(Aggregate!$P25,ECR!C:F,4,FALSE()),"-")</f>
        <v>8</v>
      </c>
      <c r="S25" s="60" t="str">
        <f>Aggregate!$Q25 &amp; "/" &amp; Aggregate!$R25</f>
        <v>HOU/8</v>
      </c>
      <c r="T25" s="62">
        <f>IFERROR(VLOOKUP(Aggregate!$P25,RB!A:Q,13,FALSE())/17*(16-Aggregate!$AA25),0)</f>
        <v>127.1959082</v>
      </c>
      <c r="U25" s="62">
        <f>IFERROR(VLOOKUP(Aggregate!$P25,RB!A:Q,14,FALSE())/17*(16-Aggregate!$AA25),0)</f>
        <v>138.4348712</v>
      </c>
      <c r="V25" s="62">
        <f>IFERROR(VLOOKUP(Aggregate!$P25,RB!A:Q,15,FALSE())/17*(16-Aggregate!$AA25),0)</f>
        <v>153.89324</v>
      </c>
      <c r="W25" s="69">
        <f>AVERAGE(Aggregate!$T25,Aggregate!$U25,Aggregate!$V25,VLOOKUP(Aggregate!$P25,ECR!L:N,3,FALSE))</f>
        <v>142.4119357</v>
      </c>
      <c r="X25" s="69">
        <f>Aggregate!$W25-$Q$1</f>
        <v>64.02104661</v>
      </c>
      <c r="Y25" s="72">
        <f>MAX(Aggregate!$X25*Scoring!$B$48+1,1)</f>
        <v>17.7750142</v>
      </c>
      <c r="Z25" s="73">
        <f>VLOOKUP(Aggregate!$X25,BM:BO,3,FALSE)</f>
        <v>5</v>
      </c>
      <c r="AA25" s="80">
        <f t="array" ref="AA25">VLOOKUP(INDEX(ECR!$E:$E,MATCH(P25,ECR!$C:$C,0)),RISK!A:B,2,FALSE())</f>
        <v>2.9582</v>
      </c>
      <c r="AB25" s="81"/>
      <c r="AC25" s="60" t="s">
        <v>344</v>
      </c>
      <c r="AD25" s="60" t="str">
        <f>VLOOKUP(AC25,ECR!E:L,8,FALSE())</f>
        <v>Davante Adams</v>
      </c>
      <c r="AE25" s="60" t="str">
        <f>IFERROR(VLOOKUP(Aggregate!$AD25,ECR!C:F,2,FALSE()),"-")</f>
        <v>LAR</v>
      </c>
      <c r="AF25" s="60">
        <f>IFERROR(VLOOKUP(Aggregate!$AD25,ECR!C:F,4,FALSE()),"-")</f>
        <v>11</v>
      </c>
      <c r="AG25" s="60" t="str">
        <f>Aggregate!$AE25 &amp; "/" &amp; Aggregate!$AF25</f>
        <v>LAR/11</v>
      </c>
      <c r="AH25" s="62">
        <f>IFERROR(VLOOKUP(Aggregate!$AD25,WR!A:Q,13,FALSE())/17*(16-Aggregate!$AO25),0)</f>
        <v>134.8980115</v>
      </c>
      <c r="AI25" s="62">
        <f>IFERROR(VLOOKUP(Aggregate!$AD25,WR!A:Q,14,FALSE())/17*(16-Aggregate!$AO25),0)</f>
        <v>142.1865196</v>
      </c>
      <c r="AJ25" s="62">
        <f>IFERROR(VLOOKUP(Aggregate!$AD25,WR!A:Q,15,FALSE())/17*(16-Aggregate!$AO25),0)</f>
        <v>151.7176456</v>
      </c>
      <c r="AK25" s="69">
        <f>AVERAGE(Aggregate!$AH25,Aggregate!$AI25,Aggregate!$AJ25,VLOOKUP(Aggregate!$AD25,ECR!L:N,3,FALSE))</f>
        <v>140.6068388</v>
      </c>
      <c r="AL25" s="69">
        <f>Aggregate!$AK25-$AE$1</f>
        <v>59.08591169</v>
      </c>
      <c r="AM25" s="72">
        <f>MAX(Aggregate!$AL25*Scoring!$B$48+1,1)</f>
        <v>16.48189322</v>
      </c>
      <c r="AN25" s="73">
        <f>VLOOKUP(Aggregate!$AL25,BR:BT,3,FALSE)</f>
        <v>3</v>
      </c>
      <c r="AO25" s="80">
        <f t="array" ref="AO25">VLOOKUP(INDEX(ECR!$E:$E,MATCH(AD25,ECR!$C:$C,0)),RISK!A:B,2,FALSE())</f>
        <v>3.1201</v>
      </c>
      <c r="AP25" s="81"/>
      <c r="AQ25" s="85" t="s">
        <v>345</v>
      </c>
      <c r="AR25" s="85" t="str">
        <f>VLOOKUP(AQ25,ECR!E:L,8,FALSE())</f>
        <v>Terrance Ferguson</v>
      </c>
      <c r="AS25" s="85" t="str">
        <f>IFERROR(VLOOKUP(Aggregate!$AR25,ECR!C:F,2,FALSE()),"-")</f>
        <v>LAR</v>
      </c>
      <c r="AT25" s="85">
        <f>IFERROR(VLOOKUP(Aggregate!$AR25,ECR!C:F,4,FALSE()),"-")</f>
        <v>11</v>
      </c>
      <c r="AU25" s="85" t="str">
        <f>Aggregate!$AS25 &amp; "/" &amp; Aggregate!$AT25</f>
        <v>LAR/11</v>
      </c>
      <c r="AV25" s="62">
        <f>IFERROR(VLOOKUP(Aggregate!$AR25,TE!A:K,9,FALSE())/17*(16-Aggregate!$BC25),0)</f>
        <v>71.85751941</v>
      </c>
      <c r="AW25" s="62">
        <f>IFERROR(VLOOKUP(Aggregate!$AR25,TE!A:K,10,FALSE())/17*(16-Aggregate!$BC25),0)</f>
        <v>80.65591535</v>
      </c>
      <c r="AX25" s="62">
        <f>IFERROR(VLOOKUP(Aggregate!$AR25,TE!A:K,11,FALSE())/17*(16-Aggregate!$BC25),0)</f>
        <v>89.62822388</v>
      </c>
      <c r="AY25" s="69">
        <f>AVERAGE(Aggregate!$AV25,Aggregate!$AW25,Aggregate!$AX25,VLOOKUP(Aggregate!$AR25,ECR!L:N,3,FALSE))</f>
        <v>81.02681488</v>
      </c>
      <c r="AZ25" s="69">
        <f>Aggregate!$AY25-$AS$1</f>
        <v>-0.5115165147</v>
      </c>
      <c r="BA25" s="72">
        <f>MAX(Aggregate!$AZ25*Scoring!$B$48+1,1)</f>
        <v>1</v>
      </c>
      <c r="BB25" s="62">
        <f>VLOOKUP(Aggregate!$AZ25,BW:BY,3,FALSE)</f>
        <v>5</v>
      </c>
      <c r="BC25" s="80">
        <f t="array" ref="BC25">VLOOKUP(INDEX(ECR!$E:$E,MATCH(AR25,ECR!$C:$C,0)),RISK!A:B,2,FALSE())</f>
        <v>2.5613</v>
      </c>
      <c r="BD25" s="62"/>
      <c r="BE25" s="81"/>
      <c r="BF25" s="81">
        <v>23.0</v>
      </c>
      <c r="BG25" s="81">
        <f t="shared" si="1"/>
        <v>171.6249431</v>
      </c>
      <c r="BH25" s="81">
        <f>IFERROR(LARGE($J$3:$J$52,23),"")</f>
        <v>-48.26181455</v>
      </c>
      <c r="BI25" s="81">
        <f t="shared" si="5"/>
        <v>-44.39805306</v>
      </c>
      <c r="BJ25" s="81">
        <f t="shared" si="6"/>
        <v>7</v>
      </c>
      <c r="BK25" s="90">
        <v>23.0</v>
      </c>
      <c r="BL25" s="81">
        <f t="shared" si="2"/>
        <v>150.1237235</v>
      </c>
      <c r="BM25" s="91">
        <f>IFERROR(LARGE($X$3:$X$102,23),"")</f>
        <v>69.25847219</v>
      </c>
      <c r="BN25" s="91">
        <f t="shared" si="7"/>
        <v>69.25847219</v>
      </c>
      <c r="BO25" s="93">
        <f t="shared" si="8"/>
        <v>5</v>
      </c>
      <c r="BP25" s="91">
        <v>23.0</v>
      </c>
      <c r="BQ25" s="81">
        <f t="shared" si="3"/>
        <v>133.6251784</v>
      </c>
      <c r="BR25" s="91">
        <f>IFERROR(LARGE($AL$3:$AL$102,23),"")</f>
        <v>55.17374351</v>
      </c>
      <c r="BS25" s="91">
        <f t="shared" si="9"/>
        <v>75.77401125</v>
      </c>
      <c r="BT25" s="91">
        <f t="shared" si="10"/>
        <v>3</v>
      </c>
      <c r="BU25" s="81">
        <v>23.0</v>
      </c>
      <c r="BV25" s="81">
        <f t="shared" si="4"/>
        <v>81.96560088</v>
      </c>
      <c r="BW25" s="91">
        <f>IFERROR(LARGE($AZ$3:$AZ$52,23),"")</f>
        <v>0.3389816029</v>
      </c>
      <c r="BX25" s="91">
        <f t="shared" si="11"/>
        <v>1.583113897</v>
      </c>
      <c r="BY25" s="91">
        <f t="shared" si="12"/>
        <v>5</v>
      </c>
      <c r="BZ25" s="91"/>
      <c r="CA25" s="91"/>
      <c r="CB25" s="91"/>
      <c r="CC25" s="91"/>
      <c r="CD25" s="91"/>
      <c r="CE25" s="91"/>
      <c r="CF25" s="91"/>
      <c r="CG25" s="91"/>
    </row>
    <row r="26" ht="14.25" customHeight="1">
      <c r="A26" s="59" t="s">
        <v>346</v>
      </c>
      <c r="B26" s="59" t="str">
        <f>VLOOKUP(A26,ECR!E:L,8,FALSE())</f>
        <v>Cam Ward</v>
      </c>
      <c r="C26" s="60" t="str">
        <f>IFERROR(VLOOKUP(Aggregate!$B26,ECR!C:F,2,FALSE()),"-")</f>
        <v>TEN</v>
      </c>
      <c r="D26" s="60">
        <f>IFERROR(VLOOKUP(Aggregate!$B26,ECR!C:F,4,FALSE()),"-")</f>
        <v>9</v>
      </c>
      <c r="E26" s="60" t="str">
        <f>Aggregate!$C26 &amp; "/" &amp; Aggregate!$D26</f>
        <v>TEN/9</v>
      </c>
      <c r="F26" s="62">
        <f>IFERROR(VLOOKUP(Aggregate!$B26,QB!A:Q,15,FALSE())/17*(16-Aggregate!$M26),0)</f>
        <v>115.3656471</v>
      </c>
      <c r="G26" s="62">
        <f>IFERROR(VLOOKUP(Aggregate!$B26,QB!A:Q,16,FALSE())/17*(16-Aggregate!$M26),0)</f>
        <v>143.1205647</v>
      </c>
      <c r="H26" s="62">
        <f>IFERROR(VLOOKUP(Aggregate!$B26,QB!A:Q,17,FALSE())/17*(16-Aggregate!$M26),0)</f>
        <v>171.8949647</v>
      </c>
      <c r="I26" s="69">
        <f>AVERAGE(Aggregate!$F26,Aggregate!$G26,Aggregate!$H26,VLOOKUP(Aggregate!$B26,ECR!L:N,3,FALSE))</f>
        <v>149.0307765</v>
      </c>
      <c r="J26" s="69">
        <f>Aggregate!$I26-$C$1</f>
        <v>-72.61602953</v>
      </c>
      <c r="K26" s="72">
        <f>MAX(Aggregate!$J26*Scoring!$B$48+1,1)</f>
        <v>1</v>
      </c>
      <c r="L26" s="73">
        <f>VLOOKUP(Aggregate!$J26,BH:BJ,3,FALSE)</f>
        <v>9</v>
      </c>
      <c r="M26" s="80">
        <f t="array" ref="M26">VLOOKUP(INDEX(ECR!$E:$E,MATCH(B26,ECR!$C:$C,0)),RISK!A:B,2,FALSE())</f>
        <v>3.2</v>
      </c>
      <c r="N26" s="81"/>
      <c r="O26" s="73" t="s">
        <v>347</v>
      </c>
      <c r="P26" s="59" t="str">
        <f>VLOOKUP(O26,ECR!E:L,8,FALSE())</f>
        <v>Bhayshul Tuten</v>
      </c>
      <c r="Q26" s="60" t="str">
        <f>IFERROR(VLOOKUP(Aggregate!$P26,ECR!C:F,2,FALSE()),"-")</f>
        <v>JAC</v>
      </c>
      <c r="R26" s="60">
        <f>IFERROR(VLOOKUP(Aggregate!$P26,ECR!C:F,4,FALSE()),"-")</f>
        <v>7</v>
      </c>
      <c r="S26" s="60" t="str">
        <f>Aggregate!$Q26 &amp; "/" &amp; Aggregate!$R26</f>
        <v>JAC/7</v>
      </c>
      <c r="T26" s="62">
        <f>IFERROR(VLOOKUP(Aggregate!$P26,RB!A:Q,13,FALSE())/17*(16-Aggregate!$AA26),0)</f>
        <v>116.7043341</v>
      </c>
      <c r="U26" s="62">
        <f>IFERROR(VLOOKUP(Aggregate!$P26,RB!A:Q,14,FALSE())/17*(16-Aggregate!$AA26),0)</f>
        <v>147.1592644</v>
      </c>
      <c r="V26" s="62">
        <f>IFERROR(VLOOKUP(Aggregate!$P26,RB!A:Q,15,FALSE())/17*(16-Aggregate!$AA26),0)</f>
        <v>179.5745824</v>
      </c>
      <c r="W26" s="69">
        <f>AVERAGE(Aggregate!$T26,Aggregate!$U26,Aggregate!$V26,VLOOKUP(Aggregate!$P26,ECR!L:N,3,FALSE))</f>
        <v>147.6493613</v>
      </c>
      <c r="X26" s="69">
        <f>Aggregate!$W26-$Q$1</f>
        <v>69.25847219</v>
      </c>
      <c r="Y26" s="72">
        <f>MAX(Aggregate!$X26*Scoring!$B$48+1,1)</f>
        <v>19.14734241</v>
      </c>
      <c r="Z26" s="73">
        <f>VLOOKUP(Aggregate!$X26,BM:BO,3,FALSE)</f>
        <v>5</v>
      </c>
      <c r="AA26" s="80">
        <f t="array" ref="AA26">VLOOKUP(INDEX(ECR!$E:$E,MATCH(P26,ECR!$C:$C,0)),RISK!A:B,2,FALSE())</f>
        <v>2.9818</v>
      </c>
      <c r="AB26" s="81"/>
      <c r="AC26" s="60" t="s">
        <v>348</v>
      </c>
      <c r="AD26" s="60" t="str">
        <f>VLOOKUP(AC26,ECR!E:L,8,FALSE())</f>
        <v>Luther Burden III</v>
      </c>
      <c r="AE26" s="60" t="str">
        <f>IFERROR(VLOOKUP(Aggregate!$AD26,ECR!C:F,2,FALSE()),"-")</f>
        <v>CHI</v>
      </c>
      <c r="AF26" s="60">
        <f>IFERROR(VLOOKUP(Aggregate!$AD26,ECR!C:F,4,FALSE()),"-")</f>
        <v>10</v>
      </c>
      <c r="AG26" s="60" t="str">
        <f>Aggregate!$AE26 &amp; "/" &amp; Aggregate!$AF26</f>
        <v>CHI/10</v>
      </c>
      <c r="AH26" s="62">
        <f>IFERROR(VLOOKUP(Aggregate!$AD26,WR!A:Q,13,FALSE())/17*(16-Aggregate!$AO26),0)</f>
        <v>120.6569412</v>
      </c>
      <c r="AI26" s="62">
        <f>IFERROR(VLOOKUP(Aggregate!$AD26,WR!A:Q,14,FALSE())/17*(16-Aggregate!$AO26),0)</f>
        <v>129.4347336</v>
      </c>
      <c r="AJ26" s="62">
        <f>IFERROR(VLOOKUP(Aggregate!$AD26,WR!A:Q,15,FALSE())/17*(16-Aggregate!$AO26),0)</f>
        <v>140.5653365</v>
      </c>
      <c r="AK26" s="69">
        <f>AVERAGE(Aggregate!$AH26,Aggregate!$AI26,Aggregate!$AJ26,VLOOKUP(Aggregate!$AD26,ECR!L:N,3,FALSE))</f>
        <v>131.0506781</v>
      </c>
      <c r="AL26" s="69">
        <f>Aggregate!$AK26-$AE$1</f>
        <v>49.52975104</v>
      </c>
      <c r="AM26" s="72">
        <f>MAX(Aggregate!$AL26*Scoring!$B$48+1,1)</f>
        <v>13.97795524</v>
      </c>
      <c r="AN26" s="73">
        <f>VLOOKUP(Aggregate!$AL26,BR:BT,3,FALSE)</f>
        <v>4</v>
      </c>
      <c r="AO26" s="80">
        <f t="array" ref="AO26">VLOOKUP(INDEX(ECR!$E:$E,MATCH(AD26,ECR!$C:$C,0)),RISK!A:B,2,FALSE())</f>
        <v>3.1802</v>
      </c>
      <c r="AP26" s="81"/>
      <c r="AQ26" s="85" t="s">
        <v>349</v>
      </c>
      <c r="AR26" s="85" t="str">
        <f>VLOOKUP(AQ26,ECR!E:L,8,FALSE())</f>
        <v>Oronde Gadsden II</v>
      </c>
      <c r="AS26" s="85" t="str">
        <f>IFERROR(VLOOKUP(Aggregate!$AR26,ECR!C:F,2,FALSE()),"-")</f>
        <v>LAC</v>
      </c>
      <c r="AT26" s="85">
        <f>IFERROR(VLOOKUP(Aggregate!$AR26,ECR!C:F,4,FALSE()),"-")</f>
        <v>7</v>
      </c>
      <c r="AU26" s="85" t="str">
        <f>Aggregate!$AS26 &amp; "/" &amp; Aggregate!$AT26</f>
        <v>LAC/7</v>
      </c>
      <c r="AV26" s="62">
        <f>IFERROR(VLOOKUP(Aggregate!$AR26,TE!A:K,9,FALSE())/17*(16-Aggregate!$BC26),0)</f>
        <v>47.89904753</v>
      </c>
      <c r="AW26" s="62">
        <f>IFERROR(VLOOKUP(Aggregate!$AR26,TE!A:K,10,FALSE())/17*(16-Aggregate!$BC26),0)</f>
        <v>65.10681212</v>
      </c>
      <c r="AX26" s="62">
        <f>IFERROR(VLOOKUP(Aggregate!$AR26,TE!A:K,11,FALSE())/17*(16-Aggregate!$BC26),0)</f>
        <v>88.14314118</v>
      </c>
      <c r="AY26" s="69">
        <f>AVERAGE(Aggregate!$AV26,Aggregate!$AW26,Aggregate!$AX26,VLOOKUP(Aggregate!$AR26,ECR!L:N,3,FALSE))</f>
        <v>70.77428912</v>
      </c>
      <c r="AZ26" s="69">
        <f>Aggregate!$AY26-$AS$1</f>
        <v>-10.76404228</v>
      </c>
      <c r="BA26" s="72">
        <f>MAX(Aggregate!$AZ26*Scoring!$B$48+1,1)</f>
        <v>1</v>
      </c>
      <c r="BB26" s="62">
        <f>VLOOKUP(Aggregate!$AZ26,BW:BY,3,FALSE)</f>
        <v>5</v>
      </c>
      <c r="BC26" s="80">
        <f t="array" ref="BC26">VLOOKUP(INDEX(ECR!$E:$E,MATCH(AR26,ECR!$C:$C,0)),RISK!A:B,2,FALSE())</f>
        <v>2.5006</v>
      </c>
      <c r="BD26" s="62"/>
      <c r="BE26" s="81"/>
      <c r="BF26" s="81">
        <v>24.0</v>
      </c>
      <c r="BG26" s="81">
        <f t="shared" si="1"/>
        <v>165.7419294</v>
      </c>
      <c r="BH26" s="81">
        <f>IFERROR(LARGE($J$3:$J$52,24),"")</f>
        <v>-52.97191139</v>
      </c>
      <c r="BI26" s="81">
        <f t="shared" si="5"/>
        <v>-44.39805306</v>
      </c>
      <c r="BJ26" s="81">
        <f t="shared" si="6"/>
        <v>7</v>
      </c>
      <c r="BK26" s="90">
        <v>24.0</v>
      </c>
      <c r="BL26" s="81">
        <f t="shared" si="2"/>
        <v>147.1592644</v>
      </c>
      <c r="BM26" s="91">
        <f>IFERROR(LARGE($X$3:$X$102,24),"")</f>
        <v>67.34267166</v>
      </c>
      <c r="BN26" s="91">
        <f t="shared" si="7"/>
        <v>69.25847219</v>
      </c>
      <c r="BO26" s="93">
        <f t="shared" si="8"/>
        <v>5</v>
      </c>
      <c r="BP26" s="91">
        <v>24.0</v>
      </c>
      <c r="BQ26" s="81">
        <f t="shared" si="3"/>
        <v>133.5457011</v>
      </c>
      <c r="BR26" s="91">
        <f>IFERROR(LARGE($AL$3:$AL$102,24),"")</f>
        <v>54.35630316</v>
      </c>
      <c r="BS26" s="91">
        <f t="shared" si="9"/>
        <v>75.77401125</v>
      </c>
      <c r="BT26" s="91">
        <f t="shared" si="10"/>
        <v>3</v>
      </c>
      <c r="BU26" s="81">
        <v>24.0</v>
      </c>
      <c r="BV26" s="81">
        <f t="shared" si="4"/>
        <v>81.94815565</v>
      </c>
      <c r="BW26" s="91">
        <f>IFERROR(LARGE($AZ$3:$AZ$52,24),"")</f>
        <v>0</v>
      </c>
      <c r="BX26" s="91">
        <f t="shared" si="11"/>
        <v>1.583113897</v>
      </c>
      <c r="BY26" s="91">
        <f t="shared" si="12"/>
        <v>5</v>
      </c>
      <c r="BZ26" s="91"/>
      <c r="CA26" s="91"/>
      <c r="CB26" s="91"/>
      <c r="CC26" s="91"/>
      <c r="CD26" s="91"/>
      <c r="CE26" s="91"/>
      <c r="CF26" s="91"/>
      <c r="CG26" s="91"/>
    </row>
    <row r="27" ht="14.25" customHeight="1">
      <c r="A27" s="59" t="s">
        <v>350</v>
      </c>
      <c r="B27" s="59" t="str">
        <f>VLOOKUP(A27,ECR!E:L,8,FALSE())</f>
        <v>Daniel Jones</v>
      </c>
      <c r="C27" s="60" t="str">
        <f>IFERROR(VLOOKUP(Aggregate!$B27,ECR!C:F,2,FALSE()),"-")</f>
        <v>IND</v>
      </c>
      <c r="D27" s="60">
        <f>IFERROR(VLOOKUP(Aggregate!$B27,ECR!C:F,4,FALSE()),"-")</f>
        <v>13</v>
      </c>
      <c r="E27" s="60" t="str">
        <f>Aggregate!$C27 &amp; "/" &amp; Aggregate!$D27</f>
        <v>IND/13</v>
      </c>
      <c r="F27" s="62">
        <f>IFERROR(VLOOKUP(Aggregate!$B27,QB!A:Q,15,FALSE())/17*(16-Aggregate!$M27),0)</f>
        <v>145.3628235</v>
      </c>
      <c r="G27" s="62">
        <f>IFERROR(VLOOKUP(Aggregate!$B27,QB!A:Q,16,FALSE())/17*(16-Aggregate!$M27),0)</f>
        <v>176.8658824</v>
      </c>
      <c r="H27" s="62">
        <f>IFERROR(VLOOKUP(Aggregate!$B27,QB!A:Q,17,FALSE())/17*(16-Aggregate!$M27),0)</f>
        <v>222.1477647</v>
      </c>
      <c r="I27" s="69">
        <f>AVERAGE(Aggregate!$F27,Aggregate!$G27,Aggregate!$H27,VLOOKUP(Aggregate!$B27,ECR!L:N,3,FALSE))</f>
        <v>177.2487529</v>
      </c>
      <c r="J27" s="69">
        <f>Aggregate!$I27-$C$1</f>
        <v>-44.39805306</v>
      </c>
      <c r="K27" s="72">
        <f>MAX(Aggregate!$J27*Scoring!$B$48+1,1)</f>
        <v>1</v>
      </c>
      <c r="L27" s="73">
        <f>VLOOKUP(Aggregate!$J27,BH:BJ,3,FALSE)</f>
        <v>7</v>
      </c>
      <c r="M27" s="80">
        <f t="array" ref="M27">VLOOKUP(INDEX(ECR!$E:$E,MATCH(B27,ECR!$C:$C,0)),RISK!A:B,2,FALSE())</f>
        <v>3.2</v>
      </c>
      <c r="N27" s="81"/>
      <c r="O27" s="73" t="s">
        <v>351</v>
      </c>
      <c r="P27" s="59" t="str">
        <f>VLOOKUP(O27,ECR!E:L,8,FALSE())</f>
        <v>TreVeyon Henderson</v>
      </c>
      <c r="Q27" s="60" t="str">
        <f>IFERROR(VLOOKUP(Aggregate!$P27,ECR!C:F,2,FALSE()),"-")</f>
        <v>NE</v>
      </c>
      <c r="R27" s="60">
        <f>IFERROR(VLOOKUP(Aggregate!$P27,ECR!C:F,4,FALSE()),"-")</f>
        <v>11</v>
      </c>
      <c r="S27" s="60" t="str">
        <f>Aggregate!$Q27 &amp; "/" &amp; Aggregate!$R27</f>
        <v>NE/11</v>
      </c>
      <c r="T27" s="62">
        <f>IFERROR(VLOOKUP(Aggregate!$P27,RB!A:Q,13,FALSE())/17*(16-Aggregate!$AA27),0)</f>
        <v>126.17174</v>
      </c>
      <c r="U27" s="62">
        <f>IFERROR(VLOOKUP(Aggregate!$P27,RB!A:Q,14,FALSE())/17*(16-Aggregate!$AA27),0)</f>
        <v>133.2649353</v>
      </c>
      <c r="V27" s="62">
        <f>IFERROR(VLOOKUP(Aggregate!$P27,RB!A:Q,15,FALSE())/17*(16-Aggregate!$AA27),0)</f>
        <v>140.3887047</v>
      </c>
      <c r="W27" s="69">
        <f>AVERAGE(Aggregate!$T27,Aggregate!$U27,Aggregate!$V27,VLOOKUP(Aggregate!$P27,ECR!L:N,3,FALSE))</f>
        <v>134.5650628</v>
      </c>
      <c r="X27" s="69">
        <f>Aggregate!$W27-$Q$1</f>
        <v>56.17417369</v>
      </c>
      <c r="Y27" s="72">
        <f>MAX(Aggregate!$X27*Scoring!$B$48+1,1)</f>
        <v>15.71894965</v>
      </c>
      <c r="Z27" s="73">
        <f>VLOOKUP(Aggregate!$X27,BM:BO,3,FALSE)</f>
        <v>5</v>
      </c>
      <c r="AA27" s="80">
        <f t="array" ref="AA27">VLOOKUP(INDEX(ECR!$E:$E,MATCH(P27,ECR!$C:$C,0)),RISK!A:B,2,FALSE())</f>
        <v>3.006</v>
      </c>
      <c r="AB27" s="81"/>
      <c r="AC27" s="60" t="s">
        <v>352</v>
      </c>
      <c r="AD27" s="60" t="str">
        <f>VLOOKUP(AC27,ECR!E:L,8,FALSE())</f>
        <v>Jameson Williams</v>
      </c>
      <c r="AE27" s="60" t="str">
        <f>IFERROR(VLOOKUP(Aggregate!$AD27,ECR!C:F,2,FALSE()),"-")</f>
        <v>DET</v>
      </c>
      <c r="AF27" s="60">
        <f>IFERROR(VLOOKUP(Aggregate!$AD27,ECR!C:F,4,FALSE()),"-")</f>
        <v>6</v>
      </c>
      <c r="AG27" s="60" t="str">
        <f>Aggregate!$AE27 &amp; "/" &amp; Aggregate!$AF27</f>
        <v>DET/6</v>
      </c>
      <c r="AH27" s="62">
        <f>IFERROR(VLOOKUP(Aggregate!$AD27,WR!A:Q,13,FALSE())/17*(16-Aggregate!$AO27),0)</f>
        <v>128.6708771</v>
      </c>
      <c r="AI27" s="62">
        <f>IFERROR(VLOOKUP(Aggregate!$AD27,WR!A:Q,14,FALSE())/17*(16-Aggregate!$AO27),0)</f>
        <v>138.9693512</v>
      </c>
      <c r="AJ27" s="62">
        <f>IFERROR(VLOOKUP(Aggregate!$AD27,WR!A:Q,15,FALSE())/17*(16-Aggregate!$AO27),0)</f>
        <v>145.852515</v>
      </c>
      <c r="AK27" s="69">
        <f>AVERAGE(Aggregate!$AH27,Aggregate!$AI27,Aggregate!$AJ27,VLOOKUP(Aggregate!$AD27,ECR!L:N,3,FALSE))</f>
        <v>135.8772302</v>
      </c>
      <c r="AL27" s="69">
        <f>Aggregate!$AK27-$AE$1</f>
        <v>54.35630316</v>
      </c>
      <c r="AM27" s="72">
        <f>MAX(Aggregate!$AL27*Scoring!$B$48+1,1)</f>
        <v>15.24262498</v>
      </c>
      <c r="AN27" s="73">
        <f>VLOOKUP(Aggregate!$AL27,BR:BT,3,FALSE)</f>
        <v>3</v>
      </c>
      <c r="AO27" s="80">
        <f t="array" ref="AO27">VLOOKUP(INDEX(ECR!$E:$E,MATCH(AD27,ECR!$C:$C,0)),RISK!A:B,2,FALSE())</f>
        <v>3.2395</v>
      </c>
      <c r="AP27" s="81"/>
      <c r="AQ27" s="85" t="s">
        <v>353</v>
      </c>
      <c r="AR27" s="85" t="str">
        <f>VLOOKUP(AQ27,ECR!E:L,8,FALSE())</f>
        <v>Kenyon Sadiq</v>
      </c>
      <c r="AS27" s="85" t="str">
        <f>IFERROR(VLOOKUP(Aggregate!$AR27,ECR!C:F,2,FALSE()),"-")</f>
        <v>NYJ</v>
      </c>
      <c r="AT27" s="85">
        <f>IFERROR(VLOOKUP(Aggregate!$AR27,ECR!C:F,4,FALSE()),"-")</f>
        <v>13</v>
      </c>
      <c r="AU27" s="85" t="str">
        <f>Aggregate!$AS27 &amp; "/" &amp; Aggregate!$AT27</f>
        <v>NYJ/13</v>
      </c>
      <c r="AV27" s="62">
        <f>IFERROR(VLOOKUP(Aggregate!$AR27,TE!A:K,9,FALSE())/17*(16-Aggregate!$BC27),0)</f>
        <v>59.85220588</v>
      </c>
      <c r="AW27" s="62">
        <f>IFERROR(VLOOKUP(Aggregate!$AR27,TE!A:K,10,FALSE())/17*(16-Aggregate!$BC27),0)</f>
        <v>81.96560088</v>
      </c>
      <c r="AX27" s="62">
        <f>IFERROR(VLOOKUP(Aggregate!$AR27,TE!A:K,11,FALSE())/17*(16-Aggregate!$BC27),0)</f>
        <v>105.7229365</v>
      </c>
      <c r="AY27" s="69">
        <f>AVERAGE(Aggregate!$AV27,Aggregate!$AW27,Aggregate!$AX27,VLOOKUP(Aggregate!$AR27,ECR!L:N,3,FALSE))</f>
        <v>82.04916465</v>
      </c>
      <c r="AZ27" s="69">
        <f>Aggregate!$AY27-$AS$1</f>
        <v>0.51083325</v>
      </c>
      <c r="BA27" s="72">
        <f>MAX(Aggregate!$AZ27*Scoring!$B$48+1,1)</f>
        <v>1.13385028</v>
      </c>
      <c r="BB27" s="62">
        <f>VLOOKUP(Aggregate!$AZ27,BW:BY,3,FALSE)</f>
        <v>5</v>
      </c>
      <c r="BC27" s="80">
        <f t="array" ref="BC27">VLOOKUP(INDEX(ECR!$E:$E,MATCH(AR27,ECR!$C:$C,0)),RISK!A:B,2,FALSE())</f>
        <v>2.4335</v>
      </c>
      <c r="BD27" s="62"/>
      <c r="BE27" s="81"/>
      <c r="BF27" s="81">
        <v>25.0</v>
      </c>
      <c r="BG27" s="81">
        <f t="shared" si="1"/>
        <v>164.6185412</v>
      </c>
      <c r="BH27" s="81">
        <f>IFERROR(LARGE($J$3:$J$52,25),"")</f>
        <v>-59.67410012</v>
      </c>
      <c r="BI27" s="81">
        <f t="shared" si="5"/>
        <v>-59.67410012</v>
      </c>
      <c r="BJ27" s="81">
        <f t="shared" si="6"/>
        <v>8</v>
      </c>
      <c r="BK27" s="90">
        <v>25.0</v>
      </c>
      <c r="BL27" s="81">
        <f t="shared" si="2"/>
        <v>138.4348712</v>
      </c>
      <c r="BM27" s="91">
        <f>IFERROR(LARGE($X$3:$X$102,25),"")</f>
        <v>64.02104661</v>
      </c>
      <c r="BN27" s="91">
        <f t="shared" si="7"/>
        <v>69.25847219</v>
      </c>
      <c r="BO27" s="93">
        <f t="shared" si="8"/>
        <v>5</v>
      </c>
      <c r="BP27" s="91">
        <v>25.0</v>
      </c>
      <c r="BQ27" s="81">
        <f t="shared" si="3"/>
        <v>130.0161776</v>
      </c>
      <c r="BR27" s="91">
        <f>IFERROR(LARGE($AL$3:$AL$102,25),"")</f>
        <v>49.52975104</v>
      </c>
      <c r="BS27" s="91">
        <f t="shared" si="9"/>
        <v>49.52975104</v>
      </c>
      <c r="BT27" s="91">
        <f t="shared" si="10"/>
        <v>4</v>
      </c>
      <c r="BU27" s="81">
        <v>25.0</v>
      </c>
      <c r="BV27" s="81">
        <f t="shared" si="4"/>
        <v>80.65591535</v>
      </c>
      <c r="BW27" s="91">
        <f>IFERROR(LARGE($AZ$3:$AZ$52,25),"")</f>
        <v>-0.06550880882</v>
      </c>
      <c r="BX27" s="91">
        <f t="shared" si="11"/>
        <v>1.583113897</v>
      </c>
      <c r="BY27" s="91">
        <f t="shared" si="12"/>
        <v>5</v>
      </c>
      <c r="BZ27" s="91"/>
      <c r="CA27" s="91"/>
      <c r="CB27" s="91"/>
      <c r="CC27" s="91"/>
      <c r="CD27" s="91"/>
      <c r="CE27" s="91"/>
      <c r="CF27" s="91"/>
      <c r="CG27" s="91"/>
    </row>
    <row r="28" ht="14.25" customHeight="1">
      <c r="A28" s="59" t="s">
        <v>354</v>
      </c>
      <c r="B28" s="59" t="str">
        <f>VLOOKUP(A28,ECR!E:L,8,FALSE())</f>
        <v>Bryce Young</v>
      </c>
      <c r="C28" s="60" t="str">
        <f>IFERROR(VLOOKUP(Aggregate!$B28,ECR!C:F,2,FALSE()),"-")</f>
        <v>CAR</v>
      </c>
      <c r="D28" s="60">
        <f>IFERROR(VLOOKUP(Aggregate!$B28,ECR!C:F,4,FALSE()),"-")</f>
        <v>5</v>
      </c>
      <c r="E28" s="60" t="str">
        <f>Aggregate!$C28 &amp; "/" &amp; Aggregate!$D28</f>
        <v>CAR/5</v>
      </c>
      <c r="F28" s="62">
        <f>IFERROR(VLOOKUP(Aggregate!$B28,QB!A:Q,15,FALSE())/17*(16-Aggregate!$M28),0)</f>
        <v>141.8541176</v>
      </c>
      <c r="G28" s="62">
        <f>IFERROR(VLOOKUP(Aggregate!$B28,QB!A:Q,16,FALSE())/17*(16-Aggregate!$M28),0)</f>
        <v>165.7419294</v>
      </c>
      <c r="H28" s="62">
        <f>IFERROR(VLOOKUP(Aggregate!$B28,QB!A:Q,17,FALSE())/17*(16-Aggregate!$M28),0)</f>
        <v>193.5781647</v>
      </c>
      <c r="I28" s="69">
        <f>AVERAGE(Aggregate!$F28,Aggregate!$G28,Aggregate!$H28,VLOOKUP(Aggregate!$B28,ECR!L:N,3,FALSE))</f>
        <v>161.9727059</v>
      </c>
      <c r="J28" s="69">
        <f>Aggregate!$I28-$C$1</f>
        <v>-59.67410012</v>
      </c>
      <c r="K28" s="72">
        <f>MAX(Aggregate!$J28*Scoring!$B$48+1,1)</f>
        <v>1</v>
      </c>
      <c r="L28" s="73">
        <f>VLOOKUP(Aggregate!$J28,BH:BJ,3,FALSE)</f>
        <v>8</v>
      </c>
      <c r="M28" s="80">
        <f t="array" ref="M28">VLOOKUP(INDEX(ECR!$E:$E,MATCH(B28,ECR!$C:$C,0)),RISK!A:B,2,FALSE())</f>
        <v>3.2</v>
      </c>
      <c r="N28" s="81"/>
      <c r="O28" s="73" t="s">
        <v>355</v>
      </c>
      <c r="P28" s="59" t="str">
        <f>VLOOKUP(O28,ECR!E:L,8,FALSE())</f>
        <v>Jadarian Price</v>
      </c>
      <c r="Q28" s="60" t="str">
        <f>IFERROR(VLOOKUP(Aggregate!$P28,ECR!C:F,2,FALSE()),"-")</f>
        <v>SEA</v>
      </c>
      <c r="R28" s="60">
        <f>IFERROR(VLOOKUP(Aggregate!$P28,ECR!C:F,4,FALSE()),"-")</f>
        <v>11</v>
      </c>
      <c r="S28" s="60" t="str">
        <f>Aggregate!$Q28 &amp; "/" &amp; Aggregate!$R28</f>
        <v>SEA/11</v>
      </c>
      <c r="T28" s="62">
        <f>IFERROR(VLOOKUP(Aggregate!$P28,RB!A:Q,13,FALSE())/17*(16-Aggregate!$AA28),0)</f>
        <v>135.1023383</v>
      </c>
      <c r="U28" s="62">
        <f>IFERROR(VLOOKUP(Aggregate!$P28,RB!A:Q,14,FALSE())/17*(16-Aggregate!$AA28),0)</f>
        <v>150.1237235</v>
      </c>
      <c r="V28" s="62">
        <f>IFERROR(VLOOKUP(Aggregate!$P28,RB!A:Q,15,FALSE())/17*(16-Aggregate!$AA28),0)</f>
        <v>164.443246</v>
      </c>
      <c r="W28" s="69">
        <f>AVERAGE(Aggregate!$T28,Aggregate!$U28,Aggregate!$V28,VLOOKUP(Aggregate!$P28,ECR!L:N,3,FALSE))</f>
        <v>145.7335608</v>
      </c>
      <c r="X28" s="69">
        <f>Aggregate!$W28-$Q$1</f>
        <v>67.34267166</v>
      </c>
      <c r="Y28" s="72">
        <f>MAX(Aggregate!$X28*Scoring!$B$48+1,1)</f>
        <v>18.64535779</v>
      </c>
      <c r="Z28" s="73">
        <f>VLOOKUP(Aggregate!$X28,BM:BO,3,FALSE)</f>
        <v>5</v>
      </c>
      <c r="AA28" s="80">
        <f t="array" ref="AA28">VLOOKUP(INDEX(ECR!$E:$E,MATCH(P28,ECR!$C:$C,0)),RISK!A:B,2,FALSE())</f>
        <v>3.0308</v>
      </c>
      <c r="AB28" s="81"/>
      <c r="AC28" s="60" t="s">
        <v>356</v>
      </c>
      <c r="AD28" s="60" t="str">
        <f>VLOOKUP(AC28,ECR!E:L,8,FALSE())</f>
        <v>DJ Moore</v>
      </c>
      <c r="AE28" s="60" t="str">
        <f>IFERROR(VLOOKUP(Aggregate!$AD28,ECR!C:F,2,FALSE()),"-")</f>
        <v>BUF</v>
      </c>
      <c r="AF28" s="60">
        <f>IFERROR(VLOOKUP(Aggregate!$AD28,ECR!C:F,4,FALSE()),"-")</f>
        <v>7</v>
      </c>
      <c r="AG28" s="60" t="str">
        <f>Aggregate!$AE28 &amp; "/" &amp; Aggregate!$AF28</f>
        <v>BUF/7</v>
      </c>
      <c r="AH28" s="62">
        <f>IFERROR(VLOOKUP(Aggregate!$AD28,WR!A:Q,13,FALSE())/17*(16-Aggregate!$AO28),0)</f>
        <v>114.0938471</v>
      </c>
      <c r="AI28" s="62">
        <f>IFERROR(VLOOKUP(Aggregate!$AD28,WR!A:Q,14,FALSE())/17*(16-Aggregate!$AO28),0)</f>
        <v>130.0161776</v>
      </c>
      <c r="AJ28" s="62">
        <f>IFERROR(VLOOKUP(Aggregate!$AD28,WR!A:Q,15,FALSE())/17*(16-Aggregate!$AO28),0)</f>
        <v>143.3831647</v>
      </c>
      <c r="AK28" s="69">
        <f>AVERAGE(Aggregate!$AH28,Aggregate!$AI28,Aggregate!$AJ28,VLOOKUP(Aggregate!$AD28,ECR!L:N,3,FALSE))</f>
        <v>129.2319808</v>
      </c>
      <c r="AL28" s="69">
        <f>Aggregate!$AK28-$AE$1</f>
        <v>47.71105371</v>
      </c>
      <c r="AM28" s="72">
        <f>MAX(Aggregate!$AL28*Scoring!$B$48+1,1)</f>
        <v>13.50141392</v>
      </c>
      <c r="AN28" s="73">
        <f>VLOOKUP(Aggregate!$AL28,BR:BT,3,FALSE)</f>
        <v>4</v>
      </c>
      <c r="AO28" s="80">
        <f t="array" ref="AO28">VLOOKUP(INDEX(ECR!$E:$E,MATCH(AD28,ECR!$C:$C,0)),RISK!A:B,2,FALSE())</f>
        <v>3.298</v>
      </c>
      <c r="AP28" s="81"/>
      <c r="AQ28" s="85" t="s">
        <v>357</v>
      </c>
      <c r="AR28" s="85" t="str">
        <f>VLOOKUP(AQ28,ECR!E:L,8,FALSE())</f>
        <v>Gunnar Helm</v>
      </c>
      <c r="AS28" s="85" t="str">
        <f>IFERROR(VLOOKUP(Aggregate!$AR28,ECR!C:F,2,FALSE()),"-")</f>
        <v>TEN</v>
      </c>
      <c r="AT28" s="85">
        <f>IFERROR(VLOOKUP(Aggregate!$AR28,ECR!C:F,4,FALSE()),"-")</f>
        <v>9</v>
      </c>
      <c r="AU28" s="85" t="str">
        <f>Aggregate!$AS28 &amp; "/" &amp; Aggregate!$AT28</f>
        <v>TEN/9</v>
      </c>
      <c r="AV28" s="62">
        <f>IFERROR(VLOOKUP(Aggregate!$AR28,TE!A:K,9,FALSE())/17*(16-Aggregate!$BC28),0)</f>
        <v>61.78117647</v>
      </c>
      <c r="AW28" s="62">
        <f>IFERROR(VLOOKUP(Aggregate!$AR28,TE!A:K,10,FALSE())/17*(16-Aggregate!$BC28),0)</f>
        <v>69.85284706</v>
      </c>
      <c r="AX28" s="62">
        <f>IFERROR(VLOOKUP(Aggregate!$AR28,TE!A:K,11,FALSE())/17*(16-Aggregate!$BC28),0)</f>
        <v>79.08792941</v>
      </c>
      <c r="AY28" s="69">
        <f>AVERAGE(Aggregate!$AV28,Aggregate!$AW28,Aggregate!$AX28,VLOOKUP(Aggregate!$AR28,ECR!L:N,3,FALSE))</f>
        <v>72.34986449</v>
      </c>
      <c r="AZ28" s="69">
        <f>Aggregate!$AY28-$AS$1</f>
        <v>-9.188466912</v>
      </c>
      <c r="BA28" s="72">
        <f>MAX(Aggregate!$AZ28*Scoring!$B$48+1,1)</f>
        <v>1</v>
      </c>
      <c r="BB28" s="62">
        <f>VLOOKUP(Aggregate!$AZ28,BW:BY,3,FALSE)</f>
        <v>5</v>
      </c>
      <c r="BC28" s="80">
        <f t="array" ref="BC28">VLOOKUP(INDEX(ECR!$E:$E,MATCH(AR28,ECR!$C:$C,0)),RISK!A:B,2,FALSE())</f>
        <v>2.36</v>
      </c>
      <c r="BD28" s="62"/>
      <c r="BE28" s="81"/>
      <c r="BF28" s="81">
        <v>26.0</v>
      </c>
      <c r="BG28" s="81">
        <f t="shared" si="1"/>
        <v>146.7166118</v>
      </c>
      <c r="BH28" s="81">
        <f>IFERROR(LARGE($J$3:$J$52,26),"")</f>
        <v>-72.61602953</v>
      </c>
      <c r="BI28" s="81">
        <f t="shared" si="5"/>
        <v>-72.61602953</v>
      </c>
      <c r="BJ28" s="81">
        <f t="shared" si="6"/>
        <v>9</v>
      </c>
      <c r="BK28" s="90">
        <v>26.0</v>
      </c>
      <c r="BL28" s="81">
        <f t="shared" si="2"/>
        <v>133.2649353</v>
      </c>
      <c r="BM28" s="91">
        <f>IFERROR(LARGE($X$3:$X$102,26),"")</f>
        <v>56.17417369</v>
      </c>
      <c r="BN28" s="91">
        <f t="shared" si="7"/>
        <v>69.25847219</v>
      </c>
      <c r="BO28" s="93">
        <f t="shared" si="8"/>
        <v>5</v>
      </c>
      <c r="BP28" s="91">
        <v>26.0</v>
      </c>
      <c r="BQ28" s="81">
        <f t="shared" si="3"/>
        <v>129.4347336</v>
      </c>
      <c r="BR28" s="91">
        <f>IFERROR(LARGE($AL$3:$AL$102,26),"")</f>
        <v>47.71105371</v>
      </c>
      <c r="BS28" s="91">
        <f t="shared" si="9"/>
        <v>49.52975104</v>
      </c>
      <c r="BT28" s="91">
        <f t="shared" si="10"/>
        <v>4</v>
      </c>
      <c r="BU28" s="81">
        <v>26.0</v>
      </c>
      <c r="BV28" s="81">
        <f t="shared" si="4"/>
        <v>78.677505</v>
      </c>
      <c r="BW28" s="91">
        <f>IFERROR(LARGE($AZ$3:$AZ$52,26),"")</f>
        <v>-0.5115165147</v>
      </c>
      <c r="BX28" s="91">
        <f t="shared" si="11"/>
        <v>1.583113897</v>
      </c>
      <c r="BY28" s="91">
        <f t="shared" si="12"/>
        <v>5</v>
      </c>
      <c r="BZ28" s="91"/>
      <c r="CA28" s="91"/>
      <c r="CB28" s="91"/>
      <c r="CC28" s="91"/>
      <c r="CD28" s="91"/>
      <c r="CE28" s="91"/>
      <c r="CF28" s="91"/>
      <c r="CG28" s="91"/>
    </row>
    <row r="29" ht="14.25" customHeight="1">
      <c r="A29" s="59" t="s">
        <v>358</v>
      </c>
      <c r="B29" s="59" t="str">
        <f>VLOOKUP(A29,ECR!E:L,8,FALSE())</f>
        <v>Jacoby Brissett</v>
      </c>
      <c r="C29" s="60" t="str">
        <f>IFERROR(VLOOKUP(Aggregate!$B29,ECR!C:F,2,FALSE()),"-")</f>
        <v>ARI</v>
      </c>
      <c r="D29" s="60">
        <f>IFERROR(VLOOKUP(Aggregate!$B29,ECR!C:F,4,FALSE()),"-")</f>
        <v>14</v>
      </c>
      <c r="E29" s="60" t="str">
        <f>Aggregate!$C29 &amp; "/" &amp; Aggregate!$D29</f>
        <v>ARI/14</v>
      </c>
      <c r="F29" s="62">
        <f>IFERROR(VLOOKUP(Aggregate!$B29,QB!A:Q,15,FALSE())/17*(16-Aggregate!$M29),0)</f>
        <v>108.6418824</v>
      </c>
      <c r="G29" s="62">
        <f>IFERROR(VLOOKUP(Aggregate!$B29,QB!A:Q,16,FALSE())/17*(16-Aggregate!$M29),0)</f>
        <v>140.8346353</v>
      </c>
      <c r="H29" s="62">
        <f>IFERROR(VLOOKUP(Aggregate!$B29,QB!A:Q,17,FALSE())/17*(16-Aggregate!$M29),0)</f>
        <v>174.0498824</v>
      </c>
      <c r="I29" s="69">
        <f>AVERAGE(Aggregate!$F29,Aggregate!$G29,Aggregate!$H29,VLOOKUP(Aggregate!$B29,ECR!L:N,3,FALSE))</f>
        <v>141.6617412</v>
      </c>
      <c r="J29" s="69">
        <f>Aggregate!$I29-$C$1</f>
        <v>-79.98506482</v>
      </c>
      <c r="K29" s="72">
        <f>MAX(Aggregate!$J29*Scoring!$B$48+1,1)</f>
        <v>1</v>
      </c>
      <c r="L29" s="73">
        <f>VLOOKUP(Aggregate!$J29,BH:BJ,3,FALSE)</f>
        <v>9</v>
      </c>
      <c r="M29" s="80">
        <f t="array" ref="M29">VLOOKUP(INDEX(ECR!$E:$E,MATCH(B29,ECR!$C:$C,0)),RISK!A:B,2,FALSE())</f>
        <v>3.2</v>
      </c>
      <c r="N29" s="81"/>
      <c r="O29" s="73" t="s">
        <v>359</v>
      </c>
      <c r="P29" s="59" t="str">
        <f>VLOOKUP(O29,ECR!E:L,8,FALSE())</f>
        <v>Rhamondre Stevenson</v>
      </c>
      <c r="Q29" s="60" t="str">
        <f>IFERROR(VLOOKUP(Aggregate!$P29,ECR!C:F,2,FALSE()),"-")</f>
        <v>NE</v>
      </c>
      <c r="R29" s="60">
        <f>IFERROR(VLOOKUP(Aggregate!$P29,ECR!C:F,4,FALSE()),"-")</f>
        <v>11</v>
      </c>
      <c r="S29" s="60" t="str">
        <f>Aggregate!$Q29 &amp; "/" &amp; Aggregate!$R29</f>
        <v>NE/11</v>
      </c>
      <c r="T29" s="62">
        <f>IFERROR(VLOOKUP(Aggregate!$P29,RB!A:Q,13,FALSE())/17*(16-Aggregate!$AA29),0)</f>
        <v>119.46366</v>
      </c>
      <c r="U29" s="62">
        <f>IFERROR(VLOOKUP(Aggregate!$P29,RB!A:Q,14,FALSE())/17*(16-Aggregate!$AA29),0)</f>
        <v>130.77045</v>
      </c>
      <c r="V29" s="62">
        <f>IFERROR(VLOOKUP(Aggregate!$P29,RB!A:Q,15,FALSE())/17*(16-Aggregate!$AA29),0)</f>
        <v>138.947886</v>
      </c>
      <c r="W29" s="69">
        <f>AVERAGE(Aggregate!$T29,Aggregate!$U29,Aggregate!$V29,VLOOKUP(Aggregate!$P29,ECR!L:N,3,FALSE))</f>
        <v>130.0003291</v>
      </c>
      <c r="X29" s="69">
        <f>Aggregate!$W29-$Q$1</f>
        <v>51.60944001</v>
      </c>
      <c r="Y29" s="72">
        <f>MAX(Aggregate!$X29*Scoring!$B$48+1,1)</f>
        <v>14.52288247</v>
      </c>
      <c r="Z29" s="73">
        <f>VLOOKUP(Aggregate!$X29,BM:BO,3,FALSE)</f>
        <v>5</v>
      </c>
      <c r="AA29" s="80">
        <f t="array" ref="AA29">VLOOKUP(INDEX(ECR!$E:$E,MATCH(P29,ECR!$C:$C,0)),RISK!A:B,2,FALSE())</f>
        <v>3.0562</v>
      </c>
      <c r="AB29" s="81"/>
      <c r="AC29" s="60" t="s">
        <v>360</v>
      </c>
      <c r="AD29" s="60" t="str">
        <f>VLOOKUP(AC29,ECR!E:L,8,FALSE())</f>
        <v>Christian Watson</v>
      </c>
      <c r="AE29" s="60" t="str">
        <f>IFERROR(VLOOKUP(Aggregate!$AD29,ECR!C:F,2,FALSE()),"-")</f>
        <v>GB</v>
      </c>
      <c r="AF29" s="60">
        <f>IFERROR(VLOOKUP(Aggregate!$AD29,ECR!C:F,4,FALSE()),"-")</f>
        <v>11</v>
      </c>
      <c r="AG29" s="60" t="str">
        <f>Aggregate!$AE29 &amp; "/" &amp; Aggregate!$AF29</f>
        <v>GB/11</v>
      </c>
      <c r="AH29" s="62">
        <f>IFERROR(VLOOKUP(Aggregate!$AD29,WR!A:Q,13,FALSE())/17*(16-Aggregate!$AO29),0)</f>
        <v>114.9961896</v>
      </c>
      <c r="AI29" s="62">
        <f>IFERROR(VLOOKUP(Aggregate!$AD29,WR!A:Q,14,FALSE())/17*(16-Aggregate!$AO29),0)</f>
        <v>123.4306815</v>
      </c>
      <c r="AJ29" s="62">
        <f>IFERROR(VLOOKUP(Aggregate!$AD29,WR!A:Q,15,FALSE())/17*(16-Aggregate!$AO29),0)</f>
        <v>134.3345308</v>
      </c>
      <c r="AK29" s="69">
        <f>AVERAGE(Aggregate!$AH29,Aggregate!$AI29,Aggregate!$AJ29,VLOOKUP(Aggregate!$AD29,ECR!L:N,3,FALSE))</f>
        <v>125.229936</v>
      </c>
      <c r="AL29" s="69">
        <f>Aggregate!$AK29-$AE$1</f>
        <v>43.70900896</v>
      </c>
      <c r="AM29" s="72">
        <f>MAX(Aggregate!$AL29*Scoring!$B$48+1,1)</f>
        <v>12.45278443</v>
      </c>
      <c r="AN29" s="73">
        <f>VLOOKUP(Aggregate!$AL29,BR:BT,3,FALSE)</f>
        <v>4</v>
      </c>
      <c r="AO29" s="80">
        <f t="array" ref="AO29">VLOOKUP(INDEX(ECR!$E:$E,MATCH(AD29,ECR!$C:$C,0)),RISK!A:B,2,FALSE())</f>
        <v>3.3557</v>
      </c>
      <c r="AP29" s="81"/>
      <c r="AQ29" s="85" t="s">
        <v>361</v>
      </c>
      <c r="AR29" s="85" t="str">
        <f>VLOOKUP(AQ29,ECR!E:L,8,FALSE())</f>
        <v>Cade Otton</v>
      </c>
      <c r="AS29" s="85" t="str">
        <f>IFERROR(VLOOKUP(Aggregate!$AR29,ECR!C:F,2,FALSE()),"-")</f>
        <v>TB</v>
      </c>
      <c r="AT29" s="85">
        <f>IFERROR(VLOOKUP(Aggregate!$AR29,ECR!C:F,4,FALSE()),"-")</f>
        <v>10</v>
      </c>
      <c r="AU29" s="85" t="str">
        <f>Aggregate!$AS29 &amp; "/" &amp; Aggregate!$AT29</f>
        <v>TB/10</v>
      </c>
      <c r="AV29" s="62">
        <f>IFERROR(VLOOKUP(Aggregate!$AR29,TE!A:K,9,FALSE())/17*(16-Aggregate!$BC29),0)</f>
        <v>64.13649724</v>
      </c>
      <c r="AW29" s="62">
        <f>IFERROR(VLOOKUP(Aggregate!$AR29,TE!A:K,10,FALSE())/17*(16-Aggregate!$BC29),0)</f>
        <v>81.94815565</v>
      </c>
      <c r="AX29" s="62">
        <f>IFERROR(VLOOKUP(Aggregate!$AR29,TE!A:K,11,FALSE())/17*(16-Aggregate!$BC29),0)</f>
        <v>103.4641871</v>
      </c>
      <c r="AY29" s="69">
        <f>AVERAGE(Aggregate!$AV29,Aggregate!$AW29,Aggregate!$AX29,VLOOKUP(Aggregate!$AR29,ECR!L:N,3,FALSE))</f>
        <v>81.877313</v>
      </c>
      <c r="AZ29" s="69">
        <f>Aggregate!$AY29-$AS$1</f>
        <v>0.3389816029</v>
      </c>
      <c r="BA29" s="72">
        <f>MAX(Aggregate!$AZ29*Scoring!$B$48+1,1)</f>
        <v>1.088821122</v>
      </c>
      <c r="BB29" s="62">
        <f>VLOOKUP(Aggregate!$AZ29,BW:BY,3,FALSE)</f>
        <v>5</v>
      </c>
      <c r="BC29" s="80">
        <f t="array" ref="BC29">VLOOKUP(INDEX(ECR!$E:$E,MATCH(AR29,ECR!$C:$C,0)),RISK!A:B,2,FALSE())</f>
        <v>2.2801</v>
      </c>
      <c r="BD29" s="62"/>
      <c r="BE29" s="81"/>
      <c r="BF29" s="81">
        <v>27.0</v>
      </c>
      <c r="BG29" s="81">
        <f t="shared" si="1"/>
        <v>143.1205647</v>
      </c>
      <c r="BH29" s="81">
        <f>IFERROR(LARGE($J$3:$J$52,27),"")</f>
        <v>-75.87475894</v>
      </c>
      <c r="BI29" s="81">
        <f t="shared" si="5"/>
        <v>-72.61602953</v>
      </c>
      <c r="BJ29" s="81">
        <f t="shared" si="6"/>
        <v>9</v>
      </c>
      <c r="BK29" s="90">
        <v>27.0</v>
      </c>
      <c r="BL29" s="81">
        <f t="shared" si="2"/>
        <v>130.8193205</v>
      </c>
      <c r="BM29" s="91">
        <f>IFERROR(LARGE($X$3:$X$102,27),"")</f>
        <v>52.23954384</v>
      </c>
      <c r="BN29" s="91">
        <f t="shared" si="7"/>
        <v>69.25847219</v>
      </c>
      <c r="BO29" s="93">
        <f t="shared" si="8"/>
        <v>5</v>
      </c>
      <c r="BP29" s="91">
        <v>27.0</v>
      </c>
      <c r="BQ29" s="81">
        <f t="shared" si="3"/>
        <v>128.1583422</v>
      </c>
      <c r="BR29" s="91">
        <f>IFERROR(LARGE($AL$3:$AL$102,27),"")</f>
        <v>45.55317041</v>
      </c>
      <c r="BS29" s="91">
        <f t="shared" si="9"/>
        <v>49.52975104</v>
      </c>
      <c r="BT29" s="91">
        <f t="shared" si="10"/>
        <v>4</v>
      </c>
      <c r="BU29" s="81">
        <v>27.0</v>
      </c>
      <c r="BV29" s="81">
        <f t="shared" si="4"/>
        <v>77.96041206</v>
      </c>
      <c r="BW29" s="91">
        <f>IFERROR(LARGE($AZ$3:$AZ$52,27),"")</f>
        <v>-0.5737199265</v>
      </c>
      <c r="BX29" s="91">
        <f t="shared" si="11"/>
        <v>1.583113897</v>
      </c>
      <c r="BY29" s="91">
        <f t="shared" si="12"/>
        <v>5</v>
      </c>
      <c r="BZ29" s="91"/>
      <c r="CA29" s="91"/>
      <c r="CB29" s="91"/>
      <c r="CC29" s="91"/>
      <c r="CD29" s="91"/>
      <c r="CE29" s="91"/>
      <c r="CF29" s="91"/>
      <c r="CG29" s="91"/>
    </row>
    <row r="30" ht="14.25" customHeight="1">
      <c r="A30" s="59" t="s">
        <v>362</v>
      </c>
      <c r="B30" s="59" t="str">
        <f>VLOOKUP(A30,ECR!E:L,8,FALSE())</f>
        <v>Geno Smith</v>
      </c>
      <c r="C30" s="60" t="str">
        <f>IFERROR(VLOOKUP(Aggregate!$B30,ECR!C:F,2,FALSE()),"-")</f>
        <v>NYJ</v>
      </c>
      <c r="D30" s="60">
        <f>IFERROR(VLOOKUP(Aggregate!$B30,ECR!C:F,4,FALSE()),"-")</f>
        <v>13</v>
      </c>
      <c r="E30" s="60" t="str">
        <f>Aggregate!$C30 &amp; "/" &amp; Aggregate!$D30</f>
        <v>NYJ/13</v>
      </c>
      <c r="F30" s="62">
        <f>IFERROR(VLOOKUP(Aggregate!$B30,QB!A:Q,15,FALSE())/17*(16-Aggregate!$M30),0)</f>
        <v>123.6178824</v>
      </c>
      <c r="G30" s="62">
        <f>IFERROR(VLOOKUP(Aggregate!$B30,QB!A:Q,16,FALSE())/17*(16-Aggregate!$M30),0)</f>
        <v>146.7166118</v>
      </c>
      <c r="H30" s="62">
        <f>IFERROR(VLOOKUP(Aggregate!$B30,QB!A:Q,17,FALSE())/17*(16-Aggregate!$M30),0)</f>
        <v>171.5245176</v>
      </c>
      <c r="I30" s="69">
        <f>AVERAGE(Aggregate!$F30,Aggregate!$G30,Aggregate!$H30,VLOOKUP(Aggregate!$B30,ECR!L:N,3,FALSE))</f>
        <v>145.7720471</v>
      </c>
      <c r="J30" s="69">
        <f>Aggregate!$I30-$C$1</f>
        <v>-75.87475894</v>
      </c>
      <c r="K30" s="72">
        <f>MAX(Aggregate!$J30*Scoring!$B$48+1,1)</f>
        <v>1</v>
      </c>
      <c r="L30" s="73">
        <f>VLOOKUP(Aggregate!$J30,BH:BJ,3,FALSE)</f>
        <v>9</v>
      </c>
      <c r="M30" s="80">
        <f t="array" ref="M30">VLOOKUP(INDEX(ECR!$E:$E,MATCH(B30,ECR!$C:$C,0)),RISK!A:B,2,FALSE())</f>
        <v>3.2</v>
      </c>
      <c r="N30" s="81"/>
      <c r="O30" s="73" t="s">
        <v>363</v>
      </c>
      <c r="P30" s="59" t="str">
        <f>VLOOKUP(O30,ECR!E:L,8,FALSE())</f>
        <v>Jaylen Warren</v>
      </c>
      <c r="Q30" s="60" t="str">
        <f>IFERROR(VLOOKUP(Aggregate!$P30,ECR!C:F,2,FALSE()),"-")</f>
        <v>PIT</v>
      </c>
      <c r="R30" s="60">
        <f>IFERROR(VLOOKUP(Aggregate!$P30,ECR!C:F,4,FALSE()),"-")</f>
        <v>9</v>
      </c>
      <c r="S30" s="60" t="str">
        <f>Aggregate!$Q30 &amp; "/" &amp; Aggregate!$R30</f>
        <v>PIT/9</v>
      </c>
      <c r="T30" s="62">
        <f>IFERROR(VLOOKUP(Aggregate!$P30,RB!A:Q,13,FALSE())/17*(16-Aggregate!$AA30),0)</f>
        <v>122.977456</v>
      </c>
      <c r="U30" s="62">
        <f>IFERROR(VLOOKUP(Aggregate!$P30,RB!A:Q,14,FALSE())/17*(16-Aggregate!$AA30),0)</f>
        <v>130.8193205</v>
      </c>
      <c r="V30" s="62">
        <f>IFERROR(VLOOKUP(Aggregate!$P30,RB!A:Q,15,FALSE())/17*(16-Aggregate!$AA30),0)</f>
        <v>137.9545053</v>
      </c>
      <c r="W30" s="69">
        <f>AVERAGE(Aggregate!$T30,Aggregate!$U30,Aggregate!$V30,VLOOKUP(Aggregate!$P30,ECR!L:N,3,FALSE))</f>
        <v>130.6304329</v>
      </c>
      <c r="X30" s="69">
        <f>Aggregate!$W30-$Q$1</f>
        <v>52.23954384</v>
      </c>
      <c r="Y30" s="72">
        <f>MAX(Aggregate!$X30*Scoring!$B$48+1,1)</f>
        <v>14.68798444</v>
      </c>
      <c r="Z30" s="73">
        <f>VLOOKUP(Aggregate!$X30,BM:BO,3,FALSE)</f>
        <v>5</v>
      </c>
      <c r="AA30" s="80">
        <f t="array" ref="AA30">VLOOKUP(INDEX(ECR!$E:$E,MATCH(P30,ECR!$C:$C,0)),RISK!A:B,2,FALSE())</f>
        <v>3.0822</v>
      </c>
      <c r="AB30" s="81"/>
      <c r="AC30" s="60" t="s">
        <v>364</v>
      </c>
      <c r="AD30" s="60" t="str">
        <f>VLOOKUP(AC30,ECR!E:L,8,FALSE())</f>
        <v>Mike Evans</v>
      </c>
      <c r="AE30" s="60" t="str">
        <f>IFERROR(VLOOKUP(Aggregate!$AD30,ECR!C:F,2,FALSE()),"-")</f>
        <v>SF</v>
      </c>
      <c r="AF30" s="60">
        <f>IFERROR(VLOOKUP(Aggregate!$AD30,ECR!C:F,4,FALSE()),"-")</f>
        <v>8</v>
      </c>
      <c r="AG30" s="60" t="str">
        <f>Aggregate!$AE30 &amp; "/" &amp; Aggregate!$AF30</f>
        <v>SF/8</v>
      </c>
      <c r="AH30" s="62">
        <f>IFERROR(VLOOKUP(Aggregate!$AD30,WR!A:Q,13,FALSE())/17*(16-Aggregate!$AO30),0)</f>
        <v>113.6346046</v>
      </c>
      <c r="AI30" s="62">
        <f>IFERROR(VLOOKUP(Aggregate!$AD30,WR!A:Q,14,FALSE())/17*(16-Aggregate!$AO30),0)</f>
        <v>125.999874</v>
      </c>
      <c r="AJ30" s="62">
        <f>IFERROR(VLOOKUP(Aggregate!$AD30,WR!A:Q,15,FALSE())/17*(16-Aggregate!$AO30),0)</f>
        <v>136.8324424</v>
      </c>
      <c r="AK30" s="69">
        <f>AVERAGE(Aggregate!$AH30,Aggregate!$AI30,Aggregate!$AJ30,VLOOKUP(Aggregate!$AD30,ECR!L:N,3,FALSE))</f>
        <v>125.6166987</v>
      </c>
      <c r="AL30" s="69">
        <f>Aggregate!$AK30-$AE$1</f>
        <v>44.09577168</v>
      </c>
      <c r="AM30" s="72">
        <f>MAX(Aggregate!$AL30*Scoring!$B$48+1,1)</f>
        <v>12.55412533</v>
      </c>
      <c r="AN30" s="73">
        <f>VLOOKUP(Aggregate!$AL30,BR:BT,3,FALSE)</f>
        <v>4</v>
      </c>
      <c r="AO30" s="80">
        <f t="array" ref="AO30">VLOOKUP(INDEX(ECR!$E:$E,MATCH(AD30,ECR!$C:$C,0)),RISK!A:B,2,FALSE())</f>
        <v>3.4126</v>
      </c>
      <c r="AP30" s="81"/>
      <c r="AQ30" s="85" t="s">
        <v>365</v>
      </c>
      <c r="AR30" s="85" t="str">
        <f>VLOOKUP(AQ30,ECR!E:L,8,FALSE())</f>
        <v>Pat Freiermuth</v>
      </c>
      <c r="AS30" s="85" t="str">
        <f>IFERROR(VLOOKUP(Aggregate!$AR30,ECR!C:F,2,FALSE()),"-")</f>
        <v>PIT</v>
      </c>
      <c r="AT30" s="85">
        <f>IFERROR(VLOOKUP(Aggregate!$AR30,ECR!C:F,4,FALSE()),"-")</f>
        <v>9</v>
      </c>
      <c r="AU30" s="85" t="str">
        <f>Aggregate!$AS30 &amp; "/" &amp; Aggregate!$AT30</f>
        <v>PIT/9</v>
      </c>
      <c r="AV30" s="62">
        <f>IFERROR(VLOOKUP(Aggregate!$AR30,TE!A:K,9,FALSE())/17*(16-Aggregate!$BC30),0)</f>
        <v>73.01043412</v>
      </c>
      <c r="AW30" s="62">
        <f>IFERROR(VLOOKUP(Aggregate!$AR30,TE!A:K,10,FALSE())/17*(16-Aggregate!$BC30),0)</f>
        <v>87.62876353</v>
      </c>
      <c r="AX30" s="62">
        <f>IFERROR(VLOOKUP(Aggregate!$AR30,TE!A:K,11,FALSE())/17*(16-Aggregate!$BC30),0)</f>
        <v>97.65856176</v>
      </c>
      <c r="AY30" s="69">
        <f>AVERAGE(Aggregate!$AV30,Aggregate!$AW30,Aggregate!$AX30,VLOOKUP(Aggregate!$AR30,ECR!L:N,3,FALSE))</f>
        <v>83.12144529</v>
      </c>
      <c r="AZ30" s="69">
        <f>Aggregate!$AY30-$AS$1</f>
        <v>1.583113897</v>
      </c>
      <c r="BA30" s="72">
        <f>MAX(Aggregate!$AZ30*Scoring!$B$48+1,1)</f>
        <v>1.414812933</v>
      </c>
      <c r="BB30" s="62">
        <f>VLOOKUP(Aggregate!$AZ30,BW:BY,3,FALSE)</f>
        <v>5</v>
      </c>
      <c r="BC30" s="80">
        <f t="array" ref="BC30">VLOOKUP(INDEX(ECR!$E:$E,MATCH(AR30,ECR!$C:$C,0)),RISK!A:B,2,FALSE())</f>
        <v>2.1938</v>
      </c>
      <c r="BD30" s="62"/>
      <c r="BE30" s="81"/>
      <c r="BF30" s="81">
        <v>28.0</v>
      </c>
      <c r="BG30" s="81">
        <f t="shared" si="1"/>
        <v>141.2291765</v>
      </c>
      <c r="BH30" s="81">
        <f>IFERROR(LARGE($J$3:$J$52,28),"")</f>
        <v>-79.98506482</v>
      </c>
      <c r="BI30" s="81">
        <f t="shared" si="5"/>
        <v>-72.61602953</v>
      </c>
      <c r="BJ30" s="81">
        <f t="shared" si="6"/>
        <v>9</v>
      </c>
      <c r="BK30" s="90">
        <v>28.0</v>
      </c>
      <c r="BL30" s="81">
        <f t="shared" si="2"/>
        <v>130.77045</v>
      </c>
      <c r="BM30" s="91">
        <f>IFERROR(LARGE($X$3:$X$102,28),"")</f>
        <v>51.69079772</v>
      </c>
      <c r="BN30" s="91">
        <f t="shared" si="7"/>
        <v>69.25847219</v>
      </c>
      <c r="BO30" s="93">
        <f t="shared" si="8"/>
        <v>5</v>
      </c>
      <c r="BP30" s="91">
        <v>28.0</v>
      </c>
      <c r="BQ30" s="81">
        <f t="shared" si="3"/>
        <v>125.999874</v>
      </c>
      <c r="BR30" s="91">
        <f>IFERROR(LARGE($AL$3:$AL$102,28),"")</f>
        <v>44.09577168</v>
      </c>
      <c r="BS30" s="91">
        <f t="shared" si="9"/>
        <v>49.52975104</v>
      </c>
      <c r="BT30" s="91">
        <f t="shared" si="10"/>
        <v>4</v>
      </c>
      <c r="BU30" s="81">
        <v>28.0</v>
      </c>
      <c r="BV30" s="81">
        <f t="shared" si="4"/>
        <v>74.18802176</v>
      </c>
      <c r="BW30" s="91">
        <f>IFERROR(LARGE($AZ$3:$AZ$52,28),"")</f>
        <v>-9.188466912</v>
      </c>
      <c r="BX30" s="91">
        <f t="shared" si="11"/>
        <v>1.583113897</v>
      </c>
      <c r="BY30" s="91">
        <f t="shared" si="12"/>
        <v>5</v>
      </c>
      <c r="BZ30" s="91"/>
      <c r="CA30" s="91"/>
      <c r="CB30" s="91"/>
      <c r="CC30" s="91"/>
      <c r="CD30" s="91"/>
      <c r="CE30" s="91"/>
      <c r="CF30" s="91"/>
      <c r="CG30" s="91"/>
    </row>
    <row r="31" ht="14.25" customHeight="1">
      <c r="A31" s="59" t="s">
        <v>366</v>
      </c>
      <c r="B31" s="59" t="str">
        <f>VLOOKUP(A31,ECR!E:L,8,FALSE())</f>
        <v>Aaron Rodgers</v>
      </c>
      <c r="C31" s="60" t="str">
        <f>IFERROR(VLOOKUP(Aggregate!$B31,ECR!C:F,2,FALSE()),"-")</f>
        <v>PIT</v>
      </c>
      <c r="D31" s="60">
        <f>IFERROR(VLOOKUP(Aggregate!$B31,ECR!C:F,4,FALSE()),"-")</f>
        <v>9</v>
      </c>
      <c r="E31" s="60" t="str">
        <f>Aggregate!$C31 &amp; "/" &amp; Aggregate!$D31</f>
        <v>PIT/9</v>
      </c>
      <c r="F31" s="62">
        <f>IFERROR(VLOOKUP(Aggregate!$B31,QB!A:Q,15,FALSE())/17*(16-Aggregate!$M31),0)</f>
        <v>120.0941176</v>
      </c>
      <c r="G31" s="62">
        <f>IFERROR(VLOOKUP(Aggregate!$B31,QB!A:Q,16,FALSE())/17*(16-Aggregate!$M31),0)</f>
        <v>141.2291765</v>
      </c>
      <c r="H31" s="62">
        <f>IFERROR(VLOOKUP(Aggregate!$B31,QB!A:Q,17,FALSE())/17*(16-Aggregate!$M31),0)</f>
        <v>157.6794353</v>
      </c>
      <c r="I31" s="69">
        <f>AVERAGE(Aggregate!$F31,Aggregate!$G31,Aggregate!$H31,VLOOKUP(Aggregate!$B31,ECR!L:N,3,FALSE))</f>
        <v>139.9593412</v>
      </c>
      <c r="J31" s="69">
        <f>Aggregate!$I31-$C$1</f>
        <v>-81.68746482</v>
      </c>
      <c r="K31" s="72">
        <f>MAX(Aggregate!$J31*Scoring!$B$48+1,1)</f>
        <v>1</v>
      </c>
      <c r="L31" s="73">
        <f>VLOOKUP(Aggregate!$J31,BH:BJ,3,FALSE)</f>
        <v>9</v>
      </c>
      <c r="M31" s="80">
        <f t="array" ref="M31">VLOOKUP(INDEX(ECR!$E:$E,MATCH(B31,ECR!$C:$C,0)),RISK!A:B,2,FALSE())</f>
        <v>3.2</v>
      </c>
      <c r="N31" s="81"/>
      <c r="O31" s="73" t="s">
        <v>367</v>
      </c>
      <c r="P31" s="59" t="str">
        <f>VLOOKUP(O31,ECR!E:L,8,FALSE())</f>
        <v>Tony Pollard</v>
      </c>
      <c r="Q31" s="60" t="str">
        <f>IFERROR(VLOOKUP(Aggregate!$P31,ECR!C:F,2,FALSE()),"-")</f>
        <v>TEN</v>
      </c>
      <c r="R31" s="60">
        <f>IFERROR(VLOOKUP(Aggregate!$P31,ECR!C:F,4,FALSE()),"-")</f>
        <v>9</v>
      </c>
      <c r="S31" s="60" t="str">
        <f>Aggregate!$Q31 &amp; "/" &amp; Aggregate!$R31</f>
        <v>TEN/9</v>
      </c>
      <c r="T31" s="62">
        <f>IFERROR(VLOOKUP(Aggregate!$P31,RB!A:Q,13,FALSE())/17*(16-Aggregate!$AA31),0)</f>
        <v>118.6066231</v>
      </c>
      <c r="U31" s="62">
        <f>IFERROR(VLOOKUP(Aggregate!$P31,RB!A:Q,14,FALSE())/17*(16-Aggregate!$AA31),0)</f>
        <v>130.4134456</v>
      </c>
      <c r="V31" s="62">
        <f>IFERROR(VLOOKUP(Aggregate!$P31,RB!A:Q,15,FALSE())/17*(16-Aggregate!$AA31),0)</f>
        <v>140.8932329</v>
      </c>
      <c r="W31" s="69">
        <f>AVERAGE(Aggregate!$T31,Aggregate!$U31,Aggregate!$V31,VLOOKUP(Aggregate!$P31,ECR!L:N,3,FALSE))</f>
        <v>130.0816868</v>
      </c>
      <c r="X31" s="69">
        <f>Aggregate!$W31-$Q$1</f>
        <v>51.69079772</v>
      </c>
      <c r="Y31" s="72">
        <f>MAX(Aggregate!$X31*Scoring!$B$48+1,1)</f>
        <v>14.5442001</v>
      </c>
      <c r="Z31" s="73">
        <f>VLOOKUP(Aggregate!$X31,BM:BO,3,FALSE)</f>
        <v>5</v>
      </c>
      <c r="AA31" s="80">
        <f t="array" ref="AA31">VLOOKUP(INDEX(ECR!$E:$E,MATCH(P31,ECR!$C:$C,0)),RISK!A:B,2,FALSE())</f>
        <v>3.1088</v>
      </c>
      <c r="AB31" s="81"/>
      <c r="AC31" s="60" t="s">
        <v>368</v>
      </c>
      <c r="AD31" s="60" t="str">
        <f>VLOOKUP(AC31,ECR!E:L,8,FALSE())</f>
        <v>Rome Odunze</v>
      </c>
      <c r="AE31" s="60" t="str">
        <f>IFERROR(VLOOKUP(Aggregate!$AD31,ECR!C:F,2,FALSE()),"-")</f>
        <v>CHI</v>
      </c>
      <c r="AF31" s="60">
        <f>IFERROR(VLOOKUP(Aggregate!$AD31,ECR!C:F,4,FALSE()),"-")</f>
        <v>10</v>
      </c>
      <c r="AG31" s="60" t="str">
        <f>Aggregate!$AE31 &amp; "/" &amp; Aggregate!$AF31</f>
        <v>CHI/10</v>
      </c>
      <c r="AH31" s="62">
        <f>IFERROR(VLOOKUP(Aggregate!$AD31,WR!A:Q,13,FALSE())/17*(16-Aggregate!$AO31),0)</f>
        <v>119.4527744</v>
      </c>
      <c r="AI31" s="62">
        <f>IFERROR(VLOOKUP(Aggregate!$AD31,WR!A:Q,14,FALSE())/17*(16-Aggregate!$AO31),0)</f>
        <v>128.1583422</v>
      </c>
      <c r="AJ31" s="62">
        <f>IFERROR(VLOOKUP(Aggregate!$AD31,WR!A:Q,15,FALSE())/17*(16-Aggregate!$AO31),0)</f>
        <v>137.2545918</v>
      </c>
      <c r="AK31" s="69">
        <f>AVERAGE(Aggregate!$AH31,Aggregate!$AI31,Aggregate!$AJ31,VLOOKUP(Aggregate!$AD31,ECR!L:N,3,FALSE))</f>
        <v>127.0740975</v>
      </c>
      <c r="AL31" s="69">
        <f>Aggregate!$AK31-$AE$1</f>
        <v>45.55317041</v>
      </c>
      <c r="AM31" s="72">
        <f>MAX(Aggregate!$AL31*Scoring!$B$48+1,1)</f>
        <v>12.93599794</v>
      </c>
      <c r="AN31" s="73">
        <f>VLOOKUP(Aggregate!$AL31,BR:BT,3,FALSE)</f>
        <v>4</v>
      </c>
      <c r="AO31" s="80">
        <f t="array" ref="AO31">VLOOKUP(INDEX(ECR!$E:$E,MATCH(AD31,ECR!$C:$C,0)),RISK!A:B,2,FALSE())</f>
        <v>3.4687</v>
      </c>
      <c r="AP31" s="81"/>
      <c r="AQ31" s="85" t="s">
        <v>369</v>
      </c>
      <c r="AR31" s="85" t="str">
        <f>VLOOKUP(AQ31,ECR!E:L,8,FALSE())</f>
        <v>David Njoku</v>
      </c>
      <c r="AS31" s="85" t="str">
        <f>IFERROR(VLOOKUP(Aggregate!$AR31,ECR!C:F,2,FALSE()),"-")</f>
        <v>LAC</v>
      </c>
      <c r="AT31" s="85">
        <f>IFERROR(VLOOKUP(Aggregate!$AR31,ECR!C:F,4,FALSE()),"-")</f>
        <v>7</v>
      </c>
      <c r="AU31" s="85" t="str">
        <f>Aggregate!$AS31 &amp; "/" &amp; Aggregate!$AT31</f>
        <v>LAC/7</v>
      </c>
      <c r="AV31" s="62">
        <f>IFERROR(VLOOKUP(Aggregate!$AR31,TE!A:K,9,FALSE())/17*(16-Aggregate!$BC31),0)</f>
        <v>60.30060882</v>
      </c>
      <c r="AW31" s="62">
        <f>IFERROR(VLOOKUP(Aggregate!$AR31,TE!A:K,10,FALSE())/17*(16-Aggregate!$BC31),0)</f>
        <v>70.17610247</v>
      </c>
      <c r="AX31" s="62">
        <f>IFERROR(VLOOKUP(Aggregate!$AR31,TE!A:K,11,FALSE())/17*(16-Aggregate!$BC31),0)</f>
        <v>81.35100318</v>
      </c>
      <c r="AY31" s="69">
        <f>AVERAGE(Aggregate!$AV31,Aggregate!$AW31,Aggregate!$AX31,VLOOKUP(Aggregate!$AR31,ECR!L:N,3,FALSE))</f>
        <v>71.28871976</v>
      </c>
      <c r="AZ31" s="69">
        <f>Aggregate!$AY31-$AS$1</f>
        <v>-10.24961163</v>
      </c>
      <c r="BA31" s="72">
        <f>MAX(Aggregate!$AZ31*Scoring!$B$48+1,1)</f>
        <v>1</v>
      </c>
      <c r="BB31" s="62">
        <f>VLOOKUP(Aggregate!$AZ31,BW:BY,3,FALSE)</f>
        <v>5</v>
      </c>
      <c r="BC31" s="80">
        <f t="array" ref="BC31">VLOOKUP(INDEX(ECR!$E:$E,MATCH(AR31,ECR!$C:$C,0)),RISK!A:B,2,FALSE())</f>
        <v>2.1938</v>
      </c>
      <c r="BD31" s="62"/>
      <c r="BE31" s="81"/>
      <c r="BF31" s="81">
        <v>29.0</v>
      </c>
      <c r="BG31" s="81">
        <f t="shared" si="1"/>
        <v>140.8346353</v>
      </c>
      <c r="BH31" s="81">
        <f>IFERROR(LARGE($J$3:$J$52,29),"")</f>
        <v>-81.68746482</v>
      </c>
      <c r="BI31" s="81">
        <f t="shared" si="5"/>
        <v>-72.61602953</v>
      </c>
      <c r="BJ31" s="81">
        <f t="shared" si="6"/>
        <v>9</v>
      </c>
      <c r="BK31" s="90">
        <v>29.0</v>
      </c>
      <c r="BL31" s="81">
        <f t="shared" si="2"/>
        <v>130.4134456</v>
      </c>
      <c r="BM31" s="91">
        <f>IFERROR(LARGE($X$3:$X$102,29),"")</f>
        <v>51.60944001</v>
      </c>
      <c r="BN31" s="91">
        <f t="shared" si="7"/>
        <v>69.25847219</v>
      </c>
      <c r="BO31" s="93">
        <f t="shared" si="8"/>
        <v>5</v>
      </c>
      <c r="BP31" s="91">
        <v>29.0</v>
      </c>
      <c r="BQ31" s="81">
        <f t="shared" si="3"/>
        <v>123.4306815</v>
      </c>
      <c r="BR31" s="91">
        <f>IFERROR(LARGE($AL$3:$AL$102,29),"")</f>
        <v>43.70900896</v>
      </c>
      <c r="BS31" s="91">
        <f t="shared" si="9"/>
        <v>49.52975104</v>
      </c>
      <c r="BT31" s="91">
        <f t="shared" si="10"/>
        <v>4</v>
      </c>
      <c r="BU31" s="81">
        <v>29.0</v>
      </c>
      <c r="BV31" s="81">
        <f t="shared" si="4"/>
        <v>73.32716459</v>
      </c>
      <c r="BW31" s="91">
        <f>IFERROR(LARGE($AZ$3:$AZ$52,29),"")</f>
        <v>-9.597877779</v>
      </c>
      <c r="BX31" s="91">
        <f t="shared" si="11"/>
        <v>1.583113897</v>
      </c>
      <c r="BY31" s="91">
        <f t="shared" si="12"/>
        <v>5</v>
      </c>
      <c r="BZ31" s="91"/>
      <c r="CA31" s="91"/>
      <c r="CB31" s="91"/>
      <c r="CC31" s="91"/>
      <c r="CD31" s="91"/>
      <c r="CE31" s="91"/>
      <c r="CF31" s="91"/>
      <c r="CG31" s="91"/>
    </row>
    <row r="32" ht="14.25" customHeight="1">
      <c r="A32" s="59" t="s">
        <v>370</v>
      </c>
      <c r="B32" s="59" t="str">
        <f>VLOOKUP(A32,ECR!E:L,8,FALSE())</f>
        <v>Fernando Mendoza</v>
      </c>
      <c r="C32" s="60" t="str">
        <f>IFERROR(VLOOKUP(Aggregate!$B32,ECR!C:F,2,FALSE()),"-")</f>
        <v>LV</v>
      </c>
      <c r="D32" s="60">
        <f>IFERROR(VLOOKUP(Aggregate!$B32,ECR!C:F,4,FALSE()),"-")</f>
        <v>13</v>
      </c>
      <c r="E32" s="60" t="str">
        <f>Aggregate!$C32 &amp; "/" &amp; Aggregate!$D32</f>
        <v>LV/13</v>
      </c>
      <c r="F32" s="62">
        <f>IFERROR(VLOOKUP(Aggregate!$B32,QB!A:Q,15,FALSE())/17*(16-Aggregate!$M32),0)</f>
        <v>95.06635294</v>
      </c>
      <c r="G32" s="62">
        <f>IFERROR(VLOOKUP(Aggregate!$B32,QB!A:Q,16,FALSE())/17*(16-Aggregate!$M32),0)</f>
        <v>115.3355294</v>
      </c>
      <c r="H32" s="62">
        <f>IFERROR(VLOOKUP(Aggregate!$B32,QB!A:Q,17,FALSE())/17*(16-Aggregate!$M32),0)</f>
        <v>137.2446118</v>
      </c>
      <c r="I32" s="69">
        <f>AVERAGE(Aggregate!$F32,Aggregate!$G32,Aggregate!$H32,VLOOKUP(Aggregate!$B32,ECR!L:N,3,FALSE))</f>
        <v>115.7455059</v>
      </c>
      <c r="J32" s="69">
        <f>Aggregate!$I32-$C$1</f>
        <v>-105.9013001</v>
      </c>
      <c r="K32" s="72">
        <f>MAX(Aggregate!$J32*Scoring!$B$48+1,1)</f>
        <v>1</v>
      </c>
      <c r="L32" s="73">
        <f>VLOOKUP(Aggregate!$J32,BH:BJ,3,FALSE)</f>
        <v>10</v>
      </c>
      <c r="M32" s="80">
        <f t="array" ref="M32">VLOOKUP(INDEX(ECR!$E:$E,MATCH(B32,ECR!$C:$C,0)),RISK!A:B,2,FALSE())</f>
        <v>3.2</v>
      </c>
      <c r="N32" s="81"/>
      <c r="O32" s="73" t="s">
        <v>371</v>
      </c>
      <c r="P32" s="59" t="str">
        <f>VLOOKUP(O32,ECR!E:L,8,FALSE())</f>
        <v>Rico Dowdle</v>
      </c>
      <c r="Q32" s="60" t="str">
        <f>IFERROR(VLOOKUP(Aggregate!$P32,ECR!C:F,2,FALSE()),"-")</f>
        <v>PIT</v>
      </c>
      <c r="R32" s="60">
        <f>IFERROR(VLOOKUP(Aggregate!$P32,ECR!C:F,4,FALSE()),"-")</f>
        <v>9</v>
      </c>
      <c r="S32" s="60" t="str">
        <f>Aggregate!$Q32 &amp; "/" &amp; Aggregate!$R32</f>
        <v>PIT/9</v>
      </c>
      <c r="T32" s="62">
        <f>IFERROR(VLOOKUP(Aggregate!$P32,RB!A:Q,13,FALSE())/17*(16-Aggregate!$AA32),0)</f>
        <v>112.7491765</v>
      </c>
      <c r="U32" s="62">
        <f>IFERROR(VLOOKUP(Aggregate!$P32,RB!A:Q,14,FALSE())/17*(16-Aggregate!$AA32),0)</f>
        <v>124.0165271</v>
      </c>
      <c r="V32" s="62">
        <f>IFERROR(VLOOKUP(Aggregate!$P32,RB!A:Q,15,FALSE())/17*(16-Aggregate!$AA32),0)</f>
        <v>141.8369506</v>
      </c>
      <c r="W32" s="69">
        <f>AVERAGE(Aggregate!$T32,Aggregate!$U32,Aggregate!$V32,VLOOKUP(Aggregate!$P32,ECR!L:N,3,FALSE))</f>
        <v>126.0260065</v>
      </c>
      <c r="X32" s="69">
        <f>Aggregate!$W32-$Q$1</f>
        <v>47.63511743</v>
      </c>
      <c r="Y32" s="72">
        <f>MAX(Aggregate!$X32*Scoring!$B$48+1,1)</f>
        <v>13.48151684</v>
      </c>
      <c r="Z32" s="73">
        <f>VLOOKUP(Aggregate!$X32,BM:BO,3,FALSE)</f>
        <v>5</v>
      </c>
      <c r="AA32" s="80">
        <f t="array" ref="AA32">VLOOKUP(INDEX(ECR!$E:$E,MATCH(P32,ECR!$C:$C,0)),RISK!A:B,2,FALSE())</f>
        <v>3.136</v>
      </c>
      <c r="AB32" s="81"/>
      <c r="AC32" s="60" t="s">
        <v>372</v>
      </c>
      <c r="AD32" s="60" t="str">
        <f>VLOOKUP(AC32,ECR!E:L,8,FALSE())</f>
        <v>Parker Washington</v>
      </c>
      <c r="AE32" s="60" t="str">
        <f>IFERROR(VLOOKUP(Aggregate!$AD32,ECR!C:F,2,FALSE()),"-")</f>
        <v>JAC</v>
      </c>
      <c r="AF32" s="60">
        <f>IFERROR(VLOOKUP(Aggregate!$AD32,ECR!C:F,4,FALSE()),"-")</f>
        <v>7</v>
      </c>
      <c r="AG32" s="60" t="str">
        <f>Aggregate!$AE32 &amp; "/" &amp; Aggregate!$AF32</f>
        <v>JAC/7</v>
      </c>
      <c r="AH32" s="62">
        <f>IFERROR(VLOOKUP(Aggregate!$AD32,WR!A:Q,13,FALSE())/17*(16-Aggregate!$AO32),0)</f>
        <v>103.3306353</v>
      </c>
      <c r="AI32" s="62">
        <f>IFERROR(VLOOKUP(Aggregate!$AD32,WR!A:Q,14,FALSE())/17*(16-Aggregate!$AO32),0)</f>
        <v>112.2693224</v>
      </c>
      <c r="AJ32" s="62">
        <f>IFERROR(VLOOKUP(Aggregate!$AD32,WR!A:Q,15,FALSE())/17*(16-Aggregate!$AO32),0)</f>
        <v>126.2938141</v>
      </c>
      <c r="AK32" s="69">
        <f>AVERAGE(Aggregate!$AH32,Aggregate!$AI32,Aggregate!$AJ32,VLOOKUP(Aggregate!$AD32,ECR!L:N,3,FALSE))</f>
        <v>115.6485545</v>
      </c>
      <c r="AL32" s="69">
        <f>Aggregate!$AK32-$AE$1</f>
        <v>34.12762743</v>
      </c>
      <c r="AM32" s="72">
        <f>MAX(Aggregate!$AL32*Scoring!$B$48+1,1)</f>
        <v>9.942237983</v>
      </c>
      <c r="AN32" s="73">
        <f>VLOOKUP(Aggregate!$AL32,BR:BT,3,FALSE)</f>
        <v>4</v>
      </c>
      <c r="AO32" s="80">
        <f t="array" ref="AO32">VLOOKUP(INDEX(ECR!$E:$E,MATCH(AD32,ECR!$C:$C,0)),RISK!A:B,2,FALSE())</f>
        <v>3.524</v>
      </c>
      <c r="AP32" s="81"/>
      <c r="AQ32" s="85" t="s">
        <v>373</v>
      </c>
      <c r="AR32" s="85" t="str">
        <f>VLOOKUP(AQ32,ECR!E:L,8,FALSE())</f>
        <v>Evan Engram</v>
      </c>
      <c r="AS32" s="85" t="str">
        <f>IFERROR(VLOOKUP(Aggregate!$AR32,ECR!C:F,2,FALSE()),"-")</f>
        <v>DEN</v>
      </c>
      <c r="AT32" s="85">
        <f>IFERROR(VLOOKUP(Aggregate!$AR32,ECR!C:F,4,FALSE()),"-")</f>
        <v>10</v>
      </c>
      <c r="AU32" s="85" t="str">
        <f>Aggregate!$AS32 &amp; "/" &amp; Aggregate!$AT32</f>
        <v>DEN/10</v>
      </c>
      <c r="AV32" s="62">
        <f>IFERROR(VLOOKUP(Aggregate!$AR32,TE!A:K,9,FALSE())/17*(16-Aggregate!$BC32),0)</f>
        <v>67.18746624</v>
      </c>
      <c r="AW32" s="62">
        <f>IFERROR(VLOOKUP(Aggregate!$AR32,TE!A:K,10,FALSE())/17*(16-Aggregate!$BC32),0)</f>
        <v>73.32716459</v>
      </c>
      <c r="AX32" s="62">
        <f>IFERROR(VLOOKUP(Aggregate!$AR32,TE!A:K,11,FALSE())/17*(16-Aggregate!$BC32),0)</f>
        <v>77.07108118</v>
      </c>
      <c r="AY32" s="69">
        <f>AVERAGE(Aggregate!$AV32,Aggregate!$AW32,Aggregate!$AX32,VLOOKUP(Aggregate!$AR32,ECR!L:N,3,FALSE))</f>
        <v>71.94045362</v>
      </c>
      <c r="AZ32" s="69">
        <f>Aggregate!$AY32-$AS$1</f>
        <v>-9.597877779</v>
      </c>
      <c r="BA32" s="72">
        <f>MAX(Aggregate!$AZ32*Scoring!$B$48+1,1)</f>
        <v>1</v>
      </c>
      <c r="BB32" s="62">
        <f>VLOOKUP(Aggregate!$AZ32,BW:BY,3,FALSE)</f>
        <v>5</v>
      </c>
      <c r="BC32" s="80">
        <f t="array" ref="BC32">VLOOKUP(INDEX(ECR!$E:$E,MATCH(AR32,ECR!$C:$C,0)),RISK!A:B,2,FALSE())</f>
        <v>2.1938</v>
      </c>
      <c r="BD32" s="62"/>
      <c r="BE32" s="81"/>
      <c r="BF32" s="81">
        <v>30.0</v>
      </c>
      <c r="BG32" s="81">
        <f t="shared" si="1"/>
        <v>115.3355294</v>
      </c>
      <c r="BH32" s="81">
        <f>IFERROR(LARGE($J$3:$J$52,30),"")</f>
        <v>-105.9013001</v>
      </c>
      <c r="BI32" s="81">
        <f t="shared" si="5"/>
        <v>-105.9013001</v>
      </c>
      <c r="BJ32" s="81">
        <f t="shared" si="6"/>
        <v>10</v>
      </c>
      <c r="BK32" s="90">
        <v>30.0</v>
      </c>
      <c r="BL32" s="81">
        <f t="shared" si="2"/>
        <v>125.501372</v>
      </c>
      <c r="BM32" s="91">
        <f>IFERROR(LARGE($X$3:$X$102,30),"")</f>
        <v>47.63511743</v>
      </c>
      <c r="BN32" s="91">
        <f t="shared" si="7"/>
        <v>69.25847219</v>
      </c>
      <c r="BO32" s="93">
        <f t="shared" si="8"/>
        <v>5</v>
      </c>
      <c r="BP32" s="91">
        <v>30.0</v>
      </c>
      <c r="BQ32" s="81">
        <f t="shared" si="3"/>
        <v>120.7004462</v>
      </c>
      <c r="BR32" s="91">
        <f>IFERROR(LARGE($AL$3:$AL$102,30),"")</f>
        <v>38.82272051</v>
      </c>
      <c r="BS32" s="91">
        <f t="shared" si="9"/>
        <v>49.52975104</v>
      </c>
      <c r="BT32" s="91">
        <f t="shared" si="10"/>
        <v>4</v>
      </c>
      <c r="BU32" s="81">
        <v>30.0</v>
      </c>
      <c r="BV32" s="81">
        <f t="shared" si="4"/>
        <v>70.17610247</v>
      </c>
      <c r="BW32" s="91">
        <f>IFERROR(LARGE($AZ$3:$AZ$52,30),"")</f>
        <v>-10.24961163</v>
      </c>
      <c r="BX32" s="91">
        <f t="shared" si="11"/>
        <v>1.583113897</v>
      </c>
      <c r="BY32" s="91">
        <f t="shared" si="12"/>
        <v>5</v>
      </c>
      <c r="BZ32" s="91"/>
      <c r="CA32" s="91"/>
      <c r="CB32" s="91"/>
      <c r="CC32" s="91"/>
      <c r="CD32" s="91"/>
      <c r="CE32" s="91"/>
      <c r="CF32" s="91"/>
      <c r="CG32" s="91"/>
    </row>
    <row r="33" ht="14.25" customHeight="1">
      <c r="A33" s="59" t="s">
        <v>374</v>
      </c>
      <c r="B33" s="59" t="str">
        <f>VLOOKUP(A33,ECR!E:L,8,FALSE())</f>
        <v>Tua Tagovailoa</v>
      </c>
      <c r="C33" s="60" t="str">
        <f>IFERROR(VLOOKUP(Aggregate!$B33,ECR!C:F,2,FALSE()),"-")</f>
        <v>ATL</v>
      </c>
      <c r="D33" s="60">
        <f>IFERROR(VLOOKUP(Aggregate!$B33,ECR!C:F,4,FALSE()),"-")</f>
        <v>11</v>
      </c>
      <c r="E33" s="60" t="str">
        <f>Aggregate!$C33 &amp; "/" &amp; Aggregate!$D33</f>
        <v>ATL/11</v>
      </c>
      <c r="F33" s="62">
        <f>IFERROR(VLOOKUP(Aggregate!$B33,QB!A:Q,15,FALSE())/17*(16-Aggregate!$M33),0)</f>
        <v>52.79623529</v>
      </c>
      <c r="G33" s="62">
        <f>IFERROR(VLOOKUP(Aggregate!$B33,QB!A:Q,16,FALSE())/17*(16-Aggregate!$M33),0)</f>
        <v>72.02936471</v>
      </c>
      <c r="H33" s="62">
        <f>IFERROR(VLOOKUP(Aggregate!$B33,QB!A:Q,17,FALSE())/17*(16-Aggregate!$M33),0)</f>
        <v>94.17035294</v>
      </c>
      <c r="I33" s="69">
        <f>AVERAGE(Aggregate!$F33,Aggregate!$G33,Aggregate!$H33,VLOOKUP(Aggregate!$B33,ECR!L:N,3,FALSE))</f>
        <v>77.55858824</v>
      </c>
      <c r="J33" s="69">
        <f>Aggregate!$I33-$C$1</f>
        <v>-144.0882178</v>
      </c>
      <c r="K33" s="72">
        <f>MAX(Aggregate!$J33*Scoring!$B$48+1,1)</f>
        <v>1</v>
      </c>
      <c r="L33" s="73">
        <f>VLOOKUP(Aggregate!$J33,BH:BJ,3,FALSE)</f>
        <v>11</v>
      </c>
      <c r="M33" s="80">
        <f t="array" ref="M33">VLOOKUP(INDEX(ECR!$E:$E,MATCH(B33,ECR!$C:$C,0)),RISK!A:B,2,FALSE())</f>
        <v>3.2</v>
      </c>
      <c r="N33" s="81"/>
      <c r="O33" s="73" t="s">
        <v>375</v>
      </c>
      <c r="P33" s="59" t="str">
        <f>VLOOKUP(O33,ECR!E:L,8,FALSE())</f>
        <v>Jonathon Brooks</v>
      </c>
      <c r="Q33" s="60" t="str">
        <f>IFERROR(VLOOKUP(Aggregate!$P33,ECR!C:F,2,FALSE()),"-")</f>
        <v>CAR</v>
      </c>
      <c r="R33" s="60">
        <f>IFERROR(VLOOKUP(Aggregate!$P33,ECR!C:F,4,FALSE()),"-")</f>
        <v>5</v>
      </c>
      <c r="S33" s="60" t="str">
        <f>Aggregate!$Q33 &amp; "/" &amp; Aggregate!$R33</f>
        <v>CAR/5</v>
      </c>
      <c r="T33" s="62">
        <f>IFERROR(VLOOKUP(Aggregate!$P33,RB!A:Q,13,FALSE())/17*(16-Aggregate!$AA33),0)</f>
        <v>92.57165412</v>
      </c>
      <c r="U33" s="62">
        <f>IFERROR(VLOOKUP(Aggregate!$P33,RB!A:Q,14,FALSE())/17*(16-Aggregate!$AA33),0)</f>
        <v>112.7395895</v>
      </c>
      <c r="V33" s="62">
        <f>IFERROR(VLOOKUP(Aggregate!$P33,RB!A:Q,15,FALSE())/17*(16-Aggregate!$AA33),0)</f>
        <v>133.0509884</v>
      </c>
      <c r="W33" s="69">
        <f>AVERAGE(Aggregate!$T33,Aggregate!$U33,Aggregate!$V33,VLOOKUP(Aggregate!$P33,ECR!L:N,3,FALSE))</f>
        <v>115.5946898</v>
      </c>
      <c r="X33" s="69">
        <f>Aggregate!$W33-$Q$1</f>
        <v>37.20380066</v>
      </c>
      <c r="Y33" s="72">
        <f>MAX(Aggregate!$X33*Scoring!$B$48+1,1)</f>
        <v>10.74826744</v>
      </c>
      <c r="Z33" s="73">
        <f>VLOOKUP(Aggregate!$X33,BM:BO,3,FALSE)</f>
        <v>6</v>
      </c>
      <c r="AA33" s="80">
        <f t="array" ref="AA33">VLOOKUP(INDEX(ECR!$E:$E,MATCH(P33,ECR!$C:$C,0)),RISK!A:B,2,FALSE())</f>
        <v>3.1638</v>
      </c>
      <c r="AB33" s="81"/>
      <c r="AC33" s="60" t="s">
        <v>376</v>
      </c>
      <c r="AD33" s="60" t="str">
        <f>VLOOKUP(AC33,ECR!E:L,8,FALSE())</f>
        <v>Marvin Harrison Jr.</v>
      </c>
      <c r="AE33" s="60" t="str">
        <f>IFERROR(VLOOKUP(Aggregate!$AD33,ECR!C:F,2,FALSE()),"-")</f>
        <v>ARI</v>
      </c>
      <c r="AF33" s="60">
        <f>IFERROR(VLOOKUP(Aggregate!$AD33,ECR!C:F,4,FALSE()),"-")</f>
        <v>14</v>
      </c>
      <c r="AG33" s="60" t="str">
        <f>Aggregate!$AE33 &amp; "/" &amp; Aggregate!$AF33</f>
        <v>ARI/14</v>
      </c>
      <c r="AH33" s="62">
        <f>IFERROR(VLOOKUP(Aggregate!$AD33,WR!A:Q,13,FALSE())/17*(16-Aggregate!$AO33),0)</f>
        <v>112.5972441</v>
      </c>
      <c r="AI33" s="62">
        <f>IFERROR(VLOOKUP(Aggregate!$AD33,WR!A:Q,14,FALSE())/17*(16-Aggregate!$AO33),0)</f>
        <v>120.7004462</v>
      </c>
      <c r="AJ33" s="62">
        <f>IFERROR(VLOOKUP(Aggregate!$AD33,WR!A:Q,15,FALSE())/17*(16-Aggregate!$AO33),0)</f>
        <v>128.7451941</v>
      </c>
      <c r="AK33" s="69">
        <f>AVERAGE(Aggregate!$AH33,Aggregate!$AI33,Aggregate!$AJ33,VLOOKUP(Aggregate!$AD33,ECR!L:N,3,FALSE))</f>
        <v>120.3436476</v>
      </c>
      <c r="AL33" s="69">
        <f>Aggregate!$AK33-$AE$1</f>
        <v>38.82272051</v>
      </c>
      <c r="AM33" s="72">
        <f>MAX(Aggregate!$AL33*Scoring!$B$48+1,1)</f>
        <v>11.17246238</v>
      </c>
      <c r="AN33" s="73">
        <f>VLOOKUP(Aggregate!$AL33,BR:BT,3,FALSE)</f>
        <v>4</v>
      </c>
      <c r="AO33" s="80">
        <f t="array" ref="AO33">VLOOKUP(INDEX(ECR!$E:$E,MATCH(AD33,ECR!$C:$C,0)),RISK!A:B,2,FALSE())</f>
        <v>3.5785</v>
      </c>
      <c r="AP33" s="81"/>
      <c r="AQ33" s="85" t="s">
        <v>377</v>
      </c>
      <c r="AR33" s="85" t="str">
        <f>VLOOKUP(AQ33,ECR!E:L,8,FALSE())</f>
        <v>Colby Parkinson</v>
      </c>
      <c r="AS33" s="85" t="str">
        <f>IFERROR(VLOOKUP(Aggregate!$AR33,ECR!C:F,2,FALSE()),"-")</f>
        <v>LAR</v>
      </c>
      <c r="AT33" s="85">
        <f>IFERROR(VLOOKUP(Aggregate!$AR33,ECR!C:F,4,FALSE()),"-")</f>
        <v>11</v>
      </c>
      <c r="AU33" s="85" t="str">
        <f>Aggregate!$AS33 &amp; "/" &amp; Aggregate!$AT33</f>
        <v>LAR/11</v>
      </c>
      <c r="AV33" s="62">
        <f>IFERROR(VLOOKUP(Aggregate!$AR33,TE!A:K,9,FALSE())/17*(16-Aggregate!$BC33),0)</f>
        <v>48.03745471</v>
      </c>
      <c r="AW33" s="62">
        <f>IFERROR(VLOOKUP(Aggregate!$AR33,TE!A:K,10,FALSE())/17*(16-Aggregate!$BC33),0)</f>
        <v>60.68230965</v>
      </c>
      <c r="AX33" s="62">
        <f>IFERROR(VLOOKUP(Aggregate!$AR33,TE!A:K,11,FALSE())/17*(16-Aggregate!$BC33),0)</f>
        <v>80.72566353</v>
      </c>
      <c r="AY33" s="69">
        <f>AVERAGE(Aggregate!$AV33,Aggregate!$AW33,Aggregate!$AX33,VLOOKUP(Aggregate!$AR33,ECR!L:N,3,FALSE))</f>
        <v>64.82456874</v>
      </c>
      <c r="AZ33" s="69">
        <f>Aggregate!$AY33-$AS$1</f>
        <v>-16.71376266</v>
      </c>
      <c r="BA33" s="72">
        <f>MAX(Aggregate!$AZ33*Scoring!$B$48+1,1)</f>
        <v>1</v>
      </c>
      <c r="BB33" s="62">
        <f>VLOOKUP(Aggregate!$AZ33,BW:BY,3,FALSE)</f>
        <v>6</v>
      </c>
      <c r="BC33" s="80">
        <f t="array" ref="BC33">VLOOKUP(INDEX(ECR!$E:$E,MATCH(AR33,ECR!$C:$C,0)),RISK!A:B,2,FALSE())</f>
        <v>2.1938</v>
      </c>
      <c r="BD33" s="62"/>
      <c r="BE33" s="81"/>
      <c r="BF33" s="81">
        <v>31.0</v>
      </c>
      <c r="BG33" s="81">
        <f t="shared" si="1"/>
        <v>91.2384</v>
      </c>
      <c r="BH33" s="81">
        <f>IFERROR(LARGE($J$3:$J$52,31),"")</f>
        <v>-137.0094413</v>
      </c>
      <c r="BI33" s="81">
        <f t="shared" si="5"/>
        <v>-137.0094413</v>
      </c>
      <c r="BJ33" s="81">
        <f t="shared" si="6"/>
        <v>11</v>
      </c>
      <c r="BK33" s="90">
        <v>31.0</v>
      </c>
      <c r="BL33" s="81">
        <f t="shared" si="2"/>
        <v>124.0165271</v>
      </c>
      <c r="BM33" s="91">
        <f>IFERROR(LARGE($X$3:$X$102,31),"")</f>
        <v>45.11724813</v>
      </c>
      <c r="BN33" s="91">
        <f t="shared" si="7"/>
        <v>69.25847219</v>
      </c>
      <c r="BO33" s="93">
        <f t="shared" si="8"/>
        <v>5</v>
      </c>
      <c r="BP33" s="91">
        <v>31.0</v>
      </c>
      <c r="BQ33" s="81">
        <f t="shared" si="3"/>
        <v>119.3317059</v>
      </c>
      <c r="BR33" s="91">
        <f>IFERROR(LARGE($AL$3:$AL$102,31),"")</f>
        <v>37.00984225</v>
      </c>
      <c r="BS33" s="91">
        <f t="shared" si="9"/>
        <v>49.52975104</v>
      </c>
      <c r="BT33" s="91">
        <f t="shared" si="10"/>
        <v>4</v>
      </c>
      <c r="BU33" s="81">
        <v>31.0</v>
      </c>
      <c r="BV33" s="81">
        <f t="shared" si="4"/>
        <v>69.85284706</v>
      </c>
      <c r="BW33" s="91">
        <f>IFERROR(LARGE($AZ$3:$AZ$52,31),"")</f>
        <v>-10.76404228</v>
      </c>
      <c r="BX33" s="91">
        <f t="shared" si="11"/>
        <v>1.583113897</v>
      </c>
      <c r="BY33" s="91">
        <f t="shared" si="12"/>
        <v>5</v>
      </c>
      <c r="BZ33" s="91"/>
      <c r="CA33" s="91"/>
      <c r="CB33" s="91"/>
      <c r="CC33" s="91"/>
      <c r="CD33" s="91"/>
      <c r="CE33" s="91"/>
      <c r="CF33" s="91"/>
      <c r="CG33" s="91"/>
    </row>
    <row r="34" ht="14.25" customHeight="1">
      <c r="A34" s="59" t="s">
        <v>378</v>
      </c>
      <c r="B34" s="59" t="str">
        <f>VLOOKUP(A34,ECR!E:L,8,FALSE())</f>
        <v>Michael Penix Jr.</v>
      </c>
      <c r="C34" s="60" t="str">
        <f>IFERROR(VLOOKUP(Aggregate!$B34,ECR!C:F,2,FALSE()),"-")</f>
        <v>ATL</v>
      </c>
      <c r="D34" s="60">
        <f>IFERROR(VLOOKUP(Aggregate!$B34,ECR!C:F,4,FALSE()),"-")</f>
        <v>11</v>
      </c>
      <c r="E34" s="60" t="str">
        <f>Aggregate!$C34 &amp; "/" &amp; Aggregate!$D34</f>
        <v>ATL/11</v>
      </c>
      <c r="F34" s="62">
        <f>IFERROR(VLOOKUP(Aggregate!$B34,QB!A:Q,15,FALSE())/17*(16-Aggregate!$M34),0)</f>
        <v>50.97411765</v>
      </c>
      <c r="G34" s="62">
        <f>IFERROR(VLOOKUP(Aggregate!$B34,QB!A:Q,16,FALSE())/17*(16-Aggregate!$M34),0)</f>
        <v>73.77769412</v>
      </c>
      <c r="H34" s="62">
        <f>IFERROR(VLOOKUP(Aggregate!$B34,QB!A:Q,17,FALSE())/17*(16-Aggregate!$M34),0)</f>
        <v>101.632</v>
      </c>
      <c r="I34" s="69">
        <f>AVERAGE(Aggregate!$F34,Aggregate!$G34,Aggregate!$H34,VLOOKUP(Aggregate!$B34,ECR!L:N,3,FALSE))</f>
        <v>75.04037647</v>
      </c>
      <c r="J34" s="69">
        <f>Aggregate!$I34-$C$1</f>
        <v>-146.6064295</v>
      </c>
      <c r="K34" s="72">
        <f>MAX(Aggregate!$J34*Scoring!$B$48+1,1)</f>
        <v>1</v>
      </c>
      <c r="L34" s="73">
        <f>VLOOKUP(Aggregate!$J34,BH:BJ,3,FALSE)</f>
        <v>11</v>
      </c>
      <c r="M34" s="80">
        <f t="array" ref="M34">VLOOKUP(INDEX(ECR!$E:$E,MATCH(B34,ECR!$C:$C,0)),RISK!A:B,2,FALSE())</f>
        <v>3.2</v>
      </c>
      <c r="N34" s="81"/>
      <c r="O34" s="73" t="s">
        <v>379</v>
      </c>
      <c r="P34" s="59" t="str">
        <f>VLOOKUP(O34,ECR!E:L,8,FALSE())</f>
        <v>J.K. Dobbins</v>
      </c>
      <c r="Q34" s="60" t="str">
        <f>IFERROR(VLOOKUP(Aggregate!$P34,ECR!C:F,2,FALSE()),"-")</f>
        <v>DEN</v>
      </c>
      <c r="R34" s="60">
        <f>IFERROR(VLOOKUP(Aggregate!$P34,ECR!C:F,4,FALSE()),"-")</f>
        <v>10</v>
      </c>
      <c r="S34" s="60" t="str">
        <f>Aggregate!$Q34 &amp; "/" &amp; Aggregate!$R34</f>
        <v>DEN/10</v>
      </c>
      <c r="T34" s="62">
        <f>IFERROR(VLOOKUP(Aggregate!$P34,RB!A:Q,13,FALSE())/17*(16-Aggregate!$AA34),0)</f>
        <v>112.362076</v>
      </c>
      <c r="U34" s="62">
        <f>IFERROR(VLOOKUP(Aggregate!$P34,RB!A:Q,14,FALSE())/17*(16-Aggregate!$AA34),0)</f>
        <v>125.501372</v>
      </c>
      <c r="V34" s="62">
        <f>IFERROR(VLOOKUP(Aggregate!$P34,RB!A:Q,15,FALSE())/17*(16-Aggregate!$AA34),0)</f>
        <v>139.107776</v>
      </c>
      <c r="W34" s="69">
        <f>AVERAGE(Aggregate!$T34,Aggregate!$U34,Aggregate!$V34,VLOOKUP(Aggregate!$P34,ECR!L:N,3,FALSE))</f>
        <v>123.5081372</v>
      </c>
      <c r="X34" s="69">
        <f>Aggregate!$W34-$Q$1</f>
        <v>45.11724813</v>
      </c>
      <c r="Y34" s="72">
        <f>MAX(Aggregate!$X34*Scoring!$B$48+1,1)</f>
        <v>12.82177609</v>
      </c>
      <c r="Z34" s="73">
        <f>VLOOKUP(Aggregate!$X34,BM:BO,3,FALSE)</f>
        <v>5</v>
      </c>
      <c r="AA34" s="80">
        <f t="array" ref="AA34">VLOOKUP(INDEX(ECR!$E:$E,MATCH(P34,ECR!$C:$C,0)),RISK!A:B,2,FALSE())</f>
        <v>3.1922</v>
      </c>
      <c r="AB34" s="81"/>
      <c r="AC34" s="60" t="s">
        <v>380</v>
      </c>
      <c r="AD34" s="60" t="str">
        <f>VLOOKUP(AC34,ECR!E:L,8,FALSE())</f>
        <v>Carnell Tate</v>
      </c>
      <c r="AE34" s="60" t="str">
        <f>IFERROR(VLOOKUP(Aggregate!$AD34,ECR!C:F,2,FALSE()),"-")</f>
        <v>TEN</v>
      </c>
      <c r="AF34" s="60">
        <f>IFERROR(VLOOKUP(Aggregate!$AD34,ECR!C:F,4,FALSE()),"-")</f>
        <v>9</v>
      </c>
      <c r="AG34" s="60" t="str">
        <f>Aggregate!$AE34 &amp; "/" &amp; Aggregate!$AF34</f>
        <v>TEN/9</v>
      </c>
      <c r="AH34" s="62">
        <f>IFERROR(VLOOKUP(Aggregate!$AD34,WR!A:Q,13,FALSE())/17*(16-Aggregate!$AO34),0)</f>
        <v>102.9286147</v>
      </c>
      <c r="AI34" s="62">
        <f>IFERROR(VLOOKUP(Aggregate!$AD34,WR!A:Q,14,FALSE())/17*(16-Aggregate!$AO34),0)</f>
        <v>117.9591293</v>
      </c>
      <c r="AJ34" s="62">
        <f>IFERROR(VLOOKUP(Aggregate!$AD34,WR!A:Q,15,FALSE())/17*(16-Aggregate!$AO34),0)</f>
        <v>134.7356862</v>
      </c>
      <c r="AK34" s="69">
        <f>AVERAGE(Aggregate!$AH34,Aggregate!$AI34,Aggregate!$AJ34,VLOOKUP(Aggregate!$AD34,ECR!L:N,3,FALSE))</f>
        <v>118.5307693</v>
      </c>
      <c r="AL34" s="69">
        <f>Aggregate!$AK34-$AE$1</f>
        <v>37.00984225</v>
      </c>
      <c r="AM34" s="72">
        <f>MAX(Aggregate!$AL34*Scoring!$B$48+1,1)</f>
        <v>10.6974458</v>
      </c>
      <c r="AN34" s="73">
        <f>VLOOKUP(Aggregate!$AL34,BR:BT,3,FALSE)</f>
        <v>4</v>
      </c>
      <c r="AO34" s="80">
        <f t="array" ref="AO34">VLOOKUP(INDEX(ECR!$E:$E,MATCH(AD34,ECR!$C:$C,0)),RISK!A:B,2,FALSE())</f>
        <v>3.6322</v>
      </c>
      <c r="AP34" s="81"/>
      <c r="AQ34" s="85" t="s">
        <v>381</v>
      </c>
      <c r="AR34" s="85" t="str">
        <f>VLOOKUP(AQ34,ECR!E:L,8,FALSE())</f>
        <v>Greg Dulcich</v>
      </c>
      <c r="AS34" s="85" t="str">
        <f>IFERROR(VLOOKUP(Aggregate!$AR34,ECR!C:F,2,FALSE()),"-")</f>
        <v>MIA</v>
      </c>
      <c r="AT34" s="85">
        <f>IFERROR(VLOOKUP(Aggregate!$AR34,ECR!C:F,4,FALSE()),"-")</f>
        <v>6</v>
      </c>
      <c r="AU34" s="85" t="str">
        <f>Aggregate!$AS34 &amp; "/" &amp; Aggregate!$AT34</f>
        <v>MIA/6</v>
      </c>
      <c r="AV34" s="62">
        <f>IFERROR(VLOOKUP(Aggregate!$AR34,TE!A:K,9,FALSE())/17*(16-Aggregate!$BC34),0)</f>
        <v>73.13225353</v>
      </c>
      <c r="AW34" s="62">
        <f>IFERROR(VLOOKUP(Aggregate!$AR34,TE!A:K,10,FALSE())/17*(16-Aggregate!$BC34),0)</f>
        <v>86.16693059</v>
      </c>
      <c r="AX34" s="62">
        <f>IFERROR(VLOOKUP(Aggregate!$AR34,TE!A:K,11,FALSE())/17*(16-Aggregate!$BC34),0)</f>
        <v>97.13067765</v>
      </c>
      <c r="AY34" s="69">
        <f>AVERAGE(Aggregate!$AV34,Aggregate!$AW34,Aggregate!$AX34,VLOOKUP(Aggregate!$AR34,ECR!L:N,3,FALSE))</f>
        <v>81.47282259</v>
      </c>
      <c r="AZ34" s="69">
        <f>Aggregate!$AY34-$AS$1</f>
        <v>-0.06550880882</v>
      </c>
      <c r="BA34" s="72">
        <f>MAX(Aggregate!$AZ34*Scoring!$B$48+1,1)</f>
        <v>1</v>
      </c>
      <c r="BB34" s="62">
        <f>VLOOKUP(Aggregate!$AZ34,BW:BY,3,FALSE)</f>
        <v>5</v>
      </c>
      <c r="BC34" s="80">
        <f t="array" ref="BC34">VLOOKUP(INDEX(ECR!$E:$E,MATCH(AR34,ECR!$C:$C,0)),RISK!A:B,2,FALSE())</f>
        <v>2.1938</v>
      </c>
      <c r="BD34" s="62"/>
      <c r="BE34" s="81"/>
      <c r="BF34" s="81">
        <v>32.0</v>
      </c>
      <c r="BG34" s="81">
        <f t="shared" si="1"/>
        <v>73.77769412</v>
      </c>
      <c r="BH34" s="81">
        <f>IFERROR(LARGE($J$3:$J$52,32),"")</f>
        <v>-144.0882178</v>
      </c>
      <c r="BI34" s="81">
        <f t="shared" si="5"/>
        <v>-137.0094413</v>
      </c>
      <c r="BJ34" s="81">
        <f t="shared" si="6"/>
        <v>11</v>
      </c>
      <c r="BK34" s="90">
        <v>32.0</v>
      </c>
      <c r="BL34" s="81">
        <f t="shared" si="2"/>
        <v>117.0613249</v>
      </c>
      <c r="BM34" s="91">
        <f>IFERROR(LARGE($X$3:$X$102,32),"")</f>
        <v>38.46760487</v>
      </c>
      <c r="BN34" s="91">
        <f t="shared" si="7"/>
        <v>38.46760487</v>
      </c>
      <c r="BO34" s="93">
        <f t="shared" si="8"/>
        <v>6</v>
      </c>
      <c r="BP34" s="91">
        <v>32.0</v>
      </c>
      <c r="BQ34" s="81">
        <f t="shared" si="3"/>
        <v>118.4996471</v>
      </c>
      <c r="BR34" s="91">
        <f>IFERROR(LARGE($AL$3:$AL$102,32),"")</f>
        <v>36.62834056</v>
      </c>
      <c r="BS34" s="91">
        <f t="shared" si="9"/>
        <v>49.52975104</v>
      </c>
      <c r="BT34" s="91">
        <f t="shared" si="10"/>
        <v>4</v>
      </c>
      <c r="BU34" s="81">
        <v>32.0</v>
      </c>
      <c r="BV34" s="81">
        <f t="shared" si="4"/>
        <v>69.46142859</v>
      </c>
      <c r="BW34" s="91">
        <f>IFERROR(LARGE($AZ$3:$AZ$52,32),"")</f>
        <v>-14.22295478</v>
      </c>
      <c r="BX34" s="91">
        <f t="shared" si="11"/>
        <v>1.583113897</v>
      </c>
      <c r="BY34" s="91">
        <f t="shared" si="12"/>
        <v>5</v>
      </c>
      <c r="BZ34" s="91"/>
      <c r="CA34" s="91"/>
      <c r="CB34" s="91"/>
      <c r="CC34" s="91"/>
      <c r="CD34" s="91"/>
      <c r="CE34" s="91"/>
      <c r="CF34" s="91"/>
      <c r="CG34" s="91"/>
    </row>
    <row r="35" ht="14.25" customHeight="1">
      <c r="A35" s="59" t="s">
        <v>382</v>
      </c>
      <c r="B35" s="59" t="str">
        <f>VLOOKUP(A35,ECR!E:L,8,FALSE())</f>
        <v>Kirk Cousins</v>
      </c>
      <c r="C35" s="60" t="str">
        <f>IFERROR(VLOOKUP(Aggregate!$B35,ECR!C:F,2,FALSE()),"-")</f>
        <v>LV</v>
      </c>
      <c r="D35" s="60">
        <f>IFERROR(VLOOKUP(Aggregate!$B35,ECR!C:F,4,FALSE()),"-")</f>
        <v>13</v>
      </c>
      <c r="E35" s="60" t="str">
        <f>Aggregate!$C35 &amp; "/" &amp; Aggregate!$D35</f>
        <v>LV/13</v>
      </c>
      <c r="F35" s="62">
        <f>IFERROR(VLOOKUP(Aggregate!$B35,QB!A:Q,15,FALSE())/17*(16-Aggregate!$M35),0)</f>
        <v>20.04329412</v>
      </c>
      <c r="G35" s="62">
        <f>IFERROR(VLOOKUP(Aggregate!$B35,QB!A:Q,16,FALSE())/17*(16-Aggregate!$M35),0)</f>
        <v>28.24734118</v>
      </c>
      <c r="H35" s="62">
        <f>IFERROR(VLOOKUP(Aggregate!$B35,QB!A:Q,17,FALSE())/17*(16-Aggregate!$M35),0)</f>
        <v>36.57788235</v>
      </c>
      <c r="I35" s="69">
        <f>AVERAGE(Aggregate!$F35,Aggregate!$G35,Aggregate!$H35,VLOOKUP(Aggregate!$B35,ECR!L:N,3,FALSE))</f>
        <v>39.22447059</v>
      </c>
      <c r="J35" s="69">
        <f>Aggregate!$I35-$C$1</f>
        <v>-182.4223354</v>
      </c>
      <c r="K35" s="72">
        <f>MAX(Aggregate!$J35*Scoring!$B$48+1,1)</f>
        <v>1</v>
      </c>
      <c r="L35" s="73">
        <f>VLOOKUP(Aggregate!$J35,BH:BJ,3,FALSE)</f>
        <v>12</v>
      </c>
      <c r="M35" s="80">
        <f t="array" ref="M35">VLOOKUP(INDEX(ECR!$E:$E,MATCH(B35,ECR!$C:$C,0)),RISK!A:B,2,FALSE())</f>
        <v>3.2</v>
      </c>
      <c r="N35" s="81"/>
      <c r="O35" s="73" t="s">
        <v>383</v>
      </c>
      <c r="P35" s="59" t="str">
        <f>VLOOKUP(O35,ECR!E:L,8,FALSE())</f>
        <v>Chuba Hubbard</v>
      </c>
      <c r="Q35" s="60" t="str">
        <f>IFERROR(VLOOKUP(Aggregate!$P35,ECR!C:F,2,FALSE()),"-")</f>
        <v>CAR</v>
      </c>
      <c r="R35" s="60">
        <f>IFERROR(VLOOKUP(Aggregate!$P35,ECR!C:F,4,FALSE()),"-")</f>
        <v>5</v>
      </c>
      <c r="S35" s="60" t="str">
        <f>Aggregate!$Q35 &amp; "/" &amp; Aggregate!$R35</f>
        <v>CAR/5</v>
      </c>
      <c r="T35" s="62">
        <f>IFERROR(VLOOKUP(Aggregate!$P35,RB!A:Q,13,FALSE())/17*(16-Aggregate!$AA35),0)</f>
        <v>102.5085268</v>
      </c>
      <c r="U35" s="62">
        <f>IFERROR(VLOOKUP(Aggregate!$P35,RB!A:Q,14,FALSE())/17*(16-Aggregate!$AA35),0)</f>
        <v>117.0613249</v>
      </c>
      <c r="V35" s="62">
        <f>IFERROR(VLOOKUP(Aggregate!$P35,RB!A:Q,15,FALSE())/17*(16-Aggregate!$AA35),0)</f>
        <v>135.1245346</v>
      </c>
      <c r="W35" s="69">
        <f>AVERAGE(Aggregate!$T35,Aggregate!$U35,Aggregate!$V35,VLOOKUP(Aggregate!$P35,ECR!L:N,3,FALSE))</f>
        <v>116.858494</v>
      </c>
      <c r="X35" s="69">
        <f>Aggregate!$W35-$Q$1</f>
        <v>38.46760487</v>
      </c>
      <c r="Y35" s="72">
        <f>MAX(Aggregate!$X35*Scoring!$B$48+1,1)</f>
        <v>11.07941376</v>
      </c>
      <c r="Z35" s="73">
        <f>VLOOKUP(Aggregate!$X35,BM:BO,3,FALSE)</f>
        <v>6</v>
      </c>
      <c r="AA35" s="80">
        <f t="array" ref="AA35">VLOOKUP(INDEX(ECR!$E:$E,MATCH(P35,ECR!$C:$C,0)),RISK!A:B,2,FALSE())</f>
        <v>3.2212</v>
      </c>
      <c r="AB35" s="81"/>
      <c r="AC35" s="60" t="s">
        <v>385</v>
      </c>
      <c r="AD35" s="60" t="str">
        <f>VLOOKUP(AC35,ECR!E:L,8,FALSE())</f>
        <v>Brian Thomas Jr.</v>
      </c>
      <c r="AE35" s="60" t="str">
        <f>IFERROR(VLOOKUP(Aggregate!$AD35,ECR!C:F,2,FALSE()),"-")</f>
        <v>JAC</v>
      </c>
      <c r="AF35" s="60">
        <f>IFERROR(VLOOKUP(Aggregate!$AD35,ECR!C:F,4,FALSE()),"-")</f>
        <v>7</v>
      </c>
      <c r="AG35" s="60" t="str">
        <f>Aggregate!$AE35 &amp; "/" &amp; Aggregate!$AF35</f>
        <v>JAC/7</v>
      </c>
      <c r="AH35" s="62">
        <f>IFERROR(VLOOKUP(Aggregate!$AD35,WR!A:Q,13,FALSE())/17*(16-Aggregate!$AO35),0)</f>
        <v>100.4026553</v>
      </c>
      <c r="AI35" s="62">
        <f>IFERROR(VLOOKUP(Aggregate!$AD35,WR!A:Q,14,FALSE())/17*(16-Aggregate!$AO35),0)</f>
        <v>110.3487481</v>
      </c>
      <c r="AJ35" s="62">
        <f>IFERROR(VLOOKUP(Aggregate!$AD35,WR!A:Q,15,FALSE())/17*(16-Aggregate!$AO35),0)</f>
        <v>122.9316782</v>
      </c>
      <c r="AK35" s="69">
        <f>AVERAGE(Aggregate!$AH35,Aggregate!$AI35,Aggregate!$AJ35,VLOOKUP(Aggregate!$AD35,ECR!L:N,3,FALSE))</f>
        <v>112.9407704</v>
      </c>
      <c r="AL35" s="69">
        <f>Aggregate!$AK35-$AE$1</f>
        <v>31.41984334</v>
      </c>
      <c r="AM35" s="72">
        <f>MAX(Aggregate!$AL35*Scoring!$B$48+1,1)</f>
        <v>9.23273511</v>
      </c>
      <c r="AN35" s="73">
        <f>VLOOKUP(Aggregate!$AL35,BR:BT,3,FALSE)</f>
        <v>4</v>
      </c>
      <c r="AO35" s="80">
        <f t="array" ref="AO35">VLOOKUP(INDEX(ECR!$E:$E,MATCH(AD35,ECR!$C:$C,0)),RISK!A:B,2,FALSE())</f>
        <v>3.6851</v>
      </c>
      <c r="AP35" s="81"/>
      <c r="AQ35" s="85" t="s">
        <v>387</v>
      </c>
      <c r="AR35" s="85" t="str">
        <f>VLOOKUP(AQ35,ECR!E:L,8,FALSE())</f>
        <v>Mason Taylor</v>
      </c>
      <c r="AS35" s="85" t="str">
        <f>IFERROR(VLOOKUP(Aggregate!$AR35,ECR!C:F,2,FALSE()),"-")</f>
        <v>NYJ</v>
      </c>
      <c r="AT35" s="85">
        <f>IFERROR(VLOOKUP(Aggregate!$AR35,ECR!C:F,4,FALSE()),"-")</f>
        <v>13</v>
      </c>
      <c r="AU35" s="85" t="str">
        <f>Aggregate!$AS35 &amp; "/" &amp; Aggregate!$AT35</f>
        <v>NYJ/13</v>
      </c>
      <c r="AV35" s="62">
        <f>IFERROR(VLOOKUP(Aggregate!$AR35,TE!A:K,9,FALSE())/17*(16-Aggregate!$BC35),0)</f>
        <v>40.60647059</v>
      </c>
      <c r="AW35" s="62">
        <f>IFERROR(VLOOKUP(Aggregate!$AR35,TE!A:K,10,FALSE())/17*(16-Aggregate!$BC35),0)</f>
        <v>62.89942294</v>
      </c>
      <c r="AX35" s="62">
        <f>IFERROR(VLOOKUP(Aggregate!$AR35,TE!A:K,11,FALSE())/17*(16-Aggregate!$BC35),0)</f>
        <v>81.29415412</v>
      </c>
      <c r="AY35" s="69">
        <f>AVERAGE(Aggregate!$AV35,Aggregate!$AW35,Aggregate!$AX35,VLOOKUP(Aggregate!$AR35,ECR!L:N,3,FALSE))</f>
        <v>62.47671494</v>
      </c>
      <c r="AZ35" s="69">
        <f>Aggregate!$AY35-$AS$1</f>
        <v>-19.06161646</v>
      </c>
      <c r="BA35" s="72">
        <f>MAX(Aggregate!$AZ35*Scoring!$B$48+1,1)</f>
        <v>1</v>
      </c>
      <c r="BB35" s="62">
        <f>VLOOKUP(Aggregate!$AZ35,BW:BY,3,FALSE)</f>
        <v>6</v>
      </c>
      <c r="BC35" s="80">
        <f t="array" ref="BC35">VLOOKUP(INDEX(ECR!$E:$E,MATCH(AR35,ECR!$C:$C,0)),RISK!A:B,2,FALSE())</f>
        <v>2.1938</v>
      </c>
      <c r="BD35" s="62"/>
      <c r="BE35" s="81"/>
      <c r="BF35" s="81">
        <v>33.0</v>
      </c>
      <c r="BG35" s="81">
        <f t="shared" si="1"/>
        <v>72.02936471</v>
      </c>
      <c r="BH35" s="81">
        <f>IFERROR(LARGE($J$3:$J$52,33),"")</f>
        <v>-146.6064295</v>
      </c>
      <c r="BI35" s="81">
        <f t="shared" si="5"/>
        <v>-137.0094413</v>
      </c>
      <c r="BJ35" s="81">
        <f t="shared" si="6"/>
        <v>11</v>
      </c>
      <c r="BK35" s="90">
        <v>33.0</v>
      </c>
      <c r="BL35" s="81">
        <f t="shared" si="2"/>
        <v>112.7395895</v>
      </c>
      <c r="BM35" s="91">
        <f>IFERROR(LARGE($X$3:$X$102,33),"")</f>
        <v>37.20380066</v>
      </c>
      <c r="BN35" s="91">
        <f t="shared" si="7"/>
        <v>38.46760487</v>
      </c>
      <c r="BO35" s="93">
        <f t="shared" si="8"/>
        <v>6</v>
      </c>
      <c r="BP35" s="91">
        <v>33.0</v>
      </c>
      <c r="BQ35" s="81">
        <f t="shared" si="3"/>
        <v>118.08</v>
      </c>
      <c r="BR35" s="91">
        <f>IFERROR(LARGE($AL$3:$AL$102,33),"")</f>
        <v>35.39139231</v>
      </c>
      <c r="BS35" s="91">
        <f t="shared" si="9"/>
        <v>49.52975104</v>
      </c>
      <c r="BT35" s="91">
        <f t="shared" si="10"/>
        <v>4</v>
      </c>
      <c r="BU35" s="81">
        <v>33.0</v>
      </c>
      <c r="BV35" s="81">
        <f t="shared" si="4"/>
        <v>65.10681212</v>
      </c>
      <c r="BW35" s="91">
        <f>IFERROR(LARGE($AZ$3:$AZ$52,33),"")</f>
        <v>-15.94872978</v>
      </c>
      <c r="BX35" s="91">
        <f t="shared" si="11"/>
        <v>-15.94872978</v>
      </c>
      <c r="BY35" s="91">
        <f t="shared" si="12"/>
        <v>6</v>
      </c>
      <c r="BZ35" s="91"/>
      <c r="CA35" s="91"/>
      <c r="CB35" s="91"/>
      <c r="CC35" s="91"/>
      <c r="CD35" s="91"/>
      <c r="CE35" s="91"/>
      <c r="CF35" s="91"/>
      <c r="CG35" s="91"/>
    </row>
    <row r="36" ht="14.25" customHeight="1">
      <c r="A36" s="59" t="s">
        <v>389</v>
      </c>
      <c r="B36" s="59" t="str">
        <f>VLOOKUP(A36,ECR!E:L,8,FALSE())</f>
        <v>Deshaun Watson</v>
      </c>
      <c r="C36" s="60" t="str">
        <f>IFERROR(VLOOKUP(Aggregate!$B36,ECR!C:F,2,FALSE()),"-")</f>
        <v>CLE</v>
      </c>
      <c r="D36" s="60">
        <f>IFERROR(VLOOKUP(Aggregate!$B36,ECR!C:F,4,FALSE()),"-")</f>
        <v>11</v>
      </c>
      <c r="E36" s="60" t="str">
        <f>Aggregate!$C36 &amp; "/" &amp; Aggregate!$D36</f>
        <v>CLE/11</v>
      </c>
      <c r="F36" s="62">
        <f>IFERROR(VLOOKUP(Aggregate!$B36,QB!A:Q,15,FALSE())/17*(16-Aggregate!$M36),0)</f>
        <v>62.87661176</v>
      </c>
      <c r="G36" s="62">
        <f>IFERROR(VLOOKUP(Aggregate!$B36,QB!A:Q,16,FALSE())/17*(16-Aggregate!$M36),0)</f>
        <v>91.2384</v>
      </c>
      <c r="H36" s="62">
        <f>IFERROR(VLOOKUP(Aggregate!$B36,QB!A:Q,17,FALSE())/17*(16-Aggregate!$M36),0)</f>
        <v>130.4395294</v>
      </c>
      <c r="I36" s="69">
        <f>AVERAGE(Aggregate!$F36,Aggregate!$G36,Aggregate!$H36,VLOOKUP(Aggregate!$B36,ECR!L:N,3,FALSE))</f>
        <v>84.63736471</v>
      </c>
      <c r="J36" s="69">
        <f>Aggregate!$I36-$C$1</f>
        <v>-137.0094413</v>
      </c>
      <c r="K36" s="72">
        <f>MAX(Aggregate!$J36*Scoring!$B$48+1,1)</f>
        <v>1</v>
      </c>
      <c r="L36" s="73">
        <f>VLOOKUP(Aggregate!$J36,BH:BJ,3,FALSE)</f>
        <v>11</v>
      </c>
      <c r="M36" s="80">
        <f t="array" ref="M36">VLOOKUP(INDEX(ECR!$E:$E,MATCH(B36,ECR!$C:$C,0)),RISK!A:B,2,FALSE())</f>
        <v>3.2</v>
      </c>
      <c r="N36" s="81"/>
      <c r="O36" s="73" t="s">
        <v>391</v>
      </c>
      <c r="P36" s="59" t="str">
        <f>VLOOKUP(O36,ECR!E:L,8,FALSE())</f>
        <v>Blake Corum</v>
      </c>
      <c r="Q36" s="60" t="str">
        <f>IFERROR(VLOOKUP(Aggregate!$P36,ECR!C:F,2,FALSE()),"-")</f>
        <v>LAR</v>
      </c>
      <c r="R36" s="60">
        <f>IFERROR(VLOOKUP(Aggregate!$P36,ECR!C:F,4,FALSE()),"-")</f>
        <v>11</v>
      </c>
      <c r="S36" s="60" t="str">
        <f>Aggregate!$Q36 &amp; "/" &amp; Aggregate!$R36</f>
        <v>LAR/11</v>
      </c>
      <c r="T36" s="62">
        <f>IFERROR(VLOOKUP(Aggregate!$P36,RB!A:Q,13,FALSE())/17*(16-Aggregate!$AA36),0)</f>
        <v>86.24458824</v>
      </c>
      <c r="U36" s="62">
        <f>IFERROR(VLOOKUP(Aggregate!$P36,RB!A:Q,14,FALSE())/17*(16-Aggregate!$AA36),0)</f>
        <v>99.24877224</v>
      </c>
      <c r="V36" s="62">
        <f>IFERROR(VLOOKUP(Aggregate!$P36,RB!A:Q,15,FALSE())/17*(16-Aggregate!$AA36),0)</f>
        <v>112.8004219</v>
      </c>
      <c r="W36" s="69">
        <f>AVERAGE(Aggregate!$T36,Aggregate!$U36,Aggregate!$V36,VLOOKUP(Aggregate!$P36,ECR!L:N,3,FALSE))</f>
        <v>101.5000397</v>
      </c>
      <c r="X36" s="69">
        <f>Aggregate!$W36-$Q$1</f>
        <v>23.1091506</v>
      </c>
      <c r="Y36" s="72">
        <f>MAX(Aggregate!$X36*Scoring!$B$48+1,1)</f>
        <v>7.055138897</v>
      </c>
      <c r="Z36" s="73">
        <f>VLOOKUP(Aggregate!$X36,BM:BO,3,FALSE)</f>
        <v>6</v>
      </c>
      <c r="AA36" s="80">
        <f t="array" ref="AA36">VLOOKUP(INDEX(ECR!$E:$E,MATCH(P36,ECR!$C:$C,0)),RISK!A:B,2,FALSE())</f>
        <v>3.2508</v>
      </c>
      <c r="AB36" s="81"/>
      <c r="AC36" s="60" t="s">
        <v>393</v>
      </c>
      <c r="AD36" s="60" t="str">
        <f>VLOOKUP(AC36,ECR!E:L,8,FALSE())</f>
        <v>DK Metcalf</v>
      </c>
      <c r="AE36" s="60" t="str">
        <f>IFERROR(VLOOKUP(Aggregate!$AD36,ECR!C:F,2,FALSE()),"-")</f>
        <v>PIT</v>
      </c>
      <c r="AF36" s="60">
        <f>IFERROR(VLOOKUP(Aggregate!$AD36,ECR!C:F,4,FALSE()),"-")</f>
        <v>9</v>
      </c>
      <c r="AG36" s="60" t="str">
        <f>Aggregate!$AE36 &amp; "/" &amp; Aggregate!$AF36</f>
        <v>PIT/9</v>
      </c>
      <c r="AH36" s="62">
        <f>IFERROR(VLOOKUP(Aggregate!$AD36,WR!A:Q,13,FALSE())/17*(16-Aggregate!$AO36),0)</f>
        <v>112.0023529</v>
      </c>
      <c r="AI36" s="62">
        <f>IFERROR(VLOOKUP(Aggregate!$AD36,WR!A:Q,14,FALSE())/17*(16-Aggregate!$AO36),0)</f>
        <v>118.08</v>
      </c>
      <c r="AJ36" s="62">
        <f>IFERROR(VLOOKUP(Aggregate!$AD36,WR!A:Q,15,FALSE())/17*(16-Aggregate!$AO36),0)</f>
        <v>124.5555882</v>
      </c>
      <c r="AK36" s="69">
        <f>AVERAGE(Aggregate!$AH36,Aggregate!$AI36,Aggregate!$AJ36,VLOOKUP(Aggregate!$AD36,ECR!L:N,3,FALSE))</f>
        <v>118.1492676</v>
      </c>
      <c r="AL36" s="69">
        <f>Aggregate!$AK36-$AE$1</f>
        <v>36.62834056</v>
      </c>
      <c r="AM36" s="72">
        <f>MAX(Aggregate!$AL36*Scoring!$B$48+1,1)</f>
        <v>10.59748341</v>
      </c>
      <c r="AN36" s="73">
        <f>VLOOKUP(Aggregate!$AL36,BR:BT,3,FALSE)</f>
        <v>4</v>
      </c>
      <c r="AO36" s="80">
        <f t="array" ref="AO36">VLOOKUP(INDEX(ECR!$E:$E,MATCH(AD36,ECR!$C:$C,0)),RISK!A:B,2,FALSE())</f>
        <v>3.7</v>
      </c>
      <c r="AP36" s="81"/>
      <c r="AQ36" s="85" t="s">
        <v>394</v>
      </c>
      <c r="AR36" s="85" t="str">
        <f>VLOOKUP(AQ36,ECR!E:L,8,FALSE())</f>
        <v>Theo Johnson</v>
      </c>
      <c r="AS36" s="85" t="str">
        <f>IFERROR(VLOOKUP(Aggregate!$AR36,ECR!C:F,2,FALSE()),"-")</f>
        <v>NYG</v>
      </c>
      <c r="AT36" s="85">
        <f>IFERROR(VLOOKUP(Aggregate!$AR36,ECR!C:F,4,FALSE()),"-")</f>
        <v>8</v>
      </c>
      <c r="AU36" s="85" t="str">
        <f>Aggregate!$AS36 &amp; "/" &amp; Aggregate!$AT36</f>
        <v>NYG/8</v>
      </c>
      <c r="AV36" s="62">
        <f>IFERROR(VLOOKUP(Aggregate!$AR36,TE!A:K,9,FALSE())/17*(16-Aggregate!$BC36),0)</f>
        <v>39.25833576</v>
      </c>
      <c r="AW36" s="62">
        <f>IFERROR(VLOOKUP(Aggregate!$AR36,TE!A:K,10,FALSE())/17*(16-Aggregate!$BC36),0)</f>
        <v>50.62002624</v>
      </c>
      <c r="AX36" s="62">
        <f>IFERROR(VLOOKUP(Aggregate!$AR36,TE!A:K,11,FALSE())/17*(16-Aggregate!$BC36),0)</f>
        <v>69.43706471</v>
      </c>
      <c r="AY36" s="69">
        <f>AVERAGE(Aggregate!$AV36,Aggregate!$AW36,Aggregate!$AX36,VLOOKUP(Aggregate!$AR36,ECR!L:N,3,FALSE))</f>
        <v>55.55371241</v>
      </c>
      <c r="AZ36" s="69">
        <f>Aggregate!$AY36-$AS$1</f>
        <v>-25.98461899</v>
      </c>
      <c r="BA36" s="72">
        <f>MAX(Aggregate!$AZ36*Scoring!$B$48+1,1)</f>
        <v>1</v>
      </c>
      <c r="BB36" s="62">
        <f>VLOOKUP(Aggregate!$AZ36,BW:BY,3,FALSE)</f>
        <v>6</v>
      </c>
      <c r="BC36" s="80">
        <f t="array" ref="BC36">VLOOKUP(INDEX(ECR!$E:$E,MATCH(AR36,ECR!$C:$C,0)),RISK!A:B,2,FALSE())</f>
        <v>2.1938</v>
      </c>
      <c r="BD36" s="62"/>
      <c r="BE36" s="81"/>
      <c r="BF36" s="81">
        <v>34.0</v>
      </c>
      <c r="BG36" s="81">
        <f t="shared" si="1"/>
        <v>53.99491765</v>
      </c>
      <c r="BH36" s="81">
        <f>IFERROR(LARGE($J$3:$J$52,34),"")</f>
        <v>-175.2754178</v>
      </c>
      <c r="BI36" s="81">
        <f t="shared" si="5"/>
        <v>-175.2754178</v>
      </c>
      <c r="BJ36" s="81">
        <f t="shared" si="6"/>
        <v>12</v>
      </c>
      <c r="BK36" s="90">
        <v>34.0</v>
      </c>
      <c r="BL36" s="81">
        <f t="shared" si="2"/>
        <v>107.7063765</v>
      </c>
      <c r="BM36" s="91">
        <f>IFERROR(LARGE($X$3:$X$102,34),"")</f>
        <v>28.71376131</v>
      </c>
      <c r="BN36" s="91">
        <f t="shared" si="7"/>
        <v>38.46760487</v>
      </c>
      <c r="BO36" s="93">
        <f t="shared" si="8"/>
        <v>6</v>
      </c>
      <c r="BP36" s="91">
        <v>34.0</v>
      </c>
      <c r="BQ36" s="81">
        <f t="shared" si="3"/>
        <v>117.9591293</v>
      </c>
      <c r="BR36" s="91">
        <f>IFERROR(LARGE($AL$3:$AL$102,34),"")</f>
        <v>35.16338471</v>
      </c>
      <c r="BS36" s="91">
        <f t="shared" si="9"/>
        <v>49.52975104</v>
      </c>
      <c r="BT36" s="91">
        <f t="shared" si="10"/>
        <v>4</v>
      </c>
      <c r="BU36" s="81">
        <v>34.0</v>
      </c>
      <c r="BV36" s="81">
        <f t="shared" si="4"/>
        <v>62.89942294</v>
      </c>
      <c r="BW36" s="91">
        <f>IFERROR(LARGE($AZ$3:$AZ$52,34),"")</f>
        <v>-16.71376266</v>
      </c>
      <c r="BX36" s="91">
        <f t="shared" si="11"/>
        <v>-15.94872978</v>
      </c>
      <c r="BY36" s="91">
        <f t="shared" si="12"/>
        <v>6</v>
      </c>
      <c r="BZ36" s="91"/>
      <c r="CA36" s="91"/>
      <c r="CB36" s="91"/>
      <c r="CC36" s="91"/>
      <c r="CD36" s="91"/>
      <c r="CE36" s="91"/>
      <c r="CF36" s="91"/>
      <c r="CG36" s="91"/>
    </row>
    <row r="37" ht="14.25" customHeight="1">
      <c r="A37" s="59" t="s">
        <v>397</v>
      </c>
      <c r="B37" s="59" t="str">
        <f>VLOOKUP(A37,ECR!E:L,8,FALSE())</f>
        <v>Shedeur Sanders</v>
      </c>
      <c r="C37" s="60" t="str">
        <f>IFERROR(VLOOKUP(Aggregate!$B37,ECR!C:F,2,FALSE()),"-")</f>
        <v>CLE</v>
      </c>
      <c r="D37" s="60">
        <f>IFERROR(VLOOKUP(Aggregate!$B37,ECR!C:F,4,FALSE()),"-")</f>
        <v>11</v>
      </c>
      <c r="E37" s="60" t="str">
        <f>Aggregate!$C37 &amp; "/" &amp; Aggregate!$D37</f>
        <v>CLE/11</v>
      </c>
      <c r="F37" s="62">
        <f>IFERROR(VLOOKUP(Aggregate!$B37,QB!A:Q,15,FALSE())/17*(16-Aggregate!$M37),0)</f>
        <v>18.79341176</v>
      </c>
      <c r="G37" s="62">
        <f>IFERROR(VLOOKUP(Aggregate!$B37,QB!A:Q,16,FALSE())/17*(16-Aggregate!$M37),0)</f>
        <v>53.99491765</v>
      </c>
      <c r="H37" s="62">
        <f>IFERROR(VLOOKUP(Aggregate!$B37,QB!A:Q,17,FALSE())/17*(16-Aggregate!$M37),0)</f>
        <v>84.44988235</v>
      </c>
      <c r="I37" s="69">
        <f>AVERAGE(Aggregate!$F37,Aggregate!$G37,Aggregate!$H37,VLOOKUP(Aggregate!$B37,ECR!L:N,3,FALSE))</f>
        <v>46.37138824</v>
      </c>
      <c r="J37" s="69">
        <f>Aggregate!$I37-$C$1</f>
        <v>-175.2754178</v>
      </c>
      <c r="K37" s="72">
        <f>MAX(Aggregate!$J37*Scoring!$B$48+1,1)</f>
        <v>1</v>
      </c>
      <c r="L37" s="73">
        <f>VLOOKUP(Aggregate!$J37,BH:BJ,3,FALSE)</f>
        <v>12</v>
      </c>
      <c r="M37" s="80">
        <f t="array" ref="M37">VLOOKUP(INDEX(ECR!$E:$E,MATCH(B37,ECR!$C:$C,0)),RISK!A:B,2,FALSE())</f>
        <v>3.2</v>
      </c>
      <c r="N37" s="81"/>
      <c r="O37" s="73" t="s">
        <v>399</v>
      </c>
      <c r="P37" s="59" t="str">
        <f>VLOOKUP(O37,ECR!E:L,8,FALSE())</f>
        <v>Jacory Croskey-Merritt</v>
      </c>
      <c r="Q37" s="60" t="str">
        <f>IFERROR(VLOOKUP(Aggregate!$P37,ECR!C:F,2,FALSE()),"-")</f>
        <v>WAS</v>
      </c>
      <c r="R37" s="60">
        <f>IFERROR(VLOOKUP(Aggregate!$P37,ECR!C:F,4,FALSE()),"-")</f>
        <v>7</v>
      </c>
      <c r="S37" s="60" t="str">
        <f>Aggregate!$Q37 &amp; "/" &amp; Aggregate!$R37</f>
        <v>WAS/7</v>
      </c>
      <c r="T37" s="62">
        <f>IFERROR(VLOOKUP(Aggregate!$P37,RB!A:Q,13,FALSE())/17*(16-Aggregate!$AA37),0)</f>
        <v>96.06585882</v>
      </c>
      <c r="U37" s="62">
        <f>IFERROR(VLOOKUP(Aggregate!$P37,RB!A:Q,14,FALSE())/17*(16-Aggregate!$AA37),0)</f>
        <v>105.5677</v>
      </c>
      <c r="V37" s="62">
        <f>IFERROR(VLOOKUP(Aggregate!$P37,RB!A:Q,15,FALSE())/17*(16-Aggregate!$AA37),0)</f>
        <v>116.0047618</v>
      </c>
      <c r="W37" s="69">
        <f>AVERAGE(Aggregate!$T37,Aggregate!$U37,Aggregate!$V37,VLOOKUP(Aggregate!$P37,ECR!L:N,3,FALSE))</f>
        <v>106.0946801</v>
      </c>
      <c r="X37" s="69">
        <f>Aggregate!$W37-$Q$1</f>
        <v>27.70379104</v>
      </c>
      <c r="Y37" s="72">
        <f>MAX(Aggregate!$X37*Scoring!$B$48+1,1)</f>
        <v>8.259042343</v>
      </c>
      <c r="Z37" s="73">
        <f>VLOOKUP(Aggregate!$X37,BM:BO,3,FALSE)</f>
        <v>6</v>
      </c>
      <c r="AA37" s="80">
        <f t="array" ref="AA37">VLOOKUP(INDEX(ECR!$E:$E,MATCH(P37,ECR!$C:$C,0)),RISK!A:B,2,FALSE())</f>
        <v>3.281</v>
      </c>
      <c r="AB37" s="81"/>
      <c r="AC37" s="60" t="s">
        <v>400</v>
      </c>
      <c r="AD37" s="60" t="str">
        <f>VLOOKUP(AC37,ECR!E:L,8,FALSE())</f>
        <v>Chris Godwin Jr.</v>
      </c>
      <c r="AE37" s="60" t="str">
        <f>IFERROR(VLOOKUP(Aggregate!$AD37,ECR!C:F,2,FALSE()),"-")</f>
        <v>TB</v>
      </c>
      <c r="AF37" s="60">
        <f>IFERROR(VLOOKUP(Aggregate!$AD37,ECR!C:F,4,FALSE()),"-")</f>
        <v>10</v>
      </c>
      <c r="AG37" s="60" t="str">
        <f>Aggregate!$AE37 &amp; "/" &amp; Aggregate!$AF37</f>
        <v>TB/10</v>
      </c>
      <c r="AH37" s="62">
        <f>IFERROR(VLOOKUP(Aggregate!$AD37,WR!A:Q,13,FALSE())/17*(16-Aggregate!$AO37),0)</f>
        <v>91.21535294</v>
      </c>
      <c r="AI37" s="62">
        <f>IFERROR(VLOOKUP(Aggregate!$AD37,WR!A:Q,14,FALSE())/17*(16-Aggregate!$AO37),0)</f>
        <v>102.6832941</v>
      </c>
      <c r="AJ37" s="62">
        <f>IFERROR(VLOOKUP(Aggregate!$AD37,WR!A:Q,15,FALSE())/17*(16-Aggregate!$AO37),0)</f>
        <v>114.1729412</v>
      </c>
      <c r="AK37" s="69">
        <f>AVERAGE(Aggregate!$AH37,Aggregate!$AI37,Aggregate!$AJ37,VLOOKUP(Aggregate!$AD37,ECR!L:N,3,FALSE))</f>
        <v>105.0852276</v>
      </c>
      <c r="AL37" s="69">
        <f>Aggregate!$AK37-$AE$1</f>
        <v>23.56430059</v>
      </c>
      <c r="AM37" s="72">
        <f>MAX(Aggregate!$AL37*Scoring!$B$48+1,1)</f>
        <v>7.174398857</v>
      </c>
      <c r="AN37" s="73">
        <f>VLOOKUP(Aggregate!$AL37,BR:BT,3,FALSE)</f>
        <v>5</v>
      </c>
      <c r="AO37" s="80">
        <f t="array" ref="AO37">VLOOKUP(INDEX(ECR!$E:$E,MATCH(AD37,ECR!$C:$C,0)),RISK!A:B,2,FALSE())</f>
        <v>3.7</v>
      </c>
      <c r="AP37" s="81"/>
      <c r="AQ37" s="85" t="s">
        <v>402</v>
      </c>
      <c r="AR37" s="85" t="str">
        <f>VLOOKUP(AQ37,ECR!E:L,8,FALSE())</f>
        <v>Eli Stowers</v>
      </c>
      <c r="AS37" s="85" t="str">
        <f>IFERROR(VLOOKUP(Aggregate!$AR37,ECR!C:F,2,FALSE()),"-")</f>
        <v>PHI</v>
      </c>
      <c r="AT37" s="85">
        <f>IFERROR(VLOOKUP(Aggregate!$AR37,ECR!C:F,4,FALSE()),"-")</f>
        <v>10</v>
      </c>
      <c r="AU37" s="85" t="str">
        <f>Aggregate!$AS37 &amp; "/" &amp; Aggregate!$AT37</f>
        <v>PHI/10</v>
      </c>
      <c r="AV37" s="62">
        <f>IFERROR(VLOOKUP(Aggregate!$AR37,TE!A:K,9,FALSE())/17*(16-Aggregate!$BC37),0)</f>
        <v>15.34112459</v>
      </c>
      <c r="AW37" s="62">
        <f>IFERROR(VLOOKUP(Aggregate!$AR37,TE!A:K,10,FALSE())/17*(16-Aggregate!$BC37),0)</f>
        <v>31.75426</v>
      </c>
      <c r="AX37" s="62">
        <f>IFERROR(VLOOKUP(Aggregate!$AR37,TE!A:K,11,FALSE())/17*(16-Aggregate!$BC37),0)</f>
        <v>48.3217</v>
      </c>
      <c r="AY37" s="69">
        <f>AVERAGE(Aggregate!$AV37,Aggregate!$AW37,Aggregate!$AX37,VLOOKUP(Aggregate!$AR37,ECR!L:N,3,FALSE))</f>
        <v>39.02484856</v>
      </c>
      <c r="AZ37" s="69">
        <f>Aggregate!$AY37-$AS$1</f>
        <v>-42.51348284</v>
      </c>
      <c r="BA37" s="72">
        <f>MAX(Aggregate!$AZ37*Scoring!$B$48+1,1)</f>
        <v>1</v>
      </c>
      <c r="BB37" s="62">
        <f>VLOOKUP(Aggregate!$AZ37,BW:BY,3,FALSE)</f>
        <v>7</v>
      </c>
      <c r="BC37" s="80">
        <f t="array" ref="BC37">VLOOKUP(INDEX(ECR!$E:$E,MATCH(AR37,ECR!$C:$C,0)),RISK!A:B,2,FALSE())</f>
        <v>2.1938</v>
      </c>
      <c r="BD37" s="62"/>
      <c r="BE37" s="81"/>
      <c r="BF37" s="81">
        <v>35.0</v>
      </c>
      <c r="BG37" s="81">
        <f t="shared" si="1"/>
        <v>28.24734118</v>
      </c>
      <c r="BH37" s="81">
        <f>IFERROR(LARGE($J$3:$J$52,35),"")</f>
        <v>-182.4223354</v>
      </c>
      <c r="BI37" s="81">
        <f t="shared" si="5"/>
        <v>-175.2754178</v>
      </c>
      <c r="BJ37" s="81">
        <f t="shared" si="6"/>
        <v>12</v>
      </c>
      <c r="BK37" s="90">
        <v>35.0</v>
      </c>
      <c r="BL37" s="81">
        <f t="shared" si="2"/>
        <v>106.7404</v>
      </c>
      <c r="BM37" s="91">
        <f>IFERROR(LARGE($X$3:$X$102,35),"")</f>
        <v>28.50052728</v>
      </c>
      <c r="BN37" s="91">
        <f t="shared" si="7"/>
        <v>38.46760487</v>
      </c>
      <c r="BO37" s="93">
        <f t="shared" si="8"/>
        <v>6</v>
      </c>
      <c r="BP37" s="91">
        <v>35.0</v>
      </c>
      <c r="BQ37" s="81">
        <f t="shared" si="3"/>
        <v>112.2693224</v>
      </c>
      <c r="BR37" s="91">
        <f>IFERROR(LARGE($AL$3:$AL$102,35),"")</f>
        <v>34.12762743</v>
      </c>
      <c r="BS37" s="91">
        <f t="shared" si="9"/>
        <v>49.52975104</v>
      </c>
      <c r="BT37" s="91">
        <f t="shared" si="10"/>
        <v>4</v>
      </c>
      <c r="BU37" s="81">
        <v>35.0</v>
      </c>
      <c r="BV37" s="81">
        <f t="shared" si="4"/>
        <v>60.68230965</v>
      </c>
      <c r="BW37" s="91">
        <f>IFERROR(LARGE($AZ$3:$AZ$52,35),"")</f>
        <v>-19.06161646</v>
      </c>
      <c r="BX37" s="91">
        <f t="shared" si="11"/>
        <v>-15.94872978</v>
      </c>
      <c r="BY37" s="91">
        <f t="shared" si="12"/>
        <v>6</v>
      </c>
      <c r="BZ37" s="91"/>
      <c r="CA37" s="91"/>
      <c r="CB37" s="91"/>
      <c r="CC37" s="91"/>
      <c r="CD37" s="91"/>
      <c r="CE37" s="91"/>
      <c r="CF37" s="91"/>
      <c r="CG37" s="91"/>
    </row>
    <row r="38" ht="14.25" customHeight="1">
      <c r="A38" s="59" t="s">
        <v>404</v>
      </c>
      <c r="B38" s="59" t="str">
        <f>VLOOKUP(A38,ECR!E:L,8,FALSE())</f>
        <v>Carson Beck</v>
      </c>
      <c r="C38" s="60" t="str">
        <f>IFERROR(VLOOKUP(Aggregate!$B38,ECR!C:F,2,FALSE()),"-")</f>
        <v>ARI</v>
      </c>
      <c r="D38" s="60">
        <f>IFERROR(VLOOKUP(Aggregate!$B38,ECR!C:F,4,FALSE()),"-")</f>
        <v>14</v>
      </c>
      <c r="E38" s="60" t="str">
        <f>Aggregate!$C38 &amp; "/" &amp; Aggregate!$D38</f>
        <v>ARI/14</v>
      </c>
      <c r="F38" s="62">
        <f>IFERROR(VLOOKUP(Aggregate!$B38,QB!A:Q,15,FALSE())/17*(16-Aggregate!$M38),0)</f>
        <v>3.011764706</v>
      </c>
      <c r="G38" s="62">
        <f>IFERROR(VLOOKUP(Aggregate!$B38,QB!A:Q,16,FALSE())/17*(16-Aggregate!$M38),0)</f>
        <v>14.88865882</v>
      </c>
      <c r="H38" s="62">
        <f>IFERROR(VLOOKUP(Aggregate!$B38,QB!A:Q,17,FALSE())/17*(16-Aggregate!$M38),0)</f>
        <v>23.90588235</v>
      </c>
      <c r="I38" s="69">
        <f>AVERAGE(Aggregate!$F38,Aggregate!$G38,Aggregate!$H38,VLOOKUP(Aggregate!$B38,ECR!L:N,3,FALSE))</f>
        <v>14.51821176</v>
      </c>
      <c r="J38" s="69">
        <f>Aggregate!$I38-$C$1</f>
        <v>-207.1285942</v>
      </c>
      <c r="K38" s="72">
        <f>MAX(Aggregate!$J38*Scoring!$B$48+1,1)</f>
        <v>1</v>
      </c>
      <c r="L38" s="73">
        <f>VLOOKUP(Aggregate!$J38,BH:BJ,3,FALSE)</f>
        <v>13</v>
      </c>
      <c r="M38" s="80">
        <f t="array" ref="M38">VLOOKUP(INDEX(ECR!$E:$E,MATCH(B38,ECR!$C:$C,0)),RISK!A:B,2,FALSE())</f>
        <v>3.2</v>
      </c>
      <c r="N38" s="81"/>
      <c r="O38" s="73" t="s">
        <v>406</v>
      </c>
      <c r="P38" s="59" t="str">
        <f>VLOOKUP(O38,ECR!E:L,8,FALSE())</f>
        <v>RJ Harvey</v>
      </c>
      <c r="Q38" s="60" t="str">
        <f>IFERROR(VLOOKUP(Aggregate!$P38,ECR!C:F,2,FALSE()),"-")</f>
        <v>DEN</v>
      </c>
      <c r="R38" s="60">
        <f>IFERROR(VLOOKUP(Aggregate!$P38,ECR!C:F,4,FALSE()),"-")</f>
        <v>10</v>
      </c>
      <c r="S38" s="60" t="str">
        <f>Aggregate!$Q38 &amp; "/" &amp; Aggregate!$R38</f>
        <v>DEN/10</v>
      </c>
      <c r="T38" s="62">
        <f>IFERROR(VLOOKUP(Aggregate!$P38,RB!A:Q,13,FALSE())/17*(16-Aggregate!$AA38),0)</f>
        <v>87.46647988</v>
      </c>
      <c r="U38" s="62">
        <f>IFERROR(VLOOKUP(Aggregate!$P38,RB!A:Q,14,FALSE())/17*(16-Aggregate!$AA38),0)</f>
        <v>104.1477311</v>
      </c>
      <c r="V38" s="62">
        <f>IFERROR(VLOOKUP(Aggregate!$P38,RB!A:Q,15,FALSE())/17*(16-Aggregate!$AA38),0)</f>
        <v>129.3002216</v>
      </c>
      <c r="W38" s="69">
        <f>AVERAGE(Aggregate!$T38,Aggregate!$U38,Aggregate!$V38,VLOOKUP(Aggregate!$P38,ECR!L:N,3,FALSE))</f>
        <v>106.8914164</v>
      </c>
      <c r="X38" s="69">
        <f>Aggregate!$W38-$Q$1</f>
        <v>28.50052728</v>
      </c>
      <c r="Y38" s="72">
        <f>MAX(Aggregate!$X38*Scoring!$B$48+1,1)</f>
        <v>8.467805904</v>
      </c>
      <c r="Z38" s="73">
        <f>VLOOKUP(Aggregate!$X38,BM:BO,3,FALSE)</f>
        <v>6</v>
      </c>
      <c r="AA38" s="80">
        <f t="array" ref="AA38">VLOOKUP(INDEX(ECR!$E:$E,MATCH(P38,ECR!$C:$C,0)),RISK!A:B,2,FALSE())</f>
        <v>3.3118</v>
      </c>
      <c r="AB38" s="81"/>
      <c r="AC38" s="60" t="s">
        <v>408</v>
      </c>
      <c r="AD38" s="60" t="str">
        <f>VLOOKUP(AC38,ECR!E:L,8,FALSE())</f>
        <v>Courtland Sutton</v>
      </c>
      <c r="AE38" s="60" t="str">
        <f>IFERROR(VLOOKUP(Aggregate!$AD38,ECR!C:F,2,FALSE()),"-")</f>
        <v>DEN</v>
      </c>
      <c r="AF38" s="60">
        <f>IFERROR(VLOOKUP(Aggregate!$AD38,ECR!C:F,4,FALSE()),"-")</f>
        <v>10</v>
      </c>
      <c r="AG38" s="60" t="str">
        <f>Aggregate!$AE38 &amp; "/" &amp; Aggregate!$AF38</f>
        <v>DEN/10</v>
      </c>
      <c r="AH38" s="62">
        <f>IFERROR(VLOOKUP(Aggregate!$AD38,WR!A:Q,13,FALSE())/17*(16-Aggregate!$AO38),0)</f>
        <v>113.8111765</v>
      </c>
      <c r="AI38" s="62">
        <f>IFERROR(VLOOKUP(Aggregate!$AD38,WR!A:Q,14,FALSE())/17*(16-Aggregate!$AO38),0)</f>
        <v>119.3317059</v>
      </c>
      <c r="AJ38" s="62">
        <f>IFERROR(VLOOKUP(Aggregate!$AD38,WR!A:Q,15,FALSE())/17*(16-Aggregate!$AO38),0)</f>
        <v>124.1576471</v>
      </c>
      <c r="AK38" s="69">
        <f>AVERAGE(Aggregate!$AH38,Aggregate!$AI38,Aggregate!$AJ38,VLOOKUP(Aggregate!$AD38,ECR!L:N,3,FALSE))</f>
        <v>116.9123194</v>
      </c>
      <c r="AL38" s="69">
        <f>Aggregate!$AK38-$AE$1</f>
        <v>35.39139231</v>
      </c>
      <c r="AM38" s="72">
        <f>MAX(Aggregate!$AL38*Scoring!$B$48+1,1)</f>
        <v>10.27337399</v>
      </c>
      <c r="AN38" s="73">
        <f>VLOOKUP(Aggregate!$AL38,BR:BT,3,FALSE)</f>
        <v>4</v>
      </c>
      <c r="AO38" s="80">
        <f t="array" ref="AO38">VLOOKUP(INDEX(ECR!$E:$E,MATCH(AD38,ECR!$C:$C,0)),RISK!A:B,2,FALSE())</f>
        <v>3.7</v>
      </c>
      <c r="AP38" s="81"/>
      <c r="AQ38" s="85" t="s">
        <v>410</v>
      </c>
      <c r="AR38" s="85" t="str">
        <f>VLOOKUP(AQ38,ECR!E:L,8,FALSE())</f>
        <v>Mike Gesicki</v>
      </c>
      <c r="AS38" s="85" t="str">
        <f>IFERROR(VLOOKUP(Aggregate!$AR38,ECR!C:F,2,FALSE()),"-")</f>
        <v>CIN</v>
      </c>
      <c r="AT38" s="85">
        <f>IFERROR(VLOOKUP(Aggregate!$AR38,ECR!C:F,4,FALSE()),"-")</f>
        <v>6</v>
      </c>
      <c r="AU38" s="85" t="str">
        <f>Aggregate!$AS38 &amp; "/" &amp; Aggregate!$AT38</f>
        <v>CIN/6</v>
      </c>
      <c r="AV38" s="62">
        <f>IFERROR(VLOOKUP(Aggregate!$AR38,TE!A:K,9,FALSE())/17*(16-Aggregate!$BC38),0)</f>
        <v>52.78029047</v>
      </c>
      <c r="AW38" s="62">
        <f>IFERROR(VLOOKUP(Aggregate!$AR38,TE!A:K,10,FALSE())/17*(16-Aggregate!$BC38),0)</f>
        <v>69.46142859</v>
      </c>
      <c r="AX38" s="62">
        <f>IFERROR(VLOOKUP(Aggregate!$AR38,TE!A:K,11,FALSE())/17*(16-Aggregate!$BC38),0)</f>
        <v>83.24326471</v>
      </c>
      <c r="AY38" s="69">
        <f>AVERAGE(Aggregate!$AV38,Aggregate!$AW38,Aggregate!$AX38,VLOOKUP(Aggregate!$AR38,ECR!L:N,3,FALSE))</f>
        <v>65.58960162</v>
      </c>
      <c r="AZ38" s="69">
        <f>Aggregate!$AY38-$AS$1</f>
        <v>-15.94872978</v>
      </c>
      <c r="BA38" s="72">
        <f>MAX(Aggregate!$AZ38*Scoring!$B$48+1,1)</f>
        <v>1</v>
      </c>
      <c r="BB38" s="62">
        <f>VLOOKUP(Aggregate!$AZ38,BW:BY,3,FALSE)</f>
        <v>6</v>
      </c>
      <c r="BC38" s="80">
        <f t="array" ref="BC38">VLOOKUP(INDEX(ECR!$E:$E,MATCH(AR38,ECR!$C:$C,0)),RISK!A:B,2,FALSE())</f>
        <v>2.1938</v>
      </c>
      <c r="BD38" s="62"/>
      <c r="BE38" s="81"/>
      <c r="BF38" s="81">
        <v>36.0</v>
      </c>
      <c r="BG38" s="81">
        <f t="shared" si="1"/>
        <v>16.26654118</v>
      </c>
      <c r="BH38" s="81">
        <f>IFERROR(LARGE($J$3:$J$52,36),"")</f>
        <v>-206.5141942</v>
      </c>
      <c r="BI38" s="81">
        <f t="shared" si="5"/>
        <v>-206.5141942</v>
      </c>
      <c r="BJ38" s="81">
        <f t="shared" si="6"/>
        <v>13</v>
      </c>
      <c r="BK38" s="90">
        <v>36.0</v>
      </c>
      <c r="BL38" s="81">
        <f t="shared" si="2"/>
        <v>106.6512329</v>
      </c>
      <c r="BM38" s="91">
        <f>IFERROR(LARGE($X$3:$X$102,36),"")</f>
        <v>27.70379104</v>
      </c>
      <c r="BN38" s="91">
        <f t="shared" si="7"/>
        <v>38.46760487</v>
      </c>
      <c r="BO38" s="93">
        <f t="shared" si="8"/>
        <v>6</v>
      </c>
      <c r="BP38" s="91">
        <v>36.0</v>
      </c>
      <c r="BQ38" s="81">
        <f t="shared" si="3"/>
        <v>110.3487481</v>
      </c>
      <c r="BR38" s="91">
        <f>IFERROR(LARGE($AL$3:$AL$102,36),"")</f>
        <v>31.41984334</v>
      </c>
      <c r="BS38" s="91">
        <f t="shared" si="9"/>
        <v>49.52975104</v>
      </c>
      <c r="BT38" s="91">
        <f t="shared" si="10"/>
        <v>4</v>
      </c>
      <c r="BU38" s="81">
        <v>36.0</v>
      </c>
      <c r="BV38" s="81">
        <f t="shared" si="4"/>
        <v>56.87342271</v>
      </c>
      <c r="BW38" s="91">
        <f>IFERROR(LARGE($AZ$3:$AZ$52,36),"")</f>
        <v>-25.98461899</v>
      </c>
      <c r="BX38" s="91">
        <f t="shared" si="11"/>
        <v>-15.94872978</v>
      </c>
      <c r="BY38" s="91">
        <f t="shared" si="12"/>
        <v>6</v>
      </c>
      <c r="BZ38" s="91"/>
      <c r="CA38" s="91"/>
      <c r="CB38" s="91"/>
      <c r="CC38" s="91"/>
      <c r="CD38" s="91"/>
      <c r="CE38" s="91"/>
      <c r="CF38" s="91"/>
      <c r="CG38" s="91"/>
    </row>
    <row r="39" ht="14.25" customHeight="1">
      <c r="A39" s="59" t="s">
        <v>412</v>
      </c>
      <c r="B39" s="59" t="str">
        <f>VLOOKUP(A39,ECR!E:L,8,FALSE())</f>
        <v>J.J. McCarthy</v>
      </c>
      <c r="C39" s="60" t="str">
        <f>IFERROR(VLOOKUP(Aggregate!$B39,ECR!C:F,2,FALSE()),"-")</f>
        <v>MIN</v>
      </c>
      <c r="D39" s="60">
        <f>IFERROR(VLOOKUP(Aggregate!$B39,ECR!C:F,4,FALSE()),"-")</f>
        <v>6</v>
      </c>
      <c r="E39" s="60" t="str">
        <f>Aggregate!$C39 &amp; "/" &amp; Aggregate!$D39</f>
        <v>MIN/6</v>
      </c>
      <c r="F39" s="62">
        <f>IFERROR(VLOOKUP(Aggregate!$B39,QB!A:Q,15,FALSE())/17*(16-Aggregate!$M39),0)</f>
        <v>3.267764706</v>
      </c>
      <c r="G39" s="62">
        <f>IFERROR(VLOOKUP(Aggregate!$B39,QB!A:Q,16,FALSE())/17*(16-Aggregate!$M39),0)</f>
        <v>13.48668235</v>
      </c>
      <c r="H39" s="62">
        <f>IFERROR(VLOOKUP(Aggregate!$B39,QB!A:Q,17,FALSE())/17*(16-Aggregate!$M39),0)</f>
        <v>28.88734118</v>
      </c>
      <c r="I39" s="69">
        <f>AVERAGE(Aggregate!$F39,Aggregate!$G39,Aggregate!$H39,VLOOKUP(Aggregate!$B39,ECR!L:N,3,FALSE))</f>
        <v>15.13261176</v>
      </c>
      <c r="J39" s="69">
        <f>Aggregate!$I39-$C$1</f>
        <v>-206.5141942</v>
      </c>
      <c r="K39" s="72">
        <f>MAX(Aggregate!$J39*Scoring!$B$48+1,1)</f>
        <v>1</v>
      </c>
      <c r="L39" s="73">
        <f>VLOOKUP(Aggregate!$J39,BH:BJ,3,FALSE)</f>
        <v>13</v>
      </c>
      <c r="M39" s="80">
        <f t="array" ref="M39">VLOOKUP(INDEX(ECR!$E:$E,MATCH(B39,ECR!$C:$C,0)),RISK!A:B,2,FALSE())</f>
        <v>3.2</v>
      </c>
      <c r="N39" s="81"/>
      <c r="O39" s="73" t="s">
        <v>414</v>
      </c>
      <c r="P39" s="59" t="str">
        <f>VLOOKUP(O39,ECR!E:L,8,FALSE())</f>
        <v>Jordan Mason</v>
      </c>
      <c r="Q39" s="60" t="str">
        <f>IFERROR(VLOOKUP(Aggregate!$P39,ECR!C:F,2,FALSE()),"-")</f>
        <v>MIN</v>
      </c>
      <c r="R39" s="60">
        <f>IFERROR(VLOOKUP(Aggregate!$P39,ECR!C:F,4,FALSE()),"-")</f>
        <v>6</v>
      </c>
      <c r="S39" s="60" t="str">
        <f>Aggregate!$Q39 &amp; "/" &amp; Aggregate!$R39</f>
        <v>MIN/6</v>
      </c>
      <c r="T39" s="62">
        <f>IFERROR(VLOOKUP(Aggregate!$P39,RB!A:Q,13,FALSE())/17*(16-Aggregate!$AA39),0)</f>
        <v>91.50121882</v>
      </c>
      <c r="U39" s="62">
        <f>IFERROR(VLOOKUP(Aggregate!$P39,RB!A:Q,14,FALSE())/17*(16-Aggregate!$AA39),0)</f>
        <v>102.52008</v>
      </c>
      <c r="V39" s="62">
        <f>IFERROR(VLOOKUP(Aggregate!$P39,RB!A:Q,15,FALSE())/17*(16-Aggregate!$AA39),0)</f>
        <v>111.4840725</v>
      </c>
      <c r="W39" s="69">
        <f>AVERAGE(Aggregate!$T39,Aggregate!$U39,Aggregate!$V39,VLOOKUP(Aggregate!$P39,ECR!L:N,3,FALSE))</f>
        <v>102.7682678</v>
      </c>
      <c r="X39" s="69">
        <f>Aggregate!$W39-$Q$1</f>
        <v>24.37737872</v>
      </c>
      <c r="Y39" s="72">
        <f>MAX(Aggregate!$X39*Scoring!$B$48+1,1)</f>
        <v>7.387444378</v>
      </c>
      <c r="Z39" s="73">
        <f>VLOOKUP(Aggregate!$X39,BM:BO,3,FALSE)</f>
        <v>6</v>
      </c>
      <c r="AA39" s="80">
        <f t="array" ref="AA39">VLOOKUP(INDEX(ECR!$E:$E,MATCH(P39,ECR!$C:$C,0)),RISK!A:B,2,FALSE())</f>
        <v>3.3432</v>
      </c>
      <c r="AB39" s="81"/>
      <c r="AC39" s="60" t="s">
        <v>416</v>
      </c>
      <c r="AD39" s="60" t="str">
        <f>VLOOKUP(AC39,ECR!E:L,8,FALSE())</f>
        <v>Michael Pittman Jr.</v>
      </c>
      <c r="AE39" s="60" t="str">
        <f>IFERROR(VLOOKUP(Aggregate!$AD39,ECR!C:F,2,FALSE()),"-")</f>
        <v>PIT</v>
      </c>
      <c r="AF39" s="60">
        <f>IFERROR(VLOOKUP(Aggregate!$AD39,ECR!C:F,4,FALSE()),"-")</f>
        <v>9</v>
      </c>
      <c r="AG39" s="60" t="str">
        <f>Aggregate!$AE39 &amp; "/" &amp; Aggregate!$AF39</f>
        <v>PIT/9</v>
      </c>
      <c r="AH39" s="62">
        <f>IFERROR(VLOOKUP(Aggregate!$AD39,WR!A:Q,13,FALSE())/17*(16-Aggregate!$AO39),0)</f>
        <v>92.46705882</v>
      </c>
      <c r="AI39" s="62">
        <f>IFERROR(VLOOKUP(Aggregate!$AD39,WR!A:Q,14,FALSE())/17*(16-Aggregate!$AO39),0)</f>
        <v>108.7175294</v>
      </c>
      <c r="AJ39" s="62">
        <f>IFERROR(VLOOKUP(Aggregate!$AD39,WR!A:Q,15,FALSE())/17*(16-Aggregate!$AO39),0)</f>
        <v>121.4805882</v>
      </c>
      <c r="AK39" s="69">
        <f>AVERAGE(Aggregate!$AH39,Aggregate!$AI39,Aggregate!$AJ39,VLOOKUP(Aggregate!$AD39,ECR!L:N,3,FALSE))</f>
        <v>107.9562318</v>
      </c>
      <c r="AL39" s="69">
        <f>Aggregate!$AK39-$AE$1</f>
        <v>26.43530471</v>
      </c>
      <c r="AM39" s="72">
        <f>MAX(Aggregate!$AL39*Scoring!$B$48+1,1)</f>
        <v>7.926669202</v>
      </c>
      <c r="AN39" s="73">
        <f>VLOOKUP(Aggregate!$AL39,BR:BT,3,FALSE)</f>
        <v>5</v>
      </c>
      <c r="AO39" s="80">
        <f t="array" ref="AO39">VLOOKUP(INDEX(ECR!$E:$E,MATCH(AD39,ECR!$C:$C,0)),RISK!A:B,2,FALSE())</f>
        <v>3.7</v>
      </c>
      <c r="AP39" s="81"/>
      <c r="AQ39" s="85" t="s">
        <v>417</v>
      </c>
      <c r="AR39" s="85" t="str">
        <f>VLOOKUP(AQ39,ECR!E:L,8,FALSE())</f>
        <v>Jake Tonges</v>
      </c>
      <c r="AS39" s="85" t="str">
        <f>IFERROR(VLOOKUP(Aggregate!$AR39,ECR!C:F,2,FALSE()),"-")</f>
        <v>SF</v>
      </c>
      <c r="AT39" s="85">
        <f>IFERROR(VLOOKUP(Aggregate!$AR39,ECR!C:F,4,FALSE()),"-")</f>
        <v>8</v>
      </c>
      <c r="AU39" s="85" t="str">
        <f>Aggregate!$AS39 &amp; "/" &amp; Aggregate!$AT39</f>
        <v>SF/8</v>
      </c>
      <c r="AV39" s="62">
        <f>IFERROR(VLOOKUP(Aggregate!$AR39,TE!A:K,9,FALSE())/17*(16-Aggregate!$BC39),0)</f>
        <v>21.00978788</v>
      </c>
      <c r="AW39" s="62">
        <f>IFERROR(VLOOKUP(Aggregate!$AR39,TE!A:K,10,FALSE())/17*(16-Aggregate!$BC39),0)</f>
        <v>31.13704165</v>
      </c>
      <c r="AX39" s="62">
        <f>IFERROR(VLOOKUP(Aggregate!$AR39,TE!A:K,11,FALSE())/17*(16-Aggregate!$BC39),0)</f>
        <v>41.25617412</v>
      </c>
      <c r="AY39" s="69">
        <f>AVERAGE(Aggregate!$AV39,Aggregate!$AW39,Aggregate!$AX39,VLOOKUP(Aggregate!$AR39,ECR!L:N,3,FALSE))</f>
        <v>36.48085318</v>
      </c>
      <c r="AZ39" s="69">
        <f>Aggregate!$AY39-$AS$1</f>
        <v>-45.05747822</v>
      </c>
      <c r="BA39" s="72">
        <f>MAX(Aggregate!$AZ39*Scoring!$B$48+1,1)</f>
        <v>1</v>
      </c>
      <c r="BB39" s="62">
        <f>VLOOKUP(Aggregate!$AZ39,BW:BY,3,FALSE)</f>
        <v>7</v>
      </c>
      <c r="BC39" s="80">
        <f t="array" ref="BC39">VLOOKUP(INDEX(ECR!$E:$E,MATCH(AR39,ECR!$C:$C,0)),RISK!A:B,2,FALSE())</f>
        <v>2.1938</v>
      </c>
      <c r="BD39" s="62"/>
      <c r="BE39" s="81"/>
      <c r="BF39" s="81">
        <v>37.0</v>
      </c>
      <c r="BG39" s="81">
        <f t="shared" si="1"/>
        <v>14.88865882</v>
      </c>
      <c r="BH39" s="81">
        <f>IFERROR(LARGE($J$3:$J$52,37),"")</f>
        <v>-207.1285942</v>
      </c>
      <c r="BI39" s="81">
        <f t="shared" si="5"/>
        <v>-206.5141942</v>
      </c>
      <c r="BJ39" s="81">
        <f t="shared" si="6"/>
        <v>13</v>
      </c>
      <c r="BK39" s="90">
        <v>37.0</v>
      </c>
      <c r="BL39" s="81">
        <f t="shared" si="2"/>
        <v>105.5677</v>
      </c>
      <c r="BM39" s="91">
        <f>IFERROR(LARGE($X$3:$X$102,37),"")</f>
        <v>27.22012501</v>
      </c>
      <c r="BN39" s="91">
        <f t="shared" si="7"/>
        <v>38.46760487</v>
      </c>
      <c r="BO39" s="93">
        <f t="shared" si="8"/>
        <v>6</v>
      </c>
      <c r="BP39" s="91">
        <v>37.0</v>
      </c>
      <c r="BQ39" s="81">
        <f t="shared" si="3"/>
        <v>109.1597506</v>
      </c>
      <c r="BR39" s="91">
        <f>IFERROR(LARGE($AL$3:$AL$102,37),"")</f>
        <v>26.43530471</v>
      </c>
      <c r="BS39" s="91">
        <f t="shared" si="9"/>
        <v>26.43530471</v>
      </c>
      <c r="BT39" s="91">
        <f t="shared" si="10"/>
        <v>5</v>
      </c>
      <c r="BU39" s="81">
        <v>37.0</v>
      </c>
      <c r="BV39" s="81">
        <f t="shared" si="4"/>
        <v>52.52040906</v>
      </c>
      <c r="BW39" s="91">
        <f>IFERROR(LARGE($AZ$3:$AZ$52,37),"")</f>
        <v>-27.6860301</v>
      </c>
      <c r="BX39" s="91">
        <f t="shared" si="11"/>
        <v>-15.94872978</v>
      </c>
      <c r="BY39" s="91">
        <f t="shared" si="12"/>
        <v>6</v>
      </c>
      <c r="BZ39" s="91"/>
      <c r="CA39" s="91"/>
      <c r="CB39" s="91"/>
      <c r="CC39" s="91"/>
      <c r="CD39" s="91"/>
      <c r="CE39" s="91"/>
      <c r="CF39" s="91"/>
      <c r="CG39" s="91"/>
    </row>
    <row r="40" ht="14.25" customHeight="1">
      <c r="A40" s="59" t="s">
        <v>420</v>
      </c>
      <c r="B40" s="59" t="str">
        <f>VLOOKUP(A40,ECR!E:L,8,FALSE())</f>
        <v>Mac Jones</v>
      </c>
      <c r="C40" s="60" t="str">
        <f>IFERROR(VLOOKUP(Aggregate!$B40,ECR!C:F,2,FALSE()),"-")</f>
        <v>SF</v>
      </c>
      <c r="D40" s="60">
        <f>IFERROR(VLOOKUP(Aggregate!$B40,ECR!C:F,4,FALSE()),"-")</f>
        <v>8</v>
      </c>
      <c r="E40" s="60" t="str">
        <f>Aggregate!$C40 &amp; "/" &amp; Aggregate!$D40</f>
        <v>SF/8</v>
      </c>
      <c r="F40" s="62">
        <f>IFERROR(VLOOKUP(Aggregate!$B40,QB!A:Q,15,FALSE())/17*(16-Aggregate!$M40),0)</f>
        <v>5.220894118</v>
      </c>
      <c r="G40" s="62">
        <f>IFERROR(VLOOKUP(Aggregate!$B40,QB!A:Q,16,FALSE())/17*(16-Aggregate!$M40),0)</f>
        <v>6.659011765</v>
      </c>
      <c r="H40" s="62">
        <f>IFERROR(VLOOKUP(Aggregate!$B40,QB!A:Q,17,FALSE())/17*(16-Aggregate!$M40),0)</f>
        <v>8.402823529</v>
      </c>
      <c r="I40" s="69">
        <f>AVERAGE(Aggregate!$F40,Aggregate!$G40,Aggregate!$H40,VLOOKUP(Aggregate!$B40,ECR!L:N,3,FALSE))</f>
        <v>8.442352941</v>
      </c>
      <c r="J40" s="69">
        <f>Aggregate!$I40-$C$1</f>
        <v>-213.2044531</v>
      </c>
      <c r="K40" s="72">
        <f>MAX(Aggregate!$J40*Scoring!$B$48+1,1)</f>
        <v>1</v>
      </c>
      <c r="L40" s="73">
        <f>VLOOKUP(Aggregate!$J40,BH:BJ,3,FALSE)</f>
        <v>13</v>
      </c>
      <c r="M40" s="80">
        <f t="array" ref="M40">VLOOKUP(INDEX(ECR!$E:$E,MATCH(B40,ECR!$C:$C,0)),RISK!A:B,2,FALSE())</f>
        <v>3.2</v>
      </c>
      <c r="N40" s="81"/>
      <c r="O40" s="73" t="s">
        <v>421</v>
      </c>
      <c r="P40" s="59" t="str">
        <f>VLOOKUP(O40,ECR!E:L,8,FALSE())</f>
        <v>Kenny Gainwell</v>
      </c>
      <c r="Q40" s="60" t="str">
        <f>IFERROR(VLOOKUP(Aggregate!$P40,ECR!C:F,2,FALSE()),"-")</f>
        <v>TB</v>
      </c>
      <c r="R40" s="60">
        <f>IFERROR(VLOOKUP(Aggregate!$P40,ECR!C:F,4,FALSE()),"-")</f>
        <v>10</v>
      </c>
      <c r="S40" s="60" t="str">
        <f>Aggregate!$Q40 &amp; "/" &amp; Aggregate!$R40</f>
        <v>TB/10</v>
      </c>
      <c r="T40" s="62">
        <f>IFERROR(VLOOKUP(Aggregate!$P40,RB!A:Q,13,FALSE())/17*(16-Aggregate!$AA40),0)</f>
        <v>87.60663529</v>
      </c>
      <c r="U40" s="62">
        <f>IFERROR(VLOOKUP(Aggregate!$P40,RB!A:Q,14,FALSE())/17*(16-Aggregate!$AA40),0)</f>
        <v>106.6512329</v>
      </c>
      <c r="V40" s="62">
        <f>IFERROR(VLOOKUP(Aggregate!$P40,RB!A:Q,15,FALSE())/17*(16-Aggregate!$AA40),0)</f>
        <v>122.9762353</v>
      </c>
      <c r="W40" s="69">
        <f>AVERAGE(Aggregate!$T40,Aggregate!$U40,Aggregate!$V40,VLOOKUP(Aggregate!$P40,ECR!L:N,3,FALSE))</f>
        <v>105.5199259</v>
      </c>
      <c r="X40" s="69">
        <f>Aggregate!$W40-$Q$1</f>
        <v>27.12903678</v>
      </c>
      <c r="Y40" s="72">
        <f>MAX(Aggregate!$X40*Scoring!$B$48+1,1)</f>
        <v>8.108443259</v>
      </c>
      <c r="Z40" s="73">
        <f>VLOOKUP(Aggregate!$X40,BM:BO,3,FALSE)</f>
        <v>6</v>
      </c>
      <c r="AA40" s="80">
        <f t="array" ref="AA40">VLOOKUP(INDEX(ECR!$E:$E,MATCH(P40,ECR!$C:$C,0)),RISK!A:B,2,FALSE())</f>
        <v>3.368</v>
      </c>
      <c r="AB40" s="81"/>
      <c r="AC40" s="60" t="s">
        <v>423</v>
      </c>
      <c r="AD40" s="60" t="str">
        <f>VLOOKUP(AC40,ECR!E:L,8,FALSE())</f>
        <v>Michael Wilson</v>
      </c>
      <c r="AE40" s="60" t="str">
        <f>IFERROR(VLOOKUP(Aggregate!$AD40,ECR!C:F,2,FALSE()),"-")</f>
        <v>ARI</v>
      </c>
      <c r="AF40" s="60">
        <f>IFERROR(VLOOKUP(Aggregate!$AD40,ECR!C:F,4,FALSE()),"-")</f>
        <v>14</v>
      </c>
      <c r="AG40" s="60" t="str">
        <f>Aggregate!$AE40 &amp; "/" &amp; Aggregate!$AF40</f>
        <v>ARI/14</v>
      </c>
      <c r="AH40" s="62">
        <f>IFERROR(VLOOKUP(Aggregate!$AD40,WR!A:Q,13,FALSE())/17*(16-Aggregate!$AO40),0)</f>
        <v>97.53176471</v>
      </c>
      <c r="AI40" s="62">
        <f>IFERROR(VLOOKUP(Aggregate!$AD40,WR!A:Q,14,FALSE())/17*(16-Aggregate!$AO40),0)</f>
        <v>104.4776471</v>
      </c>
      <c r="AJ40" s="62">
        <f>IFERROR(VLOOKUP(Aggregate!$AD40,WR!A:Q,15,FALSE())/17*(16-Aggregate!$AO40),0)</f>
        <v>113.9775882</v>
      </c>
      <c r="AK40" s="69">
        <f>AVERAGE(Aggregate!$AH40,Aggregate!$AI40,Aggregate!$AJ40,VLOOKUP(Aggregate!$AD40,ECR!L:N,3,FALSE))</f>
        <v>106.1761324</v>
      </c>
      <c r="AL40" s="69">
        <f>Aggregate!$AK40-$AE$1</f>
        <v>24.65520529</v>
      </c>
      <c r="AM40" s="72">
        <f>MAX(Aggregate!$AL40*Scoring!$B$48+1,1)</f>
        <v>7.460241449</v>
      </c>
      <c r="AN40" s="73">
        <f>VLOOKUP(Aggregate!$AL40,BR:BT,3,FALSE)</f>
        <v>5</v>
      </c>
      <c r="AO40" s="80">
        <f t="array" ref="AO40">VLOOKUP(INDEX(ECR!$E:$E,MATCH(AD40,ECR!$C:$C,0)),RISK!A:B,2,FALSE())</f>
        <v>3.7</v>
      </c>
      <c r="AP40" s="81"/>
      <c r="AQ40" s="85" t="s">
        <v>425</v>
      </c>
      <c r="AR40" s="85" t="str">
        <f>VLOOKUP(AQ40,ECR!E:L,8,FALSE())</f>
        <v>Darnell Washington</v>
      </c>
      <c r="AS40" s="85" t="str">
        <f>IFERROR(VLOOKUP(Aggregate!$AR40,ECR!C:F,2,FALSE()),"-")</f>
        <v>PIT</v>
      </c>
      <c r="AT40" s="85">
        <f>IFERROR(VLOOKUP(Aggregate!$AR40,ECR!C:F,4,FALSE()),"-")</f>
        <v>9</v>
      </c>
      <c r="AU40" s="85" t="str">
        <f>Aggregate!$AS40 &amp; "/" &amp; Aggregate!$AT40</f>
        <v>PIT/9</v>
      </c>
      <c r="AV40" s="62">
        <f>IFERROR(VLOOKUP(Aggregate!$AR40,TE!A:K,9,FALSE())/17*(16-Aggregate!$BC40),0)</f>
        <v>42.47436824</v>
      </c>
      <c r="AW40" s="62">
        <f>IFERROR(VLOOKUP(Aggregate!$AR40,TE!A:K,10,FALSE())/17*(16-Aggregate!$BC40),0)</f>
        <v>47.96436306</v>
      </c>
      <c r="AX40" s="62">
        <f>IFERROR(VLOOKUP(Aggregate!$AR40,TE!A:K,11,FALSE())/17*(16-Aggregate!$BC40),0)</f>
        <v>54.57509647</v>
      </c>
      <c r="AY40" s="69">
        <f>AVERAGE(Aggregate!$AV40,Aggregate!$AW40,Aggregate!$AX40,VLOOKUP(Aggregate!$AR40,ECR!L:N,3,FALSE))</f>
        <v>48.9084635</v>
      </c>
      <c r="AZ40" s="69">
        <f>Aggregate!$AY40-$AS$1</f>
        <v>-32.6298679</v>
      </c>
      <c r="BA40" s="72">
        <f>MAX(Aggregate!$AZ40*Scoring!$B$48+1,1)</f>
        <v>1</v>
      </c>
      <c r="BB40" s="62">
        <f>VLOOKUP(Aggregate!$AZ40,BW:BY,3,FALSE)</f>
        <v>7</v>
      </c>
      <c r="BC40" s="80">
        <f t="array" ref="BC40">VLOOKUP(INDEX(ECR!$E:$E,MATCH(AR40,ECR!$C:$C,0)),RISK!A:B,2,FALSE())</f>
        <v>2.1938</v>
      </c>
      <c r="BD40" s="62"/>
      <c r="BE40" s="81"/>
      <c r="BF40" s="81">
        <v>38.0</v>
      </c>
      <c r="BG40" s="81">
        <f t="shared" si="1"/>
        <v>13.48668235</v>
      </c>
      <c r="BH40" s="81">
        <f>IFERROR(LARGE($J$3:$J$52,38),"")</f>
        <v>-207.3375354</v>
      </c>
      <c r="BI40" s="81">
        <f t="shared" si="5"/>
        <v>-206.5141942</v>
      </c>
      <c r="BJ40" s="81">
        <f t="shared" si="6"/>
        <v>13</v>
      </c>
      <c r="BK40" s="90">
        <v>38.0</v>
      </c>
      <c r="BL40" s="81">
        <f t="shared" si="2"/>
        <v>104.8456</v>
      </c>
      <c r="BM40" s="91">
        <f>IFERROR(LARGE($X$3:$X$102,38),"")</f>
        <v>27.12903678</v>
      </c>
      <c r="BN40" s="91">
        <f t="shared" si="7"/>
        <v>38.46760487</v>
      </c>
      <c r="BO40" s="93">
        <f t="shared" si="8"/>
        <v>6</v>
      </c>
      <c r="BP40" s="91">
        <v>38.0</v>
      </c>
      <c r="BQ40" s="81">
        <f t="shared" si="3"/>
        <v>108.7175294</v>
      </c>
      <c r="BR40" s="91">
        <f>IFERROR(LARGE($AL$3:$AL$102,38),"")</f>
        <v>25.64709176</v>
      </c>
      <c r="BS40" s="91">
        <f t="shared" si="9"/>
        <v>26.43530471</v>
      </c>
      <c r="BT40" s="91">
        <f t="shared" si="10"/>
        <v>5</v>
      </c>
      <c r="BU40" s="81">
        <v>38.0</v>
      </c>
      <c r="BV40" s="81">
        <f t="shared" si="4"/>
        <v>50.62002624</v>
      </c>
      <c r="BW40" s="91">
        <f>IFERROR(LARGE($AZ$3:$AZ$52,38),"")</f>
        <v>-32.6298679</v>
      </c>
      <c r="BX40" s="91">
        <f t="shared" si="11"/>
        <v>-32.6298679</v>
      </c>
      <c r="BY40" s="91">
        <f t="shared" si="12"/>
        <v>7</v>
      </c>
      <c r="BZ40" s="91"/>
      <c r="CA40" s="91"/>
      <c r="CB40" s="91"/>
      <c r="CC40" s="91"/>
      <c r="CD40" s="91"/>
      <c r="CE40" s="91"/>
      <c r="CF40" s="91"/>
      <c r="CG40" s="91"/>
    </row>
    <row r="41" ht="14.25" customHeight="1">
      <c r="A41" s="59" t="s">
        <v>427</v>
      </c>
      <c r="B41" s="59" t="str">
        <f>VLOOKUP(A41,ECR!E:L,8,FALSE())</f>
        <v>Justin Fields</v>
      </c>
      <c r="C41" s="60" t="str">
        <f>IFERROR(VLOOKUP(Aggregate!$B41,ECR!C:F,2,FALSE()),"-")</f>
        <v>KC</v>
      </c>
      <c r="D41" s="60">
        <f>IFERROR(VLOOKUP(Aggregate!$B41,ECR!C:F,4,FALSE()),"-")</f>
        <v>5</v>
      </c>
      <c r="E41" s="60" t="str">
        <f>Aggregate!$C41 &amp; "/" &amp; Aggregate!$D41</f>
        <v>KC/5</v>
      </c>
      <c r="F41" s="62">
        <f>IFERROR(VLOOKUP(Aggregate!$B41,QB!A:Q,15,FALSE())/17*(16-Aggregate!$M41),0)</f>
        <v>5.526588235</v>
      </c>
      <c r="G41" s="62">
        <f>IFERROR(VLOOKUP(Aggregate!$B41,QB!A:Q,16,FALSE())/17*(16-Aggregate!$M41),0)</f>
        <v>7.637835294</v>
      </c>
      <c r="H41" s="62">
        <f>IFERROR(VLOOKUP(Aggregate!$B41,QB!A:Q,17,FALSE())/17*(16-Aggregate!$M41),0)</f>
        <v>9.968941176</v>
      </c>
      <c r="I41" s="69">
        <f>AVERAGE(Aggregate!$F41,Aggregate!$G41,Aggregate!$H41,VLOOKUP(Aggregate!$B41,ECR!L:N,3,FALSE))</f>
        <v>8.808282353</v>
      </c>
      <c r="J41" s="69">
        <f>Aggregate!$I41-$C$1</f>
        <v>-212.8385236</v>
      </c>
      <c r="K41" s="72">
        <f>MAX(Aggregate!$J41*Scoring!$B$48+1,1)</f>
        <v>1</v>
      </c>
      <c r="L41" s="73">
        <f>VLOOKUP(Aggregate!$J41,BH:BJ,3,FALSE)</f>
        <v>13</v>
      </c>
      <c r="M41" s="80">
        <f t="array" ref="M41">VLOOKUP(INDEX(ECR!$E:$E,MATCH(B41,ECR!$C:$C,0)),RISK!A:B,2,FALSE())</f>
        <v>3.2</v>
      </c>
      <c r="N41" s="81"/>
      <c r="O41" s="73" t="s">
        <v>429</v>
      </c>
      <c r="P41" s="59" t="str">
        <f>VLOOKUP(O41,ECR!E:L,8,FALSE())</f>
        <v>Kyle Monangai</v>
      </c>
      <c r="Q41" s="60" t="str">
        <f>IFERROR(VLOOKUP(Aggregate!$P41,ECR!C:F,2,FALSE()),"-")</f>
        <v>CHI</v>
      </c>
      <c r="R41" s="60">
        <f>IFERROR(VLOOKUP(Aggregate!$P41,ECR!C:F,4,FALSE()),"-")</f>
        <v>10</v>
      </c>
      <c r="S41" s="60" t="str">
        <f>Aggregate!$Q41 &amp; "/" &amp; Aggregate!$R41</f>
        <v>CHI/10</v>
      </c>
      <c r="T41" s="62">
        <f>IFERROR(VLOOKUP(Aggregate!$P41,RB!A:Q,13,FALSE())/17*(16-Aggregate!$AA41),0)</f>
        <v>93.40249412</v>
      </c>
      <c r="U41" s="62">
        <f>IFERROR(VLOOKUP(Aggregate!$P41,RB!A:Q,14,FALSE())/17*(16-Aggregate!$AA41),0)</f>
        <v>107.7063765</v>
      </c>
      <c r="V41" s="62">
        <f>IFERROR(VLOOKUP(Aggregate!$P41,RB!A:Q,15,FALSE())/17*(16-Aggregate!$AA41),0)</f>
        <v>123.162</v>
      </c>
      <c r="W41" s="69">
        <f>AVERAGE(Aggregate!$T41,Aggregate!$U41,Aggregate!$V41,VLOOKUP(Aggregate!$P41,ECR!L:N,3,FALSE))</f>
        <v>107.1046504</v>
      </c>
      <c r="X41" s="69">
        <f>Aggregate!$W41-$Q$1</f>
        <v>28.71376131</v>
      </c>
      <c r="Y41" s="72">
        <f>MAX(Aggregate!$X41*Scoring!$B$48+1,1)</f>
        <v>8.523678216</v>
      </c>
      <c r="Z41" s="73">
        <f>VLOOKUP(Aggregate!$X41,BM:BO,3,FALSE)</f>
        <v>6</v>
      </c>
      <c r="AA41" s="80">
        <f t="array" ref="AA41">VLOOKUP(INDEX(ECR!$E:$E,MATCH(P41,ECR!$C:$C,0)),RISK!A:B,2,FALSE())</f>
        <v>3.368</v>
      </c>
      <c r="AB41" s="81"/>
      <c r="AC41" s="60" t="s">
        <v>431</v>
      </c>
      <c r="AD41" s="60" t="str">
        <f>VLOOKUP(AC41,ECR!E:L,8,FALSE())</f>
        <v>Quentin Johnston</v>
      </c>
      <c r="AE41" s="60" t="str">
        <f>IFERROR(VLOOKUP(Aggregate!$AD41,ECR!C:F,2,FALSE()),"-")</f>
        <v>LAC</v>
      </c>
      <c r="AF41" s="60">
        <f>IFERROR(VLOOKUP(Aggregate!$AD41,ECR!C:F,4,FALSE()),"-")</f>
        <v>7</v>
      </c>
      <c r="AG41" s="60" t="str">
        <f>Aggregate!$AE41 &amp; "/" &amp; Aggregate!$AF41</f>
        <v>LAC/7</v>
      </c>
      <c r="AH41" s="62">
        <f>IFERROR(VLOOKUP(Aggregate!$AD41,WR!A:Q,13,FALSE())/17*(16-Aggregate!$AO41),0)</f>
        <v>92.10529412</v>
      </c>
      <c r="AI41" s="62">
        <f>IFERROR(VLOOKUP(Aggregate!$AD41,WR!A:Q,14,FALSE())/17*(16-Aggregate!$AO41),0)</f>
        <v>103.5515294</v>
      </c>
      <c r="AJ41" s="62">
        <f>IFERROR(VLOOKUP(Aggregate!$AD41,WR!A:Q,15,FALSE())/17*(16-Aggregate!$AO41),0)</f>
        <v>117.4867059</v>
      </c>
      <c r="AK41" s="69">
        <f>AVERAGE(Aggregate!$AH41,Aggregate!$AI41,Aggregate!$AJ41,VLOOKUP(Aggregate!$AD41,ECR!L:N,3,FALSE))</f>
        <v>104.9689235</v>
      </c>
      <c r="AL41" s="69">
        <f>Aggregate!$AK41-$AE$1</f>
        <v>23.44799647</v>
      </c>
      <c r="AM41" s="72">
        <f>MAX(Aggregate!$AL41*Scoring!$B$48+1,1)</f>
        <v>7.143924453</v>
      </c>
      <c r="AN41" s="73">
        <f>VLOOKUP(Aggregate!$AL41,BR:BT,3,FALSE)</f>
        <v>5</v>
      </c>
      <c r="AO41" s="80">
        <f t="array" ref="AO41">VLOOKUP(INDEX(ECR!$E:$E,MATCH(AD41,ECR!$C:$C,0)),RISK!A:B,2,FALSE())</f>
        <v>3.7</v>
      </c>
      <c r="AP41" s="81"/>
      <c r="AQ41" s="85" t="s">
        <v>433</v>
      </c>
      <c r="AR41" s="85" t="str">
        <f>VLOOKUP(AQ41,ECR!E:L,8,FALSE())</f>
        <v>Darren Waller</v>
      </c>
      <c r="AS41" s="85" t="str">
        <f>IFERROR(VLOOKUP(Aggregate!$AR41,ECR!C:F,2,FALSE()),"-")</f>
        <v>CAR</v>
      </c>
      <c r="AT41" s="85">
        <f>IFERROR(VLOOKUP(Aggregate!$AR41,ECR!C:F,4,FALSE()),"-")</f>
        <v>5</v>
      </c>
      <c r="AU41" s="85" t="str">
        <f>Aggregate!$AS41 &amp; "/" &amp; Aggregate!$AT41</f>
        <v>CAR/5</v>
      </c>
      <c r="AV41" s="62">
        <f>IFERROR(VLOOKUP(Aggregate!$AR41,TE!A:K,9,FALSE())/17*(16-Aggregate!$BC41),0)</f>
        <v>60.74728</v>
      </c>
      <c r="AW41" s="62">
        <f>IFERROR(VLOOKUP(Aggregate!$AR41,TE!A:K,10,FALSE())/17*(16-Aggregate!$BC41),0)</f>
        <v>74.18802176</v>
      </c>
      <c r="AX41" s="62">
        <f>IFERROR(VLOOKUP(Aggregate!$AR41,TE!A:K,11,FALSE())/17*(16-Aggregate!$BC41),0)</f>
        <v>86.36184165</v>
      </c>
      <c r="AY41" s="69">
        <f>AVERAGE(Aggregate!$AV41,Aggregate!$AW41,Aggregate!$AX41,VLOOKUP(Aggregate!$AR41,ECR!L:N,3,FALSE))</f>
        <v>67.31537662</v>
      </c>
      <c r="AZ41" s="69">
        <f>Aggregate!$AY41-$AS$1</f>
        <v>-14.22295478</v>
      </c>
      <c r="BA41" s="72">
        <f>MAX(Aggregate!$AZ41*Scoring!$B$48+1,1)</f>
        <v>1</v>
      </c>
      <c r="BB41" s="62">
        <f>VLOOKUP(Aggregate!$AZ41,BW:BY,3,FALSE)</f>
        <v>5</v>
      </c>
      <c r="BC41" s="80">
        <f t="array" ref="BC41">VLOOKUP(INDEX(ECR!$E:$E,MATCH(AR41,ECR!$C:$C,0)),RISK!A:B,2,FALSE())</f>
        <v>2.1938</v>
      </c>
      <c r="BD41" s="62"/>
      <c r="BE41" s="81"/>
      <c r="BF41" s="81">
        <v>39.0</v>
      </c>
      <c r="BG41" s="81">
        <f t="shared" si="1"/>
        <v>12.09976471</v>
      </c>
      <c r="BH41" s="81">
        <f>IFERROR(LARGE($J$3:$J$52,39),"")</f>
        <v>-210.805206</v>
      </c>
      <c r="BI41" s="81">
        <f t="shared" si="5"/>
        <v>-206.5141942</v>
      </c>
      <c r="BJ41" s="81">
        <f t="shared" si="6"/>
        <v>13</v>
      </c>
      <c r="BK41" s="90">
        <v>39.0</v>
      </c>
      <c r="BL41" s="81">
        <f t="shared" si="2"/>
        <v>104.1477311</v>
      </c>
      <c r="BM41" s="91">
        <f>IFERROR(LARGE($X$3:$X$102,39),"")</f>
        <v>24.91060748</v>
      </c>
      <c r="BN41" s="91">
        <f t="shared" si="7"/>
        <v>38.46760487</v>
      </c>
      <c r="BO41" s="93">
        <f t="shared" si="8"/>
        <v>6</v>
      </c>
      <c r="BP41" s="91">
        <v>39.0</v>
      </c>
      <c r="BQ41" s="81">
        <f t="shared" si="3"/>
        <v>106.7321647</v>
      </c>
      <c r="BR41" s="91">
        <f>IFERROR(LARGE($AL$3:$AL$102,39),"")</f>
        <v>24.65520529</v>
      </c>
      <c r="BS41" s="91">
        <f t="shared" si="9"/>
        <v>26.43530471</v>
      </c>
      <c r="BT41" s="91">
        <f t="shared" si="10"/>
        <v>5</v>
      </c>
      <c r="BU41" s="81">
        <v>39.0</v>
      </c>
      <c r="BV41" s="81">
        <f t="shared" si="4"/>
        <v>47.96436306</v>
      </c>
      <c r="BW41" s="91">
        <f>IFERROR(LARGE($AZ$3:$AZ$52,39),"")</f>
        <v>-33.99627563</v>
      </c>
      <c r="BX41" s="91">
        <f t="shared" si="11"/>
        <v>-32.6298679</v>
      </c>
      <c r="BY41" s="91">
        <f t="shared" si="12"/>
        <v>7</v>
      </c>
      <c r="BZ41" s="91"/>
      <c r="CA41" s="91"/>
      <c r="CB41" s="91"/>
      <c r="CC41" s="91"/>
      <c r="CD41" s="91"/>
      <c r="CE41" s="91"/>
      <c r="CF41" s="91"/>
      <c r="CG41" s="91"/>
    </row>
    <row r="42" ht="14.25" customHeight="1">
      <c r="A42" s="59" t="s">
        <v>435</v>
      </c>
      <c r="B42" s="59" t="str">
        <f>VLOOKUP(A42,ECR!E:L,8,FALSE())</f>
        <v>Ty Simpson</v>
      </c>
      <c r="C42" s="60" t="str">
        <f>IFERROR(VLOOKUP(Aggregate!$B42,ECR!C:F,2,FALSE()),"-")</f>
        <v>LAR</v>
      </c>
      <c r="D42" s="60">
        <f>IFERROR(VLOOKUP(Aggregate!$B42,ECR!C:F,4,FALSE()),"-")</f>
        <v>11</v>
      </c>
      <c r="E42" s="60" t="str">
        <f>Aggregate!$C42 &amp; "/" &amp; Aggregate!$D42</f>
        <v>LAR/11</v>
      </c>
      <c r="F42" s="62">
        <f>IFERROR(VLOOKUP(Aggregate!$B42,QB!A:Q,15,FALSE())/17*(16-Aggregate!$M42),0)</f>
        <v>6.180141176</v>
      </c>
      <c r="G42" s="62">
        <f>IFERROR(VLOOKUP(Aggregate!$B42,QB!A:Q,16,FALSE())/17*(16-Aggregate!$M42),0)</f>
        <v>16.26654118</v>
      </c>
      <c r="H42" s="62">
        <f>IFERROR(VLOOKUP(Aggregate!$B42,QB!A:Q,17,FALSE())/17*(16-Aggregate!$M42),0)</f>
        <v>26.80470588</v>
      </c>
      <c r="I42" s="69">
        <f>AVERAGE(Aggregate!$F42,Aggregate!$G42,Aggregate!$H42,VLOOKUP(Aggregate!$B42,ECR!L:N,3,FALSE))</f>
        <v>14.30927059</v>
      </c>
      <c r="J42" s="69">
        <f>Aggregate!$I42-$C$1</f>
        <v>-207.3375354</v>
      </c>
      <c r="K42" s="72">
        <f>MAX(Aggregate!$J42*Scoring!$B$48+1,1)</f>
        <v>1</v>
      </c>
      <c r="L42" s="73">
        <f>VLOOKUP(Aggregate!$J42,BH:BJ,3,FALSE)</f>
        <v>13</v>
      </c>
      <c r="M42" s="80">
        <f t="array" ref="M42">VLOOKUP(INDEX(ECR!$E:$E,MATCH(B42,ECR!$C:$C,0)),RISK!A:B,2,FALSE())</f>
        <v>3.2</v>
      </c>
      <c r="N42" s="81"/>
      <c r="O42" s="73" t="s">
        <v>437</v>
      </c>
      <c r="P42" s="59" t="str">
        <f>VLOOKUP(O42,ECR!E:L,8,FALSE())</f>
        <v>Rachaad White</v>
      </c>
      <c r="Q42" s="60" t="str">
        <f>IFERROR(VLOOKUP(Aggregate!$P42,ECR!C:F,2,FALSE()),"-")</f>
        <v>WAS</v>
      </c>
      <c r="R42" s="60">
        <f>IFERROR(VLOOKUP(Aggregate!$P42,ECR!C:F,4,FALSE()),"-")</f>
        <v>7</v>
      </c>
      <c r="S42" s="60" t="str">
        <f>Aggregate!$Q42 &amp; "/" &amp; Aggregate!$R42</f>
        <v>WAS/7</v>
      </c>
      <c r="T42" s="62">
        <f>IFERROR(VLOOKUP(Aggregate!$P42,RB!A:Q,13,FALSE())/17*(16-Aggregate!$AA42),0)</f>
        <v>87.01218824</v>
      </c>
      <c r="U42" s="62">
        <f>IFERROR(VLOOKUP(Aggregate!$P42,RB!A:Q,14,FALSE())/17*(16-Aggregate!$AA42),0)</f>
        <v>106.7404</v>
      </c>
      <c r="V42" s="62">
        <f>IFERROR(VLOOKUP(Aggregate!$P42,RB!A:Q,15,FALSE())/17*(16-Aggregate!$AA42),0)</f>
        <v>126.1713882</v>
      </c>
      <c r="W42" s="69">
        <f>AVERAGE(Aggregate!$T42,Aggregate!$U42,Aggregate!$V42,VLOOKUP(Aggregate!$P42,ECR!L:N,3,FALSE))</f>
        <v>105.6110141</v>
      </c>
      <c r="X42" s="69">
        <f>Aggregate!$W42-$Q$1</f>
        <v>27.22012501</v>
      </c>
      <c r="Y42" s="72">
        <f>MAX(Aggregate!$X42*Scoring!$B$48+1,1)</f>
        <v>8.132310511</v>
      </c>
      <c r="Z42" s="73">
        <f>VLOOKUP(Aggregate!$X42,BM:BO,3,FALSE)</f>
        <v>6</v>
      </c>
      <c r="AA42" s="80">
        <f t="array" ref="AA42">VLOOKUP(INDEX(ECR!$E:$E,MATCH(P42,ECR!$C:$C,0)),RISK!A:B,2,FALSE())</f>
        <v>3.368</v>
      </c>
      <c r="AB42" s="81"/>
      <c r="AC42" s="60" t="s">
        <v>439</v>
      </c>
      <c r="AD42" s="60" t="str">
        <f>VLOOKUP(AC42,ECR!E:L,8,FALSE())</f>
        <v>Josh Downs</v>
      </c>
      <c r="AE42" s="60" t="str">
        <f>IFERROR(VLOOKUP(Aggregate!$AD42,ECR!C:F,2,FALSE()),"-")</f>
        <v>IND</v>
      </c>
      <c r="AF42" s="60">
        <f>IFERROR(VLOOKUP(Aggregate!$AD42,ECR!C:F,4,FALSE()),"-")</f>
        <v>13</v>
      </c>
      <c r="AG42" s="60" t="str">
        <f>Aggregate!$AE42 &amp; "/" &amp; Aggregate!$AF42</f>
        <v>IND/13</v>
      </c>
      <c r="AH42" s="62">
        <f>IFERROR(VLOOKUP(Aggregate!$AD42,WR!A:Q,13,FALSE())/17*(16-Aggregate!$AO42),0)</f>
        <v>85.28964706</v>
      </c>
      <c r="AI42" s="62">
        <f>IFERROR(VLOOKUP(Aggregate!$AD42,WR!A:Q,14,FALSE())/17*(16-Aggregate!$AO42),0)</f>
        <v>93.27017647</v>
      </c>
      <c r="AJ42" s="62">
        <f>IFERROR(VLOOKUP(Aggregate!$AD42,WR!A:Q,15,FALSE())/17*(16-Aggregate!$AO42),0)</f>
        <v>103.3344706</v>
      </c>
      <c r="AK42" s="69">
        <f>AVERAGE(Aggregate!$AH42,Aggregate!$AI42,Aggregate!$AJ42,VLOOKUP(Aggregate!$AD42,ECR!L:N,3,FALSE))</f>
        <v>97.04200765</v>
      </c>
      <c r="AL42" s="69">
        <f>Aggregate!$AK42-$AE$1</f>
        <v>15.52108059</v>
      </c>
      <c r="AM42" s="72">
        <f>MAX(Aggregate!$AL42*Scoring!$B$48+1,1)</f>
        <v>5.066886767</v>
      </c>
      <c r="AN42" s="73">
        <f>VLOOKUP(Aggregate!$AL42,BR:BT,3,FALSE)</f>
        <v>5</v>
      </c>
      <c r="AO42" s="80">
        <f t="array" ref="AO42">VLOOKUP(INDEX(ECR!$E:$E,MATCH(AD42,ECR!$C:$C,0)),RISK!A:B,2,FALSE())</f>
        <v>3.7</v>
      </c>
      <c r="AP42" s="81"/>
      <c r="AQ42" s="85" t="s">
        <v>440</v>
      </c>
      <c r="AR42" s="85" t="str">
        <f>VLOOKUP(AQ42,ECR!E:L,8,FALSE())</f>
        <v>Oscar Delp</v>
      </c>
      <c r="AS42" s="85" t="str">
        <f>IFERROR(VLOOKUP(Aggregate!$AR42,ECR!C:F,2,FALSE()),"-")</f>
        <v>NO</v>
      </c>
      <c r="AT42" s="85">
        <f>IFERROR(VLOOKUP(Aggregate!$AR42,ECR!C:F,4,FALSE()),"-")</f>
        <v>8</v>
      </c>
      <c r="AU42" s="85" t="str">
        <f>Aggregate!$AS42 &amp; "/" &amp; Aggregate!$AT42</f>
        <v>NO/8</v>
      </c>
      <c r="AV42" s="62">
        <f>IFERROR(VLOOKUP(Aggregate!$AR42,TE!A:K,9,FALSE())/17*(16-Aggregate!$BC42),0)</f>
        <v>11.459146</v>
      </c>
      <c r="AW42" s="62">
        <f>IFERROR(VLOOKUP(Aggregate!$AR42,TE!A:K,10,FALSE())/17*(16-Aggregate!$BC42),0)</f>
        <v>14.95130247</v>
      </c>
      <c r="AX42" s="62">
        <f>IFERROR(VLOOKUP(Aggregate!$AR42,TE!A:K,11,FALSE())/17*(16-Aggregate!$BC42),0)</f>
        <v>18.76018941</v>
      </c>
      <c r="AY42" s="69">
        <f>AVERAGE(Aggregate!$AV42,Aggregate!$AW42,Aggregate!$AX42,VLOOKUP(Aggregate!$AR42,ECR!L:N,3,FALSE))</f>
        <v>22.78429065</v>
      </c>
      <c r="AZ42" s="69">
        <f>Aggregate!$AY42-$AS$1</f>
        <v>-58.75404075</v>
      </c>
      <c r="BA42" s="72">
        <f>MAX(Aggregate!$AZ42*Scoring!$B$48+1,1)</f>
        <v>1</v>
      </c>
      <c r="BB42" s="62">
        <f>VLOOKUP(Aggregate!$AZ42,BW:BY,3,FALSE)</f>
        <v>8</v>
      </c>
      <c r="BC42" s="80">
        <f t="array" ref="BC42">VLOOKUP(INDEX(ECR!$E:$E,MATCH(AR42,ECR!$C:$C,0)),RISK!A:B,2,FALSE())</f>
        <v>2.1938</v>
      </c>
      <c r="BD42" s="62"/>
      <c r="BE42" s="81"/>
      <c r="BF42" s="81">
        <v>40.0</v>
      </c>
      <c r="BG42" s="81">
        <f t="shared" si="1"/>
        <v>7.985694118</v>
      </c>
      <c r="BH42" s="81">
        <f>IFERROR(LARGE($J$3:$J$52,40),"")</f>
        <v>-212.8385236</v>
      </c>
      <c r="BI42" s="81">
        <f t="shared" si="5"/>
        <v>-206.5141942</v>
      </c>
      <c r="BJ42" s="81">
        <f t="shared" si="6"/>
        <v>13</v>
      </c>
      <c r="BK42" s="90">
        <v>40.0</v>
      </c>
      <c r="BL42" s="81">
        <f t="shared" si="2"/>
        <v>102.52008</v>
      </c>
      <c r="BM42" s="91">
        <f>IFERROR(LARGE($X$3:$X$102,40),"")</f>
        <v>24.37737872</v>
      </c>
      <c r="BN42" s="91">
        <f t="shared" si="7"/>
        <v>38.46760487</v>
      </c>
      <c r="BO42" s="93">
        <f t="shared" si="8"/>
        <v>6</v>
      </c>
      <c r="BP42" s="91">
        <v>40.0</v>
      </c>
      <c r="BQ42" s="81">
        <f t="shared" si="3"/>
        <v>106.2737365</v>
      </c>
      <c r="BR42" s="91">
        <f>IFERROR(LARGE($AL$3:$AL$102,40),"")</f>
        <v>23.70687529</v>
      </c>
      <c r="BS42" s="91">
        <f t="shared" si="9"/>
        <v>26.43530471</v>
      </c>
      <c r="BT42" s="91">
        <f t="shared" si="10"/>
        <v>5</v>
      </c>
      <c r="BU42" s="81">
        <v>40.0</v>
      </c>
      <c r="BV42" s="81">
        <f t="shared" si="4"/>
        <v>45.96652471</v>
      </c>
      <c r="BW42" s="91">
        <f>IFERROR(LARGE($AZ$3:$AZ$52,40),"")</f>
        <v>-37.29352104</v>
      </c>
      <c r="BX42" s="91">
        <f t="shared" si="11"/>
        <v>-32.6298679</v>
      </c>
      <c r="BY42" s="91">
        <f t="shared" si="12"/>
        <v>7</v>
      </c>
      <c r="BZ42" s="91"/>
      <c r="CA42" s="91"/>
      <c r="CB42" s="91"/>
      <c r="CC42" s="91"/>
      <c r="CD42" s="91"/>
      <c r="CE42" s="91"/>
      <c r="CF42" s="91"/>
      <c r="CG42" s="91"/>
    </row>
    <row r="43" ht="14.25" customHeight="1">
      <c r="A43" s="59" t="s">
        <v>443</v>
      </c>
      <c r="B43" s="59" t="str">
        <f>VLOOKUP(A43,ECR!E:L,8,FALSE())</f>
        <v>Anthony Richardson Sr.</v>
      </c>
      <c r="C43" s="60" t="str">
        <f>IFERROR(VLOOKUP(Aggregate!$B43,ECR!C:F,2,FALSE()),"-")</f>
        <v>IND</v>
      </c>
      <c r="D43" s="60">
        <f>IFERROR(VLOOKUP(Aggregate!$B43,ECR!C:F,4,FALSE()),"-")</f>
        <v>13</v>
      </c>
      <c r="E43" s="60" t="str">
        <f>Aggregate!$C43 &amp; "/" &amp; Aggregate!$D43</f>
        <v>IND/13</v>
      </c>
      <c r="F43" s="62">
        <f>IFERROR(VLOOKUP(Aggregate!$B43,QB!A:Q,15,FALSE())/17*(16-Aggregate!$M43),0)</f>
        <v>7.664941176</v>
      </c>
      <c r="G43" s="62">
        <f>IFERROR(VLOOKUP(Aggregate!$B43,QB!A:Q,16,FALSE())/17*(16-Aggregate!$M43),0)</f>
        <v>7.664941176</v>
      </c>
      <c r="H43" s="62">
        <f>IFERROR(VLOOKUP(Aggregate!$B43,QB!A:Q,17,FALSE())/17*(16-Aggregate!$M43),0)</f>
        <v>7.664941176</v>
      </c>
      <c r="I43" s="69">
        <f>AVERAGE(Aggregate!$F43,Aggregate!$G43,Aggregate!$H43,VLOOKUP(Aggregate!$B43,ECR!L:N,3,FALSE))</f>
        <v>7.664941176</v>
      </c>
      <c r="J43" s="69">
        <f>Aggregate!$I43-$C$1</f>
        <v>-213.9818648</v>
      </c>
      <c r="K43" s="72">
        <f>MAX(Aggregate!$J43*Scoring!$B$48+1,1)</f>
        <v>1</v>
      </c>
      <c r="L43" s="73">
        <f>VLOOKUP(Aggregate!$J43,BH:BJ,3,FALSE)</f>
        <v>13</v>
      </c>
      <c r="M43" s="80">
        <f t="array" ref="M43">VLOOKUP(INDEX(ECR!$E:$E,MATCH(B43,ECR!$C:$C,0)),RISK!A:B,2,FALSE())</f>
        <v>3.2</v>
      </c>
      <c r="N43" s="81"/>
      <c r="O43" s="73" t="s">
        <v>444</v>
      </c>
      <c r="P43" s="59" t="str">
        <f>VLOOKUP(O43,ECR!E:L,8,FALSE())</f>
        <v>Aaron Jones Sr.</v>
      </c>
      <c r="Q43" s="60" t="str">
        <f>IFERROR(VLOOKUP(Aggregate!$P43,ECR!C:F,2,FALSE()),"-")</f>
        <v>MIN</v>
      </c>
      <c r="R43" s="60">
        <f>IFERROR(VLOOKUP(Aggregate!$P43,ECR!C:F,4,FALSE()),"-")</f>
        <v>6</v>
      </c>
      <c r="S43" s="60" t="str">
        <f>Aggregate!$Q43 &amp; "/" &amp; Aggregate!$R43</f>
        <v>MIN/6</v>
      </c>
      <c r="T43" s="62">
        <f>IFERROR(VLOOKUP(Aggregate!$P43,RB!A:Q,13,FALSE())/17*(16-Aggregate!$AA43),0)</f>
        <v>94.74</v>
      </c>
      <c r="U43" s="62">
        <f>IFERROR(VLOOKUP(Aggregate!$P43,RB!A:Q,14,FALSE())/17*(16-Aggregate!$AA43),0)</f>
        <v>104.8456</v>
      </c>
      <c r="V43" s="62">
        <f>IFERROR(VLOOKUP(Aggregate!$P43,RB!A:Q,15,FALSE())/17*(16-Aggregate!$AA43),0)</f>
        <v>114.3716141</v>
      </c>
      <c r="W43" s="69">
        <f>AVERAGE(Aggregate!$T43,Aggregate!$U43,Aggregate!$V43,VLOOKUP(Aggregate!$P43,ECR!L:N,3,FALSE))</f>
        <v>103.3014966</v>
      </c>
      <c r="X43" s="69">
        <f>Aggregate!$W43-$Q$1</f>
        <v>24.91060748</v>
      </c>
      <c r="Y43" s="72">
        <f>MAX(Aggregate!$X43*Scoring!$B$48+1,1)</f>
        <v>7.527162807</v>
      </c>
      <c r="Z43" s="73">
        <f>VLOOKUP(Aggregate!$X43,BM:BO,3,FALSE)</f>
        <v>6</v>
      </c>
      <c r="AA43" s="80">
        <f t="array" ref="AA43">VLOOKUP(INDEX(ECR!$E:$E,MATCH(P43,ECR!$C:$C,0)),RISK!A:B,2,FALSE())</f>
        <v>3.368</v>
      </c>
      <c r="AB43" s="81"/>
      <c r="AC43" s="60" t="s">
        <v>446</v>
      </c>
      <c r="AD43" s="60" t="str">
        <f>VLOOKUP(AC43,ECR!E:L,8,FALSE())</f>
        <v>Alec Pierce</v>
      </c>
      <c r="AE43" s="60" t="str">
        <f>IFERROR(VLOOKUP(Aggregate!$AD43,ECR!C:F,2,FALSE()),"-")</f>
        <v>IND</v>
      </c>
      <c r="AF43" s="60">
        <f>IFERROR(VLOOKUP(Aggregate!$AD43,ECR!C:F,4,FALSE()),"-")</f>
        <v>13</v>
      </c>
      <c r="AG43" s="60" t="str">
        <f>Aggregate!$AE43 &amp; "/" &amp; Aggregate!$AF43</f>
        <v>IND/13</v>
      </c>
      <c r="AH43" s="62">
        <f>IFERROR(VLOOKUP(Aggregate!$AD43,WR!A:Q,13,FALSE())/17*(16-Aggregate!$AO43),0)</f>
        <v>105.0564706</v>
      </c>
      <c r="AI43" s="62">
        <f>IFERROR(VLOOKUP(Aggregate!$AD43,WR!A:Q,14,FALSE())/17*(16-Aggregate!$AO43),0)</f>
        <v>118.4996471</v>
      </c>
      <c r="AJ43" s="62">
        <f>IFERROR(VLOOKUP(Aggregate!$AD43,WR!A:Q,15,FALSE())/17*(16-Aggregate!$AO43),0)</f>
        <v>138.1941176</v>
      </c>
      <c r="AK43" s="69">
        <f>AVERAGE(Aggregate!$AH43,Aggregate!$AI43,Aggregate!$AJ43,VLOOKUP(Aggregate!$AD43,ECR!L:N,3,FALSE))</f>
        <v>116.6843118</v>
      </c>
      <c r="AL43" s="69">
        <f>Aggregate!$AK43-$AE$1</f>
        <v>35.16338471</v>
      </c>
      <c r="AM43" s="72">
        <f>MAX(Aggregate!$AL43*Scoring!$B$48+1,1)</f>
        <v>10.21363066</v>
      </c>
      <c r="AN43" s="73">
        <f>VLOOKUP(Aggregate!$AL43,BR:BT,3,FALSE)</f>
        <v>4</v>
      </c>
      <c r="AO43" s="80">
        <f t="array" ref="AO43">VLOOKUP(INDEX(ECR!$E:$E,MATCH(AD43,ECR!$C:$C,0)),RISK!A:B,2,FALSE())</f>
        <v>3.7</v>
      </c>
      <c r="AP43" s="81"/>
      <c r="AQ43" s="85" t="s">
        <v>448</v>
      </c>
      <c r="AR43" s="85" t="str">
        <f>VLOOKUP(AQ43,ECR!E:L,8,FALSE())</f>
        <v>Michael Mayer</v>
      </c>
      <c r="AS43" s="85" t="str">
        <f>IFERROR(VLOOKUP(Aggregate!$AR43,ECR!C:F,2,FALSE()),"-")</f>
        <v>LV</v>
      </c>
      <c r="AT43" s="85">
        <f>IFERROR(VLOOKUP(Aggregate!$AR43,ECR!C:F,4,FALSE()),"-")</f>
        <v>13</v>
      </c>
      <c r="AU43" s="85" t="str">
        <f>Aggregate!$AS43 &amp; "/" &amp; Aggregate!$AT43</f>
        <v>LV/13</v>
      </c>
      <c r="AV43" s="62">
        <f>IFERROR(VLOOKUP(Aggregate!$AR43,TE!A:K,9,FALSE())/17*(16-Aggregate!$BC43),0)</f>
        <v>48.89019059</v>
      </c>
      <c r="AW43" s="62">
        <f>IFERROR(VLOOKUP(Aggregate!$AR43,TE!A:K,10,FALSE())/17*(16-Aggregate!$BC43),0)</f>
        <v>56.87342271</v>
      </c>
      <c r="AX43" s="62">
        <f>IFERROR(VLOOKUP(Aggregate!$AR43,TE!A:K,11,FALSE())/17*(16-Aggregate!$BC43),0)</f>
        <v>66.18854706</v>
      </c>
      <c r="AY43" s="69">
        <f>AVERAGE(Aggregate!$AV43,Aggregate!$AW43,Aggregate!$AX43,VLOOKUP(Aggregate!$AR43,ECR!L:N,3,FALSE))</f>
        <v>53.85230129</v>
      </c>
      <c r="AZ43" s="69">
        <f>Aggregate!$AY43-$AS$1</f>
        <v>-27.6860301</v>
      </c>
      <c r="BA43" s="72">
        <f>MAX(Aggregate!$AZ43*Scoring!$B$48+1,1)</f>
        <v>1</v>
      </c>
      <c r="BB43" s="62">
        <f>VLOOKUP(Aggregate!$AZ43,BW:BY,3,FALSE)</f>
        <v>6</v>
      </c>
      <c r="BC43" s="80">
        <f t="array" ref="BC43">VLOOKUP(INDEX(ECR!$E:$E,MATCH(AR43,ECR!$C:$C,0)),RISK!A:B,2,FALSE())</f>
        <v>2.1938</v>
      </c>
      <c r="BD43" s="62"/>
      <c r="BE43" s="81"/>
      <c r="BF43" s="81">
        <v>41.0</v>
      </c>
      <c r="BG43" s="81">
        <f t="shared" si="1"/>
        <v>7.664941176</v>
      </c>
      <c r="BH43" s="81">
        <f>IFERROR(LARGE($J$3:$J$52,41),"")</f>
        <v>-213.2044531</v>
      </c>
      <c r="BI43" s="81">
        <f t="shared" si="5"/>
        <v>-206.5141942</v>
      </c>
      <c r="BJ43" s="81">
        <f t="shared" si="6"/>
        <v>13</v>
      </c>
      <c r="BK43" s="90">
        <v>41.0</v>
      </c>
      <c r="BL43" s="81">
        <f t="shared" si="2"/>
        <v>99.24877224</v>
      </c>
      <c r="BM43" s="91">
        <f>IFERROR(LARGE($X$3:$X$102,41),"")</f>
        <v>23.1091506</v>
      </c>
      <c r="BN43" s="91">
        <f t="shared" si="7"/>
        <v>38.46760487</v>
      </c>
      <c r="BO43" s="93">
        <f t="shared" si="8"/>
        <v>6</v>
      </c>
      <c r="BP43" s="91">
        <v>41.0</v>
      </c>
      <c r="BQ43" s="81">
        <f t="shared" si="3"/>
        <v>104.9870118</v>
      </c>
      <c r="BR43" s="91">
        <f>IFERROR(LARGE($AL$3:$AL$102,41),"")</f>
        <v>23.64949941</v>
      </c>
      <c r="BS43" s="91">
        <f t="shared" si="9"/>
        <v>26.43530471</v>
      </c>
      <c r="BT43" s="91">
        <f t="shared" si="10"/>
        <v>5</v>
      </c>
      <c r="BU43" s="81">
        <v>41.0</v>
      </c>
      <c r="BV43" s="81">
        <f t="shared" si="4"/>
        <v>43.45704482</v>
      </c>
      <c r="BW43" s="91">
        <f>IFERROR(LARGE($AZ$3:$AZ$52,41),"")</f>
        <v>-39.25075293</v>
      </c>
      <c r="BX43" s="91">
        <f t="shared" si="11"/>
        <v>-32.6298679</v>
      </c>
      <c r="BY43" s="91">
        <f t="shared" si="12"/>
        <v>7</v>
      </c>
      <c r="BZ43" s="91"/>
      <c r="CA43" s="91"/>
      <c r="CB43" s="91"/>
      <c r="CC43" s="91"/>
      <c r="CD43" s="91"/>
      <c r="CE43" s="91"/>
      <c r="CF43" s="91"/>
      <c r="CG43" s="91"/>
    </row>
    <row r="44" ht="14.25" customHeight="1">
      <c r="A44" s="59" t="s">
        <v>450</v>
      </c>
      <c r="B44" s="59" t="str">
        <f>VLOOKUP(A44,ECR!E:L,8,FALSE())</f>
        <v>Joe Flacco</v>
      </c>
      <c r="C44" s="60" t="str">
        <f>IFERROR(VLOOKUP(Aggregate!$B44,ECR!C:F,2,FALSE()),"-")</f>
        <v>CIN</v>
      </c>
      <c r="D44" s="60">
        <f>IFERROR(VLOOKUP(Aggregate!$B44,ECR!C:F,4,FALSE()),"-")</f>
        <v>6</v>
      </c>
      <c r="E44" s="60" t="str">
        <f>Aggregate!$C44 &amp; "/" &amp; Aggregate!$D44</f>
        <v>CIN/6</v>
      </c>
      <c r="F44" s="62">
        <f>IFERROR(VLOOKUP(Aggregate!$B44,QB!A:Q,15,FALSE())/17*(16-Aggregate!$M44),0)</f>
        <v>4.077929412</v>
      </c>
      <c r="G44" s="62">
        <f>IFERROR(VLOOKUP(Aggregate!$B44,QB!A:Q,16,FALSE())/17*(16-Aggregate!$M44),0)</f>
        <v>6.511435294</v>
      </c>
      <c r="H44" s="62">
        <f>IFERROR(VLOOKUP(Aggregate!$B44,QB!A:Q,17,FALSE())/17*(16-Aggregate!$M44),0)</f>
        <v>8.342588235</v>
      </c>
      <c r="I44" s="69">
        <f>AVERAGE(Aggregate!$F44,Aggregate!$G44,Aggregate!$H44,VLOOKUP(Aggregate!$B44,ECR!L:N,3,FALSE))</f>
        <v>6.642447059</v>
      </c>
      <c r="J44" s="69">
        <f>Aggregate!$I44-$C$1</f>
        <v>-215.0043589</v>
      </c>
      <c r="K44" s="72">
        <f>MAX(Aggregate!$J44*Scoring!$B$48+1,1)</f>
        <v>1</v>
      </c>
      <c r="L44" s="73">
        <f>VLOOKUP(Aggregate!$J44,BH:BJ,3,FALSE)</f>
        <v>13</v>
      </c>
      <c r="M44" s="80">
        <f t="array" ref="M44">VLOOKUP(INDEX(ECR!$E:$E,MATCH(B44,ECR!$C:$C,0)),RISK!A:B,2,FALSE())</f>
        <v>3.2</v>
      </c>
      <c r="N44" s="81"/>
      <c r="O44" s="73" t="s">
        <v>452</v>
      </c>
      <c r="P44" s="59" t="str">
        <f>VLOOKUP(O44,ECR!E:L,8,FALSE())</f>
        <v>Chris Rodriguez Jr.</v>
      </c>
      <c r="Q44" s="60" t="str">
        <f>IFERROR(VLOOKUP(Aggregate!$P44,ECR!C:F,2,FALSE()),"-")</f>
        <v>JAC</v>
      </c>
      <c r="R44" s="60">
        <f>IFERROR(VLOOKUP(Aggregate!$P44,ECR!C:F,4,FALSE()),"-")</f>
        <v>7</v>
      </c>
      <c r="S44" s="60" t="str">
        <f>Aggregate!$Q44 &amp; "/" &amp; Aggregate!$R44</f>
        <v>JAC/7</v>
      </c>
      <c r="T44" s="62">
        <f>IFERROR(VLOOKUP(Aggregate!$P44,RB!A:Q,13,FALSE())/17*(16-Aggregate!$AA44),0)</f>
        <v>48.24680941</v>
      </c>
      <c r="U44" s="62">
        <f>IFERROR(VLOOKUP(Aggregate!$P44,RB!A:Q,14,FALSE())/17*(16-Aggregate!$AA44),0)</f>
        <v>69.14905412</v>
      </c>
      <c r="V44" s="62">
        <f>IFERROR(VLOOKUP(Aggregate!$P44,RB!A:Q,15,FALSE())/17*(16-Aggregate!$AA44),0)</f>
        <v>97.04348235</v>
      </c>
      <c r="W44" s="69">
        <f>AVERAGE(Aggregate!$T44,Aggregate!$U44,Aggregate!$V44,VLOOKUP(Aggregate!$P44,ECR!L:N,3,FALSE))</f>
        <v>78.3908891</v>
      </c>
      <c r="X44" s="69">
        <f>Aggregate!$W44-$Q$1</f>
        <v>0</v>
      </c>
      <c r="Y44" s="72">
        <f>MAX(Aggregate!$X44*Scoring!$B$48+1,1)</f>
        <v>1</v>
      </c>
      <c r="Z44" s="73">
        <f>VLOOKUP(Aggregate!$X44,BM:BO,3,FALSE)</f>
        <v>7</v>
      </c>
      <c r="AA44" s="80">
        <f t="array" ref="AA44">VLOOKUP(INDEX(ECR!$E:$E,MATCH(P44,ECR!$C:$C,0)),RISK!A:B,2,FALSE())</f>
        <v>3.368</v>
      </c>
      <c r="AB44" s="81"/>
      <c r="AC44" s="60" t="s">
        <v>454</v>
      </c>
      <c r="AD44" s="60" t="str">
        <f>VLOOKUP(AC44,ECR!E:L,8,FALSE())</f>
        <v>Wan'Dale Robinson</v>
      </c>
      <c r="AE44" s="60" t="str">
        <f>IFERROR(VLOOKUP(Aggregate!$AD44,ECR!C:F,2,FALSE()),"-")</f>
        <v>TEN</v>
      </c>
      <c r="AF44" s="60">
        <f>IFERROR(VLOOKUP(Aggregate!$AD44,ECR!C:F,4,FALSE()),"-")</f>
        <v>9</v>
      </c>
      <c r="AG44" s="60" t="str">
        <f>Aggregate!$AE44 &amp; "/" &amp; Aggregate!$AF44</f>
        <v>TEN/9</v>
      </c>
      <c r="AH44" s="62">
        <f>IFERROR(VLOOKUP(Aggregate!$AD44,WR!A:Q,13,FALSE())/17*(16-Aggregate!$AO44),0)</f>
        <v>93.26294118</v>
      </c>
      <c r="AI44" s="62">
        <f>IFERROR(VLOOKUP(Aggregate!$AD44,WR!A:Q,14,FALSE())/17*(16-Aggregate!$AO44),0)</f>
        <v>100.9034118</v>
      </c>
      <c r="AJ44" s="62">
        <f>IFERROR(VLOOKUP(Aggregate!$AD44,WR!A:Q,15,FALSE())/17*(16-Aggregate!$AO44),0)</f>
        <v>109.8534706</v>
      </c>
      <c r="AK44" s="69">
        <f>AVERAGE(Aggregate!$AH44,Aggregate!$AI44,Aggregate!$AJ44,VLOOKUP(Aggregate!$AD44,ECR!L:N,3,FALSE))</f>
        <v>102.1949118</v>
      </c>
      <c r="AL44" s="69">
        <f>Aggregate!$AK44-$AE$1</f>
        <v>20.67398471</v>
      </c>
      <c r="AM44" s="72">
        <f>MAX(Aggregate!$AL44*Scoring!$B$48+1,1)</f>
        <v>6.417068377</v>
      </c>
      <c r="AN44" s="73">
        <f>VLOOKUP(Aggregate!$AL44,BR:BT,3,FALSE)</f>
        <v>5</v>
      </c>
      <c r="AO44" s="80">
        <f t="array" ref="AO44">VLOOKUP(INDEX(ECR!$E:$E,MATCH(AD44,ECR!$C:$C,0)),RISK!A:B,2,FALSE())</f>
        <v>3.7</v>
      </c>
      <c r="AP44" s="81"/>
      <c r="AQ44" s="85" t="s">
        <v>456</v>
      </c>
      <c r="AR44" s="85" t="str">
        <f>VLOOKUP(AQ44,ECR!E:L,8,FALSE())</f>
        <v>Elijah Arroyo</v>
      </c>
      <c r="AS44" s="85" t="str">
        <f>IFERROR(VLOOKUP(Aggregate!$AR44,ECR!C:F,2,FALSE()),"-")</f>
        <v>SEA</v>
      </c>
      <c r="AT44" s="85">
        <f>IFERROR(VLOOKUP(Aggregate!$AR44,ECR!C:F,4,FALSE()),"-")</f>
        <v>11</v>
      </c>
      <c r="AU44" s="85" t="str">
        <f>Aggregate!$AS44 &amp; "/" &amp; Aggregate!$AT44</f>
        <v>SEA/11</v>
      </c>
      <c r="AV44" s="62">
        <f>IFERROR(VLOOKUP(Aggregate!$AR44,TE!A:K,9,FALSE())/17*(16-Aggregate!$BC44),0)</f>
        <v>34.84035176</v>
      </c>
      <c r="AW44" s="62">
        <f>IFERROR(VLOOKUP(Aggregate!$AR44,TE!A:K,10,FALSE())/17*(16-Aggregate!$BC44),0)</f>
        <v>38.01577776</v>
      </c>
      <c r="AX44" s="62">
        <f>IFERROR(VLOOKUP(Aggregate!$AR44,TE!A:K,11,FALSE())/17*(16-Aggregate!$BC44),0)</f>
        <v>40.66331965</v>
      </c>
      <c r="AY44" s="69">
        <f>AVERAGE(Aggregate!$AV44,Aggregate!$AW44,Aggregate!$AX44,VLOOKUP(Aggregate!$AR44,ECR!L:N,3,FALSE))</f>
        <v>39.19336541</v>
      </c>
      <c r="AZ44" s="69">
        <f>Aggregate!$AY44-$AS$1</f>
        <v>-42.34496599</v>
      </c>
      <c r="BA44" s="72">
        <f>MAX(Aggregate!$AZ44*Scoring!$B$48+1,1)</f>
        <v>1</v>
      </c>
      <c r="BB44" s="62">
        <f>VLOOKUP(Aggregate!$AZ44,BW:BY,3,FALSE)</f>
        <v>7</v>
      </c>
      <c r="BC44" s="80">
        <f t="array" ref="BC44">VLOOKUP(INDEX(ECR!$E:$E,MATCH(AR44,ECR!$C:$C,0)),RISK!A:B,2,FALSE())</f>
        <v>2.1938</v>
      </c>
      <c r="BD44" s="62"/>
      <c r="BE44" s="81"/>
      <c r="BF44" s="81">
        <v>42.0</v>
      </c>
      <c r="BG44" s="81">
        <f t="shared" si="1"/>
        <v>7.637835294</v>
      </c>
      <c r="BH44" s="81">
        <f>IFERROR(LARGE($J$3:$J$52,42),"")</f>
        <v>-213.7292531</v>
      </c>
      <c r="BI44" s="81">
        <f t="shared" si="5"/>
        <v>-206.5141942</v>
      </c>
      <c r="BJ44" s="81">
        <f t="shared" si="6"/>
        <v>13</v>
      </c>
      <c r="BK44" s="90">
        <v>42.0</v>
      </c>
      <c r="BL44" s="81">
        <f t="shared" si="2"/>
        <v>99.12421053</v>
      </c>
      <c r="BM44" s="91">
        <f>IFERROR(LARGE($X$3:$X$102,42),"")</f>
        <v>12.66826499</v>
      </c>
      <c r="BN44" s="91">
        <f t="shared" si="7"/>
        <v>12.66826499</v>
      </c>
      <c r="BO44" s="93">
        <f t="shared" si="8"/>
        <v>7</v>
      </c>
      <c r="BP44" s="91">
        <v>42.0</v>
      </c>
      <c r="BQ44" s="81">
        <f t="shared" si="3"/>
        <v>104.7598235</v>
      </c>
      <c r="BR44" s="91">
        <f>IFERROR(LARGE($AL$3:$AL$102,42),"")</f>
        <v>23.56430059</v>
      </c>
      <c r="BS44" s="91">
        <f t="shared" si="9"/>
        <v>26.43530471</v>
      </c>
      <c r="BT44" s="91">
        <f t="shared" si="10"/>
        <v>5</v>
      </c>
      <c r="BU44" s="81">
        <v>42.0</v>
      </c>
      <c r="BV44" s="81">
        <f t="shared" si="4"/>
        <v>43.25401247</v>
      </c>
      <c r="BW44" s="91">
        <f>IFERROR(LARGE($AZ$3:$AZ$52,42),"")</f>
        <v>-39.48220981</v>
      </c>
      <c r="BX44" s="91">
        <f t="shared" si="11"/>
        <v>-32.6298679</v>
      </c>
      <c r="BY44" s="91">
        <f t="shared" si="12"/>
        <v>7</v>
      </c>
      <c r="BZ44" s="91"/>
      <c r="CA44" s="91"/>
      <c r="CB44" s="91"/>
      <c r="CC44" s="91"/>
      <c r="CD44" s="91"/>
      <c r="CE44" s="91"/>
      <c r="CF44" s="91"/>
      <c r="CG44" s="91"/>
    </row>
    <row r="45" ht="14.25" customHeight="1">
      <c r="A45" s="59" t="s">
        <v>458</v>
      </c>
      <c r="B45" s="59" t="str">
        <f>VLOOKUP(A45,ECR!E:L,8,FALSE())</f>
        <v>Joe Milton III</v>
      </c>
      <c r="C45" s="60" t="str">
        <f>IFERROR(VLOOKUP(Aggregate!$B45,ECR!C:F,2,FALSE()),"-")</f>
        <v>DAL</v>
      </c>
      <c r="D45" s="60">
        <f>IFERROR(VLOOKUP(Aggregate!$B45,ECR!C:F,4,FALSE()),"-")</f>
        <v>14</v>
      </c>
      <c r="E45" s="60" t="str">
        <f>Aggregate!$C45 &amp; "/" &amp; Aggregate!$D45</f>
        <v>DAL/14</v>
      </c>
      <c r="F45" s="62">
        <f>IFERROR(VLOOKUP(Aggregate!$B45,QB!A:Q,15,FALSE())/17*(16-Aggregate!$M45),0)</f>
        <v>0</v>
      </c>
      <c r="G45" s="62">
        <f>IFERROR(VLOOKUP(Aggregate!$B45,QB!A:Q,16,FALSE())/17*(16-Aggregate!$M45),0)</f>
        <v>5.583811765</v>
      </c>
      <c r="H45" s="62">
        <f>IFERROR(VLOOKUP(Aggregate!$B45,QB!A:Q,17,FALSE())/17*(16-Aggregate!$M45),0)</f>
        <v>8.899764706</v>
      </c>
      <c r="I45" s="69">
        <f>AVERAGE(Aggregate!$F45,Aggregate!$G45,Aggregate!$H45,VLOOKUP(Aggregate!$B45,ECR!L:N,3,FALSE))</f>
        <v>5.451294118</v>
      </c>
      <c r="J45" s="69">
        <f>Aggregate!$I45-$C$1</f>
        <v>-216.1955119</v>
      </c>
      <c r="K45" s="72">
        <f>MAX(Aggregate!$J45*Scoring!$B$48+1,1)</f>
        <v>1</v>
      </c>
      <c r="L45" s="73">
        <f>VLOOKUP(Aggregate!$J45,BH:BJ,3,FALSE)</f>
        <v>13</v>
      </c>
      <c r="M45" s="80">
        <f t="array" ref="M45">VLOOKUP(INDEX(ECR!$E:$E,MATCH(B45,ECR!$C:$C,0)),RISK!A:B,2,FALSE())</f>
        <v>3.2</v>
      </c>
      <c r="N45" s="81"/>
      <c r="O45" s="73" t="s">
        <v>460</v>
      </c>
      <c r="P45" s="59" t="str">
        <f>VLOOKUP(O45,ECR!E:L,8,FALSE())</f>
        <v>Woody Marks</v>
      </c>
      <c r="Q45" s="60" t="str">
        <f>IFERROR(VLOOKUP(Aggregate!$P45,ECR!C:F,2,FALSE()),"-")</f>
        <v>HOU</v>
      </c>
      <c r="R45" s="60">
        <f>IFERROR(VLOOKUP(Aggregate!$P45,ECR!C:F,4,FALSE()),"-")</f>
        <v>8</v>
      </c>
      <c r="S45" s="60" t="str">
        <f>Aggregate!$Q45 &amp; "/" &amp; Aggregate!$R45</f>
        <v>HOU/8</v>
      </c>
      <c r="T45" s="62">
        <f>IFERROR(VLOOKUP(Aggregate!$P45,RB!A:Q,13,FALSE())/17*(16-Aggregate!$AA45),0)</f>
        <v>72.0024</v>
      </c>
      <c r="U45" s="62">
        <f>IFERROR(VLOOKUP(Aggregate!$P45,RB!A:Q,14,FALSE())/17*(16-Aggregate!$AA45),0)</f>
        <v>83.77245176</v>
      </c>
      <c r="V45" s="62">
        <f>IFERROR(VLOOKUP(Aggregate!$P45,RB!A:Q,15,FALSE())/17*(16-Aggregate!$AA45),0)</f>
        <v>94.77715294</v>
      </c>
      <c r="W45" s="69">
        <f>AVERAGE(Aggregate!$T45,Aggregate!$U45,Aggregate!$V45,VLOOKUP(Aggregate!$P45,ECR!L:N,3,FALSE))</f>
        <v>86.28327354</v>
      </c>
      <c r="X45" s="69">
        <f>Aggregate!$W45-$Q$1</f>
        <v>7.892384433</v>
      </c>
      <c r="Y45" s="72">
        <f>MAX(Aggregate!$X45*Scoring!$B$48+1,1)</f>
        <v>3.067989637</v>
      </c>
      <c r="Z45" s="73">
        <f>VLOOKUP(Aggregate!$X45,BM:BO,3,FALSE)</f>
        <v>7</v>
      </c>
      <c r="AA45" s="80">
        <f t="array" ref="AA45">VLOOKUP(INDEX(ECR!$E:$E,MATCH(P45,ECR!$C:$C,0)),RISK!A:B,2,FALSE())</f>
        <v>3.368</v>
      </c>
      <c r="AB45" s="81"/>
      <c r="AC45" s="60" t="s">
        <v>462</v>
      </c>
      <c r="AD45" s="60" t="str">
        <f>VLOOKUP(AC45,ECR!E:L,8,FALSE())</f>
        <v>Stefon Diggs</v>
      </c>
      <c r="AE45" s="60" t="str">
        <f>IFERROR(VLOOKUP(Aggregate!$AD45,ECR!C:F,2,FALSE()),"-")</f>
        <v>WAS</v>
      </c>
      <c r="AF45" s="60">
        <f>IFERROR(VLOOKUP(Aggregate!$AD45,ECR!C:F,4,FALSE()),"-")</f>
        <v>7</v>
      </c>
      <c r="AG45" s="60" t="str">
        <f>Aggregate!$AE45 &amp; "/" &amp; Aggregate!$AF45</f>
        <v>WAS/7</v>
      </c>
      <c r="AH45" s="62">
        <f>IFERROR(VLOOKUP(Aggregate!$AD45,WR!A:Q,13,FALSE())/17*(16-Aggregate!$AO45),0)</f>
        <v>89.45717647</v>
      </c>
      <c r="AI45" s="62">
        <f>IFERROR(VLOOKUP(Aggregate!$AD45,WR!A:Q,14,FALSE())/17*(16-Aggregate!$AO45),0)</f>
        <v>96.28729412</v>
      </c>
      <c r="AJ45" s="62">
        <f>IFERROR(VLOOKUP(Aggregate!$AD45,WR!A:Q,15,FALSE())/17*(16-Aggregate!$AO45),0)</f>
        <v>102.9944118</v>
      </c>
      <c r="AK45" s="69">
        <f>AVERAGE(Aggregate!$AH45,Aggregate!$AI45,Aggregate!$AJ45,VLOOKUP(Aggregate!$AD45,ECR!L:N,3,FALSE))</f>
        <v>98.34211765</v>
      </c>
      <c r="AL45" s="69">
        <f>Aggregate!$AK45-$AE$1</f>
        <v>16.82119059</v>
      </c>
      <c r="AM45" s="72">
        <f>MAX(Aggregate!$AL45*Scoring!$B$48+1,1)</f>
        <v>5.407546048</v>
      </c>
      <c r="AN45" s="73">
        <f>VLOOKUP(Aggregate!$AL45,BR:BT,3,FALSE)</f>
        <v>5</v>
      </c>
      <c r="AO45" s="80">
        <f t="array" ref="AO45">VLOOKUP(INDEX(ECR!$E:$E,MATCH(AD45,ECR!$C:$C,0)),RISK!A:B,2,FALSE())</f>
        <v>3.7</v>
      </c>
      <c r="AP45" s="81"/>
      <c r="AQ45" s="85" t="s">
        <v>463</v>
      </c>
      <c r="AR45" s="85" t="str">
        <f>VLOOKUP(AQ45,ECR!E:L,8,FALSE())</f>
        <v>Erick All Jr.</v>
      </c>
      <c r="AS45" s="85" t="str">
        <f>IFERROR(VLOOKUP(Aggregate!$AR45,ECR!C:F,2,FALSE()),"-")</f>
        <v>CIN</v>
      </c>
      <c r="AT45" s="85">
        <f>IFERROR(VLOOKUP(Aggregate!$AR45,ECR!C:F,4,FALSE()),"-")</f>
        <v>6</v>
      </c>
      <c r="AU45" s="85" t="str">
        <f>Aggregate!$AS45 &amp; "/" &amp; Aggregate!$AT45</f>
        <v>CIN/6</v>
      </c>
      <c r="AV45" s="62">
        <f>IFERROR(VLOOKUP(Aggregate!$AR45,TE!A:K,9,FALSE())/17*(16-Aggregate!$BC45),0)</f>
        <v>38.55178318</v>
      </c>
      <c r="AW45" s="62">
        <f>IFERROR(VLOOKUP(Aggregate!$AR45,TE!A:K,10,FALSE())/17*(16-Aggregate!$BC45),0)</f>
        <v>43.25401247</v>
      </c>
      <c r="AX45" s="62">
        <f>IFERROR(VLOOKUP(Aggregate!$AR45,TE!A:K,11,FALSE())/17*(16-Aggregate!$BC45),0)</f>
        <v>48.40291294</v>
      </c>
      <c r="AY45" s="69">
        <f>AVERAGE(Aggregate!$AV45,Aggregate!$AW45,Aggregate!$AX45,VLOOKUP(Aggregate!$AR45,ECR!L:N,3,FALSE))</f>
        <v>42.05612159</v>
      </c>
      <c r="AZ45" s="69">
        <f>Aggregate!$AY45-$AS$1</f>
        <v>-39.48220981</v>
      </c>
      <c r="BA45" s="72">
        <f>MAX(Aggregate!$AZ45*Scoring!$B$48+1,1)</f>
        <v>1</v>
      </c>
      <c r="BB45" s="62">
        <f>VLOOKUP(Aggregate!$AZ45,BW:BY,3,FALSE)</f>
        <v>7</v>
      </c>
      <c r="BC45" s="80">
        <f t="array" ref="BC45">VLOOKUP(INDEX(ECR!$E:$E,MATCH(AR45,ECR!$C:$C,0)),RISK!A:B,2,FALSE())</f>
        <v>2.1938</v>
      </c>
      <c r="BD45" s="62"/>
      <c r="BE45" s="81"/>
      <c r="BF45" s="81">
        <v>43.0</v>
      </c>
      <c r="BG45" s="81">
        <f t="shared" si="1"/>
        <v>7.3216</v>
      </c>
      <c r="BH45" s="81">
        <f>IFERROR(LARGE($J$3:$J$52,43),"")</f>
        <v>-213.9818648</v>
      </c>
      <c r="BI45" s="81">
        <f t="shared" si="5"/>
        <v>-206.5141942</v>
      </c>
      <c r="BJ45" s="81">
        <f t="shared" si="6"/>
        <v>13</v>
      </c>
      <c r="BK45" s="90">
        <v>43.0</v>
      </c>
      <c r="BL45" s="81">
        <f t="shared" si="2"/>
        <v>94.58108944</v>
      </c>
      <c r="BM45" s="91">
        <f>IFERROR(LARGE($X$3:$X$102,43),"")</f>
        <v>7.892384433</v>
      </c>
      <c r="BN45" s="91">
        <f t="shared" si="7"/>
        <v>12.66826499</v>
      </c>
      <c r="BO45" s="93">
        <f t="shared" si="8"/>
        <v>7</v>
      </c>
      <c r="BP45" s="91">
        <v>43.0</v>
      </c>
      <c r="BQ45" s="81">
        <f t="shared" si="3"/>
        <v>104.6295882</v>
      </c>
      <c r="BR45" s="91">
        <f>IFERROR(LARGE($AL$3:$AL$102,43),"")</f>
        <v>23.44799647</v>
      </c>
      <c r="BS45" s="91">
        <f t="shared" si="9"/>
        <v>26.43530471</v>
      </c>
      <c r="BT45" s="91">
        <f t="shared" si="10"/>
        <v>5</v>
      </c>
      <c r="BU45" s="81">
        <v>43.0</v>
      </c>
      <c r="BV45" s="81">
        <f t="shared" si="4"/>
        <v>38.01577776</v>
      </c>
      <c r="BW45" s="91">
        <f>IFERROR(LARGE($AZ$3:$AZ$52,43),"")</f>
        <v>-42.34496599</v>
      </c>
      <c r="BX45" s="91">
        <f t="shared" si="11"/>
        <v>-32.6298679</v>
      </c>
      <c r="BY45" s="91">
        <f t="shared" si="12"/>
        <v>7</v>
      </c>
      <c r="BZ45" s="91"/>
      <c r="CA45" s="91"/>
      <c r="CB45" s="91"/>
      <c r="CC45" s="91"/>
      <c r="CD45" s="91"/>
      <c r="CE45" s="91"/>
      <c r="CF45" s="91"/>
      <c r="CG45" s="91"/>
    </row>
    <row r="46" ht="14.25" customHeight="1">
      <c r="A46" s="59" t="s">
        <v>466</v>
      </c>
      <c r="B46" s="59" t="str">
        <f>VLOOKUP(A46,ECR!E:L,8,FALSE())</f>
        <v>Marcus Mariota</v>
      </c>
      <c r="C46" s="60" t="str">
        <f>IFERROR(VLOOKUP(Aggregate!$B46,ECR!C:F,2,FALSE()),"-")</f>
        <v>WAS</v>
      </c>
      <c r="D46" s="60">
        <f>IFERROR(VLOOKUP(Aggregate!$B46,ECR!C:F,4,FALSE()),"-")</f>
        <v>7</v>
      </c>
      <c r="E46" s="60" t="str">
        <f>Aggregate!$C46 &amp; "/" &amp; Aggregate!$D46</f>
        <v>WAS/7</v>
      </c>
      <c r="F46" s="62">
        <f>IFERROR(VLOOKUP(Aggregate!$B46,QB!A:Q,15,FALSE())/17*(16-Aggregate!$M46),0)</f>
        <v>5.663623529</v>
      </c>
      <c r="G46" s="62">
        <f>IFERROR(VLOOKUP(Aggregate!$B46,QB!A:Q,16,FALSE())/17*(16-Aggregate!$M46),0)</f>
        <v>12.09976471</v>
      </c>
      <c r="H46" s="62">
        <f>IFERROR(VLOOKUP(Aggregate!$B46,QB!A:Q,17,FALSE())/17*(16-Aggregate!$M46),0)</f>
        <v>18.83858824</v>
      </c>
      <c r="I46" s="69">
        <f>AVERAGE(Aggregate!$F46,Aggregate!$G46,Aggregate!$H46,VLOOKUP(Aggregate!$B46,ECR!L:N,3,FALSE))</f>
        <v>10.8416</v>
      </c>
      <c r="J46" s="69">
        <f>Aggregate!$I46-$C$1</f>
        <v>-210.805206</v>
      </c>
      <c r="K46" s="72">
        <f>MAX(Aggregate!$J46*Scoring!$B$48+1,1)</f>
        <v>1</v>
      </c>
      <c r="L46" s="73">
        <f>VLOOKUP(Aggregate!$J46,BH:BJ,3,FALSE)</f>
        <v>13</v>
      </c>
      <c r="M46" s="80">
        <f t="array" ref="M46">VLOOKUP(INDEX(ECR!$E:$E,MATCH(B46,ECR!$C:$C,0)),RISK!A:B,2,FALSE())</f>
        <v>3.2</v>
      </c>
      <c r="N46" s="81"/>
      <c r="O46" s="73" t="s">
        <v>467</v>
      </c>
      <c r="P46" s="59" t="str">
        <f>VLOOKUP(O46,ECR!E:L,8,FALSE())</f>
        <v>Tyler Allgeier</v>
      </c>
      <c r="Q46" s="60" t="str">
        <f>IFERROR(VLOOKUP(Aggregate!$P46,ECR!C:F,2,FALSE()),"-")</f>
        <v>ARI</v>
      </c>
      <c r="R46" s="60">
        <f>IFERROR(VLOOKUP(Aggregate!$P46,ECR!C:F,4,FALSE()),"-")</f>
        <v>14</v>
      </c>
      <c r="S46" s="60" t="str">
        <f>Aggregate!$Q46 &amp; "/" &amp; Aggregate!$R46</f>
        <v>ARI/14</v>
      </c>
      <c r="T46" s="62">
        <f>IFERROR(VLOOKUP(Aggregate!$P46,RB!A:Q,13,FALSE())/17*(16-Aggregate!$AA46),0)</f>
        <v>54.88975529</v>
      </c>
      <c r="U46" s="62">
        <f>IFERROR(VLOOKUP(Aggregate!$P46,RB!A:Q,14,FALSE())/17*(16-Aggregate!$AA46),0)</f>
        <v>67.15022588</v>
      </c>
      <c r="V46" s="62">
        <f>IFERROR(VLOOKUP(Aggregate!$P46,RB!A:Q,15,FALSE())/17*(16-Aggregate!$AA46),0)</f>
        <v>78.93513882</v>
      </c>
      <c r="W46" s="69">
        <f>AVERAGE(Aggregate!$T46,Aggregate!$U46,Aggregate!$V46,VLOOKUP(Aggregate!$P46,ECR!L:N,3,FALSE))</f>
        <v>71.66616588</v>
      </c>
      <c r="X46" s="69">
        <f>Aggregate!$W46-$Q$1</f>
        <v>-6.724723221</v>
      </c>
      <c r="Y46" s="72">
        <f>MAX(Aggregate!$X46*Scoring!$B$48+1,1)</f>
        <v>1</v>
      </c>
      <c r="Z46" s="73">
        <f>VLOOKUP(Aggregate!$X46,BM:BO,3,FALSE)</f>
        <v>7</v>
      </c>
      <c r="AA46" s="80">
        <f t="array" ref="AA46">VLOOKUP(INDEX(ECR!$E:$E,MATCH(P46,ECR!$C:$C,0)),RISK!A:B,2,FALSE())</f>
        <v>3.368</v>
      </c>
      <c r="AB46" s="81"/>
      <c r="AC46" s="60" t="s">
        <v>469</v>
      </c>
      <c r="AD46" s="60" t="str">
        <f>VLOOKUP(AC46,ECR!E:L,8,FALSE())</f>
        <v>Jordan Addison</v>
      </c>
      <c r="AE46" s="60" t="str">
        <f>IFERROR(VLOOKUP(Aggregate!$AD46,ECR!C:F,2,FALSE()),"-")</f>
        <v>MIN</v>
      </c>
      <c r="AF46" s="60">
        <f>IFERROR(VLOOKUP(Aggregate!$AD46,ECR!C:F,4,FALSE()),"-")</f>
        <v>6</v>
      </c>
      <c r="AG46" s="60" t="str">
        <f>Aggregate!$AE46 &amp; "/" &amp; Aggregate!$AF46</f>
        <v>MIN/6</v>
      </c>
      <c r="AH46" s="62">
        <f>IFERROR(VLOOKUP(Aggregate!$AD46,WR!A:Q,13,FALSE())/17*(16-Aggregate!$AO46),0)</f>
        <v>93.50894118</v>
      </c>
      <c r="AI46" s="62">
        <f>IFERROR(VLOOKUP(Aggregate!$AD46,WR!A:Q,14,FALSE())/17*(16-Aggregate!$AO46),0)</f>
        <v>102.4155882</v>
      </c>
      <c r="AJ46" s="62">
        <f>IFERROR(VLOOKUP(Aggregate!$AD46,WR!A:Q,15,FALSE())/17*(16-Aggregate!$AO46),0)</f>
        <v>113.652</v>
      </c>
      <c r="AK46" s="69">
        <f>AVERAGE(Aggregate!$AH46,Aggregate!$AI46,Aggregate!$AJ46,VLOOKUP(Aggregate!$AD46,ECR!L:N,3,FALSE))</f>
        <v>103.5135441</v>
      </c>
      <c r="AL46" s="69">
        <f>Aggregate!$AK46-$AE$1</f>
        <v>21.99261706</v>
      </c>
      <c r="AM46" s="72">
        <f>MAX(Aggregate!$AL46*Scoring!$B$48+1,1)</f>
        <v>6.762580948</v>
      </c>
      <c r="AN46" s="73">
        <f>VLOOKUP(Aggregate!$AL46,BR:BT,3,FALSE)</f>
        <v>5</v>
      </c>
      <c r="AO46" s="80">
        <f t="array" ref="AO46">VLOOKUP(INDEX(ECR!$E:$E,MATCH(AD46,ECR!$C:$C,0)),RISK!A:B,2,FALSE())</f>
        <v>3.7</v>
      </c>
      <c r="AP46" s="81"/>
      <c r="AQ46" s="85" t="s">
        <v>471</v>
      </c>
      <c r="AR46" s="85" t="str">
        <f>VLOOKUP(AQ46,ECR!E:L,8,FALSE())</f>
        <v>Charlie Kolar</v>
      </c>
      <c r="AS46" s="85" t="str">
        <f>IFERROR(VLOOKUP(Aggregate!$AR46,ECR!C:F,2,FALSE()),"-")</f>
        <v>LAC</v>
      </c>
      <c r="AT46" s="85">
        <f>IFERROR(VLOOKUP(Aggregate!$AR46,ECR!C:F,4,FALSE()),"-")</f>
        <v>7</v>
      </c>
      <c r="AU46" s="85" t="str">
        <f>Aggregate!$AS46 &amp; "/" &amp; Aggregate!$AT46</f>
        <v>LAC/7</v>
      </c>
      <c r="AV46" s="62">
        <f>IFERROR(VLOOKUP(Aggregate!$AR46,TE!A:K,9,FALSE())/17*(16-Aggregate!$BC46),0)</f>
        <v>22.76398741</v>
      </c>
      <c r="AW46" s="62">
        <f>IFERROR(VLOOKUP(Aggregate!$AR46,TE!A:K,10,FALSE())/17*(16-Aggregate!$BC46),0)</f>
        <v>36.48897447</v>
      </c>
      <c r="AX46" s="62">
        <f>IFERROR(VLOOKUP(Aggregate!$AR46,TE!A:K,11,FALSE())/17*(16-Aggregate!$BC46),0)</f>
        <v>56.68663294</v>
      </c>
      <c r="AY46" s="69">
        <f>AVERAGE(Aggregate!$AV46,Aggregate!$AW46,Aggregate!$AX46,VLOOKUP(Aggregate!$AR46,ECR!L:N,3,FALSE))</f>
        <v>38.10714232</v>
      </c>
      <c r="AZ46" s="69">
        <f>Aggregate!$AY46-$AS$1</f>
        <v>-43.43118907</v>
      </c>
      <c r="BA46" s="72">
        <f>MAX(Aggregate!$AZ46*Scoring!$B$48+1,1)</f>
        <v>1</v>
      </c>
      <c r="BB46" s="62">
        <f>VLOOKUP(Aggregate!$AZ46,BW:BY,3,FALSE)</f>
        <v>7</v>
      </c>
      <c r="BC46" s="80">
        <f t="array" ref="BC46">VLOOKUP(INDEX(ECR!$E:$E,MATCH(AR46,ECR!$C:$C,0)),RISK!A:B,2,FALSE())</f>
        <v>2.1938</v>
      </c>
      <c r="BD46" s="62"/>
      <c r="BE46" s="81"/>
      <c r="BF46" s="81">
        <v>44.0</v>
      </c>
      <c r="BG46" s="81">
        <f t="shared" si="1"/>
        <v>6.764423529</v>
      </c>
      <c r="BH46" s="81">
        <f>IFERROR(LARGE($J$3:$J$52,44),"")</f>
        <v>-214.4110413</v>
      </c>
      <c r="BI46" s="81">
        <f t="shared" si="5"/>
        <v>-206.5141942</v>
      </c>
      <c r="BJ46" s="81">
        <f t="shared" si="6"/>
        <v>13</v>
      </c>
      <c r="BK46" s="90">
        <v>44.0</v>
      </c>
      <c r="BL46" s="81">
        <f t="shared" si="2"/>
        <v>85.68954353</v>
      </c>
      <c r="BM46" s="91">
        <f>IFERROR(LARGE($X$3:$X$102,44),"")</f>
        <v>7.062398873</v>
      </c>
      <c r="BN46" s="91">
        <f t="shared" si="7"/>
        <v>12.66826499</v>
      </c>
      <c r="BO46" s="93">
        <f t="shared" si="8"/>
        <v>7</v>
      </c>
      <c r="BP46" s="91">
        <v>44.0</v>
      </c>
      <c r="BQ46" s="81">
        <f t="shared" si="3"/>
        <v>104.4776471</v>
      </c>
      <c r="BR46" s="91">
        <f>IFERROR(LARGE($AL$3:$AL$102,44),"")</f>
        <v>23.01460235</v>
      </c>
      <c r="BS46" s="91">
        <f t="shared" si="9"/>
        <v>26.43530471</v>
      </c>
      <c r="BT46" s="91">
        <f t="shared" si="10"/>
        <v>5</v>
      </c>
      <c r="BU46" s="81">
        <v>44.0</v>
      </c>
      <c r="BV46" s="81">
        <f t="shared" si="4"/>
        <v>36.48897447</v>
      </c>
      <c r="BW46" s="91">
        <f>IFERROR(LARGE($AZ$3:$AZ$52,44),"")</f>
        <v>-42.51348284</v>
      </c>
      <c r="BX46" s="91">
        <f t="shared" si="11"/>
        <v>-32.6298679</v>
      </c>
      <c r="BY46" s="91">
        <f t="shared" si="12"/>
        <v>7</v>
      </c>
      <c r="BZ46" s="91"/>
      <c r="CA46" s="91"/>
      <c r="CB46" s="91"/>
      <c r="CC46" s="91"/>
      <c r="CD46" s="91"/>
      <c r="CE46" s="91"/>
      <c r="CF46" s="91"/>
      <c r="CG46" s="91"/>
    </row>
    <row r="47" ht="14.25" customHeight="1">
      <c r="A47" s="59" t="s">
        <v>473</v>
      </c>
      <c r="B47" s="59" t="str">
        <f>VLOOKUP(A47,ECR!E:L,8,FALSE())</f>
        <v>Cade Klubnik</v>
      </c>
      <c r="C47" s="60" t="str">
        <f>IFERROR(VLOOKUP(Aggregate!$B47,ECR!C:F,2,FALSE()),"-")</f>
        <v>NYJ</v>
      </c>
      <c r="D47" s="60">
        <f>IFERROR(VLOOKUP(Aggregate!$B47,ECR!C:F,4,FALSE()),"-")</f>
        <v>13</v>
      </c>
      <c r="E47" s="60" t="str">
        <f>Aggregate!$C47 &amp; "/" &amp; Aggregate!$D47</f>
        <v>NYJ/13</v>
      </c>
      <c r="F47" s="62">
        <f>IFERROR(VLOOKUP(Aggregate!$B47,QB!A:Q,15,FALSE())/17*(16-Aggregate!$M47),0)</f>
        <v>3.666823529</v>
      </c>
      <c r="G47" s="62">
        <f>IFERROR(VLOOKUP(Aggregate!$B47,QB!A:Q,16,FALSE())/17*(16-Aggregate!$M47),0)</f>
        <v>5.689223529</v>
      </c>
      <c r="H47" s="62">
        <f>IFERROR(VLOOKUP(Aggregate!$B47,QB!A:Q,17,FALSE())/17*(16-Aggregate!$M47),0)</f>
        <v>8.312470588</v>
      </c>
      <c r="I47" s="69">
        <f>AVERAGE(Aggregate!$F47,Aggregate!$G47,Aggregate!$H47,VLOOKUP(Aggregate!$B47,ECR!L:N,3,FALSE))</f>
        <v>6.081882353</v>
      </c>
      <c r="J47" s="69">
        <f>Aggregate!$I47-$C$1</f>
        <v>-215.5649236</v>
      </c>
      <c r="K47" s="72">
        <f>MAX(Aggregate!$J47*Scoring!$B$48+1,1)</f>
        <v>1</v>
      </c>
      <c r="L47" s="73">
        <f>VLOOKUP(Aggregate!$J47,BH:BJ,3,FALSE)</f>
        <v>13</v>
      </c>
      <c r="M47" s="80">
        <f t="array" ref="M47">VLOOKUP(INDEX(ECR!$E:$E,MATCH(B47,ECR!$C:$C,0)),RISK!A:B,2,FALSE())</f>
        <v>3.2</v>
      </c>
      <c r="N47" s="81"/>
      <c r="O47" s="73" t="s">
        <v>475</v>
      </c>
      <c r="P47" s="59" t="str">
        <f>VLOOKUP(O47,ECR!E:L,8,FALSE())</f>
        <v>Tyjae Spears</v>
      </c>
      <c r="Q47" s="60" t="str">
        <f>IFERROR(VLOOKUP(Aggregate!$P47,ECR!C:F,2,FALSE()),"-")</f>
        <v>TEN</v>
      </c>
      <c r="R47" s="60">
        <f>IFERROR(VLOOKUP(Aggregate!$P47,ECR!C:F,4,FALSE()),"-")</f>
        <v>9</v>
      </c>
      <c r="S47" s="60" t="str">
        <f>Aggregate!$Q47 &amp; "/" &amp; Aggregate!$R47</f>
        <v>TEN/9</v>
      </c>
      <c r="T47" s="62">
        <f>IFERROR(VLOOKUP(Aggregate!$P47,RB!A:Q,13,FALSE())/17*(16-Aggregate!$AA47),0)</f>
        <v>70.51628235</v>
      </c>
      <c r="U47" s="62">
        <f>IFERROR(VLOOKUP(Aggregate!$P47,RB!A:Q,14,FALSE())/17*(16-Aggregate!$AA47),0)</f>
        <v>85.68954353</v>
      </c>
      <c r="V47" s="62">
        <f>IFERROR(VLOOKUP(Aggregate!$P47,RB!A:Q,15,FALSE())/17*(16-Aggregate!$AA47),0)</f>
        <v>100.9891247</v>
      </c>
      <c r="W47" s="69">
        <f>AVERAGE(Aggregate!$T47,Aggregate!$U47,Aggregate!$V47,VLOOKUP(Aggregate!$P47,ECR!L:N,3,FALSE))</f>
        <v>85.45328798</v>
      </c>
      <c r="X47" s="69">
        <f>Aggregate!$W47-$Q$1</f>
        <v>7.062398873</v>
      </c>
      <c r="Y47" s="72">
        <f>MAX(Aggregate!$X47*Scoring!$B$48+1,1)</f>
        <v>2.850513974</v>
      </c>
      <c r="Z47" s="73">
        <f>VLOOKUP(Aggregate!$X47,BM:BO,3,FALSE)</f>
        <v>7</v>
      </c>
      <c r="AA47" s="80">
        <f t="array" ref="AA47">VLOOKUP(INDEX(ECR!$E:$E,MATCH(P47,ECR!$C:$C,0)),RISK!A:B,2,FALSE())</f>
        <v>3.368</v>
      </c>
      <c r="AB47" s="81"/>
      <c r="AC47" s="60" t="s">
        <v>477</v>
      </c>
      <c r="AD47" s="60" t="str">
        <f>VLOOKUP(AC47,ECR!E:L,8,FALSE())</f>
        <v>Jayden Reed</v>
      </c>
      <c r="AE47" s="60" t="str">
        <f>IFERROR(VLOOKUP(Aggregate!$AD47,ECR!C:F,2,FALSE()),"-")</f>
        <v>GB</v>
      </c>
      <c r="AF47" s="60">
        <f>IFERROR(VLOOKUP(Aggregate!$AD47,ECR!C:F,4,FALSE()),"-")</f>
        <v>11</v>
      </c>
      <c r="AG47" s="60" t="str">
        <f>Aggregate!$AE47 &amp; "/" &amp; Aggregate!$AF47</f>
        <v>GB/11</v>
      </c>
      <c r="AH47" s="62">
        <f>IFERROR(VLOOKUP(Aggregate!$AD47,WR!A:Q,13,FALSE())/17*(16-Aggregate!$AO47),0)</f>
        <v>96.95294118</v>
      </c>
      <c r="AI47" s="62">
        <f>IFERROR(VLOOKUP(Aggregate!$AD47,WR!A:Q,14,FALSE())/17*(16-Aggregate!$AO47),0)</f>
        <v>104.6295882</v>
      </c>
      <c r="AJ47" s="62">
        <f>IFERROR(VLOOKUP(Aggregate!$AD47,WR!A:Q,15,FALSE())/17*(16-Aggregate!$AO47),0)</f>
        <v>115.5476471</v>
      </c>
      <c r="AK47" s="69">
        <f>AVERAGE(Aggregate!$AH47,Aggregate!$AI47,Aggregate!$AJ47,VLOOKUP(Aggregate!$AD47,ECR!L:N,3,FALSE))</f>
        <v>105.1704265</v>
      </c>
      <c r="AL47" s="69">
        <f>Aggregate!$AK47-$AE$1</f>
        <v>23.64949941</v>
      </c>
      <c r="AM47" s="72">
        <f>MAX(Aggregate!$AL47*Scoring!$B$48+1,1)</f>
        <v>7.196722945</v>
      </c>
      <c r="AN47" s="73">
        <f>VLOOKUP(Aggregate!$AL47,BR:BT,3,FALSE)</f>
        <v>5</v>
      </c>
      <c r="AO47" s="80">
        <f t="array" ref="AO47">VLOOKUP(INDEX(ECR!$E:$E,MATCH(AD47,ECR!$C:$C,0)),RISK!A:B,2,FALSE())</f>
        <v>3.7</v>
      </c>
      <c r="AP47" s="81"/>
      <c r="AQ47" s="85" t="s">
        <v>479</v>
      </c>
      <c r="AR47" s="85" t="str">
        <f>VLOOKUP(AQ47,ECR!E:L,8,FALSE())</f>
        <v>Eli Raridon</v>
      </c>
      <c r="AS47" s="85" t="str">
        <f>IFERROR(VLOOKUP(Aggregate!$AR47,ECR!C:F,2,FALSE()),"-")</f>
        <v>NE</v>
      </c>
      <c r="AT47" s="85">
        <f>IFERROR(VLOOKUP(Aggregate!$AR47,ECR!C:F,4,FALSE()),"-")</f>
        <v>11</v>
      </c>
      <c r="AU47" s="85" t="str">
        <f>Aggregate!$AS47 &amp; "/" &amp; Aggregate!$AT47</f>
        <v>NE/11</v>
      </c>
      <c r="AV47" s="62">
        <f>IFERROR(VLOOKUP(Aggregate!$AR47,TE!A:K,9,FALSE())/17*(16-Aggregate!$BC47),0)</f>
        <v>22.29295235</v>
      </c>
      <c r="AW47" s="62">
        <f>IFERROR(VLOOKUP(Aggregate!$AR47,TE!A:K,10,FALSE())/17*(16-Aggregate!$BC47),0)</f>
        <v>29.82951329</v>
      </c>
      <c r="AX47" s="62">
        <f>IFERROR(VLOOKUP(Aggregate!$AR47,TE!A:K,11,FALSE())/17*(16-Aggregate!$BC47),0)</f>
        <v>38.00765647</v>
      </c>
      <c r="AY47" s="69">
        <f>AVERAGE(Aggregate!$AV47,Aggregate!$AW47,Aggregate!$AX47,VLOOKUP(Aggregate!$AR47,ECR!L:N,3,FALSE))</f>
        <v>30.75128018</v>
      </c>
      <c r="AZ47" s="69">
        <f>Aggregate!$AY47-$AS$1</f>
        <v>-50.78705122</v>
      </c>
      <c r="BA47" s="72">
        <f>MAX(Aggregate!$AZ47*Scoring!$B$48+1,1)</f>
        <v>1</v>
      </c>
      <c r="BB47" s="62">
        <f>VLOOKUP(Aggregate!$AZ47,BW:BY,3,FALSE)</f>
        <v>8</v>
      </c>
      <c r="BC47" s="80">
        <f t="array" ref="BC47">VLOOKUP(INDEX(ECR!$E:$E,MATCH(AR47,ECR!$C:$C,0)),RISK!A:B,2,FALSE())</f>
        <v>2.1938</v>
      </c>
      <c r="BD47" s="62"/>
      <c r="BE47" s="81"/>
      <c r="BF47" s="81">
        <v>45.0</v>
      </c>
      <c r="BG47" s="81">
        <f t="shared" si="1"/>
        <v>6.659011765</v>
      </c>
      <c r="BH47" s="81">
        <f>IFERROR(LARGE($J$3:$J$52,45),"")</f>
        <v>-214.5461942</v>
      </c>
      <c r="BI47" s="81">
        <f t="shared" si="5"/>
        <v>-206.5141942</v>
      </c>
      <c r="BJ47" s="81">
        <f t="shared" si="6"/>
        <v>13</v>
      </c>
      <c r="BK47" s="90">
        <v>45.0</v>
      </c>
      <c r="BL47" s="81">
        <f t="shared" si="2"/>
        <v>84.61820132</v>
      </c>
      <c r="BM47" s="91">
        <f>IFERROR(LARGE($X$3:$X$102,45),"")</f>
        <v>5.739367776</v>
      </c>
      <c r="BN47" s="91">
        <f t="shared" si="7"/>
        <v>12.66826499</v>
      </c>
      <c r="BO47" s="93">
        <f t="shared" si="8"/>
        <v>7</v>
      </c>
      <c r="BP47" s="91">
        <v>45.0</v>
      </c>
      <c r="BQ47" s="81">
        <f t="shared" si="3"/>
        <v>103.5515294</v>
      </c>
      <c r="BR47" s="91">
        <f>IFERROR(LARGE($AL$3:$AL$102,45),"")</f>
        <v>21.99261706</v>
      </c>
      <c r="BS47" s="91">
        <f t="shared" si="9"/>
        <v>26.43530471</v>
      </c>
      <c r="BT47" s="91">
        <f t="shared" si="10"/>
        <v>5</v>
      </c>
      <c r="BU47" s="81">
        <v>45.0</v>
      </c>
      <c r="BV47" s="81">
        <f t="shared" si="4"/>
        <v>32.87499859</v>
      </c>
      <c r="BW47" s="91">
        <f>IFERROR(LARGE($AZ$3:$AZ$52,45),"")</f>
        <v>-43.43118907</v>
      </c>
      <c r="BX47" s="91">
        <f t="shared" si="11"/>
        <v>-32.6298679</v>
      </c>
      <c r="BY47" s="91">
        <f t="shared" si="12"/>
        <v>7</v>
      </c>
      <c r="BZ47" s="91"/>
      <c r="CA47" s="91"/>
      <c r="CB47" s="91"/>
      <c r="CC47" s="91"/>
      <c r="CD47" s="91"/>
      <c r="CE47" s="91"/>
      <c r="CF47" s="91"/>
      <c r="CG47" s="91"/>
    </row>
    <row r="48" ht="14.25" customHeight="1">
      <c r="A48" s="59" t="s">
        <v>481</v>
      </c>
      <c r="B48" s="59" t="str">
        <f>VLOOKUP(A48,ECR!E:L,8,FALSE())</f>
        <v>Jameis Winston</v>
      </c>
      <c r="C48" s="60" t="str">
        <f>IFERROR(VLOOKUP(Aggregate!$B48,ECR!C:F,2,FALSE()),"-")</f>
        <v>NYG</v>
      </c>
      <c r="D48" s="60">
        <f>IFERROR(VLOOKUP(Aggregate!$B48,ECR!C:F,4,FALSE()),"-")</f>
        <v>8</v>
      </c>
      <c r="E48" s="60" t="str">
        <f>Aggregate!$C48 &amp; "/" &amp; Aggregate!$D48</f>
        <v>NYG/8</v>
      </c>
      <c r="F48" s="62">
        <f>IFERROR(VLOOKUP(Aggregate!$B48,QB!A:Q,15,FALSE())/17*(16-Aggregate!$M48),0)</f>
        <v>1.92</v>
      </c>
      <c r="G48" s="62">
        <f>IFERROR(VLOOKUP(Aggregate!$B48,QB!A:Q,16,FALSE())/17*(16-Aggregate!$M48),0)</f>
        <v>6.764423529</v>
      </c>
      <c r="H48" s="62">
        <f>IFERROR(VLOOKUP(Aggregate!$B48,QB!A:Q,17,FALSE())/17*(16-Aggregate!$M48),0)</f>
        <v>13.20658824</v>
      </c>
      <c r="I48" s="69">
        <f>AVERAGE(Aggregate!$F48,Aggregate!$G48,Aggregate!$H48,VLOOKUP(Aggregate!$B48,ECR!L:N,3,FALSE))</f>
        <v>7.100611765</v>
      </c>
      <c r="J48" s="69">
        <f>Aggregate!$I48-$C$1</f>
        <v>-214.5461942</v>
      </c>
      <c r="K48" s="72">
        <f>MAX(Aggregate!$J48*Scoring!$B$48+1,1)</f>
        <v>1</v>
      </c>
      <c r="L48" s="73">
        <f>VLOOKUP(Aggregate!$J48,BH:BJ,3,FALSE)</f>
        <v>13</v>
      </c>
      <c r="M48" s="80">
        <f t="array" ref="M48">VLOOKUP(INDEX(ECR!$E:$E,MATCH(B48,ECR!$C:$C,0)),RISK!A:B,2,FALSE())</f>
        <v>3.2</v>
      </c>
      <c r="N48" s="81"/>
      <c r="O48" s="73" t="s">
        <v>483</v>
      </c>
      <c r="P48" s="59" t="str">
        <f>VLOOKUP(O48,ECR!E:L,8,FALSE())</f>
        <v>Keaton Mitchell</v>
      </c>
      <c r="Q48" s="60" t="str">
        <f>IFERROR(VLOOKUP(Aggregate!$P48,ECR!C:F,2,FALSE()),"-")</f>
        <v>LAC</v>
      </c>
      <c r="R48" s="60">
        <f>IFERROR(VLOOKUP(Aggregate!$P48,ECR!C:F,4,FALSE()),"-")</f>
        <v>7</v>
      </c>
      <c r="S48" s="60" t="str">
        <f>Aggregate!$Q48 &amp; "/" &amp; Aggregate!$R48</f>
        <v>LAC/7</v>
      </c>
      <c r="T48" s="62">
        <f>IFERROR(VLOOKUP(Aggregate!$P48,RB!A:Q,13,FALSE())/17*(16-Aggregate!$AA48),0)</f>
        <v>46.03992471</v>
      </c>
      <c r="U48" s="62">
        <f>IFERROR(VLOOKUP(Aggregate!$P48,RB!A:Q,14,FALSE())/17*(16-Aggregate!$AA48),0)</f>
        <v>56.97775059</v>
      </c>
      <c r="V48" s="62">
        <f>IFERROR(VLOOKUP(Aggregate!$P48,RB!A:Q,15,FALSE())/17*(16-Aggregate!$AA48),0)</f>
        <v>67.80411765</v>
      </c>
      <c r="W48" s="69">
        <f>AVERAGE(Aggregate!$T48,Aggregate!$U48,Aggregate!$V48,VLOOKUP(Aggregate!$P48,ECR!L:N,3,FALSE))</f>
        <v>63.71543647</v>
      </c>
      <c r="X48" s="69">
        <f>Aggregate!$W48-$Q$1</f>
        <v>-14.67545263</v>
      </c>
      <c r="Y48" s="72">
        <f>MAX(Aggregate!$X48*Scoring!$B$48+1,1)</f>
        <v>1</v>
      </c>
      <c r="Z48" s="73">
        <f>VLOOKUP(Aggregate!$X48,BM:BO,3,FALSE)</f>
        <v>8</v>
      </c>
      <c r="AA48" s="80">
        <f t="array" ref="AA48">VLOOKUP(INDEX(ECR!$E:$E,MATCH(P48,ECR!$C:$C,0)),RISK!A:B,2,FALSE())</f>
        <v>3.368</v>
      </c>
      <c r="AB48" s="81"/>
      <c r="AC48" s="60" t="s">
        <v>485</v>
      </c>
      <c r="AD48" s="60" t="str">
        <f>VLOOKUP(AC48,ECR!E:L,8,FALSE())</f>
        <v>Jakobi Meyers</v>
      </c>
      <c r="AE48" s="60" t="str">
        <f>IFERROR(VLOOKUP(Aggregate!$AD48,ECR!C:F,2,FALSE()),"-")</f>
        <v>JAC</v>
      </c>
      <c r="AF48" s="60">
        <f>IFERROR(VLOOKUP(Aggregate!$AD48,ECR!C:F,4,FALSE()),"-")</f>
        <v>7</v>
      </c>
      <c r="AG48" s="60" t="str">
        <f>Aggregate!$AE48 &amp; "/" &amp; Aggregate!$AF48</f>
        <v>JAC/7</v>
      </c>
      <c r="AH48" s="62">
        <f>IFERROR(VLOOKUP(Aggregate!$AD48,WR!A:Q,13,FALSE())/17*(16-Aggregate!$AO48),0)</f>
        <v>101.229</v>
      </c>
      <c r="AI48" s="62">
        <f>IFERROR(VLOOKUP(Aggregate!$AD48,WR!A:Q,14,FALSE())/17*(16-Aggregate!$AO48),0)</f>
        <v>104.7598235</v>
      </c>
      <c r="AJ48" s="62">
        <f>IFERROR(VLOOKUP(Aggregate!$AD48,WR!A:Q,15,FALSE())/17*(16-Aggregate!$AO48),0)</f>
        <v>109.47</v>
      </c>
      <c r="AK48" s="69">
        <f>AVERAGE(Aggregate!$AH48,Aggregate!$AI48,Aggregate!$AJ48,VLOOKUP(Aggregate!$AD48,ECR!L:N,3,FALSE))</f>
        <v>104.5355294</v>
      </c>
      <c r="AL48" s="69">
        <f>Aggregate!$AK48-$AE$1</f>
        <v>23.01460235</v>
      </c>
      <c r="AM48" s="72">
        <f>MAX(Aggregate!$AL48*Scoring!$B$48+1,1)</f>
        <v>7.03036504</v>
      </c>
      <c r="AN48" s="73">
        <f>VLOOKUP(Aggregate!$AL48,BR:BT,3,FALSE)</f>
        <v>5</v>
      </c>
      <c r="AO48" s="80">
        <f t="array" ref="AO48">VLOOKUP(INDEX(ECR!$E:$E,MATCH(AD48,ECR!$C:$C,0)),RISK!A:B,2,FALSE())</f>
        <v>3.7</v>
      </c>
      <c r="AP48" s="81"/>
      <c r="AQ48" s="85" t="s">
        <v>487</v>
      </c>
      <c r="AR48" s="85" t="str">
        <f>VLOOKUP(AQ48,ECR!E:L,8,FALSE())</f>
        <v>Cole Kmet</v>
      </c>
      <c r="AS48" s="85" t="str">
        <f>IFERROR(VLOOKUP(Aggregate!$AR48,ECR!C:F,2,FALSE()),"-")</f>
        <v>CHI</v>
      </c>
      <c r="AT48" s="85">
        <f>IFERROR(VLOOKUP(Aggregate!$AR48,ECR!C:F,4,FALSE()),"-")</f>
        <v>10</v>
      </c>
      <c r="AU48" s="85" t="str">
        <f>Aggregate!$AS48 &amp; "/" &amp; Aggregate!$AT48</f>
        <v>CHI/10</v>
      </c>
      <c r="AV48" s="62">
        <f>IFERROR(VLOOKUP(Aggregate!$AR48,TE!A:K,9,FALSE())/17*(16-Aggregate!$BC48),0)</f>
        <v>34.73477494</v>
      </c>
      <c r="AW48" s="62">
        <f>IFERROR(VLOOKUP(Aggregate!$AR48,TE!A:K,10,FALSE())/17*(16-Aggregate!$BC48),0)</f>
        <v>43.45704482</v>
      </c>
      <c r="AX48" s="62">
        <f>IFERROR(VLOOKUP(Aggregate!$AR48,TE!A:K,11,FALSE())/17*(16-Aggregate!$BC48),0)</f>
        <v>59.20423412</v>
      </c>
      <c r="AY48" s="69">
        <f>AVERAGE(Aggregate!$AV48,Aggregate!$AW48,Aggregate!$AX48,VLOOKUP(Aggregate!$AR48,ECR!L:N,3,FALSE))</f>
        <v>42.28757847</v>
      </c>
      <c r="AZ48" s="69">
        <f>Aggregate!$AY48-$AS$1</f>
        <v>-39.25075293</v>
      </c>
      <c r="BA48" s="72">
        <f>MAX(Aggregate!$AZ48*Scoring!$B$48+1,1)</f>
        <v>1</v>
      </c>
      <c r="BB48" s="62">
        <f>VLOOKUP(Aggregate!$AZ48,BW:BY,3,FALSE)</f>
        <v>7</v>
      </c>
      <c r="BC48" s="80">
        <f t="array" ref="BC48">VLOOKUP(INDEX(ECR!$E:$E,MATCH(AR48,ECR!$C:$C,0)),RISK!A:B,2,FALSE())</f>
        <v>2.1938</v>
      </c>
      <c r="BD48" s="62"/>
      <c r="BE48" s="81"/>
      <c r="BF48" s="81">
        <v>46.0</v>
      </c>
      <c r="BG48" s="81">
        <f t="shared" si="1"/>
        <v>6.511435294</v>
      </c>
      <c r="BH48" s="81">
        <f>IFERROR(LARGE($J$3:$J$52,46),"")</f>
        <v>-215.0043589</v>
      </c>
      <c r="BI48" s="81">
        <f t="shared" si="5"/>
        <v>-206.5141942</v>
      </c>
      <c r="BJ48" s="81">
        <f t="shared" si="6"/>
        <v>13</v>
      </c>
      <c r="BK48" s="90">
        <v>46.0</v>
      </c>
      <c r="BL48" s="81">
        <f t="shared" si="2"/>
        <v>84.03995294</v>
      </c>
      <c r="BM48" s="91">
        <f>IFERROR(LARGE($X$3:$X$102,46),"")</f>
        <v>2.855162661</v>
      </c>
      <c r="BN48" s="91">
        <f t="shared" si="7"/>
        <v>12.66826499</v>
      </c>
      <c r="BO48" s="93">
        <f t="shared" si="8"/>
        <v>7</v>
      </c>
      <c r="BP48" s="91">
        <v>46.0</v>
      </c>
      <c r="BQ48" s="81">
        <f t="shared" si="3"/>
        <v>102.6832941</v>
      </c>
      <c r="BR48" s="91">
        <f>IFERROR(LARGE($AL$3:$AL$102,46),"")</f>
        <v>21.91447588</v>
      </c>
      <c r="BS48" s="91">
        <f t="shared" si="9"/>
        <v>26.43530471</v>
      </c>
      <c r="BT48" s="91">
        <f t="shared" si="10"/>
        <v>5</v>
      </c>
      <c r="BU48" s="81">
        <v>46.0</v>
      </c>
      <c r="BV48" s="81">
        <f t="shared" si="4"/>
        <v>31.75426</v>
      </c>
      <c r="BW48" s="91">
        <f>IFERROR(LARGE($AZ$3:$AZ$52,46),"")</f>
        <v>-45.05747822</v>
      </c>
      <c r="BX48" s="91">
        <f t="shared" si="11"/>
        <v>-32.6298679</v>
      </c>
      <c r="BY48" s="91">
        <f t="shared" si="12"/>
        <v>7</v>
      </c>
      <c r="BZ48" s="91"/>
      <c r="CA48" s="91"/>
      <c r="CB48" s="91"/>
      <c r="CC48" s="91"/>
      <c r="CD48" s="91"/>
      <c r="CE48" s="91"/>
      <c r="CF48" s="91"/>
      <c r="CG48" s="91"/>
    </row>
    <row r="49" ht="14.25" customHeight="1">
      <c r="A49" s="59" t="s">
        <v>489</v>
      </c>
      <c r="B49" s="59" t="str">
        <f>VLOOKUP(A49,ECR!E:L,8,FALSE())</f>
        <v>Riley Leonard</v>
      </c>
      <c r="C49" s="60" t="str">
        <f>IFERROR(VLOOKUP(Aggregate!$B49,ECR!C:F,2,FALSE()),"-")</f>
        <v>IND</v>
      </c>
      <c r="D49" s="60">
        <f>IFERROR(VLOOKUP(Aggregate!$B49,ECR!C:F,4,FALSE()),"-")</f>
        <v>13</v>
      </c>
      <c r="E49" s="60" t="str">
        <f>Aggregate!$C49 &amp; "/" &amp; Aggregate!$D49</f>
        <v>IND/13</v>
      </c>
      <c r="F49" s="62">
        <f>IFERROR(VLOOKUP(Aggregate!$B49,QB!A:Q,15,FALSE())/17*(16-Aggregate!$M49),0)</f>
        <v>3.403294118</v>
      </c>
      <c r="G49" s="62">
        <f>IFERROR(VLOOKUP(Aggregate!$B49,QB!A:Q,16,FALSE())/17*(16-Aggregate!$M49),0)</f>
        <v>7.985694118</v>
      </c>
      <c r="H49" s="62">
        <f>IFERROR(VLOOKUP(Aggregate!$B49,QB!A:Q,17,FALSE())/17*(16-Aggregate!$M49),0)</f>
        <v>14.592</v>
      </c>
      <c r="I49" s="69">
        <f>AVERAGE(Aggregate!$F49,Aggregate!$G49,Aggregate!$H49,VLOOKUP(Aggregate!$B49,ECR!L:N,3,FALSE))</f>
        <v>7.917552941</v>
      </c>
      <c r="J49" s="69">
        <f>Aggregate!$I49-$C$1</f>
        <v>-213.7292531</v>
      </c>
      <c r="K49" s="72">
        <f>MAX(Aggregate!$J49*Scoring!$B$48+1,1)</f>
        <v>1</v>
      </c>
      <c r="L49" s="73">
        <f>VLOOKUP(Aggregate!$J49,BH:BJ,3,FALSE)</f>
        <v>13</v>
      </c>
      <c r="M49" s="80">
        <f t="array" ref="M49">VLOOKUP(INDEX(ECR!$E:$E,MATCH(B49,ECR!$C:$C,0)),RISK!A:B,2,FALSE())</f>
        <v>3.2</v>
      </c>
      <c r="N49" s="81"/>
      <c r="O49" s="73" t="s">
        <v>491</v>
      </c>
      <c r="P49" s="59" t="str">
        <f>VLOOKUP(O49,ECR!E:L,8,FALSE())</f>
        <v>Tank Bigsby</v>
      </c>
      <c r="Q49" s="60" t="str">
        <f>IFERROR(VLOOKUP(Aggregate!$P49,ECR!C:F,2,FALSE()),"-")</f>
        <v>PHI</v>
      </c>
      <c r="R49" s="60">
        <f>IFERROR(VLOOKUP(Aggregate!$P49,ECR!C:F,4,FALSE()),"-")</f>
        <v>10</v>
      </c>
      <c r="S49" s="60" t="str">
        <f>Aggregate!$Q49 &amp; "/" &amp; Aggregate!$R49</f>
        <v>PHI/10</v>
      </c>
      <c r="T49" s="62">
        <f>IFERROR(VLOOKUP(Aggregate!$P49,RB!A:Q,13,FALSE())/17*(16-Aggregate!$AA49),0)</f>
        <v>44.8436</v>
      </c>
      <c r="U49" s="62">
        <f>IFERROR(VLOOKUP(Aggregate!$P49,RB!A:Q,14,FALSE())/17*(16-Aggregate!$AA49),0)</f>
        <v>59.86824941</v>
      </c>
      <c r="V49" s="62">
        <f>IFERROR(VLOOKUP(Aggregate!$P49,RB!A:Q,15,FALSE())/17*(16-Aggregate!$AA49),0)</f>
        <v>74.45449412</v>
      </c>
      <c r="W49" s="69">
        <f>AVERAGE(Aggregate!$T49,Aggregate!$U49,Aggregate!$V49,VLOOKUP(Aggregate!$P49,ECR!L:N,3,FALSE))</f>
        <v>65.73469882</v>
      </c>
      <c r="X49" s="69">
        <f>Aggregate!$W49-$Q$1</f>
        <v>-12.65619028</v>
      </c>
      <c r="Y49" s="72">
        <f>MAX(Aggregate!$X49*Scoring!$B$48+1,1)</f>
        <v>1</v>
      </c>
      <c r="Z49" s="73">
        <f>VLOOKUP(Aggregate!$X49,BM:BO,3,FALSE)</f>
        <v>8</v>
      </c>
      <c r="AA49" s="80">
        <f t="array" ref="AA49">VLOOKUP(INDEX(ECR!$E:$E,MATCH(P49,ECR!$C:$C,0)),RISK!A:B,2,FALSE())</f>
        <v>3.368</v>
      </c>
      <c r="AB49" s="81"/>
      <c r="AC49" s="60" t="s">
        <v>492</v>
      </c>
      <c r="AD49" s="60" t="str">
        <f>VLOOKUP(AC49,ECR!E:L,8,FALSE())</f>
        <v>Makai Lemon</v>
      </c>
      <c r="AE49" s="60" t="str">
        <f>IFERROR(VLOOKUP(Aggregate!$AD49,ECR!C:F,2,FALSE()),"-")</f>
        <v>PHI</v>
      </c>
      <c r="AF49" s="60">
        <f>IFERROR(VLOOKUP(Aggregate!$AD49,ECR!C:F,4,FALSE()),"-")</f>
        <v>10</v>
      </c>
      <c r="AG49" s="60" t="str">
        <f>Aggregate!$AE49 &amp; "/" &amp; Aggregate!$AF49</f>
        <v>PHI/10</v>
      </c>
      <c r="AH49" s="62">
        <f>IFERROR(VLOOKUP(Aggregate!$AD49,WR!A:Q,13,FALSE())/17*(16-Aggregate!$AO49),0)</f>
        <v>102.7139718</v>
      </c>
      <c r="AI49" s="62">
        <f>IFERROR(VLOOKUP(Aggregate!$AD49,WR!A:Q,14,FALSE())/17*(16-Aggregate!$AO49),0)</f>
        <v>106.2737365</v>
      </c>
      <c r="AJ49" s="62">
        <f>IFERROR(VLOOKUP(Aggregate!$AD49,WR!A:Q,15,FALSE())/17*(16-Aggregate!$AO49),0)</f>
        <v>109.5079129</v>
      </c>
      <c r="AK49" s="69">
        <f>AVERAGE(Aggregate!$AH49,Aggregate!$AI49,Aggregate!$AJ49,VLOOKUP(Aggregate!$AD49,ECR!L:N,3,FALSE))</f>
        <v>105.2278024</v>
      </c>
      <c r="AL49" s="69">
        <f>Aggregate!$AK49-$AE$1</f>
        <v>23.70687529</v>
      </c>
      <c r="AM49" s="72">
        <f>MAX(Aggregate!$AL49*Scoring!$B$48+1,1)</f>
        <v>7.21175677</v>
      </c>
      <c r="AN49" s="73">
        <f>VLOOKUP(Aggregate!$AL49,BR:BT,3,FALSE)</f>
        <v>5</v>
      </c>
      <c r="AO49" s="80">
        <f t="array" ref="AO49">VLOOKUP(INDEX(ECR!$E:$E,MATCH(AD49,ECR!$C:$C,0)),RISK!A:B,2,FALSE())</f>
        <v>3.7</v>
      </c>
      <c r="AP49" s="81"/>
      <c r="AQ49" s="85" t="s">
        <v>494</v>
      </c>
      <c r="AR49" s="85" t="str">
        <f>VLOOKUP(AQ49,ECR!E:L,8,FALSE())</f>
        <v>Dawson Knox</v>
      </c>
      <c r="AS49" s="85" t="str">
        <f>IFERROR(VLOOKUP(Aggregate!$AR49,ECR!C:F,2,FALSE()),"-")</f>
        <v>BUF</v>
      </c>
      <c r="AT49" s="85">
        <f>IFERROR(VLOOKUP(Aggregate!$AR49,ECR!C:F,4,FALSE()),"-")</f>
        <v>7</v>
      </c>
      <c r="AU49" s="85" t="str">
        <f>Aggregate!$AS49 &amp; "/" &amp; Aggregate!$AT49</f>
        <v>BUF/7</v>
      </c>
      <c r="AV49" s="62">
        <f>IFERROR(VLOOKUP(Aggregate!$AR49,TE!A:K,9,FALSE())/17*(16-Aggregate!$BC49),0)</f>
        <v>45.11378882</v>
      </c>
      <c r="AW49" s="62">
        <f>IFERROR(VLOOKUP(Aggregate!$AR49,TE!A:K,10,FALSE())/17*(16-Aggregate!$BC49),0)</f>
        <v>52.52040906</v>
      </c>
      <c r="AX49" s="62">
        <f>IFERROR(VLOOKUP(Aggregate!$AR49,TE!A:K,11,FALSE())/17*(16-Aggregate!$BC49),0)</f>
        <v>61.39698353</v>
      </c>
      <c r="AY49" s="69">
        <f>AVERAGE(Aggregate!$AV49,Aggregate!$AW49,Aggregate!$AX49,VLOOKUP(Aggregate!$AR49,ECR!L:N,3,FALSE))</f>
        <v>47.54205576</v>
      </c>
      <c r="AZ49" s="69">
        <f>Aggregate!$AY49-$AS$1</f>
        <v>-33.99627563</v>
      </c>
      <c r="BA49" s="72">
        <f>MAX(Aggregate!$AZ49*Scoring!$B$48+1,1)</f>
        <v>1</v>
      </c>
      <c r="BB49" s="62">
        <f>VLOOKUP(Aggregate!$AZ49,BW:BY,3,FALSE)</f>
        <v>7</v>
      </c>
      <c r="BC49" s="80">
        <f t="array" ref="BC49">VLOOKUP(INDEX(ECR!$E:$E,MATCH(AR49,ECR!$C:$C,0)),RISK!A:B,2,FALSE())</f>
        <v>2.1938</v>
      </c>
      <c r="BD49" s="62"/>
      <c r="BE49" s="81"/>
      <c r="BF49" s="81">
        <v>47.0</v>
      </c>
      <c r="BG49" s="81">
        <f t="shared" si="1"/>
        <v>5.689223529</v>
      </c>
      <c r="BH49" s="81">
        <f>IFERROR(LARGE($J$3:$J$52,47),"")</f>
        <v>-215.5649236</v>
      </c>
      <c r="BI49" s="81">
        <f t="shared" si="5"/>
        <v>-206.5141942</v>
      </c>
      <c r="BJ49" s="81">
        <f t="shared" si="6"/>
        <v>13</v>
      </c>
      <c r="BK49" s="90">
        <v>47.0</v>
      </c>
      <c r="BL49" s="81">
        <f t="shared" si="2"/>
        <v>83.77245176</v>
      </c>
      <c r="BM49" s="91">
        <f>IFERROR(LARGE($X$3:$X$102,47),"")</f>
        <v>2.840007976</v>
      </c>
      <c r="BN49" s="91">
        <f t="shared" si="7"/>
        <v>12.66826499</v>
      </c>
      <c r="BO49" s="93">
        <f t="shared" si="8"/>
        <v>7</v>
      </c>
      <c r="BP49" s="91">
        <v>47.0</v>
      </c>
      <c r="BQ49" s="81">
        <f t="shared" si="3"/>
        <v>102.4155882</v>
      </c>
      <c r="BR49" s="91">
        <f>IFERROR(LARGE($AL$3:$AL$102,47),"")</f>
        <v>20.67398471</v>
      </c>
      <c r="BS49" s="91">
        <f t="shared" si="9"/>
        <v>26.43530471</v>
      </c>
      <c r="BT49" s="91">
        <f t="shared" si="10"/>
        <v>5</v>
      </c>
      <c r="BU49" s="81">
        <v>47.0</v>
      </c>
      <c r="BV49" s="81">
        <f t="shared" si="4"/>
        <v>31.13704165</v>
      </c>
      <c r="BW49" s="91">
        <f>IFERROR(LARGE($AZ$3:$AZ$52,47),"")</f>
        <v>-50.78705122</v>
      </c>
      <c r="BX49" s="91">
        <f t="shared" si="11"/>
        <v>-50.78705122</v>
      </c>
      <c r="BY49" s="91">
        <f t="shared" si="12"/>
        <v>8</v>
      </c>
      <c r="BZ49" s="91"/>
      <c r="CA49" s="91"/>
      <c r="CB49" s="91"/>
      <c r="CC49" s="91"/>
      <c r="CD49" s="91"/>
      <c r="CE49" s="91"/>
      <c r="CF49" s="91"/>
      <c r="CG49" s="91"/>
    </row>
    <row r="50" ht="14.25" customHeight="1">
      <c r="A50" s="59" t="s">
        <v>497</v>
      </c>
      <c r="B50" s="59" t="str">
        <f>VLOOKUP(A50,ECR!E:L,8,FALSE())</f>
        <v>Quinn Ewers</v>
      </c>
      <c r="C50" s="60" t="str">
        <f>IFERROR(VLOOKUP(Aggregate!$B50,ECR!C:F,2,FALSE()),"-")</f>
        <v>MIA</v>
      </c>
      <c r="D50" s="60">
        <f>IFERROR(VLOOKUP(Aggregate!$B50,ECR!C:F,4,FALSE()),"-")</f>
        <v>6</v>
      </c>
      <c r="E50" s="60" t="str">
        <f>Aggregate!$C50 &amp; "/" &amp; Aggregate!$D50</f>
        <v>MIA/6</v>
      </c>
      <c r="F50" s="62">
        <f>IFERROR(VLOOKUP(Aggregate!$B50,QB!A:Q,15,FALSE())/17*(16-Aggregate!$M50),0)</f>
        <v>3.072</v>
      </c>
      <c r="G50" s="62">
        <f>IFERROR(VLOOKUP(Aggregate!$B50,QB!A:Q,16,FALSE())/17*(16-Aggregate!$M50),0)</f>
        <v>7.3216</v>
      </c>
      <c r="H50" s="62">
        <f>IFERROR(VLOOKUP(Aggregate!$B50,QB!A:Q,17,FALSE())/17*(16-Aggregate!$M50),0)</f>
        <v>12.96564706</v>
      </c>
      <c r="I50" s="69">
        <f>AVERAGE(Aggregate!$F50,Aggregate!$G50,Aggregate!$H50,VLOOKUP(Aggregate!$B50,ECR!L:N,3,FALSE))</f>
        <v>7.235764706</v>
      </c>
      <c r="J50" s="69">
        <f>Aggregate!$I50-$C$1</f>
        <v>-214.4110413</v>
      </c>
      <c r="K50" s="72">
        <f>MAX(Aggregate!$J50*Scoring!$B$48+1,1)</f>
        <v>1</v>
      </c>
      <c r="L50" s="73">
        <f>VLOOKUP(Aggregate!$J50,BH:BJ,3,FALSE)</f>
        <v>13</v>
      </c>
      <c r="M50" s="80">
        <f t="array" ref="M50">VLOOKUP(INDEX(ECR!$E:$E,MATCH(B50,ECR!$C:$C,0)),RISK!A:B,2,FALSE())</f>
        <v>3.2</v>
      </c>
      <c r="N50" s="81"/>
      <c r="O50" s="73" t="s">
        <v>498</v>
      </c>
      <c r="P50" s="59" t="str">
        <f>VLOOKUP(O50,ECR!E:L,8,FALSE())</f>
        <v>Jonah Coleman</v>
      </c>
      <c r="Q50" s="60" t="str">
        <f>IFERROR(VLOOKUP(Aggregate!$P50,ECR!C:F,2,FALSE()),"-")</f>
        <v>DEN</v>
      </c>
      <c r="R50" s="60">
        <f>IFERROR(VLOOKUP(Aggregate!$P50,ECR!C:F,4,FALSE()),"-")</f>
        <v>10</v>
      </c>
      <c r="S50" s="60" t="str">
        <f>Aggregate!$Q50 &amp; "/" &amp; Aggregate!$R50</f>
        <v>DEN/10</v>
      </c>
      <c r="T50" s="62">
        <f>IFERROR(VLOOKUP(Aggregate!$P50,RB!A:Q,13,FALSE())/17*(16-Aggregate!$AA50),0)</f>
        <v>84.61820132</v>
      </c>
      <c r="U50" s="62">
        <f>IFERROR(VLOOKUP(Aggregate!$P50,RB!A:Q,14,FALSE())/17*(16-Aggregate!$AA50),0)</f>
        <v>84.61820132</v>
      </c>
      <c r="V50" s="62">
        <f>IFERROR(VLOOKUP(Aggregate!$P50,RB!A:Q,15,FALSE())/17*(16-Aggregate!$AA50),0)</f>
        <v>84.61820132</v>
      </c>
      <c r="W50" s="69">
        <f>AVERAGE(Aggregate!$T50,Aggregate!$U50,Aggregate!$V50,VLOOKUP(Aggregate!$P50,ECR!L:N,3,FALSE))</f>
        <v>84.13025688</v>
      </c>
      <c r="X50" s="69">
        <f>Aggregate!$W50-$Q$1</f>
        <v>5.739367776</v>
      </c>
      <c r="Y50" s="72">
        <f>MAX(Aggregate!$X50*Scoring!$B$48+1,1)</f>
        <v>2.503848829</v>
      </c>
      <c r="Z50" s="73">
        <f>VLOOKUP(Aggregate!$X50,BM:BO,3,FALSE)</f>
        <v>7</v>
      </c>
      <c r="AA50" s="80">
        <f t="array" ref="AA50">VLOOKUP(INDEX(ECR!$E:$E,MATCH(P50,ECR!$C:$C,0)),RISK!A:B,2,FALSE())</f>
        <v>3.368</v>
      </c>
      <c r="AB50" s="81"/>
      <c r="AC50" s="60" t="s">
        <v>500</v>
      </c>
      <c r="AD50" s="60" t="str">
        <f>VLOOKUP(AC50,ECR!E:L,8,FALSE())</f>
        <v>KC Concepcion</v>
      </c>
      <c r="AE50" s="60" t="str">
        <f>IFERROR(VLOOKUP(Aggregate!$AD50,ECR!C:F,2,FALSE()),"-")</f>
        <v>CLE</v>
      </c>
      <c r="AF50" s="60">
        <f>IFERROR(VLOOKUP(Aggregate!$AD50,ECR!C:F,4,FALSE()),"-")</f>
        <v>11</v>
      </c>
      <c r="AG50" s="60" t="str">
        <f>Aggregate!$AE50 &amp; "/" &amp; Aggregate!$AF50</f>
        <v>CLE/11</v>
      </c>
      <c r="AH50" s="62">
        <f>IFERROR(VLOOKUP(Aggregate!$AD50,WR!A:Q,13,FALSE())/17*(16-Aggregate!$AO50),0)</f>
        <v>100.3037506</v>
      </c>
      <c r="AI50" s="62">
        <f>IFERROR(VLOOKUP(Aggregate!$AD50,WR!A:Q,14,FALSE())/17*(16-Aggregate!$AO50),0)</f>
        <v>109.1597506</v>
      </c>
      <c r="AJ50" s="62">
        <f>IFERROR(VLOOKUP(Aggregate!$AD50,WR!A:Q,15,FALSE())/17*(16-Aggregate!$AO50),0)</f>
        <v>117.9072212</v>
      </c>
      <c r="AK50" s="69">
        <f>AVERAGE(Aggregate!$AH50,Aggregate!$AI50,Aggregate!$AJ50,VLOOKUP(Aggregate!$AD50,ECR!L:N,3,FALSE))</f>
        <v>107.1680188</v>
      </c>
      <c r="AL50" s="69">
        <f>Aggregate!$AK50-$AE$1</f>
        <v>25.64709176</v>
      </c>
      <c r="AM50" s="72">
        <f>MAX(Aggregate!$AL50*Scoring!$B$48+1,1)</f>
        <v>7.720138944</v>
      </c>
      <c r="AN50" s="73">
        <f>VLOOKUP(Aggregate!$AL50,BR:BT,3,FALSE)</f>
        <v>5</v>
      </c>
      <c r="AO50" s="80">
        <f t="array" ref="AO50">VLOOKUP(INDEX(ECR!$E:$E,MATCH(AD50,ECR!$C:$C,0)),RISK!A:B,2,FALSE())</f>
        <v>3.7</v>
      </c>
      <c r="AP50" s="81"/>
      <c r="AQ50" s="85" t="s">
        <v>502</v>
      </c>
      <c r="AR50" s="85" t="str">
        <f>VLOOKUP(AQ50,ECR!E:L,8,FALSE())</f>
        <v>Tyler Higbee</v>
      </c>
      <c r="AS50" s="85" t="str">
        <f>IFERROR(VLOOKUP(Aggregate!$AR50,ECR!C:F,2,FALSE()),"-")</f>
        <v>LAR</v>
      </c>
      <c r="AT50" s="85">
        <f>IFERROR(VLOOKUP(Aggregate!$AR50,ECR!C:F,4,FALSE()),"-")</f>
        <v>11</v>
      </c>
      <c r="AU50" s="85" t="str">
        <f>Aggregate!$AS50 &amp; "/" &amp; Aggregate!$AT50</f>
        <v>LAR/11</v>
      </c>
      <c r="AV50" s="62">
        <f>IFERROR(VLOOKUP(Aggregate!$AR50,TE!A:K,9,FALSE())/17*(16-Aggregate!$BC50),0)</f>
        <v>24.92425165</v>
      </c>
      <c r="AW50" s="62">
        <f>IFERROR(VLOOKUP(Aggregate!$AR50,TE!A:K,10,FALSE())/17*(16-Aggregate!$BC50),0)</f>
        <v>45.96652471</v>
      </c>
      <c r="AX50" s="62">
        <f>IFERROR(VLOOKUP(Aggregate!$AR50,TE!A:K,11,FALSE())/17*(16-Aggregate!$BC50),0)</f>
        <v>76.25895176</v>
      </c>
      <c r="AY50" s="69">
        <f>AVERAGE(Aggregate!$AV50,Aggregate!$AW50,Aggregate!$AX50,VLOOKUP(Aggregate!$AR50,ECR!L:N,3,FALSE))</f>
        <v>44.24481035</v>
      </c>
      <c r="AZ50" s="69">
        <f>Aggregate!$AY50-$AS$1</f>
        <v>-37.29352104</v>
      </c>
      <c r="BA50" s="72">
        <f>MAX(Aggregate!$AZ50*Scoring!$B$48+1,1)</f>
        <v>1</v>
      </c>
      <c r="BB50" s="62">
        <f>VLOOKUP(Aggregate!$AZ50,BW:BY,3,FALSE)</f>
        <v>7</v>
      </c>
      <c r="BC50" s="80">
        <f t="array" ref="BC50">VLOOKUP(INDEX(ECR!$E:$E,MATCH(AR50,ECR!$C:$C,0)),RISK!A:B,2,FALSE())</f>
        <v>2.1938</v>
      </c>
      <c r="BD50" s="62"/>
      <c r="BE50" s="81"/>
      <c r="BF50" s="81">
        <v>48.0</v>
      </c>
      <c r="BG50" s="81">
        <f t="shared" si="1"/>
        <v>5.583811765</v>
      </c>
      <c r="BH50" s="81">
        <f>IFERROR(LARGE($J$3:$J$52,48),"")</f>
        <v>-216.1955119</v>
      </c>
      <c r="BI50" s="81">
        <f t="shared" si="5"/>
        <v>-206.5141942</v>
      </c>
      <c r="BJ50" s="81">
        <f t="shared" si="6"/>
        <v>13</v>
      </c>
      <c r="BK50" s="90">
        <v>48.0</v>
      </c>
      <c r="BL50" s="81">
        <f t="shared" si="2"/>
        <v>82.66642357</v>
      </c>
      <c r="BM50" s="91">
        <f>IFERROR(LARGE($X$3:$X$102,48),"")</f>
        <v>0</v>
      </c>
      <c r="BN50" s="91">
        <f t="shared" si="7"/>
        <v>12.66826499</v>
      </c>
      <c r="BO50" s="93">
        <f t="shared" si="8"/>
        <v>7</v>
      </c>
      <c r="BP50" s="91">
        <v>48.0</v>
      </c>
      <c r="BQ50" s="81">
        <f t="shared" si="3"/>
        <v>101.3013529</v>
      </c>
      <c r="BR50" s="91">
        <f>IFERROR(LARGE($AL$3:$AL$102,48),"")</f>
        <v>19.90342588</v>
      </c>
      <c r="BS50" s="91">
        <f t="shared" si="9"/>
        <v>26.43530471</v>
      </c>
      <c r="BT50" s="91">
        <f t="shared" si="10"/>
        <v>5</v>
      </c>
      <c r="BU50" s="81">
        <v>48.0</v>
      </c>
      <c r="BV50" s="81">
        <f t="shared" si="4"/>
        <v>29.82951329</v>
      </c>
      <c r="BW50" s="91">
        <f>IFERROR(LARGE($AZ$3:$AZ$52,48),"")</f>
        <v>-53.64777707</v>
      </c>
      <c r="BX50" s="91">
        <f t="shared" si="11"/>
        <v>-50.78705122</v>
      </c>
      <c r="BY50" s="91">
        <f t="shared" si="12"/>
        <v>8</v>
      </c>
      <c r="BZ50" s="91"/>
      <c r="CA50" s="91"/>
      <c r="CB50" s="91"/>
      <c r="CC50" s="91"/>
      <c r="CD50" s="91"/>
      <c r="CE50" s="91"/>
      <c r="CF50" s="91"/>
      <c r="CG50" s="91"/>
    </row>
    <row r="51" ht="14.25" customHeight="1">
      <c r="A51" s="59"/>
      <c r="B51" s="59"/>
      <c r="C51" s="60"/>
      <c r="D51" s="60"/>
      <c r="E51" s="60"/>
      <c r="F51" s="62"/>
      <c r="G51" s="62"/>
      <c r="H51" s="62"/>
      <c r="I51" s="69"/>
      <c r="J51" s="69"/>
      <c r="K51" s="72"/>
      <c r="L51" s="73"/>
      <c r="M51" s="80"/>
      <c r="N51" s="81"/>
      <c r="O51" s="73" t="s">
        <v>504</v>
      </c>
      <c r="P51" s="59" t="str">
        <f>VLOOKUP(O51,ECR!E:L,8,FALSE())</f>
        <v>Zach Charbonnet</v>
      </c>
      <c r="Q51" s="60" t="str">
        <f>IFERROR(VLOOKUP(Aggregate!$P51,ECR!C:F,2,FALSE()),"-")</f>
        <v>SEA</v>
      </c>
      <c r="R51" s="60">
        <f>IFERROR(VLOOKUP(Aggregate!$P51,ECR!C:F,4,FALSE()),"-")</f>
        <v>11</v>
      </c>
      <c r="S51" s="60" t="str">
        <f>Aggregate!$Q51 &amp; "/" &amp; Aggregate!$R51</f>
        <v>SEA/11</v>
      </c>
      <c r="T51" s="62">
        <f>IFERROR(VLOOKUP(Aggregate!$P51,RB!A:Q,13,FALSE())/17*(16-Aggregate!$AA51),0)</f>
        <v>66.65237647</v>
      </c>
      <c r="U51" s="62">
        <f>IFERROR(VLOOKUP(Aggregate!$P51,RB!A:Q,14,FALSE())/17*(16-Aggregate!$AA51),0)</f>
        <v>84.03995294</v>
      </c>
      <c r="V51" s="62">
        <f>IFERROR(VLOOKUP(Aggregate!$P51,RB!A:Q,15,FALSE())/17*(16-Aggregate!$AA51),0)</f>
        <v>95.97347765</v>
      </c>
      <c r="W51" s="69">
        <f>AVERAGE(Aggregate!$T51,Aggregate!$U51,Aggregate!$V51,VLOOKUP(Aggregate!$P51,ECR!L:N,3,FALSE))</f>
        <v>81.24605176</v>
      </c>
      <c r="X51" s="69">
        <f>Aggregate!$W51-$Q$1</f>
        <v>2.855162661</v>
      </c>
      <c r="Y51" s="72">
        <f>MAX(Aggregate!$X51*Scoring!$B$48+1,1)</f>
        <v>1.748119513</v>
      </c>
      <c r="Z51" s="73">
        <f>VLOOKUP(Aggregate!$X51,BM:BO,3,FALSE)</f>
        <v>7</v>
      </c>
      <c r="AA51" s="80">
        <f t="array" ref="AA51">VLOOKUP(INDEX(ECR!$E:$E,MATCH(P51,ECR!$C:$C,0)),RISK!A:B,2,FALSE())</f>
        <v>3.368</v>
      </c>
      <c r="AB51" s="81"/>
      <c r="AC51" s="60" t="s">
        <v>506</v>
      </c>
      <c r="AD51" s="60" t="str">
        <f>VLOOKUP(AC51,ECR!E:L,8,FALSE())</f>
        <v>Xavier Worthy</v>
      </c>
      <c r="AE51" s="60" t="str">
        <f>IFERROR(VLOOKUP(Aggregate!$AD51,ECR!C:F,2,FALSE()),"-")</f>
        <v>KC</v>
      </c>
      <c r="AF51" s="60">
        <f>IFERROR(VLOOKUP(Aggregate!$AD51,ECR!C:F,4,FALSE()),"-")</f>
        <v>5</v>
      </c>
      <c r="AG51" s="60" t="str">
        <f>Aggregate!$AE51 &amp; "/" &amp; Aggregate!$AF51</f>
        <v>KC/5</v>
      </c>
      <c r="AH51" s="62">
        <f>IFERROR(VLOOKUP(Aggregate!$AD51,WR!A:Q,13,FALSE())/17*(16-Aggregate!$AO51),0)</f>
        <v>90.80294118</v>
      </c>
      <c r="AI51" s="62">
        <f>IFERROR(VLOOKUP(Aggregate!$AD51,WR!A:Q,14,FALSE())/17*(16-Aggregate!$AO51),0)</f>
        <v>101.3013529</v>
      </c>
      <c r="AJ51" s="62">
        <f>IFERROR(VLOOKUP(Aggregate!$AD51,WR!A:Q,15,FALSE())/17*(16-Aggregate!$AO51),0)</f>
        <v>112.5956471</v>
      </c>
      <c r="AK51" s="69">
        <f>AVERAGE(Aggregate!$AH51,Aggregate!$AI51,Aggregate!$AJ51,VLOOKUP(Aggregate!$AD51,ECR!L:N,3,FALSE))</f>
        <v>101.4243529</v>
      </c>
      <c r="AL51" s="69">
        <f>Aggregate!$AK51-$AE$1</f>
        <v>19.90342588</v>
      </c>
      <c r="AM51" s="72">
        <f>MAX(Aggregate!$AL51*Scoring!$B$48+1,1)</f>
        <v>6.215163911</v>
      </c>
      <c r="AN51" s="73">
        <f>VLOOKUP(Aggregate!$AL51,BR:BT,3,FALSE)</f>
        <v>5</v>
      </c>
      <c r="AO51" s="80">
        <f t="array" ref="AO51">VLOOKUP(INDEX(ECR!$E:$E,MATCH(AD51,ECR!$C:$C,0)),RISK!A:B,2,FALSE())</f>
        <v>3.7</v>
      </c>
      <c r="AP51" s="81"/>
      <c r="AQ51" s="85" t="s">
        <v>508</v>
      </c>
      <c r="AR51" s="85" t="str">
        <f>VLOOKUP(AQ51,ECR!E:L,8,FALSE())</f>
        <v>Noah Gray</v>
      </c>
      <c r="AS51" s="85" t="str">
        <f>IFERROR(VLOOKUP(Aggregate!$AR51,ECR!C:F,2,FALSE()),"-")</f>
        <v>KC</v>
      </c>
      <c r="AT51" s="85">
        <f>IFERROR(VLOOKUP(Aggregate!$AR51,ECR!C:F,4,FALSE()),"-")</f>
        <v>5</v>
      </c>
      <c r="AU51" s="85" t="str">
        <f>Aggregate!$AS51 &amp; "/" &amp; Aggregate!$AT51</f>
        <v>KC/5</v>
      </c>
      <c r="AV51" s="62">
        <f>IFERROR(VLOOKUP(Aggregate!$AR51,TE!A:K,9,FALSE())/17*(16-Aggregate!$BC51),0)</f>
        <v>22.08992</v>
      </c>
      <c r="AW51" s="62">
        <f>IFERROR(VLOOKUP(Aggregate!$AR51,TE!A:K,10,FALSE())/17*(16-Aggregate!$BC51),0)</f>
        <v>32.87499859</v>
      </c>
      <c r="AX51" s="62">
        <f>IFERROR(VLOOKUP(Aggregate!$AR51,TE!A:K,11,FALSE())/17*(16-Aggregate!$BC51),0)</f>
        <v>41.64599624</v>
      </c>
      <c r="AY51" s="69">
        <f>AVERAGE(Aggregate!$AV51,Aggregate!$AW51,Aggregate!$AX51,VLOOKUP(Aggregate!$AR51,ECR!L:N,3,FALSE))</f>
        <v>27.89055432</v>
      </c>
      <c r="AZ51" s="69">
        <f>Aggregate!$AY51-$AS$1</f>
        <v>-53.64777707</v>
      </c>
      <c r="BA51" s="72">
        <f>MAX(Aggregate!$AZ51*Scoring!$B$48+1,1)</f>
        <v>1</v>
      </c>
      <c r="BB51" s="62">
        <f>VLOOKUP(Aggregate!$AZ51,BW:BY,3,FALSE)</f>
        <v>8</v>
      </c>
      <c r="BC51" s="80">
        <f t="array" ref="BC51">VLOOKUP(INDEX(ECR!$E:$E,MATCH(AR51,ECR!$C:$C,0)),RISK!A:B,2,FALSE())</f>
        <v>2.1938</v>
      </c>
      <c r="BD51" s="62"/>
      <c r="BE51" s="81"/>
      <c r="BF51" s="81">
        <v>49.0</v>
      </c>
      <c r="BG51" s="81" t="str">
        <f t="shared" si="1"/>
        <v/>
      </c>
      <c r="BH51" s="81" t="str">
        <f>IFERROR(LARGE($J$3:$J$52,49),"")</f>
        <v/>
      </c>
      <c r="BI51" s="81">
        <f t="shared" si="5"/>
        <v>-206.5141942</v>
      </c>
      <c r="BJ51" s="81">
        <f t="shared" si="6"/>
        <v>13</v>
      </c>
      <c r="BK51" s="90">
        <v>49.0</v>
      </c>
      <c r="BL51" s="81">
        <f t="shared" si="2"/>
        <v>78.3184</v>
      </c>
      <c r="BM51" s="91">
        <f>IFERROR(LARGE($X$3:$X$102,49),"")</f>
        <v>-2.29795028</v>
      </c>
      <c r="BN51" s="91">
        <f t="shared" si="7"/>
        <v>12.66826499</v>
      </c>
      <c r="BO51" s="93">
        <f t="shared" si="8"/>
        <v>7</v>
      </c>
      <c r="BP51" s="91">
        <v>49.0</v>
      </c>
      <c r="BQ51" s="81">
        <f t="shared" si="3"/>
        <v>100.9974706</v>
      </c>
      <c r="BR51" s="91">
        <f>IFERROR(LARGE($AL$3:$AL$102,49),"")</f>
        <v>19.79344941</v>
      </c>
      <c r="BS51" s="91">
        <f t="shared" si="9"/>
        <v>26.43530471</v>
      </c>
      <c r="BT51" s="91">
        <f t="shared" si="10"/>
        <v>5</v>
      </c>
      <c r="BU51" s="81">
        <v>49.0</v>
      </c>
      <c r="BV51" s="81">
        <f t="shared" si="4"/>
        <v>14.95130247</v>
      </c>
      <c r="BW51" s="91">
        <f>IFERROR(LARGE($AZ$3:$AZ$52,49),"")</f>
        <v>-58.75404075</v>
      </c>
      <c r="BX51" s="91">
        <f t="shared" si="11"/>
        <v>-50.78705122</v>
      </c>
      <c r="BY51" s="91">
        <f t="shared" si="12"/>
        <v>8</v>
      </c>
      <c r="BZ51" s="91"/>
      <c r="CA51" s="91"/>
      <c r="CB51" s="91"/>
      <c r="CC51" s="91"/>
      <c r="CD51" s="91"/>
      <c r="CE51" s="91"/>
      <c r="CF51" s="91"/>
      <c r="CG51" s="91"/>
    </row>
    <row r="52" ht="14.25" customHeight="1">
      <c r="A52" s="59"/>
      <c r="B52" s="59"/>
      <c r="C52" s="60"/>
      <c r="D52" s="60"/>
      <c r="E52" s="60"/>
      <c r="F52" s="62"/>
      <c r="G52" s="62"/>
      <c r="H52" s="62"/>
      <c r="I52" s="69"/>
      <c r="J52" s="69"/>
      <c r="K52" s="72"/>
      <c r="L52" s="73"/>
      <c r="M52" s="80"/>
      <c r="N52" s="81"/>
      <c r="O52" s="73" t="s">
        <v>511</v>
      </c>
      <c r="P52" s="59" t="str">
        <f>VLOOKUP(O52,ECR!E:L,8,FALSE())</f>
        <v>Dylan Sampson</v>
      </c>
      <c r="Q52" s="60" t="str">
        <f>IFERROR(VLOOKUP(Aggregate!$P52,ECR!C:F,2,FALSE()),"-")</f>
        <v>CLE</v>
      </c>
      <c r="R52" s="60">
        <f>IFERROR(VLOOKUP(Aggregate!$P52,ECR!C:F,4,FALSE()),"-")</f>
        <v>11</v>
      </c>
      <c r="S52" s="60" t="str">
        <f>Aggregate!$Q52 &amp; "/" &amp; Aggregate!$R52</f>
        <v>CLE/11</v>
      </c>
      <c r="T52" s="62">
        <f>IFERROR(VLOOKUP(Aggregate!$P52,RB!A:Q,13,FALSE())/17*(16-Aggregate!$AA52),0)</f>
        <v>50.20105412</v>
      </c>
      <c r="U52" s="62">
        <f>IFERROR(VLOOKUP(Aggregate!$P52,RB!A:Q,14,FALSE())/17*(16-Aggregate!$AA52),0)</f>
        <v>67.33599059</v>
      </c>
      <c r="V52" s="62">
        <f>IFERROR(VLOOKUP(Aggregate!$P52,RB!A:Q,15,FALSE())/17*(16-Aggregate!$AA52),0)</f>
        <v>82.70244706</v>
      </c>
      <c r="W52" s="69">
        <f>AVERAGE(Aggregate!$T52,Aggregate!$U52,Aggregate!$V52,VLOOKUP(Aggregate!$P52,ECR!L:N,3,FALSE))</f>
        <v>69.55216353</v>
      </c>
      <c r="X52" s="69">
        <f>Aggregate!$W52-$Q$1</f>
        <v>-8.838725574</v>
      </c>
      <c r="Y52" s="72">
        <f>MAX(Aggregate!$X52*Scoring!$B$48+1,1)</f>
        <v>1</v>
      </c>
      <c r="Z52" s="73">
        <f>VLOOKUP(Aggregate!$X52,BM:BO,3,FALSE)</f>
        <v>7</v>
      </c>
      <c r="AA52" s="80">
        <f t="array" ref="AA52">VLOOKUP(INDEX(ECR!$E:$E,MATCH(P52,ECR!$C:$C,0)),RISK!A:B,2,FALSE())</f>
        <v>3.368</v>
      </c>
      <c r="AB52" s="81"/>
      <c r="AC52" s="60" t="s">
        <v>513</v>
      </c>
      <c r="AD52" s="60" t="str">
        <f>VLOOKUP(AC52,ECR!E:L,8,FALSE())</f>
        <v>Jalen Coker</v>
      </c>
      <c r="AE52" s="60" t="str">
        <f>IFERROR(VLOOKUP(Aggregate!$AD52,ECR!C:F,2,FALSE()),"-")</f>
        <v>CAR</v>
      </c>
      <c r="AF52" s="60">
        <f>IFERROR(VLOOKUP(Aggregate!$AD52,ECR!C:F,4,FALSE()),"-")</f>
        <v>5</v>
      </c>
      <c r="AG52" s="60" t="str">
        <f>Aggregate!$AE52 &amp; "/" &amp; Aggregate!$AF52</f>
        <v>CAR/5</v>
      </c>
      <c r="AH52" s="62">
        <f>IFERROR(VLOOKUP(Aggregate!$AD52,WR!A:Q,13,FALSE())/17*(16-Aggregate!$AO52),0)</f>
        <v>83.13352941</v>
      </c>
      <c r="AI52" s="62">
        <f>IFERROR(VLOOKUP(Aggregate!$AD52,WR!A:Q,14,FALSE())/17*(16-Aggregate!$AO52),0)</f>
        <v>92.28617647</v>
      </c>
      <c r="AJ52" s="62">
        <f>IFERROR(VLOOKUP(Aggregate!$AD52,WR!A:Q,15,FALSE())/17*(16-Aggregate!$AO52),0)</f>
        <v>101.4388235</v>
      </c>
      <c r="AK52" s="69">
        <f>AVERAGE(Aggregate!$AH52,Aggregate!$AI52,Aggregate!$AJ52,VLOOKUP(Aggregate!$AD52,ECR!L:N,3,FALSE))</f>
        <v>94.44048529</v>
      </c>
      <c r="AL52" s="69">
        <f>Aggregate!$AK52-$AE$1</f>
        <v>12.91955824</v>
      </c>
      <c r="AM52" s="72">
        <f>MAX(Aggregate!$AL52*Scoring!$B$48+1,1)</f>
        <v>4.385226958</v>
      </c>
      <c r="AN52" s="73">
        <f>VLOOKUP(Aggregate!$AL52,BR:BT,3,FALSE)</f>
        <v>5</v>
      </c>
      <c r="AO52" s="80">
        <f t="array" ref="AO52">VLOOKUP(INDEX(ECR!$E:$E,MATCH(AD52,ECR!$C:$C,0)),RISK!A:B,2,FALSE())</f>
        <v>3.7</v>
      </c>
      <c r="AP52" s="81"/>
      <c r="AQ52" s="85" t="s">
        <v>514</v>
      </c>
      <c r="AR52" s="85" t="str">
        <f>VLOOKUP(AQ52,ECR!E:L,8,FALSE())</f>
        <v>Max Klare</v>
      </c>
      <c r="AS52" s="85" t="str">
        <f>IFERROR(VLOOKUP(Aggregate!$AR52,ECR!C:F,2,FALSE()),"-")</f>
        <v>LAR</v>
      </c>
      <c r="AT52" s="85">
        <f>IFERROR(VLOOKUP(Aggregate!$AR52,ECR!C:F,4,FALSE()),"-")</f>
        <v>11</v>
      </c>
      <c r="AU52" s="85" t="str">
        <f>Aggregate!$AS52 &amp; "/" &amp; Aggregate!$AT52</f>
        <v>LAR/11</v>
      </c>
      <c r="AV52" s="62">
        <f>IFERROR(VLOOKUP(Aggregate!$AR52,TE!A:K,9,FALSE())/17*(16-Aggregate!$BC52),0)</f>
        <v>6.675703765</v>
      </c>
      <c r="AW52" s="62">
        <f>IFERROR(VLOOKUP(Aggregate!$AR52,TE!A:K,10,FALSE())/17*(16-Aggregate!$BC52),0)</f>
        <v>13.36765012</v>
      </c>
      <c r="AX52" s="62">
        <f>IFERROR(VLOOKUP(Aggregate!$AR52,TE!A:K,11,FALSE())/17*(16-Aggregate!$BC52),0)</f>
        <v>20.05959647</v>
      </c>
      <c r="AY52" s="69">
        <f>AVERAGE(Aggregate!$AV52,Aggregate!$AW52,Aggregate!$AX52,VLOOKUP(Aggregate!$AR52,ECR!L:N,3,FALSE))</f>
        <v>13.36765012</v>
      </c>
      <c r="AZ52" s="69">
        <f>Aggregate!$AY52-$AS$1</f>
        <v>-68.17068128</v>
      </c>
      <c r="BA52" s="72">
        <f>MAX(Aggregate!$AZ52*Scoring!$B$48+1,1)</f>
        <v>1</v>
      </c>
      <c r="BB52" s="62">
        <f>VLOOKUP(Aggregate!$AZ52,BW:BY,3,FALSE)</f>
        <v>9</v>
      </c>
      <c r="BC52" s="80">
        <f t="array" ref="BC52">VLOOKUP(INDEX(ECR!$E:$E,MATCH(AR52,ECR!$C:$C,0)),RISK!A:B,2,FALSE())</f>
        <v>2.1938</v>
      </c>
      <c r="BD52" s="62"/>
      <c r="BE52" s="81"/>
      <c r="BF52" s="81">
        <v>50.0</v>
      </c>
      <c r="BG52" s="81" t="str">
        <f t="shared" si="1"/>
        <v/>
      </c>
      <c r="BH52" s="81" t="str">
        <f>IFERROR(LARGE($J$3:$J$52,50),"")</f>
        <v/>
      </c>
      <c r="BI52" s="81">
        <f t="shared" si="5"/>
        <v>-206.5141942</v>
      </c>
      <c r="BJ52" s="81">
        <f t="shared" si="6"/>
        <v>13</v>
      </c>
      <c r="BK52" s="90">
        <v>50.0</v>
      </c>
      <c r="BL52" s="81">
        <f t="shared" si="2"/>
        <v>77.96916235</v>
      </c>
      <c r="BM52" s="91">
        <f>IFERROR(LARGE($X$3:$X$102,50),"")</f>
        <v>-3.029863221</v>
      </c>
      <c r="BN52" s="91">
        <f t="shared" si="7"/>
        <v>12.66826499</v>
      </c>
      <c r="BO52" s="93">
        <f t="shared" si="8"/>
        <v>7</v>
      </c>
      <c r="BP52" s="91">
        <v>50.0</v>
      </c>
      <c r="BQ52" s="81">
        <f t="shared" si="3"/>
        <v>100.9034118</v>
      </c>
      <c r="BR52" s="91">
        <f>IFERROR(LARGE($AL$3:$AL$102,50),"")</f>
        <v>18.06204353</v>
      </c>
      <c r="BS52" s="91">
        <f t="shared" si="9"/>
        <v>26.43530471</v>
      </c>
      <c r="BT52" s="91">
        <f t="shared" si="10"/>
        <v>5</v>
      </c>
      <c r="BU52" s="81">
        <v>50.0</v>
      </c>
      <c r="BV52" s="81">
        <f t="shared" si="4"/>
        <v>13.36765012</v>
      </c>
      <c r="BW52" s="91">
        <f>IFERROR(LARGE($AZ$3:$AZ$52,50),"")</f>
        <v>-68.17068128</v>
      </c>
      <c r="BX52" s="91">
        <f t="shared" si="11"/>
        <v>-68.17068128</v>
      </c>
      <c r="BY52" s="91">
        <f t="shared" si="12"/>
        <v>9</v>
      </c>
      <c r="BZ52" s="91"/>
      <c r="CA52" s="91"/>
      <c r="CB52" s="91"/>
      <c r="CC52" s="91"/>
      <c r="CD52" s="91"/>
      <c r="CE52" s="91"/>
      <c r="CF52" s="91"/>
      <c r="CG52" s="91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17"/>
      <c r="M53" s="2"/>
      <c r="N53" s="117"/>
      <c r="O53" s="73" t="s">
        <v>517</v>
      </c>
      <c r="P53" s="59" t="str">
        <f>VLOOKUP(O53,ECR!E:L,8,FALSE())</f>
        <v>Tyrone Tracy Jr.</v>
      </c>
      <c r="Q53" s="60" t="str">
        <f>IFERROR(VLOOKUP(Aggregate!$P53,ECR!C:F,2,FALSE()),"-")</f>
        <v>NYG</v>
      </c>
      <c r="R53" s="60">
        <f>IFERROR(VLOOKUP(Aggregate!$P53,ECR!C:F,4,FALSE()),"-")</f>
        <v>8</v>
      </c>
      <c r="S53" s="60" t="str">
        <f>Aggregate!$Q53 &amp; "/" &amp; Aggregate!$R53</f>
        <v>NYG/8</v>
      </c>
      <c r="T53" s="62">
        <f>IFERROR(VLOOKUP(Aggregate!$P53,RB!A:Q,13,FALSE())/17*(16-Aggregate!$AA53),0)</f>
        <v>42.68129882</v>
      </c>
      <c r="U53" s="62">
        <f>IFERROR(VLOOKUP(Aggregate!$P53,RB!A:Q,14,FALSE())/17*(16-Aggregate!$AA53),0)</f>
        <v>67.49203294</v>
      </c>
      <c r="V53" s="62">
        <f>IFERROR(VLOOKUP(Aggregate!$P53,RB!A:Q,15,FALSE())/17*(16-Aggregate!$AA53),0)</f>
        <v>92.88235294</v>
      </c>
      <c r="W53" s="69">
        <f>AVERAGE(Aggregate!$T53,Aggregate!$U53,Aggregate!$V53,VLOOKUP(Aggregate!$P53,ECR!L:N,3,FALSE))</f>
        <v>68.53417294</v>
      </c>
      <c r="X53" s="69">
        <f>Aggregate!$W53-$Q$1</f>
        <v>-9.856716162</v>
      </c>
      <c r="Y53" s="72">
        <f>MAX(Aggregate!$X53*Scoring!$B$48+1,1)</f>
        <v>1</v>
      </c>
      <c r="Z53" s="73">
        <f>VLOOKUP(Aggregate!$X53,BM:BO,3,FALSE)</f>
        <v>7</v>
      </c>
      <c r="AA53" s="80">
        <f t="array" ref="AA53">VLOOKUP(INDEX(ECR!$E:$E,MATCH(P53,ECR!$C:$C,0)),RISK!A:B,2,FALSE())</f>
        <v>3.368</v>
      </c>
      <c r="AB53" s="81"/>
      <c r="AC53" s="60" t="s">
        <v>518</v>
      </c>
      <c r="AD53" s="60" t="str">
        <f>VLOOKUP(AC53,ECR!E:L,8,FALSE())</f>
        <v>Matthew Golden</v>
      </c>
      <c r="AE53" s="60" t="str">
        <f>IFERROR(VLOOKUP(Aggregate!$AD53,ECR!C:F,2,FALSE()),"-")</f>
        <v>GB</v>
      </c>
      <c r="AF53" s="60">
        <f>IFERROR(VLOOKUP(Aggregate!$AD53,ECR!C:F,4,FALSE()),"-")</f>
        <v>11</v>
      </c>
      <c r="AG53" s="60" t="str">
        <f>Aggregate!$AE53 &amp; "/" &amp; Aggregate!$AF53</f>
        <v>GB/11</v>
      </c>
      <c r="AH53" s="62">
        <f>IFERROR(VLOOKUP(Aggregate!$AD53,WR!A:Q,13,FALSE())/17*(16-Aggregate!$AO53),0)</f>
        <v>84.14647059</v>
      </c>
      <c r="AI53" s="62">
        <f>IFERROR(VLOOKUP(Aggregate!$AD53,WR!A:Q,14,FALSE())/17*(16-Aggregate!$AO53),0)</f>
        <v>96.91676471</v>
      </c>
      <c r="AJ53" s="62">
        <f>IFERROR(VLOOKUP(Aggregate!$AD53,WR!A:Q,15,FALSE())/17*(16-Aggregate!$AO53),0)</f>
        <v>113.7822353</v>
      </c>
      <c r="AK53" s="69">
        <f>AVERAGE(Aggregate!$AH53,Aggregate!$AI53,Aggregate!$AJ53,VLOOKUP(Aggregate!$AD53,ECR!L:N,3,FALSE))</f>
        <v>98.09973529</v>
      </c>
      <c r="AL53" s="69">
        <f>Aggregate!$AK53-$AE$1</f>
        <v>16.57880824</v>
      </c>
      <c r="AM53" s="72">
        <f>MAX(Aggregate!$AL53*Scoring!$B$48+1,1)</f>
        <v>5.344036193</v>
      </c>
      <c r="AN53" s="73">
        <f>VLOOKUP(Aggregate!$AL53,BR:BT,3,FALSE)</f>
        <v>5</v>
      </c>
      <c r="AO53" s="80">
        <f t="array" ref="AO53">VLOOKUP(INDEX(ECR!$E:$E,MATCH(AD53,ECR!$C:$C,0)),RISK!A:B,2,FALSE())</f>
        <v>3.7</v>
      </c>
      <c r="AP53" s="81"/>
      <c r="AQ53" s="85" t="s">
        <v>520</v>
      </c>
      <c r="AR53" s="2"/>
      <c r="AS53" s="117"/>
      <c r="AT53" s="2"/>
      <c r="AU53" s="2"/>
      <c r="AV53" s="2"/>
      <c r="AW53" s="2"/>
      <c r="AX53" s="2"/>
      <c r="AY53" s="2"/>
      <c r="AZ53" s="2"/>
      <c r="BA53" s="2"/>
      <c r="BB53" s="117"/>
      <c r="BC53" s="2"/>
      <c r="BD53" s="2"/>
      <c r="BE53" s="117"/>
      <c r="BF53" s="81">
        <v>51.0</v>
      </c>
      <c r="BG53" s="81" t="str">
        <f t="shared" si="1"/>
        <v/>
      </c>
      <c r="BH53" s="81"/>
      <c r="BI53" s="81"/>
      <c r="BJ53" s="81"/>
      <c r="BK53" s="90">
        <v>51.0</v>
      </c>
      <c r="BL53" s="81">
        <f t="shared" si="2"/>
        <v>71.08100706</v>
      </c>
      <c r="BM53" s="91">
        <f>IFERROR(LARGE($X$3:$X$102,51),"")</f>
        <v>-6.724723221</v>
      </c>
      <c r="BN53" s="91">
        <f t="shared" si="7"/>
        <v>12.66826499</v>
      </c>
      <c r="BO53" s="93">
        <f t="shared" si="8"/>
        <v>7</v>
      </c>
      <c r="BP53" s="91">
        <v>51.0</v>
      </c>
      <c r="BQ53" s="81">
        <f t="shared" si="3"/>
        <v>97.55347059</v>
      </c>
      <c r="BR53" s="91">
        <f>IFERROR(LARGE($AL$3:$AL$102,51),"")</f>
        <v>16.82119059</v>
      </c>
      <c r="BS53" s="91">
        <f t="shared" si="9"/>
        <v>26.43530471</v>
      </c>
      <c r="BT53" s="91">
        <f t="shared" si="10"/>
        <v>5</v>
      </c>
      <c r="BU53" s="81">
        <v>51.0</v>
      </c>
      <c r="BV53" s="81" t="str">
        <f t="shared" si="4"/>
        <v/>
      </c>
      <c r="BW53" s="91"/>
      <c r="BX53" s="91"/>
      <c r="BY53" s="91">
        <f t="array" ref="BY53">IFERROR(VALUE(RIGHT(INDEX(ECR!$E:$E,MATCH(P53,ECR!$C:$C,0)),LEN(INDEX(ECR!$E:$E,MATCH(P53,ECR!$C:$C,0)))-2)),"")</f>
        <v>51</v>
      </c>
      <c r="BZ53" s="91"/>
      <c r="CA53" s="91"/>
      <c r="CB53" s="91"/>
      <c r="CC53" s="91"/>
      <c r="CD53" s="91"/>
      <c r="CE53" s="91"/>
      <c r="CF53" s="91"/>
      <c r="CG53" s="91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17"/>
      <c r="M54" s="2"/>
      <c r="N54" s="117"/>
      <c r="O54" s="73" t="s">
        <v>522</v>
      </c>
      <c r="P54" s="59" t="str">
        <f>VLOOKUP(O54,ECR!E:L,8,FALSE())</f>
        <v>Alvin Kamara</v>
      </c>
      <c r="Q54" s="60" t="str">
        <f>IFERROR(VLOOKUP(Aggregate!$P54,ECR!C:F,2,FALSE()),"-")</f>
        <v>NO</v>
      </c>
      <c r="R54" s="60">
        <f>IFERROR(VLOOKUP(Aggregate!$P54,ECR!C:F,4,FALSE()),"-")</f>
        <v>8</v>
      </c>
      <c r="S54" s="60" t="str">
        <f>Aggregate!$Q54 &amp; "/" &amp; Aggregate!$R54</f>
        <v>NO/8</v>
      </c>
      <c r="T54" s="62">
        <f>IFERROR(VLOOKUP(Aggregate!$P54,RB!A:Q,13,FALSE())/17*(16-Aggregate!$AA54),0)</f>
        <v>67.93786824</v>
      </c>
      <c r="U54" s="62">
        <f>IFERROR(VLOOKUP(Aggregate!$P54,RB!A:Q,14,FALSE())/17*(16-Aggregate!$AA54),0)</f>
        <v>77.96916235</v>
      </c>
      <c r="V54" s="62">
        <f>IFERROR(VLOOKUP(Aggregate!$P54,RB!A:Q,15,FALSE())/17*(16-Aggregate!$AA54),0)</f>
        <v>89.31567059</v>
      </c>
      <c r="W54" s="69">
        <f>AVERAGE(Aggregate!$T54,Aggregate!$U54,Aggregate!$V54,VLOOKUP(Aggregate!$P54,ECR!L:N,3,FALSE))</f>
        <v>76.09293882</v>
      </c>
      <c r="X54" s="69">
        <f>Aggregate!$W54-$Q$1</f>
        <v>-2.29795028</v>
      </c>
      <c r="Y54" s="72">
        <f>MAX(Aggregate!$X54*Scoring!$B$48+1,1)</f>
        <v>1</v>
      </c>
      <c r="Z54" s="73">
        <f>VLOOKUP(Aggregate!$X54,BM:BO,3,FALSE)</f>
        <v>7</v>
      </c>
      <c r="AA54" s="80">
        <f t="array" ref="AA54">VLOOKUP(INDEX(ECR!$E:$E,MATCH(P54,ECR!$C:$C,0)),RISK!A:B,2,FALSE())</f>
        <v>3.368</v>
      </c>
      <c r="AB54" s="81"/>
      <c r="AC54" s="60" t="s">
        <v>524</v>
      </c>
      <c r="AD54" s="60" t="str">
        <f>VLOOKUP(AC54,ECR!E:L,8,FALSE())</f>
        <v>Khalil Shakir</v>
      </c>
      <c r="AE54" s="60" t="str">
        <f>IFERROR(VLOOKUP(Aggregate!$AD54,ECR!C:F,2,FALSE()),"-")</f>
        <v>BUF</v>
      </c>
      <c r="AF54" s="60">
        <f>IFERROR(VLOOKUP(Aggregate!$AD54,ECR!C:F,4,FALSE()),"-")</f>
        <v>7</v>
      </c>
      <c r="AG54" s="60" t="str">
        <f>Aggregate!$AE54 &amp; "/" &amp; Aggregate!$AF54</f>
        <v>BUF/7</v>
      </c>
      <c r="AH54" s="62">
        <f>IFERROR(VLOOKUP(Aggregate!$AD54,WR!A:Q,13,FALSE())/17*(16-Aggregate!$AO54),0)</f>
        <v>85.73823529</v>
      </c>
      <c r="AI54" s="62">
        <f>IFERROR(VLOOKUP(Aggregate!$AD54,WR!A:Q,14,FALSE())/17*(16-Aggregate!$AO54),0)</f>
        <v>93.93582353</v>
      </c>
      <c r="AJ54" s="62">
        <f>IFERROR(VLOOKUP(Aggregate!$AD54,WR!A:Q,15,FALSE())/17*(16-Aggregate!$AO54),0)</f>
        <v>99.30441176</v>
      </c>
      <c r="AK54" s="69">
        <f>AVERAGE(Aggregate!$AH54,Aggregate!$AI54,Aggregate!$AJ54,VLOOKUP(Aggregate!$AD54,ECR!L:N,3,FALSE))</f>
        <v>93.97380882</v>
      </c>
      <c r="AL54" s="69">
        <f>Aggregate!$AK54-$AE$1</f>
        <v>12.45288176</v>
      </c>
      <c r="AM54" s="72">
        <f>MAX(Aggregate!$AL54*Scoring!$B$48+1,1)</f>
        <v>4.262946789</v>
      </c>
      <c r="AN54" s="73">
        <f>VLOOKUP(Aggregate!$AL54,BR:BT,3,FALSE)</f>
        <v>5</v>
      </c>
      <c r="AO54" s="80">
        <f t="array" ref="AO54">VLOOKUP(INDEX(ECR!$E:$E,MATCH(AD54,ECR!$C:$C,0)),RISK!A:B,2,FALSE())</f>
        <v>3.7</v>
      </c>
      <c r="AP54" s="81"/>
      <c r="AQ54" s="85" t="s">
        <v>526</v>
      </c>
      <c r="AR54" s="2"/>
      <c r="AS54" s="117"/>
      <c r="AT54" s="2"/>
      <c r="AU54" s="2"/>
      <c r="AV54" s="2"/>
      <c r="AW54" s="2"/>
      <c r="AX54" s="2"/>
      <c r="AY54" s="2"/>
      <c r="AZ54" s="2"/>
      <c r="BA54" s="2"/>
      <c r="BB54" s="117"/>
      <c r="BC54" s="2"/>
      <c r="BD54" s="2"/>
      <c r="BE54" s="117"/>
      <c r="BF54" s="81">
        <v>52.0</v>
      </c>
      <c r="BG54" s="81" t="str">
        <f t="shared" si="1"/>
        <v/>
      </c>
      <c r="BH54" s="81"/>
      <c r="BI54" s="81"/>
      <c r="BJ54" s="81"/>
      <c r="BK54" s="90">
        <v>52.0</v>
      </c>
      <c r="BL54" s="81">
        <f t="shared" si="2"/>
        <v>69.14905412</v>
      </c>
      <c r="BM54" s="91">
        <f>IFERROR(LARGE($X$3:$X$102,52),"")</f>
        <v>-8.838725574</v>
      </c>
      <c r="BN54" s="91">
        <f t="shared" si="7"/>
        <v>12.66826499</v>
      </c>
      <c r="BO54" s="93">
        <f t="shared" si="8"/>
        <v>7</v>
      </c>
      <c r="BP54" s="91">
        <v>52.0</v>
      </c>
      <c r="BQ54" s="81">
        <f t="shared" si="3"/>
        <v>96.91676471</v>
      </c>
      <c r="BR54" s="91">
        <f>IFERROR(LARGE($AL$3:$AL$102,52),"")</f>
        <v>16.57880824</v>
      </c>
      <c r="BS54" s="91">
        <f t="shared" si="9"/>
        <v>26.43530471</v>
      </c>
      <c r="BT54" s="91">
        <f t="shared" si="10"/>
        <v>5</v>
      </c>
      <c r="BU54" s="81">
        <v>52.0</v>
      </c>
      <c r="BV54" s="81" t="str">
        <f t="shared" si="4"/>
        <v/>
      </c>
      <c r="BW54" s="91"/>
      <c r="BX54" s="91"/>
      <c r="BY54" s="91">
        <f t="array" ref="BY54">IFERROR(VALUE(RIGHT(INDEX(ECR!$E:$E,MATCH(P54,ECR!$C:$C,0)),LEN(INDEX(ECR!$E:$E,MATCH(P54,ECR!$C:$C,0)))-2)),"")</f>
        <v>52</v>
      </c>
      <c r="BZ54" s="91"/>
      <c r="CA54" s="91"/>
      <c r="CB54" s="91"/>
      <c r="CC54" s="91"/>
      <c r="CD54" s="91"/>
      <c r="CE54" s="91"/>
      <c r="CF54" s="91"/>
      <c r="CG54" s="91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17"/>
      <c r="M55" s="2"/>
      <c r="N55" s="117"/>
      <c r="O55" s="73" t="s">
        <v>528</v>
      </c>
      <c r="P55" s="59" t="str">
        <f>VLOOKUP(O55,ECR!E:L,8,FALSE())</f>
        <v>Isiah Pacheco</v>
      </c>
      <c r="Q55" s="60" t="str">
        <f>IFERROR(VLOOKUP(Aggregate!$P55,ECR!C:F,2,FALSE()),"-")</f>
        <v>DET</v>
      </c>
      <c r="R55" s="60">
        <f>IFERROR(VLOOKUP(Aggregate!$P55,ECR!C:F,4,FALSE()),"-")</f>
        <v>6</v>
      </c>
      <c r="S55" s="60" t="str">
        <f>Aggregate!$Q55 &amp; "/" &amp; Aggregate!$R55</f>
        <v>DET/6</v>
      </c>
      <c r="T55" s="62">
        <f>IFERROR(VLOOKUP(Aggregate!$P55,RB!A:Q,13,FALSE())/17*(16-Aggregate!$AA55),0)</f>
        <v>63.10055529</v>
      </c>
      <c r="U55" s="62">
        <f>IFERROR(VLOOKUP(Aggregate!$P55,RB!A:Q,14,FALSE())/17*(16-Aggregate!$AA55),0)</f>
        <v>78.3184</v>
      </c>
      <c r="V55" s="62">
        <f>IFERROR(VLOOKUP(Aggregate!$P55,RB!A:Q,15,FALSE())/17*(16-Aggregate!$AA55),0)</f>
        <v>92.53311529</v>
      </c>
      <c r="W55" s="69">
        <f>AVERAGE(Aggregate!$T55,Aggregate!$U55,Aggregate!$V55,VLOOKUP(Aggregate!$P55,ECR!L:N,3,FALSE))</f>
        <v>75.36102588</v>
      </c>
      <c r="X55" s="69">
        <f>Aggregate!$W55-$Q$1</f>
        <v>-3.029863221</v>
      </c>
      <c r="Y55" s="72">
        <f>MAX(Aggregate!$X55*Scoring!$B$48+1,1)</f>
        <v>1</v>
      </c>
      <c r="Z55" s="73">
        <f>VLOOKUP(Aggregate!$X55,BM:BO,3,FALSE)</f>
        <v>7</v>
      </c>
      <c r="AA55" s="80">
        <f t="array" ref="AA55">VLOOKUP(INDEX(ECR!$E:$E,MATCH(P55,ECR!$C:$C,0)),RISK!A:B,2,FALSE())</f>
        <v>3.368</v>
      </c>
      <c r="AB55" s="81"/>
      <c r="AC55" s="60" t="s">
        <v>530</v>
      </c>
      <c r="AD55" s="60" t="str">
        <f>VLOOKUP(AC55,ECR!E:L,8,FALSE())</f>
        <v>Jordyn Tyson</v>
      </c>
      <c r="AE55" s="60" t="str">
        <f>IFERROR(VLOOKUP(Aggregate!$AD55,ECR!C:F,2,FALSE()),"-")</f>
        <v>NO</v>
      </c>
      <c r="AF55" s="60">
        <f>IFERROR(VLOOKUP(Aggregate!$AD55,ECR!C:F,4,FALSE()),"-")</f>
        <v>8</v>
      </c>
      <c r="AG55" s="60" t="str">
        <f>Aggregate!$AE55 &amp; "/" &amp; Aggregate!$AF55</f>
        <v>NO/8</v>
      </c>
      <c r="AH55" s="62">
        <f>IFERROR(VLOOKUP(Aggregate!$AD55,WR!A:Q,13,FALSE())/17*(16-Aggregate!$AO55),0)</f>
        <v>81.65405647</v>
      </c>
      <c r="AI55" s="62">
        <f>IFERROR(VLOOKUP(Aggregate!$AD55,WR!A:Q,14,FALSE())/17*(16-Aggregate!$AO55),0)</f>
        <v>87.25417412</v>
      </c>
      <c r="AJ55" s="62">
        <f>IFERROR(VLOOKUP(Aggregate!$AD55,WR!A:Q,15,FALSE())/17*(16-Aggregate!$AO55),0)</f>
        <v>92.42017412</v>
      </c>
      <c r="AK55" s="69">
        <f>AVERAGE(Aggregate!$AH55,Aggregate!$AI55,Aggregate!$AJ55,VLOOKUP(Aggregate!$AD55,ECR!L:N,3,FALSE))</f>
        <v>89.53155529</v>
      </c>
      <c r="AL55" s="69">
        <f>Aggregate!$AK55-$AE$1</f>
        <v>8.010628235</v>
      </c>
      <c r="AM55" s="72">
        <f>MAX(Aggregate!$AL55*Scoring!$B$48+1,1)</f>
        <v>3.098972284</v>
      </c>
      <c r="AN55" s="73">
        <f>VLOOKUP(Aggregate!$AL55,BR:BT,3,FALSE)</f>
        <v>5</v>
      </c>
      <c r="AO55" s="80">
        <f t="array" ref="AO55">VLOOKUP(INDEX(ECR!$E:$E,MATCH(AD55,ECR!$C:$C,0)),RISK!A:B,2,FALSE())</f>
        <v>3.7</v>
      </c>
      <c r="AP55" s="81"/>
      <c r="AQ55" s="85" t="s">
        <v>531</v>
      </c>
      <c r="AR55" s="2"/>
      <c r="AS55" s="117"/>
      <c r="AT55" s="2"/>
      <c r="AU55" s="2"/>
      <c r="AV55" s="2"/>
      <c r="AW55" s="2"/>
      <c r="AX55" s="2"/>
      <c r="AY55" s="2"/>
      <c r="AZ55" s="2"/>
      <c r="BA55" s="2"/>
      <c r="BB55" s="117"/>
      <c r="BC55" s="2"/>
      <c r="BD55" s="2"/>
      <c r="BE55" s="117"/>
      <c r="BF55" s="81">
        <v>53.0</v>
      </c>
      <c r="BG55" s="81" t="str">
        <f t="shared" si="1"/>
        <v/>
      </c>
      <c r="BH55" s="81"/>
      <c r="BI55" s="81"/>
      <c r="BJ55" s="81"/>
      <c r="BK55" s="90">
        <v>53.0</v>
      </c>
      <c r="BL55" s="81">
        <f t="shared" si="2"/>
        <v>67.49203294</v>
      </c>
      <c r="BM55" s="91">
        <f>IFERROR(LARGE($X$3:$X$102,53),"")</f>
        <v>-9.856716162</v>
      </c>
      <c r="BN55" s="91">
        <f t="shared" si="7"/>
        <v>12.66826499</v>
      </c>
      <c r="BO55" s="93">
        <f t="shared" si="8"/>
        <v>7</v>
      </c>
      <c r="BP55" s="91">
        <v>53.0</v>
      </c>
      <c r="BQ55" s="81">
        <f t="shared" si="3"/>
        <v>96.79781647</v>
      </c>
      <c r="BR55" s="91">
        <f>IFERROR(LARGE($AL$3:$AL$102,53),"")</f>
        <v>15.63098471</v>
      </c>
      <c r="BS55" s="91">
        <f t="shared" si="9"/>
        <v>26.43530471</v>
      </c>
      <c r="BT55" s="91">
        <f t="shared" si="10"/>
        <v>5</v>
      </c>
      <c r="BU55" s="81">
        <v>53.0</v>
      </c>
      <c r="BV55" s="81" t="str">
        <f t="shared" si="4"/>
        <v/>
      </c>
      <c r="BW55" s="91"/>
      <c r="BX55" s="91"/>
      <c r="BY55" s="91">
        <f t="array" ref="BY55">IFERROR(VALUE(RIGHT(INDEX(ECR!$E:$E,MATCH(P55,ECR!$C:$C,0)),LEN(INDEX(ECR!$E:$E,MATCH(P55,ECR!$C:$C,0)))-2)),"")</f>
        <v>53</v>
      </c>
      <c r="BZ55" s="91"/>
      <c r="CA55" s="91"/>
      <c r="CB55" s="91"/>
      <c r="CC55" s="91"/>
      <c r="CD55" s="91"/>
      <c r="CE55" s="91"/>
      <c r="CF55" s="91"/>
      <c r="CG55" s="91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17"/>
      <c r="M56" s="2"/>
      <c r="N56" s="117"/>
      <c r="O56" s="73" t="s">
        <v>533</v>
      </c>
      <c r="P56" s="59" t="str">
        <f>VLOOKUP(O56,ECR!E:L,8,FALSE())</f>
        <v>Brian Robinson Jr.</v>
      </c>
      <c r="Q56" s="60" t="str">
        <f>IFERROR(VLOOKUP(Aggregate!$P56,ECR!C:F,2,FALSE()),"-")</f>
        <v>ATL</v>
      </c>
      <c r="R56" s="60">
        <f>IFERROR(VLOOKUP(Aggregate!$P56,ECR!C:F,4,FALSE()),"-")</f>
        <v>11</v>
      </c>
      <c r="S56" s="60" t="str">
        <f>Aggregate!$Q56 &amp; "/" &amp; Aggregate!$R56</f>
        <v>ATL/11</v>
      </c>
      <c r="T56" s="62">
        <f>IFERROR(VLOOKUP(Aggregate!$P56,RB!A:Q,13,FALSE())/17*(16-Aggregate!$AA56),0)</f>
        <v>57.51275294</v>
      </c>
      <c r="U56" s="62">
        <f>IFERROR(VLOOKUP(Aggregate!$P56,RB!A:Q,14,FALSE())/17*(16-Aggregate!$AA56),0)</f>
        <v>62.25346824</v>
      </c>
      <c r="V56" s="62">
        <f>IFERROR(VLOOKUP(Aggregate!$P56,RB!A:Q,15,FALSE())/17*(16-Aggregate!$AA56),0)</f>
        <v>67.72981176</v>
      </c>
      <c r="W56" s="69">
        <f>AVERAGE(Aggregate!$T56,Aggregate!$U56,Aggregate!$V56,VLOOKUP(Aggregate!$P56,ECR!L:N,3,FALSE))</f>
        <v>63.70800588</v>
      </c>
      <c r="X56" s="69">
        <f>Aggregate!$W56-$Q$1</f>
        <v>-14.68288322</v>
      </c>
      <c r="Y56" s="72">
        <f>MAX(Aggregate!$X56*Scoring!$B$48+1,1)</f>
        <v>1</v>
      </c>
      <c r="Z56" s="73">
        <f>VLOOKUP(Aggregate!$X56,BM:BO,3,FALSE)</f>
        <v>8</v>
      </c>
      <c r="AA56" s="80">
        <f t="array" ref="AA56">VLOOKUP(INDEX(ECR!$E:$E,MATCH(P56,ECR!$C:$C,0)),RISK!A:B,2,FALSE())</f>
        <v>3.368</v>
      </c>
      <c r="AB56" s="81"/>
      <c r="AC56" s="60" t="s">
        <v>535</v>
      </c>
      <c r="AD56" s="60" t="str">
        <f>VLOOKUP(AC56,ECR!E:L,8,FALSE())</f>
        <v>Romeo Doubs</v>
      </c>
      <c r="AE56" s="60" t="str">
        <f>IFERROR(VLOOKUP(Aggregate!$AD56,ECR!C:F,2,FALSE()),"-")</f>
        <v>NE</v>
      </c>
      <c r="AF56" s="60">
        <f>IFERROR(VLOOKUP(Aggregate!$AD56,ECR!C:F,4,FALSE()),"-")</f>
        <v>11</v>
      </c>
      <c r="AG56" s="60" t="str">
        <f>Aggregate!$AE56 &amp; "/" &amp; Aggregate!$AF56</f>
        <v>NE/11</v>
      </c>
      <c r="AH56" s="62">
        <f>IFERROR(VLOOKUP(Aggregate!$AD56,WR!A:Q,13,FALSE())/17*(16-Aggregate!$AO56),0)</f>
        <v>88.191</v>
      </c>
      <c r="AI56" s="62">
        <f>IFERROR(VLOOKUP(Aggregate!$AD56,WR!A:Q,14,FALSE())/17*(16-Aggregate!$AO56),0)</f>
        <v>97.55347059</v>
      </c>
      <c r="AJ56" s="62">
        <f>IFERROR(VLOOKUP(Aggregate!$AD56,WR!A:Q,15,FALSE())/17*(16-Aggregate!$AO56),0)</f>
        <v>106.5758824</v>
      </c>
      <c r="AK56" s="69">
        <f>AVERAGE(Aggregate!$AH56,Aggregate!$AI56,Aggregate!$AJ56,VLOOKUP(Aggregate!$AD56,ECR!L:N,3,FALSE))</f>
        <v>97.15191176</v>
      </c>
      <c r="AL56" s="69">
        <f>Aggregate!$AK56-$AE$1</f>
        <v>15.63098471</v>
      </c>
      <c r="AM56" s="72">
        <f>MAX(Aggregate!$AL56*Scoring!$B$48+1,1)</f>
        <v>5.095684221</v>
      </c>
      <c r="AN56" s="73">
        <f>VLOOKUP(Aggregate!$AL56,BR:BT,3,FALSE)</f>
        <v>5</v>
      </c>
      <c r="AO56" s="80">
        <f t="array" ref="AO56">VLOOKUP(INDEX(ECR!$E:$E,MATCH(AD56,ECR!$C:$C,0)),RISK!A:B,2,FALSE())</f>
        <v>3.7</v>
      </c>
      <c r="AP56" s="81"/>
      <c r="AQ56" s="85" t="s">
        <v>537</v>
      </c>
      <c r="AR56" s="2"/>
      <c r="AS56" s="117"/>
      <c r="AT56" s="2"/>
      <c r="AU56" s="2"/>
      <c r="AV56" s="2"/>
      <c r="AW56" s="2"/>
      <c r="AX56" s="2"/>
      <c r="AY56" s="2"/>
      <c r="AZ56" s="2"/>
      <c r="BA56" s="2"/>
      <c r="BB56" s="117"/>
      <c r="BC56" s="2"/>
      <c r="BD56" s="2"/>
      <c r="BE56" s="117"/>
      <c r="BF56" s="81">
        <v>54.0</v>
      </c>
      <c r="BG56" s="81" t="str">
        <f t="shared" si="1"/>
        <v/>
      </c>
      <c r="BH56" s="81"/>
      <c r="BI56" s="81"/>
      <c r="BJ56" s="81"/>
      <c r="BK56" s="90">
        <v>54.0</v>
      </c>
      <c r="BL56" s="81">
        <f t="shared" si="2"/>
        <v>67.33599059</v>
      </c>
      <c r="BM56" s="91">
        <f>IFERROR(LARGE($X$3:$X$102,54),"")</f>
        <v>-11.39585849</v>
      </c>
      <c r="BN56" s="91">
        <f t="shared" si="7"/>
        <v>12.66826499</v>
      </c>
      <c r="BO56" s="93">
        <f t="shared" si="8"/>
        <v>7</v>
      </c>
      <c r="BP56" s="91">
        <v>54.0</v>
      </c>
      <c r="BQ56" s="81">
        <f t="shared" si="3"/>
        <v>96.28729412</v>
      </c>
      <c r="BR56" s="91">
        <f>IFERROR(LARGE($AL$3:$AL$102,54),"")</f>
        <v>15.52108059</v>
      </c>
      <c r="BS56" s="91">
        <f t="shared" si="9"/>
        <v>26.43530471</v>
      </c>
      <c r="BT56" s="91">
        <f t="shared" si="10"/>
        <v>5</v>
      </c>
      <c r="BU56" s="81">
        <v>54.0</v>
      </c>
      <c r="BV56" s="81" t="str">
        <f t="shared" si="4"/>
        <v/>
      </c>
      <c r="BW56" s="91"/>
      <c r="BX56" s="91"/>
      <c r="BY56" s="91">
        <f t="array" ref="BY56">IFERROR(VALUE(RIGHT(INDEX(ECR!$E:$E,MATCH(P56,ECR!$C:$C,0)),LEN(INDEX(ECR!$E:$E,MATCH(P56,ECR!$C:$C,0)))-2)),"")</f>
        <v>54</v>
      </c>
      <c r="BZ56" s="91"/>
      <c r="CA56" s="91"/>
      <c r="CB56" s="91"/>
      <c r="CC56" s="91"/>
      <c r="CD56" s="91"/>
      <c r="CE56" s="91"/>
      <c r="CF56" s="91"/>
      <c r="CG56" s="91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17"/>
      <c r="M57" s="2"/>
      <c r="N57" s="117"/>
      <c r="O57" s="73" t="s">
        <v>538</v>
      </c>
      <c r="P57" s="59" t="str">
        <f>VLOOKUP(O57,ECR!E:L,8,FALSE())</f>
        <v>Braelon Allen</v>
      </c>
      <c r="Q57" s="60" t="str">
        <f>IFERROR(VLOOKUP(Aggregate!$P57,ECR!C:F,2,FALSE()),"-")</f>
        <v>NYJ</v>
      </c>
      <c r="R57" s="60">
        <f>IFERROR(VLOOKUP(Aggregate!$P57,ECR!C:F,4,FALSE()),"-")</f>
        <v>13</v>
      </c>
      <c r="S57" s="60" t="str">
        <f>Aggregate!$Q57 &amp; "/" &amp; Aggregate!$R57</f>
        <v>NYJ/13</v>
      </c>
      <c r="T57" s="62">
        <f>IFERROR(VLOOKUP(Aggregate!$P57,RB!A:Q,13,FALSE())/17*(16-Aggregate!$AA57),0)</f>
        <v>47.56319529</v>
      </c>
      <c r="U57" s="62">
        <f>IFERROR(VLOOKUP(Aggregate!$P57,RB!A:Q,14,FALSE())/17*(16-Aggregate!$AA57),0)</f>
        <v>66.67466824</v>
      </c>
      <c r="V57" s="62">
        <f>IFERROR(VLOOKUP(Aggregate!$P57,RB!A:Q,15,FALSE())/17*(16-Aggregate!$AA57),0)</f>
        <v>85.30315294</v>
      </c>
      <c r="W57" s="69">
        <f>AVERAGE(Aggregate!$T57,Aggregate!$U57,Aggregate!$V57,VLOOKUP(Aggregate!$P57,ECR!L:N,3,FALSE))</f>
        <v>66.67281059</v>
      </c>
      <c r="X57" s="69">
        <f>Aggregate!$W57-$Q$1</f>
        <v>-11.71807852</v>
      </c>
      <c r="Y57" s="72">
        <f>MAX(Aggregate!$X57*Scoring!$B$48+1,1)</f>
        <v>1</v>
      </c>
      <c r="Z57" s="73">
        <f>VLOOKUP(Aggregate!$X57,BM:BO,3,FALSE)</f>
        <v>7</v>
      </c>
      <c r="AA57" s="80">
        <f t="array" ref="AA57">VLOOKUP(INDEX(ECR!$E:$E,MATCH(P57,ECR!$C:$C,0)),RISK!A:B,2,FALSE())</f>
        <v>3.368</v>
      </c>
      <c r="AB57" s="81"/>
      <c r="AC57" s="60" t="s">
        <v>540</v>
      </c>
      <c r="AD57" s="60" t="str">
        <f>VLOOKUP(AC57,ECR!E:L,8,FALSE())</f>
        <v>Deebo Samuel Sr.</v>
      </c>
      <c r="AE57" s="60" t="str">
        <f>IFERROR(VLOOKUP(Aggregate!$AD57,ECR!C:F,2,FALSE()),"-")</f>
        <v>SF</v>
      </c>
      <c r="AF57" s="60">
        <f>IFERROR(VLOOKUP(Aggregate!$AD57,ECR!C:F,4,FALSE()),"-")</f>
        <v>8</v>
      </c>
      <c r="AG57" s="60" t="str">
        <f>Aggregate!$AE57 &amp; "/" &amp; Aggregate!$AF57</f>
        <v>SF/8</v>
      </c>
      <c r="AH57" s="62">
        <f>IFERROR(VLOOKUP(Aggregate!$AD57,WR!A:Q,13,FALSE())/17*(16-Aggregate!$AO57),0)</f>
        <v>93.90688235</v>
      </c>
      <c r="AI57" s="62">
        <f>IFERROR(VLOOKUP(Aggregate!$AD57,WR!A:Q,14,FALSE())/17*(16-Aggregate!$AO57),0)</f>
        <v>100.9974706</v>
      </c>
      <c r="AJ57" s="62">
        <f>IFERROR(VLOOKUP(Aggregate!$AD57,WR!A:Q,15,FALSE())/17*(16-Aggregate!$AO57),0)</f>
        <v>107.6177647</v>
      </c>
      <c r="AK57" s="69">
        <f>AVERAGE(Aggregate!$AH57,Aggregate!$AI57,Aggregate!$AJ57,VLOOKUP(Aggregate!$AD57,ECR!L:N,3,FALSE))</f>
        <v>99.58297059</v>
      </c>
      <c r="AL57" s="69">
        <f>Aggregate!$AK57-$AE$1</f>
        <v>18.06204353</v>
      </c>
      <c r="AM57" s="72">
        <f>MAX(Aggregate!$AL57*Scoring!$B$48+1,1)</f>
        <v>5.732678592</v>
      </c>
      <c r="AN57" s="73">
        <f>VLOOKUP(Aggregate!$AL57,BR:BT,3,FALSE)</f>
        <v>5</v>
      </c>
      <c r="AO57" s="80">
        <f t="array" ref="AO57">VLOOKUP(INDEX(ECR!$E:$E,MATCH(AD57,ECR!$C:$C,0)),RISK!A:B,2,FALSE())</f>
        <v>3.7</v>
      </c>
      <c r="AP57" s="81"/>
      <c r="AQ57" s="85" t="s">
        <v>542</v>
      </c>
      <c r="AR57" s="2"/>
      <c r="AS57" s="117"/>
      <c r="AT57" s="2"/>
      <c r="AU57" s="2"/>
      <c r="AV57" s="2"/>
      <c r="AW57" s="2"/>
      <c r="AX57" s="2"/>
      <c r="AY57" s="2"/>
      <c r="AZ57" s="2"/>
      <c r="BA57" s="2"/>
      <c r="BB57" s="117"/>
      <c r="BC57" s="2"/>
      <c r="BD57" s="2"/>
      <c r="BE57" s="117"/>
      <c r="BF57" s="81">
        <v>55.0</v>
      </c>
      <c r="BG57" s="81" t="str">
        <f t="shared" si="1"/>
        <v/>
      </c>
      <c r="BH57" s="81"/>
      <c r="BI57" s="81"/>
      <c r="BJ57" s="81"/>
      <c r="BK57" s="90">
        <v>55.0</v>
      </c>
      <c r="BL57" s="81">
        <f t="shared" si="2"/>
        <v>67.15022588</v>
      </c>
      <c r="BM57" s="91">
        <f>IFERROR(LARGE($X$3:$X$102,55),"")</f>
        <v>-11.71807852</v>
      </c>
      <c r="BN57" s="91">
        <f t="shared" si="7"/>
        <v>12.66826499</v>
      </c>
      <c r="BO57" s="93">
        <f t="shared" si="8"/>
        <v>7</v>
      </c>
      <c r="BP57" s="91">
        <v>55.0</v>
      </c>
      <c r="BQ57" s="81">
        <f t="shared" si="3"/>
        <v>95.80976471</v>
      </c>
      <c r="BR57" s="91">
        <f>IFERROR(LARGE($AL$3:$AL$102,55),"")</f>
        <v>13.43326412</v>
      </c>
      <c r="BS57" s="91">
        <f t="shared" si="9"/>
        <v>26.43530471</v>
      </c>
      <c r="BT57" s="91">
        <f t="shared" si="10"/>
        <v>5</v>
      </c>
      <c r="BU57" s="81">
        <v>55.0</v>
      </c>
      <c r="BV57" s="81" t="str">
        <f t="shared" si="4"/>
        <v/>
      </c>
      <c r="BW57" s="91"/>
      <c r="BX57" s="91"/>
      <c r="BY57" s="91">
        <f t="array" ref="BY57">IFERROR(VALUE(RIGHT(INDEX(ECR!$E:$E,MATCH(P57,ECR!$C:$C,0)),LEN(INDEX(ECR!$E:$E,MATCH(P57,ECR!$C:$C,0)))-2)),"")</f>
        <v>55</v>
      </c>
      <c r="BZ57" s="91"/>
      <c r="CA57" s="91"/>
      <c r="CB57" s="91"/>
      <c r="CC57" s="91"/>
      <c r="CD57" s="91"/>
      <c r="CE57" s="91"/>
      <c r="CF57" s="91"/>
      <c r="CG57" s="91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17"/>
      <c r="M58" s="2"/>
      <c r="N58" s="117"/>
      <c r="O58" s="73" t="s">
        <v>544</v>
      </c>
      <c r="P58" s="59" t="str">
        <f>VLOOKUP(O58,ECR!E:L,8,FALSE())</f>
        <v>MarShawn Lloyd</v>
      </c>
      <c r="Q58" s="60" t="str">
        <f>IFERROR(VLOOKUP(Aggregate!$P58,ECR!C:F,2,FALSE()),"-")</f>
        <v>GB</v>
      </c>
      <c r="R58" s="60">
        <f>IFERROR(VLOOKUP(Aggregate!$P58,ECR!C:F,4,FALSE()),"-")</f>
        <v>11</v>
      </c>
      <c r="S58" s="60" t="str">
        <f>Aggregate!$Q58 &amp; "/" &amp; Aggregate!$R58</f>
        <v>GB/11</v>
      </c>
      <c r="T58" s="62">
        <f>IFERROR(VLOOKUP(Aggregate!$P58,RB!A:Q,13,FALSE())/17*(16-Aggregate!$AA58),0)</f>
        <v>15.30701176</v>
      </c>
      <c r="U58" s="62">
        <f>IFERROR(VLOOKUP(Aggregate!$P58,RB!A:Q,14,FALSE())/17*(16-Aggregate!$AA58),0)</f>
        <v>37.03405176</v>
      </c>
      <c r="V58" s="62">
        <f>IFERROR(VLOOKUP(Aggregate!$P58,RB!A:Q,15,FALSE())/17*(16-Aggregate!$AA58),0)</f>
        <v>58.34497882</v>
      </c>
      <c r="W58" s="69">
        <f>AVERAGE(Aggregate!$T58,Aggregate!$U58,Aggregate!$V58,VLOOKUP(Aggregate!$P58,ECR!L:N,3,FALSE))</f>
        <v>44.34017765</v>
      </c>
      <c r="X58" s="69">
        <f>Aggregate!$W58-$Q$1</f>
        <v>-34.05071146</v>
      </c>
      <c r="Y58" s="72">
        <f>MAX(Aggregate!$X58*Scoring!$B$48+1,1)</f>
        <v>1</v>
      </c>
      <c r="Z58" s="73">
        <f>VLOOKUP(Aggregate!$X58,BM:BO,3,FALSE)</f>
        <v>8</v>
      </c>
      <c r="AA58" s="80">
        <f t="array" ref="AA58">VLOOKUP(INDEX(ECR!$E:$E,MATCH(P58,ECR!$C:$C,0)),RISK!A:B,2,FALSE())</f>
        <v>3.368</v>
      </c>
      <c r="AB58" s="81"/>
      <c r="AC58" s="60" t="s">
        <v>546</v>
      </c>
      <c r="AD58" s="60" t="str">
        <f>VLOOKUP(AC58,ECR!E:L,8,FALSE())</f>
        <v>De'Zhaun Stribling</v>
      </c>
      <c r="AE58" s="60" t="str">
        <f>IFERROR(VLOOKUP(Aggregate!$AD58,ECR!C:F,2,FALSE()),"-")</f>
        <v>SF</v>
      </c>
      <c r="AF58" s="60">
        <f>IFERROR(VLOOKUP(Aggregate!$AD58,ECR!C:F,4,FALSE()),"-")</f>
        <v>8</v>
      </c>
      <c r="AG58" s="60" t="str">
        <f>Aggregate!$AE58 &amp; "/" &amp; Aggregate!$AF58</f>
        <v>SF/8</v>
      </c>
      <c r="AH58" s="62">
        <f>IFERROR(VLOOKUP(Aggregate!$AD58,WR!A:Q,13,FALSE())/17*(16-Aggregate!$AO58),0)</f>
        <v>92.12410588</v>
      </c>
      <c r="AI58" s="62">
        <f>IFERROR(VLOOKUP(Aggregate!$AD58,WR!A:Q,14,FALSE())/17*(16-Aggregate!$AO58),0)</f>
        <v>106.7321647</v>
      </c>
      <c r="AJ58" s="62">
        <f>IFERROR(VLOOKUP(Aggregate!$AD58,WR!A:Q,15,FALSE())/17*(16-Aggregate!$AO58),0)</f>
        <v>120.9495176</v>
      </c>
      <c r="AK58" s="69">
        <f>AVERAGE(Aggregate!$AH58,Aggregate!$AI58,Aggregate!$AJ58,VLOOKUP(Aggregate!$AD58,ECR!L:N,3,FALSE))</f>
        <v>103.4354029</v>
      </c>
      <c r="AL58" s="69">
        <f>Aggregate!$AK58-$AE$1</f>
        <v>21.91447588</v>
      </c>
      <c r="AM58" s="72">
        <f>MAX(Aggregate!$AL58*Scoring!$B$48+1,1)</f>
        <v>6.742106129</v>
      </c>
      <c r="AN58" s="73">
        <f>VLOOKUP(Aggregate!$AL58,BR:BT,3,FALSE)</f>
        <v>5</v>
      </c>
      <c r="AO58" s="80">
        <f t="array" ref="AO58">VLOOKUP(INDEX(ECR!$E:$E,MATCH(AD58,ECR!$C:$C,0)),RISK!A:B,2,FALSE())</f>
        <v>3.7</v>
      </c>
      <c r="AP58" s="81"/>
      <c r="AQ58" s="85" t="s">
        <v>548</v>
      </c>
      <c r="AR58" s="2"/>
      <c r="AS58" s="117"/>
      <c r="AT58" s="2"/>
      <c r="AU58" s="2"/>
      <c r="AV58" s="2"/>
      <c r="AW58" s="2"/>
      <c r="AX58" s="2"/>
      <c r="AY58" s="2"/>
      <c r="AZ58" s="2"/>
      <c r="BA58" s="2"/>
      <c r="BB58" s="117"/>
      <c r="BC58" s="2"/>
      <c r="BD58" s="2"/>
      <c r="BE58" s="117"/>
      <c r="BF58" s="81">
        <v>56.0</v>
      </c>
      <c r="BG58" s="81" t="str">
        <f t="shared" si="1"/>
        <v/>
      </c>
      <c r="BH58" s="81"/>
      <c r="BI58" s="81"/>
      <c r="BJ58" s="81"/>
      <c r="BK58" s="90">
        <v>56.0</v>
      </c>
      <c r="BL58" s="81">
        <f t="shared" si="2"/>
        <v>66.67466824</v>
      </c>
      <c r="BM58" s="91">
        <f>IFERROR(LARGE($X$3:$X$102,56),"")</f>
        <v>-12.65619028</v>
      </c>
      <c r="BN58" s="91">
        <f t="shared" si="7"/>
        <v>-12.65619028</v>
      </c>
      <c r="BO58" s="93">
        <f t="shared" si="8"/>
        <v>8</v>
      </c>
      <c r="BP58" s="91">
        <v>56.0</v>
      </c>
      <c r="BQ58" s="81">
        <f t="shared" si="3"/>
        <v>93.93582353</v>
      </c>
      <c r="BR58" s="91">
        <f>IFERROR(LARGE($AL$3:$AL$102,56),"")</f>
        <v>12.91955824</v>
      </c>
      <c r="BS58" s="91">
        <f t="shared" si="9"/>
        <v>26.43530471</v>
      </c>
      <c r="BT58" s="91">
        <f t="shared" si="10"/>
        <v>5</v>
      </c>
      <c r="BU58" s="81">
        <v>56.0</v>
      </c>
      <c r="BV58" s="81" t="str">
        <f t="shared" si="4"/>
        <v/>
      </c>
      <c r="BW58" s="91"/>
      <c r="BX58" s="91"/>
      <c r="BY58" s="91">
        <f t="array" ref="BY58">IFERROR(VALUE(RIGHT(INDEX(ECR!$E:$E,MATCH(P58,ECR!$C:$C,0)),LEN(INDEX(ECR!$E:$E,MATCH(P58,ECR!$C:$C,0)))-2)),"")</f>
        <v>56</v>
      </c>
      <c r="BZ58" s="91"/>
      <c r="CA58" s="91"/>
      <c r="CB58" s="91"/>
      <c r="CC58" s="91"/>
      <c r="CD58" s="91"/>
      <c r="CE58" s="91"/>
      <c r="CF58" s="91"/>
      <c r="CG58" s="91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17"/>
      <c r="M59" s="2"/>
      <c r="N59" s="117"/>
      <c r="O59" s="73" t="s">
        <v>549</v>
      </c>
      <c r="P59" s="59" t="str">
        <f>VLOOKUP(O59,ECR!E:L,8,FALSE())</f>
        <v>Mike Washington Jr.</v>
      </c>
      <c r="Q59" s="60" t="str">
        <f>IFERROR(VLOOKUP(Aggregate!$P59,ECR!C:F,2,FALSE()),"-")</f>
        <v>LV</v>
      </c>
      <c r="R59" s="60">
        <f>IFERROR(VLOOKUP(Aggregate!$P59,ECR!C:F,4,FALSE()),"-")</f>
        <v>13</v>
      </c>
      <c r="S59" s="60" t="str">
        <f>Aggregate!$Q59 &amp; "/" &amp; Aggregate!$R59</f>
        <v>LV/13</v>
      </c>
      <c r="T59" s="62">
        <f>IFERROR(VLOOKUP(Aggregate!$P59,RB!A:Q,13,FALSE())/17*(16-Aggregate!$AA59),0)</f>
        <v>73.64472347</v>
      </c>
      <c r="U59" s="62">
        <f>IFERROR(VLOOKUP(Aggregate!$P59,RB!A:Q,14,FALSE())/17*(16-Aggregate!$AA59),0)</f>
        <v>99.12421053</v>
      </c>
      <c r="V59" s="62">
        <f>IFERROR(VLOOKUP(Aggregate!$P59,RB!A:Q,15,FALSE())/17*(16-Aggregate!$AA59),0)</f>
        <v>125.0495329</v>
      </c>
      <c r="W59" s="69">
        <f>AVERAGE(Aggregate!$T59,Aggregate!$U59,Aggregate!$V59,VLOOKUP(Aggregate!$P59,ECR!L:N,3,FALSE))</f>
        <v>91.05915409</v>
      </c>
      <c r="X59" s="69">
        <f>Aggregate!$W59-$Q$1</f>
        <v>12.66826499</v>
      </c>
      <c r="Y59" s="72">
        <f>MAX(Aggregate!$X59*Scoring!$B$48+1,1)</f>
        <v>4.319382239</v>
      </c>
      <c r="Z59" s="73">
        <f>VLOOKUP(Aggregate!$X59,BM:BO,3,FALSE)</f>
        <v>7</v>
      </c>
      <c r="AA59" s="80">
        <f t="array" ref="AA59">VLOOKUP(INDEX(ECR!$E:$E,MATCH(P59,ECR!$C:$C,0)),RISK!A:B,2,FALSE())</f>
        <v>3.368</v>
      </c>
      <c r="AB59" s="81"/>
      <c r="AC59" s="60" t="s">
        <v>551</v>
      </c>
      <c r="AD59" s="60" t="str">
        <f>VLOOKUP(AC59,ECR!E:L,8,FALSE())</f>
        <v>Rashid Shaheed</v>
      </c>
      <c r="AE59" s="60" t="str">
        <f>IFERROR(VLOOKUP(Aggregate!$AD59,ECR!C:F,2,FALSE()),"-")</f>
        <v>SEA</v>
      </c>
      <c r="AF59" s="60">
        <f>IFERROR(VLOOKUP(Aggregate!$AD59,ECR!C:F,4,FALSE()),"-")</f>
        <v>11</v>
      </c>
      <c r="AG59" s="60" t="str">
        <f>Aggregate!$AE59 &amp; "/" &amp; Aggregate!$AF59</f>
        <v>SEA/11</v>
      </c>
      <c r="AH59" s="62">
        <f>IFERROR(VLOOKUP(Aggregate!$AD59,WR!A:Q,13,FALSE())/17*(16-Aggregate!$AO59),0)</f>
        <v>82.27976471</v>
      </c>
      <c r="AI59" s="62">
        <f>IFERROR(VLOOKUP(Aggregate!$AD59,WR!A:Q,14,FALSE())/17*(16-Aggregate!$AO59),0)</f>
        <v>95.80976471</v>
      </c>
      <c r="AJ59" s="62">
        <f>IFERROR(VLOOKUP(Aggregate!$AD59,WR!A:Q,15,FALSE())/17*(16-Aggregate!$AO59),0)</f>
        <v>108.4570588</v>
      </c>
      <c r="AK59" s="69">
        <f>AVERAGE(Aggregate!$AH59,Aggregate!$AI59,Aggregate!$AJ59,VLOOKUP(Aggregate!$AD59,ECR!L:N,3,FALSE))</f>
        <v>94.95419118</v>
      </c>
      <c r="AL59" s="69">
        <f>Aggregate!$AK59-$AE$1</f>
        <v>13.43326412</v>
      </c>
      <c r="AM59" s="72">
        <f>MAX(Aggregate!$AL59*Scoring!$B$48+1,1)</f>
        <v>4.519829935</v>
      </c>
      <c r="AN59" s="73">
        <f>VLOOKUP(Aggregate!$AL59,BR:BT,3,FALSE)</f>
        <v>5</v>
      </c>
      <c r="AO59" s="80">
        <f t="array" ref="AO59">VLOOKUP(INDEX(ECR!$E:$E,MATCH(AD59,ECR!$C:$C,0)),RISK!A:B,2,FALSE())</f>
        <v>3.7</v>
      </c>
      <c r="AP59" s="81"/>
      <c r="AQ59" s="85" t="s">
        <v>554</v>
      </c>
      <c r="AR59" s="2"/>
      <c r="AS59" s="117"/>
      <c r="AT59" s="2"/>
      <c r="AU59" s="2"/>
      <c r="AV59" s="2"/>
      <c r="AW59" s="2"/>
      <c r="AX59" s="2"/>
      <c r="AY59" s="2"/>
      <c r="AZ59" s="2"/>
      <c r="BA59" s="2"/>
      <c r="BB59" s="117"/>
      <c r="BC59" s="2"/>
      <c r="BD59" s="2"/>
      <c r="BE59" s="117"/>
      <c r="BF59" s="81">
        <v>57.0</v>
      </c>
      <c r="BG59" s="81" t="str">
        <f t="shared" si="1"/>
        <v/>
      </c>
      <c r="BH59" s="91"/>
      <c r="BI59" s="91"/>
      <c r="BJ59" s="91"/>
      <c r="BK59" s="90">
        <v>57.0</v>
      </c>
      <c r="BL59" s="81">
        <f t="shared" si="2"/>
        <v>66.41814947</v>
      </c>
      <c r="BM59" s="91">
        <f>IFERROR(LARGE($X$3:$X$102,57),"")</f>
        <v>-13.01576759</v>
      </c>
      <c r="BN59" s="91">
        <f t="shared" si="7"/>
        <v>-12.65619028</v>
      </c>
      <c r="BO59" s="93">
        <f t="shared" si="8"/>
        <v>8</v>
      </c>
      <c r="BP59" s="91">
        <v>57.0</v>
      </c>
      <c r="BQ59" s="81">
        <f t="shared" si="3"/>
        <v>93.27017647</v>
      </c>
      <c r="BR59" s="91">
        <f>IFERROR(LARGE($AL$3:$AL$102,57),"")</f>
        <v>12.45288176</v>
      </c>
      <c r="BS59" s="91">
        <f t="shared" si="9"/>
        <v>26.43530471</v>
      </c>
      <c r="BT59" s="91">
        <f t="shared" si="10"/>
        <v>5</v>
      </c>
      <c r="BU59" s="81">
        <v>57.0</v>
      </c>
      <c r="BV59" s="81" t="str">
        <f t="shared" si="4"/>
        <v/>
      </c>
      <c r="BW59" s="91"/>
      <c r="BX59" s="91"/>
      <c r="BY59" s="91">
        <f t="array" ref="BY59">IFERROR(VALUE(RIGHT(INDEX(ECR!$E:$E,MATCH(P59,ECR!$C:$C,0)),LEN(INDEX(ECR!$E:$E,MATCH(P59,ECR!$C:$C,0)))-2)),"")</f>
        <v>57</v>
      </c>
      <c r="BZ59" s="91"/>
      <c r="CA59" s="91"/>
      <c r="CB59" s="91"/>
      <c r="CC59" s="91"/>
      <c r="CD59" s="91"/>
      <c r="CE59" s="91"/>
      <c r="CF59" s="91"/>
      <c r="CG59" s="91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17"/>
      <c r="M60" s="2"/>
      <c r="N60" s="117"/>
      <c r="O60" s="73" t="s">
        <v>557</v>
      </c>
      <c r="P60" s="59" t="str">
        <f>VLOOKUP(O60,ECR!E:L,8,FALSE())</f>
        <v>Ray Davis</v>
      </c>
      <c r="Q60" s="60" t="str">
        <f>IFERROR(VLOOKUP(Aggregate!$P60,ECR!C:F,2,FALSE()),"-")</f>
        <v>BUF</v>
      </c>
      <c r="R60" s="60">
        <f>IFERROR(VLOOKUP(Aggregate!$P60,ECR!C:F,4,FALSE()),"-")</f>
        <v>7</v>
      </c>
      <c r="S60" s="60" t="str">
        <f>Aggregate!$Q60 &amp; "/" &amp; Aggregate!$R60</f>
        <v>BUF/7</v>
      </c>
      <c r="T60" s="62">
        <f>IFERROR(VLOOKUP(Aggregate!$P60,RB!A:Q,13,FALSE())/17*(16-Aggregate!$AA60),0)</f>
        <v>23.99336941</v>
      </c>
      <c r="U60" s="62">
        <f>IFERROR(VLOOKUP(Aggregate!$P60,RB!A:Q,14,FALSE())/17*(16-Aggregate!$AA60),0)</f>
        <v>23.99336941</v>
      </c>
      <c r="V60" s="62">
        <f>IFERROR(VLOOKUP(Aggregate!$P60,RB!A:Q,15,FALSE())/17*(16-Aggregate!$AA60),0)</f>
        <v>23.99336941</v>
      </c>
      <c r="W60" s="69">
        <f>AVERAGE(Aggregate!$T60,Aggregate!$U60,Aggregate!$V60,VLOOKUP(Aggregate!$P60,ECR!L:N,3,FALSE))</f>
        <v>34.24943882</v>
      </c>
      <c r="X60" s="69">
        <f>Aggregate!$W60-$Q$1</f>
        <v>-44.14145028</v>
      </c>
      <c r="Y60" s="72">
        <f>MAX(Aggregate!$X60*Scoring!$B$48+1,1)</f>
        <v>1</v>
      </c>
      <c r="Z60" s="73">
        <f>VLOOKUP(Aggregate!$X60,BM:BO,3,FALSE)</f>
        <v>9</v>
      </c>
      <c r="AA60" s="80">
        <f t="array" ref="AA60">VLOOKUP(INDEX(ECR!$E:$E,MATCH(P60,ECR!$C:$C,0)),RISK!A:B,2,FALSE())</f>
        <v>3.368</v>
      </c>
      <c r="AB60" s="81"/>
      <c r="AC60" s="60" t="s">
        <v>560</v>
      </c>
      <c r="AD60" s="60" t="str">
        <f>VLOOKUP(AC60,ECR!E:L,8,FALSE())</f>
        <v>Adonai Mitchell</v>
      </c>
      <c r="AE60" s="60" t="str">
        <f>IFERROR(VLOOKUP(Aggregate!$AD60,ECR!C:F,2,FALSE()),"-")</f>
        <v>NYJ</v>
      </c>
      <c r="AF60" s="60">
        <f>IFERROR(VLOOKUP(Aggregate!$AD60,ECR!C:F,4,FALSE()),"-")</f>
        <v>13</v>
      </c>
      <c r="AG60" s="60" t="str">
        <f>Aggregate!$AE60 &amp; "/" &amp; Aggregate!$AF60</f>
        <v>NYJ/13</v>
      </c>
      <c r="AH60" s="62">
        <f>IFERROR(VLOOKUP(Aggregate!$AD60,WR!A:Q,13,FALSE())/17*(16-Aggregate!$AO60),0)</f>
        <v>59.98058824</v>
      </c>
      <c r="AI60" s="62">
        <f>IFERROR(VLOOKUP(Aggregate!$AD60,WR!A:Q,14,FALSE())/17*(16-Aggregate!$AO60),0)</f>
        <v>68.18541176</v>
      </c>
      <c r="AJ60" s="62">
        <f>IFERROR(VLOOKUP(Aggregate!$AD60,WR!A:Q,15,FALSE())/17*(16-Aggregate!$AO60),0)</f>
        <v>75.84035294</v>
      </c>
      <c r="AK60" s="69">
        <f>AVERAGE(Aggregate!$AH60,Aggregate!$AI60,Aggregate!$AJ60,VLOOKUP(Aggregate!$AD60,ECR!L:N,3,FALSE))</f>
        <v>74.07313235</v>
      </c>
      <c r="AL60" s="69">
        <f>Aggregate!$AK60-$AE$1</f>
        <v>-7.447794706</v>
      </c>
      <c r="AM60" s="72">
        <f>MAX(Aggregate!$AL60*Scoring!$B$48+1,1)</f>
        <v>1</v>
      </c>
      <c r="AN60" s="73">
        <f>VLOOKUP(Aggregate!$AL60,BR:BT,3,FALSE)</f>
        <v>6</v>
      </c>
      <c r="AO60" s="80">
        <f t="array" ref="AO60">VLOOKUP(INDEX(ECR!$E:$E,MATCH(AD60,ECR!$C:$C,0)),RISK!A:B,2,FALSE())</f>
        <v>3.7</v>
      </c>
      <c r="AP60" s="81"/>
      <c r="AQ60" s="85" t="s">
        <v>562</v>
      </c>
      <c r="AR60" s="2"/>
      <c r="AS60" s="117"/>
      <c r="AT60" s="2"/>
      <c r="AU60" s="2"/>
      <c r="AV60" s="2"/>
      <c r="AW60" s="2"/>
      <c r="AX60" s="2"/>
      <c r="AY60" s="2"/>
      <c r="AZ60" s="2"/>
      <c r="BA60" s="2"/>
      <c r="BB60" s="117"/>
      <c r="BC60" s="2"/>
      <c r="BD60" s="2"/>
      <c r="BE60" s="117"/>
      <c r="BF60" s="81">
        <v>58.0</v>
      </c>
      <c r="BG60" s="81" t="str">
        <f t="shared" si="1"/>
        <v/>
      </c>
      <c r="BH60" s="91"/>
      <c r="BI60" s="91"/>
      <c r="BJ60" s="91"/>
      <c r="BK60" s="90">
        <v>58.0</v>
      </c>
      <c r="BL60" s="81">
        <f t="shared" si="2"/>
        <v>65.01764706</v>
      </c>
      <c r="BM60" s="91">
        <f>IFERROR(LARGE($X$3:$X$102,58),"")</f>
        <v>-14.67545263</v>
      </c>
      <c r="BN60" s="91">
        <f t="shared" si="7"/>
        <v>-12.65619028</v>
      </c>
      <c r="BO60" s="93">
        <f t="shared" si="8"/>
        <v>8</v>
      </c>
      <c r="BP60" s="91">
        <v>58.0</v>
      </c>
      <c r="BQ60" s="81">
        <f t="shared" si="3"/>
        <v>92.28617647</v>
      </c>
      <c r="BR60" s="91">
        <f>IFERROR(LARGE($AL$3:$AL$102,58),"")</f>
        <v>8.010628235</v>
      </c>
      <c r="BS60" s="91">
        <f t="shared" si="9"/>
        <v>26.43530471</v>
      </c>
      <c r="BT60" s="91">
        <f t="shared" si="10"/>
        <v>5</v>
      </c>
      <c r="BU60" s="81">
        <v>58.0</v>
      </c>
      <c r="BV60" s="81" t="str">
        <f t="shared" si="4"/>
        <v/>
      </c>
      <c r="BW60" s="91"/>
      <c r="BX60" s="91"/>
      <c r="BY60" s="91">
        <f t="array" ref="BY60">IFERROR(VALUE(RIGHT(INDEX(ECR!$E:$E,MATCH(P60,ECR!$C:$C,0)),LEN(INDEX(ECR!$E:$E,MATCH(P60,ECR!$C:$C,0)))-2)),"")</f>
        <v>58</v>
      </c>
      <c r="BZ60" s="91"/>
      <c r="CA60" s="91"/>
      <c r="CB60" s="91"/>
      <c r="CC60" s="91"/>
      <c r="CD60" s="91"/>
      <c r="CE60" s="91"/>
      <c r="CF60" s="91"/>
      <c r="CG60" s="91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17"/>
      <c r="M61" s="2"/>
      <c r="N61" s="117"/>
      <c r="O61" s="73" t="s">
        <v>565</v>
      </c>
      <c r="P61" s="59" t="str">
        <f>VLOOKUP(O61,ECR!E:L,8,FALSE())</f>
        <v>Emmett Johnson</v>
      </c>
      <c r="Q61" s="60" t="str">
        <f>IFERROR(VLOOKUP(Aggregate!$P61,ECR!C:F,2,FALSE()),"-")</f>
        <v>KC</v>
      </c>
      <c r="R61" s="60">
        <f>IFERROR(VLOOKUP(Aggregate!$P61,ECR!C:F,4,FALSE()),"-")</f>
        <v>5</v>
      </c>
      <c r="S61" s="60" t="str">
        <f>Aggregate!$Q61 &amp; "/" &amp; Aggregate!$R61</f>
        <v>KC/5</v>
      </c>
      <c r="T61" s="62">
        <f>IFERROR(VLOOKUP(Aggregate!$P61,RB!A:Q,13,FALSE())/17*(16-Aggregate!$AA61),0)</f>
        <v>58.69776829</v>
      </c>
      <c r="U61" s="62">
        <f>IFERROR(VLOOKUP(Aggregate!$P61,RB!A:Q,14,FALSE())/17*(16-Aggregate!$AA61),0)</f>
        <v>66.41814947</v>
      </c>
      <c r="V61" s="62">
        <f>IFERROR(VLOOKUP(Aggregate!$P61,RB!A:Q,15,FALSE())/17*(16-Aggregate!$AA61),0)</f>
        <v>74.13110006</v>
      </c>
      <c r="W61" s="69">
        <f>AVERAGE(Aggregate!$T61,Aggregate!$U61,Aggregate!$V61,VLOOKUP(Aggregate!$P61,ECR!L:N,3,FALSE))</f>
        <v>65.37512151</v>
      </c>
      <c r="X61" s="69">
        <f>Aggregate!$W61-$Q$1</f>
        <v>-13.01576759</v>
      </c>
      <c r="Y61" s="72">
        <f>MAX(Aggregate!$X61*Scoring!$B$48+1,1)</f>
        <v>1</v>
      </c>
      <c r="Z61" s="73">
        <f>VLOOKUP(Aggregate!$X61,BM:BO,3,FALSE)</f>
        <v>8</v>
      </c>
      <c r="AA61" s="80">
        <f t="array" ref="AA61">VLOOKUP(INDEX(ECR!$E:$E,MATCH(P61,ECR!$C:$C,0)),RISK!A:B,2,FALSE())</f>
        <v>3.368</v>
      </c>
      <c r="AB61" s="81"/>
      <c r="AC61" s="60" t="s">
        <v>567</v>
      </c>
      <c r="AD61" s="60" t="str">
        <f>VLOOKUP(AC61,ECR!E:L,8,FALSE())</f>
        <v>Denzel Boston</v>
      </c>
      <c r="AE61" s="60" t="str">
        <f>IFERROR(VLOOKUP(Aggregate!$AD61,ECR!C:F,2,FALSE()),"-")</f>
        <v>CLE</v>
      </c>
      <c r="AF61" s="60">
        <f>IFERROR(VLOOKUP(Aggregate!$AD61,ECR!C:F,4,FALSE()),"-")</f>
        <v>11</v>
      </c>
      <c r="AG61" s="60" t="str">
        <f>Aggregate!$AE61 &amp; "/" &amp; Aggregate!$AF61</f>
        <v>CLE/11</v>
      </c>
      <c r="AH61" s="62">
        <f>IFERROR(VLOOKUP(Aggregate!$AD61,WR!A:Q,13,FALSE())/17*(16-Aggregate!$AO61),0)</f>
        <v>95.97907059</v>
      </c>
      <c r="AI61" s="62">
        <f>IFERROR(VLOOKUP(Aggregate!$AD61,WR!A:Q,14,FALSE())/17*(16-Aggregate!$AO61),0)</f>
        <v>104.9870118</v>
      </c>
      <c r="AJ61" s="62">
        <f>IFERROR(VLOOKUP(Aggregate!$AD61,WR!A:Q,15,FALSE())/17*(16-Aggregate!$AO61),0)</f>
        <v>114.0311294</v>
      </c>
      <c r="AK61" s="69">
        <f>AVERAGE(Aggregate!$AH61,Aggregate!$AI61,Aggregate!$AJ61,VLOOKUP(Aggregate!$AD61,ECR!L:N,3,FALSE))</f>
        <v>101.3143765</v>
      </c>
      <c r="AL61" s="69">
        <f>Aggregate!$AK61-$AE$1</f>
        <v>19.79344941</v>
      </c>
      <c r="AM61" s="72">
        <f>MAX(Aggregate!$AL61*Scoring!$B$48+1,1)</f>
        <v>6.186347499</v>
      </c>
      <c r="AN61" s="73">
        <f>VLOOKUP(Aggregate!$AL61,BR:BT,3,FALSE)</f>
        <v>5</v>
      </c>
      <c r="AO61" s="80">
        <f t="array" ref="AO61">VLOOKUP(INDEX(ECR!$E:$E,MATCH(AD61,ECR!$C:$C,0)),RISK!A:B,2,FALSE())</f>
        <v>3.7</v>
      </c>
      <c r="AP61" s="81"/>
      <c r="AQ61" s="85" t="s">
        <v>570</v>
      </c>
      <c r="AR61" s="2"/>
      <c r="AS61" s="117"/>
      <c r="AT61" s="2"/>
      <c r="AU61" s="2"/>
      <c r="AV61" s="2"/>
      <c r="AW61" s="2"/>
      <c r="AX61" s="2"/>
      <c r="AY61" s="2"/>
      <c r="AZ61" s="2"/>
      <c r="BA61" s="2"/>
      <c r="BB61" s="117"/>
      <c r="BC61" s="2"/>
      <c r="BD61" s="2"/>
      <c r="BE61" s="117"/>
      <c r="BF61" s="81">
        <v>59.0</v>
      </c>
      <c r="BG61" s="81" t="str">
        <f t="shared" si="1"/>
        <v/>
      </c>
      <c r="BH61" s="91"/>
      <c r="BI61" s="91"/>
      <c r="BJ61" s="91"/>
      <c r="BK61" s="90">
        <v>59.0</v>
      </c>
      <c r="BL61" s="81">
        <f t="shared" si="2"/>
        <v>62.25346824</v>
      </c>
      <c r="BM61" s="91">
        <f>IFERROR(LARGE($X$3:$X$102,59),"")</f>
        <v>-14.68288322</v>
      </c>
      <c r="BN61" s="91">
        <f t="shared" si="7"/>
        <v>-12.65619028</v>
      </c>
      <c r="BO61" s="93">
        <f t="shared" si="8"/>
        <v>8</v>
      </c>
      <c r="BP61" s="91">
        <v>59.0</v>
      </c>
      <c r="BQ61" s="81">
        <f t="shared" si="3"/>
        <v>90.26029412</v>
      </c>
      <c r="BR61" s="91">
        <f>IFERROR(LARGE($AL$3:$AL$102,59),"")</f>
        <v>6.163602353</v>
      </c>
      <c r="BS61" s="91">
        <f t="shared" si="9"/>
        <v>26.43530471</v>
      </c>
      <c r="BT61" s="91">
        <f t="shared" si="10"/>
        <v>5</v>
      </c>
      <c r="BU61" s="81">
        <v>59.0</v>
      </c>
      <c r="BV61" s="81" t="str">
        <f t="shared" si="4"/>
        <v/>
      </c>
      <c r="BW61" s="91"/>
      <c r="BX61" s="91"/>
      <c r="BY61" s="91">
        <f t="array" ref="BY61">IFERROR(VALUE(RIGHT(INDEX(ECR!$E:$E,MATCH(P61,ECR!$C:$C,0)),LEN(INDEX(ECR!$E:$E,MATCH(P61,ECR!$C:$C,0)))-2)),"")</f>
        <v>59</v>
      </c>
      <c r="BZ61" s="91"/>
      <c r="CA61" s="91"/>
      <c r="CB61" s="91"/>
      <c r="CC61" s="91"/>
      <c r="CD61" s="91"/>
      <c r="CE61" s="91"/>
      <c r="CF61" s="91"/>
      <c r="CG61" s="91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17"/>
      <c r="M62" s="2"/>
      <c r="N62" s="117"/>
      <c r="O62" s="73" t="s">
        <v>573</v>
      </c>
      <c r="P62" s="59" t="str">
        <f>VLOOKUP(O62,ECR!E:L,8,FALSE())</f>
        <v>Sean Tucker</v>
      </c>
      <c r="Q62" s="60" t="str">
        <f>IFERROR(VLOOKUP(Aggregate!$P62,ECR!C:F,2,FALSE()),"-")</f>
        <v>TB</v>
      </c>
      <c r="R62" s="60">
        <f>IFERROR(VLOOKUP(Aggregate!$P62,ECR!C:F,4,FALSE()),"-")</f>
        <v>10</v>
      </c>
      <c r="S62" s="60" t="str">
        <f>Aggregate!$Q62 &amp; "/" &amp; Aggregate!$R62</f>
        <v>TB/10</v>
      </c>
      <c r="T62" s="62">
        <f>IFERROR(VLOOKUP(Aggregate!$P62,RB!A:Q,13,FALSE())/17*(16-Aggregate!$AA62),0)</f>
        <v>20.06258824</v>
      </c>
      <c r="U62" s="62">
        <f>IFERROR(VLOOKUP(Aggregate!$P62,RB!A:Q,14,FALSE())/17*(16-Aggregate!$AA62),0)</f>
        <v>23.13142118</v>
      </c>
      <c r="V62" s="62">
        <f>IFERROR(VLOOKUP(Aggregate!$P62,RB!A:Q,15,FALSE())/17*(16-Aggregate!$AA62),0)</f>
        <v>26.49747765</v>
      </c>
      <c r="W62" s="69">
        <f>AVERAGE(Aggregate!$T62,Aggregate!$U62,Aggregate!$V62,VLOOKUP(Aggregate!$P62,ECR!L:N,3,FALSE))</f>
        <v>32.65557765</v>
      </c>
      <c r="X62" s="69">
        <f>Aggregate!$W62-$Q$1</f>
        <v>-45.73531146</v>
      </c>
      <c r="Y62" s="72">
        <f>MAX(Aggregate!$X62*Scoring!$B$48+1,1)</f>
        <v>1</v>
      </c>
      <c r="Z62" s="73">
        <f>VLOOKUP(Aggregate!$X62,BM:BO,3,FALSE)</f>
        <v>9</v>
      </c>
      <c r="AA62" s="80">
        <f t="array" ref="AA62">VLOOKUP(INDEX(ECR!$E:$E,MATCH(P62,ECR!$C:$C,0)),RISK!A:B,2,FALSE())</f>
        <v>3.368</v>
      </c>
      <c r="AB62" s="81"/>
      <c r="AC62" s="60" t="s">
        <v>576</v>
      </c>
      <c r="AD62" s="60" t="str">
        <f>VLOOKUP(AC62,ECR!E:L,8,FALSE())</f>
        <v>Tre Tucker</v>
      </c>
      <c r="AE62" s="60" t="str">
        <f>IFERROR(VLOOKUP(Aggregate!$AD62,ECR!C:F,2,FALSE()),"-")</f>
        <v>LV</v>
      </c>
      <c r="AF62" s="60">
        <f>IFERROR(VLOOKUP(Aggregate!$AD62,ECR!C:F,4,FALSE()),"-")</f>
        <v>13</v>
      </c>
      <c r="AG62" s="60" t="str">
        <f>Aggregate!$AE62 &amp; "/" &amp; Aggregate!$AF62</f>
        <v>LV/13</v>
      </c>
      <c r="AH62" s="62">
        <f>IFERROR(VLOOKUP(Aggregate!$AD62,WR!A:Q,13,FALSE())/17*(16-Aggregate!$AO62),0)</f>
        <v>75.46411765</v>
      </c>
      <c r="AI62" s="62">
        <f>IFERROR(VLOOKUP(Aggregate!$AD62,WR!A:Q,14,FALSE())/17*(16-Aggregate!$AO62),0)</f>
        <v>85.02917647</v>
      </c>
      <c r="AJ62" s="62">
        <f>IFERROR(VLOOKUP(Aggregate!$AD62,WR!A:Q,15,FALSE())/17*(16-Aggregate!$AO62),0)</f>
        <v>93.59576471</v>
      </c>
      <c r="AK62" s="69">
        <f>AVERAGE(Aggregate!$AH62,Aggregate!$AI62,Aggregate!$AJ62,VLOOKUP(Aggregate!$AD62,ECR!L:N,3,FALSE))</f>
        <v>85.41083824</v>
      </c>
      <c r="AL62" s="69">
        <f>Aggregate!$AK62-$AE$1</f>
        <v>3.889911176</v>
      </c>
      <c r="AM62" s="72">
        <f>MAX(Aggregate!$AL62*Scoring!$B$48+1,1)</f>
        <v>2.019247867</v>
      </c>
      <c r="AN62" s="73">
        <f>VLOOKUP(Aggregate!$AL62,BR:BT,3,FALSE)</f>
        <v>5</v>
      </c>
      <c r="AO62" s="80">
        <f t="array" ref="AO62">VLOOKUP(INDEX(ECR!$E:$E,MATCH(AD62,ECR!$C:$C,0)),RISK!A:B,2,FALSE())</f>
        <v>3.7</v>
      </c>
      <c r="AP62" s="81"/>
      <c r="AQ62" s="85" t="s">
        <v>578</v>
      </c>
      <c r="AR62" s="2"/>
      <c r="AS62" s="117"/>
      <c r="AT62" s="2"/>
      <c r="AU62" s="2"/>
      <c r="AV62" s="2"/>
      <c r="AW62" s="2"/>
      <c r="AX62" s="2"/>
      <c r="AY62" s="2"/>
      <c r="AZ62" s="2"/>
      <c r="BA62" s="2"/>
      <c r="BB62" s="117"/>
      <c r="BC62" s="2"/>
      <c r="BD62" s="2"/>
      <c r="BE62" s="117"/>
      <c r="BF62" s="81">
        <v>60.0</v>
      </c>
      <c r="BG62" s="81" t="str">
        <f t="shared" si="1"/>
        <v/>
      </c>
      <c r="BH62" s="91"/>
      <c r="BI62" s="91"/>
      <c r="BJ62" s="91"/>
      <c r="BK62" s="90">
        <v>60.0</v>
      </c>
      <c r="BL62" s="81">
        <f t="shared" si="2"/>
        <v>60.93082353</v>
      </c>
      <c r="BM62" s="91">
        <f>IFERROR(LARGE($X$3:$X$102,60),"")</f>
        <v>-15.05255499</v>
      </c>
      <c r="BN62" s="91">
        <f t="shared" si="7"/>
        <v>-12.65619028</v>
      </c>
      <c r="BO62" s="93">
        <f t="shared" si="8"/>
        <v>8</v>
      </c>
      <c r="BP62" s="91">
        <v>60.0</v>
      </c>
      <c r="BQ62" s="81">
        <f t="shared" si="3"/>
        <v>87.55429412</v>
      </c>
      <c r="BR62" s="91">
        <f>IFERROR(LARGE($AL$3:$AL$102,60),"")</f>
        <v>4.734631765</v>
      </c>
      <c r="BS62" s="91">
        <f t="shared" si="9"/>
        <v>26.43530471</v>
      </c>
      <c r="BT62" s="91">
        <f t="shared" si="10"/>
        <v>5</v>
      </c>
      <c r="BU62" s="81">
        <v>60.0</v>
      </c>
      <c r="BV62" s="81" t="str">
        <f t="shared" si="4"/>
        <v/>
      </c>
      <c r="BW62" s="91"/>
      <c r="BX62" s="91"/>
      <c r="BY62" s="91">
        <f t="array" ref="BY62">IFERROR(VALUE(RIGHT(INDEX(ECR!$E:$E,MATCH(P62,ECR!$C:$C,0)),LEN(INDEX(ECR!$E:$E,MATCH(P62,ECR!$C:$C,0)))-2)),"")</f>
        <v>60</v>
      </c>
      <c r="BZ62" s="91"/>
      <c r="CA62" s="91"/>
      <c r="CB62" s="91"/>
      <c r="CC62" s="91"/>
      <c r="CD62" s="91"/>
      <c r="CE62" s="91"/>
      <c r="CF62" s="91"/>
      <c r="CG62" s="91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17"/>
      <c r="M63" s="2"/>
      <c r="N63" s="117"/>
      <c r="O63" s="73" t="s">
        <v>582</v>
      </c>
      <c r="P63" s="59" t="str">
        <f>VLOOKUP(O63,ECR!E:L,8,FALSE())</f>
        <v>Kimani Vidal</v>
      </c>
      <c r="Q63" s="60" t="str">
        <f>IFERROR(VLOOKUP(Aggregate!$P63,ECR!C:F,2,FALSE()),"-")</f>
        <v>LAC</v>
      </c>
      <c r="R63" s="60">
        <f>IFERROR(VLOOKUP(Aggregate!$P63,ECR!C:F,4,FALSE()),"-")</f>
        <v>7</v>
      </c>
      <c r="S63" s="60" t="str">
        <f>Aggregate!$Q63 &amp; "/" &amp; Aggregate!$R63</f>
        <v>LAC/7</v>
      </c>
      <c r="T63" s="62">
        <f>IFERROR(VLOOKUP(Aggregate!$P63,RB!A:Q,13,FALSE())/17*(16-Aggregate!$AA63),0)</f>
        <v>24.10482824</v>
      </c>
      <c r="U63" s="62">
        <f>IFERROR(VLOOKUP(Aggregate!$P63,RB!A:Q,14,FALSE())/17*(16-Aggregate!$AA63),0)</f>
        <v>39.65704941</v>
      </c>
      <c r="V63" s="62">
        <f>IFERROR(VLOOKUP(Aggregate!$P63,RB!A:Q,15,FALSE())/17*(16-Aggregate!$AA63),0)</f>
        <v>54.76343529</v>
      </c>
      <c r="W63" s="69">
        <f>AVERAGE(Aggregate!$T63,Aggregate!$U63,Aggregate!$V63,VLOOKUP(Aggregate!$P63,ECR!L:N,3,FALSE))</f>
        <v>44.77203229</v>
      </c>
      <c r="X63" s="69">
        <f>Aggregate!$W63-$Q$1</f>
        <v>-33.61885681</v>
      </c>
      <c r="Y63" s="72">
        <f>MAX(Aggregate!$X63*Scoring!$B$48+1,1)</f>
        <v>1</v>
      </c>
      <c r="Z63" s="73">
        <f>VLOOKUP(Aggregate!$X63,BM:BO,3,FALSE)</f>
        <v>8</v>
      </c>
      <c r="AA63" s="80">
        <f t="array" ref="AA63">VLOOKUP(INDEX(ECR!$E:$E,MATCH(P63,ECR!$C:$C,0)),RISK!A:B,2,FALSE())</f>
        <v>3.368</v>
      </c>
      <c r="AB63" s="81"/>
      <c r="AC63" s="60" t="s">
        <v>585</v>
      </c>
      <c r="AD63" s="60" t="str">
        <f>VLOOKUP(AC63,ECR!E:L,8,FALSE())</f>
        <v>Jerry Jeudy</v>
      </c>
      <c r="AE63" s="60" t="str">
        <f>IFERROR(VLOOKUP(Aggregate!$AD63,ECR!C:F,2,FALSE()),"-")</f>
        <v>CLE</v>
      </c>
      <c r="AF63" s="60">
        <f>IFERROR(VLOOKUP(Aggregate!$AD63,ECR!C:F,4,FALSE()),"-")</f>
        <v>11</v>
      </c>
      <c r="AG63" s="60" t="str">
        <f>Aggregate!$AE63 &amp; "/" &amp; Aggregate!$AF63</f>
        <v>CLE/11</v>
      </c>
      <c r="AH63" s="62">
        <f>IFERROR(VLOOKUP(Aggregate!$AD63,WR!A:Q,13,FALSE())/17*(16-Aggregate!$AO63),0)</f>
        <v>80.65905882</v>
      </c>
      <c r="AI63" s="62">
        <f>IFERROR(VLOOKUP(Aggregate!$AD63,WR!A:Q,14,FALSE())/17*(16-Aggregate!$AO63),0)</f>
        <v>85.91188235</v>
      </c>
      <c r="AJ63" s="62">
        <f>IFERROR(VLOOKUP(Aggregate!$AD63,WR!A:Q,15,FALSE())/17*(16-Aggregate!$AO63),0)</f>
        <v>91.02</v>
      </c>
      <c r="AK63" s="69">
        <f>AVERAGE(Aggregate!$AH63,Aggregate!$AI63,Aggregate!$AJ63,VLOOKUP(Aggregate!$AD63,ECR!L:N,3,FALSE))</f>
        <v>86.25555882</v>
      </c>
      <c r="AL63" s="69">
        <f>Aggregate!$AK63-$AE$1</f>
        <v>4.734631765</v>
      </c>
      <c r="AM63" s="72">
        <f>MAX(Aggregate!$AL63*Scoring!$B$48+1,1)</f>
        <v>2.240584453</v>
      </c>
      <c r="AN63" s="73">
        <f>VLOOKUP(Aggregate!$AL63,BR:BT,3,FALSE)</f>
        <v>5</v>
      </c>
      <c r="AO63" s="80">
        <f t="array" ref="AO63">VLOOKUP(INDEX(ECR!$E:$E,MATCH(AD63,ECR!$C:$C,0)),RISK!A:B,2,FALSE())</f>
        <v>3.7</v>
      </c>
      <c r="AP63" s="81"/>
      <c r="AQ63" s="85" t="s">
        <v>588</v>
      </c>
      <c r="AR63" s="2"/>
      <c r="AS63" s="117"/>
      <c r="AT63" s="2"/>
      <c r="AU63" s="2"/>
      <c r="AV63" s="2"/>
      <c r="AW63" s="2"/>
      <c r="AX63" s="2"/>
      <c r="AY63" s="2"/>
      <c r="AZ63" s="2"/>
      <c r="BA63" s="2"/>
      <c r="BB63" s="117"/>
      <c r="BC63" s="2"/>
      <c r="BD63" s="2"/>
      <c r="BE63" s="117"/>
      <c r="BF63" s="81">
        <v>61.0</v>
      </c>
      <c r="BG63" s="81" t="str">
        <f t="shared" si="1"/>
        <v/>
      </c>
      <c r="BH63" s="91"/>
      <c r="BI63" s="91"/>
      <c r="BJ63" s="91"/>
      <c r="BK63" s="90">
        <v>61.0</v>
      </c>
      <c r="BL63" s="81">
        <f t="shared" si="2"/>
        <v>60.56281622</v>
      </c>
      <c r="BM63" s="91">
        <f>IFERROR(LARGE($X$3:$X$102,61),"")</f>
        <v>-19.04409608</v>
      </c>
      <c r="BN63" s="91">
        <f t="shared" si="7"/>
        <v>-12.65619028</v>
      </c>
      <c r="BO63" s="93">
        <f t="shared" si="8"/>
        <v>8</v>
      </c>
      <c r="BP63" s="91">
        <v>61.0</v>
      </c>
      <c r="BQ63" s="81">
        <f t="shared" si="3"/>
        <v>87.43129412</v>
      </c>
      <c r="BR63" s="91">
        <f>IFERROR(LARGE($AL$3:$AL$102,61),"")</f>
        <v>4.388567647</v>
      </c>
      <c r="BS63" s="91">
        <f t="shared" si="9"/>
        <v>26.43530471</v>
      </c>
      <c r="BT63" s="91">
        <f t="shared" si="10"/>
        <v>5</v>
      </c>
      <c r="BU63" s="81">
        <v>61.0</v>
      </c>
      <c r="BV63" s="81" t="str">
        <f t="shared" si="4"/>
        <v/>
      </c>
      <c r="BW63" s="91"/>
      <c r="BX63" s="91"/>
      <c r="BY63" s="91">
        <f t="array" ref="BY63">IFERROR(VALUE(RIGHT(INDEX(ECR!$E:$E,MATCH(P63,ECR!$C:$C,0)),LEN(INDEX(ECR!$E:$E,MATCH(P63,ECR!$C:$C,0)))-2)),"")</f>
        <v>61</v>
      </c>
      <c r="BZ63" s="91"/>
      <c r="CA63" s="91"/>
      <c r="CB63" s="91"/>
      <c r="CC63" s="91"/>
      <c r="CD63" s="91"/>
      <c r="CE63" s="91"/>
      <c r="CF63" s="91"/>
      <c r="CG63" s="91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17"/>
      <c r="M64" s="2"/>
      <c r="N64" s="117"/>
      <c r="O64" s="73" t="s">
        <v>590</v>
      </c>
      <c r="P64" s="59" t="str">
        <f>VLOOKUP(O64,ECR!E:L,8,FALSE())</f>
        <v>Nicholas Singleton</v>
      </c>
      <c r="Q64" s="60" t="str">
        <f>IFERROR(VLOOKUP(Aggregate!$P64,ECR!C:F,2,FALSE()),"-")</f>
        <v>TEN</v>
      </c>
      <c r="R64" s="60">
        <f>IFERROR(VLOOKUP(Aggregate!$P64,ECR!C:F,4,FALSE()),"-")</f>
        <v>9</v>
      </c>
      <c r="S64" s="60" t="str">
        <f>Aggregate!$Q64 &amp; "/" &amp; Aggregate!$R64</f>
        <v>TEN/9</v>
      </c>
      <c r="T64" s="62">
        <f>IFERROR(VLOOKUP(Aggregate!$P64,RB!A:Q,13,FALSE())/17*(16-Aggregate!$AA64),0)</f>
        <v>58.561417</v>
      </c>
      <c r="U64" s="62">
        <f>IFERROR(VLOOKUP(Aggregate!$P64,RB!A:Q,14,FALSE())/17*(16-Aggregate!$AA64),0)</f>
        <v>58.561417</v>
      </c>
      <c r="V64" s="62">
        <f>IFERROR(VLOOKUP(Aggregate!$P64,RB!A:Q,15,FALSE())/17*(16-Aggregate!$AA64),0)</f>
        <v>58.561417</v>
      </c>
      <c r="W64" s="69">
        <f>AVERAGE(Aggregate!$T64,Aggregate!$U64,Aggregate!$V64,VLOOKUP(Aggregate!$P64,ECR!L:N,3,FALSE))</f>
        <v>58.8881251</v>
      </c>
      <c r="X64" s="69">
        <f>Aggregate!$W64-$Q$1</f>
        <v>-19.502764</v>
      </c>
      <c r="Y64" s="72">
        <f>MAX(Aggregate!$X64*Scoring!$B$48+1,1)</f>
        <v>1</v>
      </c>
      <c r="Z64" s="73">
        <f>VLOOKUP(Aggregate!$X64,BM:BO,3,FALSE)</f>
        <v>8</v>
      </c>
      <c r="AA64" s="80">
        <f t="array" ref="AA64">VLOOKUP(INDEX(ECR!$E:$E,MATCH(P64,ECR!$C:$C,0)),RISK!A:B,2,FALSE())</f>
        <v>3.368</v>
      </c>
      <c r="AB64" s="81"/>
      <c r="AC64" s="60" t="s">
        <v>592</v>
      </c>
      <c r="AD64" s="60" t="str">
        <f>VLOOKUP(AC64,ECR!E:L,8,FALSE())</f>
        <v>Jauan Jennings</v>
      </c>
      <c r="AE64" s="60" t="str">
        <f>IFERROR(VLOOKUP(Aggregate!$AD64,ECR!C:F,2,FALSE()),"-")</f>
        <v>MIN</v>
      </c>
      <c r="AF64" s="60">
        <f>IFERROR(VLOOKUP(Aggregate!$AD64,ECR!C:F,4,FALSE()),"-")</f>
        <v>6</v>
      </c>
      <c r="AG64" s="60" t="str">
        <f>Aggregate!$AE64 &amp; "/" &amp; Aggregate!$AF64</f>
        <v>MIN/6</v>
      </c>
      <c r="AH64" s="62">
        <f>IFERROR(VLOOKUP(Aggregate!$AD64,WR!A:Q,13,FALSE())/17*(16-Aggregate!$AO64),0)</f>
        <v>64.88611765</v>
      </c>
      <c r="AI64" s="62">
        <f>IFERROR(VLOOKUP(Aggregate!$AD64,WR!A:Q,14,FALSE())/17*(16-Aggregate!$AO64),0)</f>
        <v>79.53035294</v>
      </c>
      <c r="AJ64" s="62">
        <f>IFERROR(VLOOKUP(Aggregate!$AD64,WR!A:Q,15,FALSE())/17*(16-Aggregate!$AO64),0)</f>
        <v>93.62470588</v>
      </c>
      <c r="AK64" s="69">
        <f>AVERAGE(Aggregate!$AH64,Aggregate!$AI64,Aggregate!$AJ64,VLOOKUP(Aggregate!$AD64,ECR!L:N,3,FALSE))</f>
        <v>81.32383765</v>
      </c>
      <c r="AL64" s="69">
        <f>Aggregate!$AK64-$AE$1</f>
        <v>-0.1970894118</v>
      </c>
      <c r="AM64" s="72">
        <f>MAX(Aggregate!$AL64*Scoring!$B$48+1,1)</f>
        <v>1</v>
      </c>
      <c r="AN64" s="73">
        <f>VLOOKUP(Aggregate!$AL64,BR:BT,3,FALSE)</f>
        <v>6</v>
      </c>
      <c r="AO64" s="80">
        <f t="array" ref="AO64">VLOOKUP(INDEX(ECR!$E:$E,MATCH(AD64,ECR!$C:$C,0)),RISK!A:B,2,FALSE())</f>
        <v>3.7</v>
      </c>
      <c r="AP64" s="81"/>
      <c r="AQ64" s="85" t="s">
        <v>595</v>
      </c>
      <c r="AR64" s="2"/>
      <c r="AS64" s="117"/>
      <c r="AT64" s="2"/>
      <c r="AU64" s="2"/>
      <c r="AV64" s="2"/>
      <c r="AW64" s="2"/>
      <c r="AX64" s="2"/>
      <c r="AY64" s="2"/>
      <c r="AZ64" s="2"/>
      <c r="BA64" s="2"/>
      <c r="BB64" s="117"/>
      <c r="BC64" s="2"/>
      <c r="BD64" s="2"/>
      <c r="BE64" s="117"/>
      <c r="BF64" s="81">
        <v>62.0</v>
      </c>
      <c r="BG64" s="81" t="str">
        <f t="shared" si="1"/>
        <v/>
      </c>
      <c r="BH64" s="91"/>
      <c r="BI64" s="91"/>
      <c r="BJ64" s="91"/>
      <c r="BK64" s="90">
        <v>62.0</v>
      </c>
      <c r="BL64" s="81">
        <f t="shared" si="2"/>
        <v>59.86824941</v>
      </c>
      <c r="BM64" s="91">
        <f>IFERROR(LARGE($X$3:$X$102,62),"")</f>
        <v>-19.502764</v>
      </c>
      <c r="BN64" s="91">
        <f t="shared" si="7"/>
        <v>-12.65619028</v>
      </c>
      <c r="BO64" s="93">
        <f t="shared" si="8"/>
        <v>8</v>
      </c>
      <c r="BP64" s="91">
        <v>62.0</v>
      </c>
      <c r="BQ64" s="81">
        <f t="shared" si="3"/>
        <v>87.25417412</v>
      </c>
      <c r="BR64" s="91">
        <f>IFERROR(LARGE($AL$3:$AL$102,62),"")</f>
        <v>3.889911176</v>
      </c>
      <c r="BS64" s="91">
        <f t="shared" si="9"/>
        <v>26.43530471</v>
      </c>
      <c r="BT64" s="91">
        <f t="shared" si="10"/>
        <v>5</v>
      </c>
      <c r="BU64" s="81">
        <v>62.0</v>
      </c>
      <c r="BV64" s="81" t="str">
        <f t="shared" si="4"/>
        <v/>
      </c>
      <c r="BW64" s="91"/>
      <c r="BX64" s="91"/>
      <c r="BY64" s="91">
        <f t="array" ref="BY64">IFERROR(VALUE(RIGHT(INDEX(ECR!$E:$E,MATCH(P64,ECR!$C:$C,0)),LEN(INDEX(ECR!$E:$E,MATCH(P64,ECR!$C:$C,0)))-2)),"")</f>
        <v>62</v>
      </c>
      <c r="BZ64" s="91"/>
      <c r="CA64" s="91"/>
      <c r="CB64" s="91"/>
      <c r="CC64" s="91"/>
      <c r="CD64" s="91"/>
      <c r="CE64" s="91"/>
      <c r="CF64" s="91"/>
      <c r="CG64" s="91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17"/>
      <c r="M65" s="2"/>
      <c r="N65" s="117"/>
      <c r="O65" s="73" t="s">
        <v>598</v>
      </c>
      <c r="P65" s="59" t="str">
        <f>VLOOKUP(O65,ECR!E:L,8,FALSE())</f>
        <v>Jaydon Blue</v>
      </c>
      <c r="Q65" s="60" t="str">
        <f>IFERROR(VLOOKUP(Aggregate!$P65,ECR!C:F,2,FALSE()),"-")</f>
        <v>DAL</v>
      </c>
      <c r="R65" s="60">
        <f>IFERROR(VLOOKUP(Aggregate!$P65,ECR!C:F,4,FALSE()),"-")</f>
        <v>14</v>
      </c>
      <c r="S65" s="60" t="str">
        <f>Aggregate!$Q65 &amp; "/" &amp; Aggregate!$R65</f>
        <v>DAL/14</v>
      </c>
      <c r="T65" s="62">
        <f>IFERROR(VLOOKUP(Aggregate!$P65,RB!A:Q,13,FALSE())/17*(16-Aggregate!$AA65),0)</f>
        <v>37.16780235</v>
      </c>
      <c r="U65" s="62">
        <f>IFERROR(VLOOKUP(Aggregate!$P65,RB!A:Q,14,FALSE())/17*(16-Aggregate!$AA65),0)</f>
        <v>37.16780235</v>
      </c>
      <c r="V65" s="62">
        <f>IFERROR(VLOOKUP(Aggregate!$P65,RB!A:Q,15,FALSE())/17*(16-Aggregate!$AA65),0)</f>
        <v>37.16780235</v>
      </c>
      <c r="W65" s="69">
        <f>AVERAGE(Aggregate!$T65,Aggregate!$U65,Aggregate!$V65,VLOOKUP(Aggregate!$P65,ECR!L:N,3,FALSE))</f>
        <v>42.7670701</v>
      </c>
      <c r="X65" s="69">
        <f>Aggregate!$W65-$Q$1</f>
        <v>-35.623819</v>
      </c>
      <c r="Y65" s="72">
        <f>MAX(Aggregate!$X65*Scoring!$B$48+1,1)</f>
        <v>1</v>
      </c>
      <c r="Z65" s="73">
        <f>VLOOKUP(Aggregate!$X65,BM:BO,3,FALSE)</f>
        <v>8</v>
      </c>
      <c r="AA65" s="80">
        <f t="array" ref="AA65">VLOOKUP(INDEX(ECR!$E:$E,MATCH(P65,ECR!$C:$C,0)),RISK!A:B,2,FALSE())</f>
        <v>3.368</v>
      </c>
      <c r="AB65" s="81"/>
      <c r="AC65" s="60" t="s">
        <v>601</v>
      </c>
      <c r="AD65" s="60" t="str">
        <f>VLOOKUP(AC65,ECR!E:L,8,FALSE())</f>
        <v>Jalen McMillan</v>
      </c>
      <c r="AE65" s="60" t="str">
        <f>IFERROR(VLOOKUP(Aggregate!$AD65,ECR!C:F,2,FALSE()),"-")</f>
        <v>TB</v>
      </c>
      <c r="AF65" s="60">
        <f>IFERROR(VLOOKUP(Aggregate!$AD65,ECR!C:F,4,FALSE()),"-")</f>
        <v>10</v>
      </c>
      <c r="AG65" s="60" t="str">
        <f>Aggregate!$AE65 &amp; "/" &amp; Aggregate!$AF65</f>
        <v>TB/10</v>
      </c>
      <c r="AH65" s="62">
        <f>IFERROR(VLOOKUP(Aggregate!$AD65,WR!A:Q,13,FALSE())/17*(16-Aggregate!$AO65),0)</f>
        <v>77.35976471</v>
      </c>
      <c r="AI65" s="62">
        <f>IFERROR(VLOOKUP(Aggregate!$AD65,WR!A:Q,14,FALSE())/17*(16-Aggregate!$AO65),0)</f>
        <v>79.81252941</v>
      </c>
      <c r="AJ65" s="62">
        <f>IFERROR(VLOOKUP(Aggregate!$AD65,WR!A:Q,15,FALSE())/17*(16-Aggregate!$AO65),0)</f>
        <v>82.73558824</v>
      </c>
      <c r="AK65" s="69">
        <f>AVERAGE(Aggregate!$AH65,Aggregate!$AI65,Aggregate!$AJ65,VLOOKUP(Aggregate!$AD65,ECR!L:N,3,FALSE))</f>
        <v>81.52092706</v>
      </c>
      <c r="AL65" s="69">
        <f>Aggregate!$AK65-$AE$1</f>
        <v>0</v>
      </c>
      <c r="AM65" s="72">
        <f>MAX(Aggregate!$AL65*Scoring!$B$48+1,1)</f>
        <v>1</v>
      </c>
      <c r="AN65" s="73">
        <f>VLOOKUP(Aggregate!$AL65,BR:BT,3,FALSE)</f>
        <v>6</v>
      </c>
      <c r="AO65" s="80">
        <f t="array" ref="AO65">VLOOKUP(INDEX(ECR!$E:$E,MATCH(AD65,ECR!$C:$C,0)),RISK!A:B,2,FALSE())</f>
        <v>3.7</v>
      </c>
      <c r="AP65" s="81"/>
      <c r="AQ65" s="85" t="s">
        <v>603</v>
      </c>
      <c r="AR65" s="2"/>
      <c r="AS65" s="117"/>
      <c r="AT65" s="2"/>
      <c r="AU65" s="2"/>
      <c r="AV65" s="2"/>
      <c r="AW65" s="2"/>
      <c r="AX65" s="2"/>
      <c r="AY65" s="2"/>
      <c r="AZ65" s="2"/>
      <c r="BA65" s="2"/>
      <c r="BB65" s="117"/>
      <c r="BC65" s="2"/>
      <c r="BD65" s="2"/>
      <c r="BE65" s="117"/>
      <c r="BF65" s="81">
        <v>63.0</v>
      </c>
      <c r="BG65" s="81" t="str">
        <f t="shared" si="1"/>
        <v/>
      </c>
      <c r="BH65" s="91"/>
      <c r="BI65" s="91"/>
      <c r="BJ65" s="91"/>
      <c r="BK65" s="90">
        <v>63.0</v>
      </c>
      <c r="BL65" s="81">
        <f t="shared" si="2"/>
        <v>59.56487336</v>
      </c>
      <c r="BM65" s="91">
        <f>IFERROR(LARGE($X$3:$X$102,63),"")</f>
        <v>-21.43543028</v>
      </c>
      <c r="BN65" s="91">
        <f t="shared" si="7"/>
        <v>-12.65619028</v>
      </c>
      <c r="BO65" s="93">
        <f t="shared" si="8"/>
        <v>8</v>
      </c>
      <c r="BP65" s="91">
        <v>63.0</v>
      </c>
      <c r="BQ65" s="81">
        <f t="shared" si="3"/>
        <v>86.17582588</v>
      </c>
      <c r="BR65" s="91">
        <f>IFERROR(LARGE($AL$3:$AL$102,63),"")</f>
        <v>3.30747</v>
      </c>
      <c r="BS65" s="91">
        <f t="shared" si="9"/>
        <v>3.30747</v>
      </c>
      <c r="BT65" s="91">
        <f t="shared" si="10"/>
        <v>6</v>
      </c>
      <c r="BU65" s="81">
        <v>63.0</v>
      </c>
      <c r="BV65" s="81" t="str">
        <f t="shared" si="4"/>
        <v/>
      </c>
      <c r="BW65" s="91"/>
      <c r="BX65" s="91"/>
      <c r="BY65" s="91">
        <f t="array" ref="BY65">IFERROR(VALUE(RIGHT(INDEX(ECR!$E:$E,MATCH(P65,ECR!$C:$C,0)),LEN(INDEX(ECR!$E:$E,MATCH(P65,ECR!$C:$C,0)))-2)),"")</f>
        <v>63</v>
      </c>
      <c r="BZ65" s="91"/>
      <c r="CA65" s="91"/>
      <c r="CB65" s="91"/>
      <c r="CC65" s="91"/>
      <c r="CD65" s="91"/>
      <c r="CE65" s="91"/>
      <c r="CF65" s="91"/>
      <c r="CG65" s="91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17"/>
      <c r="M66" s="2"/>
      <c r="N66" s="117"/>
      <c r="O66" s="73" t="s">
        <v>605</v>
      </c>
      <c r="P66" s="59" t="str">
        <f>VLOOKUP(O66,ECR!E:L,8,FALSE())</f>
        <v>Kaytron Allen</v>
      </c>
      <c r="Q66" s="60" t="str">
        <f>IFERROR(VLOOKUP(Aggregate!$P66,ECR!C:F,2,FALSE()),"-")</f>
        <v>WAS</v>
      </c>
      <c r="R66" s="60">
        <f>IFERROR(VLOOKUP(Aggregate!$P66,ECR!C:F,4,FALSE()),"-")</f>
        <v>7</v>
      </c>
      <c r="S66" s="60" t="str">
        <f>Aggregate!$Q66 &amp; "/" &amp; Aggregate!$R66</f>
        <v>WAS/7</v>
      </c>
      <c r="T66" s="62">
        <f>IFERROR(VLOOKUP(Aggregate!$P66,RB!A:Q,13,FALSE())/17*(16-Aggregate!$AA66),0)</f>
        <v>52.52067571</v>
      </c>
      <c r="U66" s="62">
        <f>IFERROR(VLOOKUP(Aggregate!$P66,RB!A:Q,14,FALSE())/17*(16-Aggregate!$AA66),0)</f>
        <v>59.56487336</v>
      </c>
      <c r="V66" s="62">
        <f>IFERROR(VLOOKUP(Aggregate!$P66,RB!A:Q,15,FALSE())/17*(16-Aggregate!$AA66),0)</f>
        <v>66.49761218</v>
      </c>
      <c r="W66" s="69">
        <f>AVERAGE(Aggregate!$T66,Aggregate!$U66,Aggregate!$V66,VLOOKUP(Aggregate!$P66,ECR!L:N,3,FALSE))</f>
        <v>59.34679302</v>
      </c>
      <c r="X66" s="69">
        <f>Aggregate!$W66-$Q$1</f>
        <v>-19.04409608</v>
      </c>
      <c r="Y66" s="72">
        <f>MAX(Aggregate!$X66*Scoring!$B$48+1,1)</f>
        <v>1</v>
      </c>
      <c r="Z66" s="73">
        <f>VLOOKUP(Aggregate!$X66,BM:BO,3,FALSE)</f>
        <v>8</v>
      </c>
      <c r="AA66" s="80">
        <f t="array" ref="AA66">VLOOKUP(INDEX(ECR!$E:$E,MATCH(P66,ECR!$C:$C,0)),RISK!A:B,2,FALSE())</f>
        <v>3.368</v>
      </c>
      <c r="AB66" s="81"/>
      <c r="AC66" s="60" t="s">
        <v>608</v>
      </c>
      <c r="AD66" s="60" t="str">
        <f>VLOOKUP(AC66,ECR!E:L,8,FALSE())</f>
        <v>Tre' Harris</v>
      </c>
      <c r="AE66" s="60" t="str">
        <f>IFERROR(VLOOKUP(Aggregate!$AD66,ECR!C:F,2,FALSE()),"-")</f>
        <v>LAC</v>
      </c>
      <c r="AF66" s="60">
        <f>IFERROR(VLOOKUP(Aggregate!$AD66,ECR!C:F,4,FALSE()),"-")</f>
        <v>7</v>
      </c>
      <c r="AG66" s="60" t="str">
        <f>Aggregate!$AE66 &amp; "/" &amp; Aggregate!$AF66</f>
        <v>LAC/7</v>
      </c>
      <c r="AH66" s="62">
        <f>IFERROR(VLOOKUP(Aggregate!$AD66,WR!A:Q,13,FALSE())/17*(16-Aggregate!$AO66),0)</f>
        <v>52.45588235</v>
      </c>
      <c r="AI66" s="62">
        <f>IFERROR(VLOOKUP(Aggregate!$AD66,WR!A:Q,14,FALSE())/17*(16-Aggregate!$AO66),0)</f>
        <v>52.45588235</v>
      </c>
      <c r="AJ66" s="62">
        <f>IFERROR(VLOOKUP(Aggregate!$AD66,WR!A:Q,15,FALSE())/17*(16-Aggregate!$AO66),0)</f>
        <v>52.45588235</v>
      </c>
      <c r="AK66" s="69">
        <f>AVERAGE(Aggregate!$AH66,Aggregate!$AI66,Aggregate!$AJ66,VLOOKUP(Aggregate!$AD66,ECR!L:N,3,FALSE))</f>
        <v>60.83377412</v>
      </c>
      <c r="AL66" s="69">
        <f>Aggregate!$AK66-$AE$1</f>
        <v>-20.68715294</v>
      </c>
      <c r="AM66" s="72">
        <f>MAX(Aggregate!$AL66*Scoring!$B$48+1,1)</f>
        <v>1</v>
      </c>
      <c r="AN66" s="73">
        <f>VLOOKUP(Aggregate!$AL66,BR:BT,3,FALSE)</f>
        <v>7</v>
      </c>
      <c r="AO66" s="80">
        <f t="array" ref="AO66">VLOOKUP(INDEX(ECR!$E:$E,MATCH(AD66,ECR!$C:$C,0)),RISK!A:B,2,FALSE())</f>
        <v>3.7</v>
      </c>
      <c r="AP66" s="81"/>
      <c r="AQ66" s="85" t="s">
        <v>611</v>
      </c>
      <c r="AR66" s="2"/>
      <c r="AS66" s="117"/>
      <c r="AT66" s="2"/>
      <c r="AU66" s="2"/>
      <c r="AV66" s="2"/>
      <c r="AW66" s="2"/>
      <c r="AX66" s="2"/>
      <c r="AY66" s="2"/>
      <c r="AZ66" s="2"/>
      <c r="BA66" s="2"/>
      <c r="BB66" s="117"/>
      <c r="BC66" s="2"/>
      <c r="BD66" s="2"/>
      <c r="BE66" s="117"/>
      <c r="BF66" s="81">
        <v>64.0</v>
      </c>
      <c r="BG66" s="81" t="str">
        <f t="shared" si="1"/>
        <v/>
      </c>
      <c r="BH66" s="91"/>
      <c r="BI66" s="91"/>
      <c r="BJ66" s="91"/>
      <c r="BK66" s="90">
        <v>64.0</v>
      </c>
      <c r="BL66" s="81">
        <f t="shared" si="2"/>
        <v>58.80401084</v>
      </c>
      <c r="BM66" s="91">
        <f>IFERROR(LARGE($X$3:$X$102,64),"")</f>
        <v>-24.45907038</v>
      </c>
      <c r="BN66" s="91">
        <f t="shared" si="7"/>
        <v>-12.65619028</v>
      </c>
      <c r="BO66" s="93">
        <f t="shared" si="8"/>
        <v>8</v>
      </c>
      <c r="BP66" s="91">
        <v>64.0</v>
      </c>
      <c r="BQ66" s="81">
        <f t="shared" si="3"/>
        <v>85.96744941</v>
      </c>
      <c r="BR66" s="91">
        <f>IFERROR(LARGE($AL$3:$AL$102,64),"")</f>
        <v>0.5128376471</v>
      </c>
      <c r="BS66" s="91">
        <f t="shared" si="9"/>
        <v>3.30747</v>
      </c>
      <c r="BT66" s="91">
        <f t="shared" si="10"/>
        <v>6</v>
      </c>
      <c r="BU66" s="81">
        <v>64.0</v>
      </c>
      <c r="BV66" s="81" t="str">
        <f t="shared" si="4"/>
        <v/>
      </c>
      <c r="BW66" s="91"/>
      <c r="BX66" s="91"/>
      <c r="BY66" s="91">
        <f t="array" ref="BY66">IFERROR(VALUE(RIGHT(INDEX(ECR!$E:$E,MATCH(P66,ECR!$C:$C,0)),LEN(INDEX(ECR!$E:$E,MATCH(P66,ECR!$C:$C,0)))-2)),"")</f>
        <v>64</v>
      </c>
      <c r="BZ66" s="91"/>
      <c r="CA66" s="91"/>
      <c r="CB66" s="91"/>
      <c r="CC66" s="91"/>
      <c r="CD66" s="91"/>
      <c r="CE66" s="91"/>
      <c r="CF66" s="91"/>
      <c r="CG66" s="91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17"/>
      <c r="M67" s="2"/>
      <c r="N67" s="117"/>
      <c r="O67" s="73" t="s">
        <v>614</v>
      </c>
      <c r="P67" s="59" t="str">
        <f>VLOOKUP(O67,ECR!E:L,8,FALSE())</f>
        <v>Emanuel Wilson</v>
      </c>
      <c r="Q67" s="60" t="str">
        <f>IFERROR(VLOOKUP(Aggregate!$P67,ECR!C:F,2,FALSE()),"-")</f>
        <v>SEA</v>
      </c>
      <c r="R67" s="60">
        <f>IFERROR(VLOOKUP(Aggregate!$P67,ECR!C:F,4,FALSE()),"-")</f>
        <v>11</v>
      </c>
      <c r="S67" s="60" t="str">
        <f>Aggregate!$Q67 &amp; "/" &amp; Aggregate!$R67</f>
        <v>SEA/11</v>
      </c>
      <c r="T67" s="62">
        <f>IFERROR(VLOOKUP(Aggregate!$P67,RB!A:Q,13,FALSE())/17*(16-Aggregate!$AA67),0)</f>
        <v>5.149397647</v>
      </c>
      <c r="U67" s="62">
        <f>IFERROR(VLOOKUP(Aggregate!$P67,RB!A:Q,14,FALSE())/17*(16-Aggregate!$AA67),0)</f>
        <v>35.15411294</v>
      </c>
      <c r="V67" s="62">
        <f>IFERROR(VLOOKUP(Aggregate!$P67,RB!A:Q,15,FALSE())/17*(16-Aggregate!$AA67),0)</f>
        <v>65.46348235</v>
      </c>
      <c r="W67" s="69">
        <f>AVERAGE(Aggregate!$T67,Aggregate!$U67,Aggregate!$V67,VLOOKUP(Aggregate!$P67,ECR!L:N,3,FALSE))</f>
        <v>41.08210248</v>
      </c>
      <c r="X67" s="69">
        <f>Aggregate!$W67-$Q$1</f>
        <v>-37.30878662</v>
      </c>
      <c r="Y67" s="72">
        <f>MAX(Aggregate!$X67*Scoring!$B$48+1,1)</f>
        <v>1</v>
      </c>
      <c r="Z67" s="73">
        <f>VLOOKUP(Aggregate!$X67,BM:BO,3,FALSE)</f>
        <v>8</v>
      </c>
      <c r="AA67" s="80">
        <f t="array" ref="AA67">VLOOKUP(INDEX(ECR!$E:$E,MATCH(P67,ECR!$C:$C,0)),RISK!A:B,2,FALSE())</f>
        <v>3.368</v>
      </c>
      <c r="AB67" s="81"/>
      <c r="AC67" s="60" t="s">
        <v>616</v>
      </c>
      <c r="AD67" s="60" t="str">
        <f>VLOOKUP(AC67,ECR!E:L,8,FALSE())</f>
        <v>Dontayvion Wicks</v>
      </c>
      <c r="AE67" s="60" t="str">
        <f>IFERROR(VLOOKUP(Aggregate!$AD67,ECR!C:F,2,FALSE()),"-")</f>
        <v>PHI</v>
      </c>
      <c r="AF67" s="60">
        <f>IFERROR(VLOOKUP(Aggregate!$AD67,ECR!C:F,4,FALSE()),"-")</f>
        <v>10</v>
      </c>
      <c r="AG67" s="60" t="str">
        <f>Aggregate!$AE67 &amp; "/" &amp; Aggregate!$AF67</f>
        <v>PHI/10</v>
      </c>
      <c r="AH67" s="62">
        <f>IFERROR(VLOOKUP(Aggregate!$AD67,WR!A:Q,13,FALSE())/17*(16-Aggregate!$AO67),0)</f>
        <v>63.76464706</v>
      </c>
      <c r="AI67" s="62">
        <f>IFERROR(VLOOKUP(Aggregate!$AD67,WR!A:Q,14,FALSE())/17*(16-Aggregate!$AO67),0)</f>
        <v>63.76464706</v>
      </c>
      <c r="AJ67" s="62">
        <f>IFERROR(VLOOKUP(Aggregate!$AD67,WR!A:Q,15,FALSE())/17*(16-Aggregate!$AO67),0)</f>
        <v>63.76464706</v>
      </c>
      <c r="AK67" s="69">
        <f>AVERAGE(Aggregate!$AH67,Aggregate!$AI67,Aggregate!$AJ67,VLOOKUP(Aggregate!$AD67,ECR!L:N,3,FALSE))</f>
        <v>69.30145588</v>
      </c>
      <c r="AL67" s="69">
        <f>Aggregate!$AK67-$AE$1</f>
        <v>-12.21947118</v>
      </c>
      <c r="AM67" s="72">
        <f>MAX(Aggregate!$AL67*Scoring!$B$48+1,1)</f>
        <v>1</v>
      </c>
      <c r="AN67" s="73">
        <f>VLOOKUP(Aggregate!$AL67,BR:BT,3,FALSE)</f>
        <v>6</v>
      </c>
      <c r="AO67" s="80">
        <f t="array" ref="AO67">VLOOKUP(INDEX(ECR!$E:$E,MATCH(AD67,ECR!$C:$C,0)),RISK!A:B,2,FALSE())</f>
        <v>3.7</v>
      </c>
      <c r="AP67" s="81"/>
      <c r="AQ67" s="85" t="s">
        <v>618</v>
      </c>
      <c r="AR67" s="2"/>
      <c r="AS67" s="117"/>
      <c r="AT67" s="2"/>
      <c r="AU67" s="2"/>
      <c r="AV67" s="2"/>
      <c r="AW67" s="2"/>
      <c r="AX67" s="2"/>
      <c r="AY67" s="2"/>
      <c r="AZ67" s="2"/>
      <c r="BA67" s="2"/>
      <c r="BB67" s="117"/>
      <c r="BC67" s="2"/>
      <c r="BD67" s="2"/>
      <c r="BE67" s="117"/>
      <c r="BF67" s="81">
        <v>65.0</v>
      </c>
      <c r="BG67" s="81" t="str">
        <f t="shared" si="1"/>
        <v/>
      </c>
      <c r="BH67" s="91"/>
      <c r="BI67" s="91"/>
      <c r="BJ67" s="91"/>
      <c r="BK67" s="90">
        <v>65.0</v>
      </c>
      <c r="BL67" s="81">
        <f t="shared" si="2"/>
        <v>58.561417</v>
      </c>
      <c r="BM67" s="91">
        <f>IFERROR(LARGE($X$3:$X$102,65),"")</f>
        <v>-26.02567616</v>
      </c>
      <c r="BN67" s="91">
        <f t="shared" si="7"/>
        <v>-12.65619028</v>
      </c>
      <c r="BO67" s="93">
        <f t="shared" si="8"/>
        <v>8</v>
      </c>
      <c r="BP67" s="91">
        <v>65.0</v>
      </c>
      <c r="BQ67" s="81">
        <f t="shared" si="3"/>
        <v>85.91188235</v>
      </c>
      <c r="BR67" s="91">
        <f>IFERROR(LARGE($AL$3:$AL$102,65),"")</f>
        <v>0</v>
      </c>
      <c r="BS67" s="91">
        <f t="shared" si="9"/>
        <v>3.30747</v>
      </c>
      <c r="BT67" s="91">
        <f t="shared" si="10"/>
        <v>6</v>
      </c>
      <c r="BU67" s="81">
        <v>65.0</v>
      </c>
      <c r="BV67" s="81" t="str">
        <f t="shared" si="4"/>
        <v/>
      </c>
      <c r="BW67" s="91"/>
      <c r="BX67" s="91"/>
      <c r="BY67" s="91">
        <f t="array" ref="BY67">IFERROR(VALUE(RIGHT(INDEX(ECR!$E:$E,MATCH(P67,ECR!$C:$C,0)),LEN(INDEX(ECR!$E:$E,MATCH(P67,ECR!$C:$C,0)))-2)),"")</f>
        <v>65</v>
      </c>
      <c r="BZ67" s="91"/>
      <c r="CA67" s="91"/>
      <c r="CB67" s="91"/>
      <c r="CC67" s="91"/>
      <c r="CD67" s="91"/>
      <c r="CE67" s="91"/>
      <c r="CF67" s="91"/>
      <c r="CG67" s="91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17"/>
      <c r="M68" s="2"/>
      <c r="N68" s="117"/>
      <c r="O68" s="73" t="s">
        <v>621</v>
      </c>
      <c r="P68" s="59" t="str">
        <f>VLOOKUP(O68,ECR!E:L,8,FALSE())</f>
        <v>James Conner</v>
      </c>
      <c r="Q68" s="60" t="str">
        <f>IFERROR(VLOOKUP(Aggregate!$P68,ECR!C:F,2,FALSE()),"-")</f>
        <v>ARI</v>
      </c>
      <c r="R68" s="60">
        <f>IFERROR(VLOOKUP(Aggregate!$P68,ECR!C:F,4,FALSE()),"-")</f>
        <v>14</v>
      </c>
      <c r="S68" s="60" t="str">
        <f>Aggregate!$Q68 &amp; "/" &amp; Aggregate!$R68</f>
        <v>ARI/14</v>
      </c>
      <c r="T68" s="62">
        <f>IFERROR(VLOOKUP(Aggregate!$P68,RB!A:Q,13,FALSE())/17*(16-Aggregate!$AA68),0)</f>
        <v>0</v>
      </c>
      <c r="U68" s="62">
        <f>IFERROR(VLOOKUP(Aggregate!$P68,RB!A:Q,14,FALSE())/17*(16-Aggregate!$AA68),0)</f>
        <v>39.49357647</v>
      </c>
      <c r="V68" s="62">
        <f>IFERROR(VLOOKUP(Aggregate!$P68,RB!A:Q,15,FALSE())/17*(16-Aggregate!$AA68),0)</f>
        <v>78.98715294</v>
      </c>
      <c r="W68" s="69">
        <f>AVERAGE(Aggregate!$T68,Aggregate!$U68,Aggregate!$V68,VLOOKUP(Aggregate!$P68,ECR!L:N,3,FALSE))</f>
        <v>43.86462</v>
      </c>
      <c r="X68" s="69">
        <f>Aggregate!$W68-$Q$1</f>
        <v>-34.5262691</v>
      </c>
      <c r="Y68" s="72">
        <f>MAX(Aggregate!$X68*Scoring!$B$48+1,1)</f>
        <v>1</v>
      </c>
      <c r="Z68" s="73">
        <f>VLOOKUP(Aggregate!$X68,BM:BO,3,FALSE)</f>
        <v>8</v>
      </c>
      <c r="AA68" s="80">
        <f t="array" ref="AA68">VLOOKUP(INDEX(ECR!$E:$E,MATCH(P68,ECR!$C:$C,0)),RISK!A:B,2,FALSE())</f>
        <v>3.368</v>
      </c>
      <c r="AB68" s="81"/>
      <c r="AC68" s="60" t="s">
        <v>624</v>
      </c>
      <c r="AD68" s="60" t="str">
        <f>VLOOKUP(AC68,ECR!E:L,8,FALSE())</f>
        <v>Kayshon Boutte</v>
      </c>
      <c r="AE68" s="60" t="str">
        <f>IFERROR(VLOOKUP(Aggregate!$AD68,ECR!C:F,2,FALSE()),"-")</f>
        <v>HOU</v>
      </c>
      <c r="AF68" s="60">
        <f>IFERROR(VLOOKUP(Aggregate!$AD68,ECR!C:F,4,FALSE()),"-")</f>
        <v>8</v>
      </c>
      <c r="AG68" s="60" t="str">
        <f>Aggregate!$AE68 &amp; "/" &amp; Aggregate!$AF68</f>
        <v>HOU/8</v>
      </c>
      <c r="AH68" s="62">
        <f>IFERROR(VLOOKUP(Aggregate!$AD68,WR!A:Q,13,FALSE())/17*(16-Aggregate!$AO68),0)</f>
        <v>52.20264706</v>
      </c>
      <c r="AI68" s="62">
        <f>IFERROR(VLOOKUP(Aggregate!$AD68,WR!A:Q,14,FALSE())/17*(16-Aggregate!$AO68),0)</f>
        <v>67.17970588</v>
      </c>
      <c r="AJ68" s="62">
        <f>IFERROR(VLOOKUP(Aggregate!$AD68,WR!A:Q,15,FALSE())/17*(16-Aggregate!$AO68),0)</f>
        <v>82.41</v>
      </c>
      <c r="AK68" s="69">
        <f>AVERAGE(Aggregate!$AH68,Aggregate!$AI68,Aggregate!$AJ68,VLOOKUP(Aggregate!$AD68,ECR!L:N,3,FALSE))</f>
        <v>71.70538235</v>
      </c>
      <c r="AL68" s="69">
        <f>Aggregate!$AK68-$AE$1</f>
        <v>-9.815544706</v>
      </c>
      <c r="AM68" s="72">
        <f>MAX(Aggregate!$AL68*Scoring!$B$48+1,1)</f>
        <v>1</v>
      </c>
      <c r="AN68" s="73">
        <f>VLOOKUP(Aggregate!$AL68,BR:BT,3,FALSE)</f>
        <v>6</v>
      </c>
      <c r="AO68" s="80">
        <f t="array" ref="AO68">VLOOKUP(INDEX(ECR!$E:$E,MATCH(AD68,ECR!$C:$C,0)),RISK!A:B,2,FALSE())</f>
        <v>3.7</v>
      </c>
      <c r="AP68" s="81"/>
      <c r="AQ68" s="85" t="s">
        <v>626</v>
      </c>
      <c r="AR68" s="2"/>
      <c r="AS68" s="117"/>
      <c r="AT68" s="2"/>
      <c r="AU68" s="2"/>
      <c r="AV68" s="2"/>
      <c r="AW68" s="2"/>
      <c r="AX68" s="2"/>
      <c r="AY68" s="2"/>
      <c r="AZ68" s="2"/>
      <c r="BA68" s="2"/>
      <c r="BB68" s="117"/>
      <c r="BC68" s="2"/>
      <c r="BD68" s="2"/>
      <c r="BE68" s="117"/>
      <c r="BF68" s="81">
        <v>66.0</v>
      </c>
      <c r="BG68" s="81" t="str">
        <f t="shared" si="1"/>
        <v/>
      </c>
      <c r="BH68" s="91"/>
      <c r="BI68" s="91"/>
      <c r="BJ68" s="91"/>
      <c r="BK68" s="90">
        <v>66.0</v>
      </c>
      <c r="BL68" s="81">
        <f t="shared" si="2"/>
        <v>56.97775059</v>
      </c>
      <c r="BM68" s="91">
        <f>IFERROR(LARGE($X$3:$X$102,66),"")</f>
        <v>-27.01873341</v>
      </c>
      <c r="BN68" s="91">
        <f t="shared" si="7"/>
        <v>-12.65619028</v>
      </c>
      <c r="BO68" s="93">
        <f t="shared" si="8"/>
        <v>8</v>
      </c>
      <c r="BP68" s="91">
        <v>66.0</v>
      </c>
      <c r="BQ68" s="81">
        <f t="shared" si="3"/>
        <v>85.02917647</v>
      </c>
      <c r="BR68" s="91">
        <f>IFERROR(LARGE($AL$3:$AL$102,66),"")</f>
        <v>-0.1970894118</v>
      </c>
      <c r="BS68" s="91">
        <f t="shared" si="9"/>
        <v>3.30747</v>
      </c>
      <c r="BT68" s="91">
        <f t="shared" si="10"/>
        <v>6</v>
      </c>
      <c r="BU68" s="81">
        <v>66.0</v>
      </c>
      <c r="BV68" s="81" t="str">
        <f t="shared" si="4"/>
        <v/>
      </c>
      <c r="BW68" s="91"/>
      <c r="BX68" s="91"/>
      <c r="BY68" s="91">
        <f t="array" ref="BY68">IFERROR(VALUE(RIGHT(INDEX(ECR!$E:$E,MATCH(P68,ECR!$C:$C,0)),LEN(INDEX(ECR!$E:$E,MATCH(P68,ECR!$C:$C,0)))-2)),"")</f>
        <v>66</v>
      </c>
      <c r="BZ68" s="91"/>
      <c r="CA68" s="91"/>
      <c r="CB68" s="91"/>
      <c r="CC68" s="91"/>
      <c r="CD68" s="91"/>
      <c r="CE68" s="91"/>
      <c r="CF68" s="91"/>
      <c r="CG68" s="91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17"/>
      <c r="M69" s="2"/>
      <c r="N69" s="117"/>
      <c r="O69" s="73" t="s">
        <v>629</v>
      </c>
      <c r="P69" s="59" t="str">
        <f>VLOOKUP(O69,ECR!E:L,8,FALSE())</f>
        <v>George Holani</v>
      </c>
      <c r="Q69" s="60" t="str">
        <f>IFERROR(VLOOKUP(Aggregate!$P69,ECR!C:F,2,FALSE()),"-")</f>
        <v>SEA</v>
      </c>
      <c r="R69" s="60">
        <f>IFERROR(VLOOKUP(Aggregate!$P69,ECR!C:F,4,FALSE()),"-")</f>
        <v>11</v>
      </c>
      <c r="S69" s="60" t="str">
        <f>Aggregate!$Q69 &amp; "/" &amp; Aggregate!$R69</f>
        <v>SEA/11</v>
      </c>
      <c r="T69" s="62">
        <f>IFERROR(VLOOKUP(Aggregate!$P69,RB!A:Q,13,FALSE())/17*(16-Aggregate!$AA69),0)</f>
        <v>27.51546824</v>
      </c>
      <c r="U69" s="62">
        <f>IFERROR(VLOOKUP(Aggregate!$P69,RB!A:Q,14,FALSE())/17*(16-Aggregate!$AA69),0)</f>
        <v>27.51546824</v>
      </c>
      <c r="V69" s="62">
        <f>IFERROR(VLOOKUP(Aggregate!$P69,RB!A:Q,15,FALSE())/17*(16-Aggregate!$AA69),0)</f>
        <v>27.51546824</v>
      </c>
      <c r="W69" s="69">
        <f>AVERAGE(Aggregate!$T69,Aggregate!$U69,Aggregate!$V69,VLOOKUP(Aggregate!$P69,ECR!L:N,3,FALSE))</f>
        <v>34.47978706</v>
      </c>
      <c r="X69" s="69">
        <f>Aggregate!$W69-$Q$1</f>
        <v>-43.91110204</v>
      </c>
      <c r="Y69" s="72">
        <f>MAX(Aggregate!$X69*Scoring!$B$48+1,1)</f>
        <v>1</v>
      </c>
      <c r="Z69" s="73">
        <f>VLOOKUP(Aggregate!$X69,BM:BO,3,FALSE)</f>
        <v>9</v>
      </c>
      <c r="AA69" s="80">
        <f t="array" ref="AA69">VLOOKUP(INDEX(ECR!$E:$E,MATCH(P69,ECR!$C:$C,0)),RISK!A:B,2,FALSE())</f>
        <v>3.368</v>
      </c>
      <c r="AB69" s="81"/>
      <c r="AC69" s="60" t="s">
        <v>631</v>
      </c>
      <c r="AD69" s="60" t="str">
        <f>VLOOKUP(AC69,ECR!E:L,8,FALSE())</f>
        <v>Jalen Nailor</v>
      </c>
      <c r="AE69" s="60" t="str">
        <f>IFERROR(VLOOKUP(Aggregate!$AD69,ECR!C:F,2,FALSE()),"-")</f>
        <v>LV</v>
      </c>
      <c r="AF69" s="60">
        <f>IFERROR(VLOOKUP(Aggregate!$AD69,ECR!C:F,4,FALSE()),"-")</f>
        <v>13</v>
      </c>
      <c r="AG69" s="60" t="str">
        <f>Aggregate!$AE69 &amp; "/" &amp; Aggregate!$AF69</f>
        <v>LV/13</v>
      </c>
      <c r="AH69" s="62">
        <f>IFERROR(VLOOKUP(Aggregate!$AD69,WR!A:Q,13,FALSE())/17*(16-Aggregate!$AO69),0)</f>
        <v>69.60352941</v>
      </c>
      <c r="AI69" s="62">
        <f>IFERROR(VLOOKUP(Aggregate!$AD69,WR!A:Q,14,FALSE())/17*(16-Aggregate!$AO69),0)</f>
        <v>76.05741176</v>
      </c>
      <c r="AJ69" s="62">
        <f>IFERROR(VLOOKUP(Aggregate!$AD69,WR!A:Q,15,FALSE())/17*(16-Aggregate!$AO69),0)</f>
        <v>82.90923529</v>
      </c>
      <c r="AK69" s="69">
        <f>AVERAGE(Aggregate!$AH69,Aggregate!$AI69,Aggregate!$AJ69,VLOOKUP(Aggregate!$AD69,ECR!L:N,3,FALSE))</f>
        <v>77.91869118</v>
      </c>
      <c r="AL69" s="69">
        <f>Aggregate!$AK69-$AE$1</f>
        <v>-3.602235882</v>
      </c>
      <c r="AM69" s="72">
        <f>MAX(Aggregate!$AL69*Scoring!$B$48+1,1)</f>
        <v>1</v>
      </c>
      <c r="AN69" s="73">
        <f>VLOOKUP(Aggregate!$AL69,BR:BT,3,FALSE)</f>
        <v>6</v>
      </c>
      <c r="AO69" s="80">
        <f t="array" ref="AO69">VLOOKUP(INDEX(ECR!$E:$E,MATCH(AD69,ECR!$C:$C,0)),RISK!A:B,2,FALSE())</f>
        <v>3.7</v>
      </c>
      <c r="AP69" s="81"/>
      <c r="AQ69" s="85" t="s">
        <v>634</v>
      </c>
      <c r="AR69" s="2"/>
      <c r="AS69" s="117"/>
      <c r="AT69" s="2"/>
      <c r="AU69" s="2"/>
      <c r="AV69" s="2"/>
      <c r="AW69" s="2"/>
      <c r="AX69" s="2"/>
      <c r="AY69" s="2"/>
      <c r="AZ69" s="2"/>
      <c r="BA69" s="2"/>
      <c r="BB69" s="117"/>
      <c r="BC69" s="2"/>
      <c r="BD69" s="2"/>
      <c r="BE69" s="117"/>
      <c r="BF69" s="81">
        <v>67.0</v>
      </c>
      <c r="BG69" s="81" t="str">
        <f t="shared" si="1"/>
        <v/>
      </c>
      <c r="BH69" s="91"/>
      <c r="BI69" s="91"/>
      <c r="BJ69" s="91"/>
      <c r="BK69" s="90">
        <v>67.0</v>
      </c>
      <c r="BL69" s="81">
        <f t="shared" si="2"/>
        <v>55.37274353</v>
      </c>
      <c r="BM69" s="91">
        <f>IFERROR(LARGE($X$3:$X$102,67),"")</f>
        <v>-31.30696675</v>
      </c>
      <c r="BN69" s="91">
        <f t="shared" si="7"/>
        <v>-12.65619028</v>
      </c>
      <c r="BO69" s="93">
        <f t="shared" si="8"/>
        <v>8</v>
      </c>
      <c r="BP69" s="91">
        <v>67.0</v>
      </c>
      <c r="BQ69" s="81">
        <f t="shared" si="3"/>
        <v>83.10458824</v>
      </c>
      <c r="BR69" s="91">
        <f>IFERROR(LARGE($AL$3:$AL$102,67),"")</f>
        <v>-0.6288194118</v>
      </c>
      <c r="BS69" s="91">
        <f t="shared" si="9"/>
        <v>3.30747</v>
      </c>
      <c r="BT69" s="91">
        <f t="shared" si="10"/>
        <v>6</v>
      </c>
      <c r="BU69" s="81">
        <v>67.0</v>
      </c>
      <c r="BV69" s="81" t="str">
        <f t="shared" si="4"/>
        <v/>
      </c>
      <c r="BW69" s="91"/>
      <c r="BX69" s="91"/>
      <c r="BY69" s="91">
        <f t="array" ref="BY69">IFERROR(VALUE(RIGHT(INDEX(ECR!$E:$E,MATCH(P69,ECR!$C:$C,0)),LEN(INDEX(ECR!$E:$E,MATCH(P69,ECR!$C:$C,0)))-2)),"")</f>
        <v>67</v>
      </c>
      <c r="BZ69" s="91"/>
      <c r="CA69" s="91"/>
      <c r="CB69" s="91"/>
      <c r="CC69" s="91"/>
      <c r="CD69" s="91"/>
      <c r="CE69" s="91"/>
      <c r="CF69" s="91"/>
      <c r="CG69" s="91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17"/>
      <c r="M70" s="2"/>
      <c r="N70" s="117"/>
      <c r="O70" s="73" t="s">
        <v>637</v>
      </c>
      <c r="P70" s="59" t="str">
        <f>VLOOKUP(O70,ECR!E:L,8,FALSE())</f>
        <v>Jaylen Wright</v>
      </c>
      <c r="Q70" s="60" t="str">
        <f>IFERROR(VLOOKUP(Aggregate!$P70,ECR!C:F,2,FALSE()),"-")</f>
        <v>MIA</v>
      </c>
      <c r="R70" s="60">
        <f>IFERROR(VLOOKUP(Aggregate!$P70,ECR!C:F,4,FALSE()),"-")</f>
        <v>6</v>
      </c>
      <c r="S70" s="60" t="str">
        <f>Aggregate!$Q70 &amp; "/" &amp; Aggregate!$R70</f>
        <v>MIA/6</v>
      </c>
      <c r="T70" s="62">
        <f>IFERROR(VLOOKUP(Aggregate!$P70,RB!A:Q,13,FALSE())/17*(16-Aggregate!$AA70),0)</f>
        <v>25.54636235</v>
      </c>
      <c r="U70" s="62">
        <f>IFERROR(VLOOKUP(Aggregate!$P70,RB!A:Q,14,FALSE())/17*(16-Aggregate!$AA70),0)</f>
        <v>34.87918118</v>
      </c>
      <c r="V70" s="62">
        <f>IFERROR(VLOOKUP(Aggregate!$P70,RB!A:Q,15,FALSE())/17*(16-Aggregate!$AA70),0)</f>
        <v>44.53894588</v>
      </c>
      <c r="W70" s="69">
        <f>AVERAGE(Aggregate!$T70,Aggregate!$U70,Aggregate!$V70,VLOOKUP(Aggregate!$P70,ECR!L:N,3,FALSE))</f>
        <v>39.02544941</v>
      </c>
      <c r="X70" s="69">
        <f>Aggregate!$W70-$Q$1</f>
        <v>-39.36543969</v>
      </c>
      <c r="Y70" s="72">
        <f>MAX(Aggregate!$X70*Scoring!$B$48+1,1)</f>
        <v>1</v>
      </c>
      <c r="Z70" s="73">
        <f>VLOOKUP(Aggregate!$X70,BM:BO,3,FALSE)</f>
        <v>9</v>
      </c>
      <c r="AA70" s="80">
        <f t="array" ref="AA70">VLOOKUP(INDEX(ECR!$E:$E,MATCH(P70,ECR!$C:$C,0)),RISK!A:B,2,FALSE())</f>
        <v>3.368</v>
      </c>
      <c r="AB70" s="81"/>
      <c r="AC70" s="60" t="s">
        <v>639</v>
      </c>
      <c r="AD70" s="60" t="str">
        <f>VLOOKUP(AC70,ECR!E:L,8,FALSE())</f>
        <v>Pat Bryant</v>
      </c>
      <c r="AE70" s="60" t="str">
        <f>IFERROR(VLOOKUP(Aggregate!$AD70,ECR!C:F,2,FALSE()),"-")</f>
        <v>DEN</v>
      </c>
      <c r="AF70" s="60">
        <f>IFERROR(VLOOKUP(Aggregate!$AD70,ECR!C:F,4,FALSE()),"-")</f>
        <v>10</v>
      </c>
      <c r="AG70" s="60" t="str">
        <f>Aggregate!$AE70 &amp; "/" &amp; Aggregate!$AF70</f>
        <v>DEN/10</v>
      </c>
      <c r="AH70" s="62">
        <f>IFERROR(VLOOKUP(Aggregate!$AD70,WR!A:Q,13,FALSE())/17*(16-Aggregate!$AO70),0)</f>
        <v>42.14558824</v>
      </c>
      <c r="AI70" s="62">
        <f>IFERROR(VLOOKUP(Aggregate!$AD70,WR!A:Q,14,FALSE())/17*(16-Aggregate!$AO70),0)</f>
        <v>42.14558824</v>
      </c>
      <c r="AJ70" s="62">
        <f>IFERROR(VLOOKUP(Aggregate!$AD70,WR!A:Q,15,FALSE())/17*(16-Aggregate!$AO70),0)</f>
        <v>42.14558824</v>
      </c>
      <c r="AK70" s="69">
        <f>AVERAGE(Aggregate!$AH70,Aggregate!$AI70,Aggregate!$AJ70,VLOOKUP(Aggregate!$AD70,ECR!L:N,3,FALSE))</f>
        <v>52.00056529</v>
      </c>
      <c r="AL70" s="69">
        <f>Aggregate!$AK70-$AE$1</f>
        <v>-29.52036176</v>
      </c>
      <c r="AM70" s="72">
        <f>MAX(Aggregate!$AL70*Scoring!$B$48+1,1)</f>
        <v>1</v>
      </c>
      <c r="AN70" s="73">
        <f>VLOOKUP(Aggregate!$AL70,BR:BT,3,FALSE)</f>
        <v>7</v>
      </c>
      <c r="AO70" s="80">
        <f t="array" ref="AO70">VLOOKUP(INDEX(ECR!$E:$E,MATCH(AD70,ECR!$C:$C,0)),RISK!A:B,2,FALSE())</f>
        <v>3.7</v>
      </c>
      <c r="AP70" s="81"/>
      <c r="AQ70" s="85" t="s">
        <v>642</v>
      </c>
      <c r="AR70" s="2"/>
      <c r="AS70" s="117"/>
      <c r="AT70" s="2"/>
      <c r="AU70" s="2"/>
      <c r="AV70" s="2"/>
      <c r="AW70" s="2"/>
      <c r="AX70" s="2"/>
      <c r="AY70" s="2"/>
      <c r="AZ70" s="2"/>
      <c r="BA70" s="2"/>
      <c r="BB70" s="117"/>
      <c r="BC70" s="2"/>
      <c r="BD70" s="2"/>
      <c r="BE70" s="117"/>
      <c r="BF70" s="81">
        <v>68.0</v>
      </c>
      <c r="BG70" s="81" t="str">
        <f t="shared" si="1"/>
        <v/>
      </c>
      <c r="BH70" s="91"/>
      <c r="BI70" s="91"/>
      <c r="BJ70" s="91"/>
      <c r="BK70" s="90">
        <v>68.0</v>
      </c>
      <c r="BL70" s="81">
        <f t="shared" si="2"/>
        <v>51.13730824</v>
      </c>
      <c r="BM70" s="91">
        <f>IFERROR(LARGE($X$3:$X$102,68),"")</f>
        <v>-32.79122675</v>
      </c>
      <c r="BN70" s="91">
        <f t="shared" si="7"/>
        <v>-12.65619028</v>
      </c>
      <c r="BO70" s="93">
        <f t="shared" si="8"/>
        <v>8</v>
      </c>
      <c r="BP70" s="91">
        <v>68.0</v>
      </c>
      <c r="BQ70" s="81">
        <f t="shared" si="3"/>
        <v>81.56549647</v>
      </c>
      <c r="BR70" s="91">
        <f>IFERROR(LARGE($AL$3:$AL$102,68),"")</f>
        <v>-0.8166476471</v>
      </c>
      <c r="BS70" s="91">
        <f t="shared" si="9"/>
        <v>3.30747</v>
      </c>
      <c r="BT70" s="91">
        <f t="shared" si="10"/>
        <v>6</v>
      </c>
      <c r="BU70" s="81">
        <v>68.0</v>
      </c>
      <c r="BV70" s="81" t="str">
        <f t="shared" si="4"/>
        <v/>
      </c>
      <c r="BW70" s="91"/>
      <c r="BX70" s="91"/>
      <c r="BY70" s="91">
        <f t="array" ref="BY70">IFERROR(VALUE(RIGHT(INDEX(ECR!$E:$E,MATCH(P70,ECR!$C:$C,0)),LEN(INDEX(ECR!$E:$E,MATCH(P70,ECR!$C:$C,0)))-2)),"")</f>
        <v>68</v>
      </c>
      <c r="BZ70" s="91"/>
      <c r="CA70" s="91"/>
      <c r="CB70" s="91"/>
      <c r="CC70" s="91"/>
      <c r="CD70" s="91"/>
      <c r="CE70" s="91"/>
      <c r="CF70" s="91"/>
      <c r="CG70" s="91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17"/>
      <c r="M71" s="2"/>
      <c r="N71" s="117"/>
      <c r="O71" s="73" t="s">
        <v>645</v>
      </c>
      <c r="P71" s="59" t="str">
        <f>VLOOKUP(O71,ECR!E:L,8,FALSE())</f>
        <v>Ollie Gordon II</v>
      </c>
      <c r="Q71" s="60" t="str">
        <f>IFERROR(VLOOKUP(Aggregate!$P71,ECR!C:F,2,FALSE()),"-")</f>
        <v>MIA</v>
      </c>
      <c r="R71" s="60">
        <f>IFERROR(VLOOKUP(Aggregate!$P71,ECR!C:F,4,FALSE()),"-")</f>
        <v>6</v>
      </c>
      <c r="S71" s="60" t="str">
        <f>Aggregate!$Q71 &amp; "/" &amp; Aggregate!$R71</f>
        <v>MIA/6</v>
      </c>
      <c r="T71" s="62">
        <f>IFERROR(VLOOKUP(Aggregate!$P71,RB!A:Q,13,FALSE())/17*(16-Aggregate!$AA71),0)</f>
        <v>24.12712</v>
      </c>
      <c r="U71" s="62">
        <f>IFERROR(VLOOKUP(Aggregate!$P71,RB!A:Q,14,FALSE())/17*(16-Aggregate!$AA71),0)</f>
        <v>24.12712</v>
      </c>
      <c r="V71" s="62">
        <f>IFERROR(VLOOKUP(Aggregate!$P71,RB!A:Q,15,FALSE())/17*(16-Aggregate!$AA71),0)</f>
        <v>24.12712</v>
      </c>
      <c r="W71" s="69">
        <f>AVERAGE(Aggregate!$T71,Aggregate!$U71,Aggregate!$V71,VLOOKUP(Aggregate!$P71,ECR!L:N,3,FALSE))</f>
        <v>28.55203529</v>
      </c>
      <c r="X71" s="69">
        <f>Aggregate!$W71-$Q$1</f>
        <v>-49.83885381</v>
      </c>
      <c r="Y71" s="72">
        <f>MAX(Aggregate!$X71*Scoring!$B$48+1,1)</f>
        <v>1</v>
      </c>
      <c r="Z71" s="73">
        <f>VLOOKUP(Aggregate!$X71,BM:BO,3,FALSE)</f>
        <v>9</v>
      </c>
      <c r="AA71" s="80">
        <f t="array" ref="AA71">VLOOKUP(INDEX(ECR!$E:$E,MATCH(P71,ECR!$C:$C,0)),RISK!A:B,2,FALSE())</f>
        <v>3.368</v>
      </c>
      <c r="AB71" s="81"/>
      <c r="AC71" s="60" t="s">
        <v>647</v>
      </c>
      <c r="AD71" s="60" t="str">
        <f>VLOOKUP(AC71,ECR!E:L,8,FALSE())</f>
        <v>Ryan Flournoy</v>
      </c>
      <c r="AE71" s="60" t="str">
        <f>IFERROR(VLOOKUP(Aggregate!$AD71,ECR!C:F,2,FALSE()),"-")</f>
        <v>DAL</v>
      </c>
      <c r="AF71" s="60">
        <f>IFERROR(VLOOKUP(Aggregate!$AD71,ECR!C:F,4,FALSE()),"-")</f>
        <v>14</v>
      </c>
      <c r="AG71" s="60" t="str">
        <f>Aggregate!$AE71 &amp; "/" &amp; Aggregate!$AF71</f>
        <v>DAL/14</v>
      </c>
      <c r="AH71" s="62">
        <f>IFERROR(VLOOKUP(Aggregate!$AD71,WR!A:Q,13,FALSE())/17*(16-Aggregate!$AO71),0)</f>
        <v>52.41247059</v>
      </c>
      <c r="AI71" s="62">
        <f>IFERROR(VLOOKUP(Aggregate!$AD71,WR!A:Q,14,FALSE())/17*(16-Aggregate!$AO71),0)</f>
        <v>52.41247059</v>
      </c>
      <c r="AJ71" s="62">
        <f>IFERROR(VLOOKUP(Aggregate!$AD71,WR!A:Q,15,FALSE())/17*(16-Aggregate!$AO71),0)</f>
        <v>52.41247059</v>
      </c>
      <c r="AK71" s="69">
        <f>AVERAGE(Aggregate!$AH71,Aggregate!$AI71,Aggregate!$AJ71,VLOOKUP(Aggregate!$AD71,ECR!L:N,3,FALSE))</f>
        <v>59.60977941</v>
      </c>
      <c r="AL71" s="69">
        <f>Aggregate!$AK71-$AE$1</f>
        <v>-21.91114765</v>
      </c>
      <c r="AM71" s="72">
        <f>MAX(Aggregate!$AL71*Scoring!$B$48+1,1)</f>
        <v>1</v>
      </c>
      <c r="AN71" s="73">
        <f>VLOOKUP(Aggregate!$AL71,BR:BT,3,FALSE)</f>
        <v>7</v>
      </c>
      <c r="AO71" s="80">
        <f t="array" ref="AO71">VLOOKUP(INDEX(ECR!$E:$E,MATCH(AD71,ECR!$C:$C,0)),RISK!A:B,2,FALSE())</f>
        <v>3.7</v>
      </c>
      <c r="AP71" s="81"/>
      <c r="AQ71" s="85" t="s">
        <v>649</v>
      </c>
      <c r="AR71" s="2"/>
      <c r="AS71" s="117"/>
      <c r="AT71" s="2"/>
      <c r="AU71" s="2"/>
      <c r="AV71" s="2"/>
      <c r="AW71" s="2"/>
      <c r="AX71" s="2"/>
      <c r="AY71" s="2"/>
      <c r="AZ71" s="2"/>
      <c r="BA71" s="2"/>
      <c r="BB71" s="117"/>
      <c r="BC71" s="2"/>
      <c r="BD71" s="2"/>
      <c r="BE71" s="117"/>
      <c r="BF71" s="81">
        <v>69.0</v>
      </c>
      <c r="BG71" s="81" t="str">
        <f t="shared" si="1"/>
        <v/>
      </c>
      <c r="BH71" s="91"/>
      <c r="BI71" s="91"/>
      <c r="BJ71" s="91"/>
      <c r="BK71" s="90">
        <v>69.0</v>
      </c>
      <c r="BL71" s="81">
        <f t="shared" si="2"/>
        <v>41.82678118</v>
      </c>
      <c r="BM71" s="91">
        <f>IFERROR(LARGE($X$3:$X$102,69),"")</f>
        <v>-33.61885681</v>
      </c>
      <c r="BN71" s="91">
        <f t="shared" si="7"/>
        <v>-12.65619028</v>
      </c>
      <c r="BO71" s="93">
        <f t="shared" si="8"/>
        <v>8</v>
      </c>
      <c r="BP71" s="91">
        <v>69.0</v>
      </c>
      <c r="BQ71" s="81">
        <f t="shared" si="3"/>
        <v>81.20170588</v>
      </c>
      <c r="BR71" s="91">
        <f>IFERROR(LARGE($AL$3:$AL$102,69),"")</f>
        <v>-1.270155882</v>
      </c>
      <c r="BS71" s="91">
        <f t="shared" si="9"/>
        <v>3.30747</v>
      </c>
      <c r="BT71" s="91">
        <f t="shared" si="10"/>
        <v>6</v>
      </c>
      <c r="BU71" s="81">
        <v>69.0</v>
      </c>
      <c r="BV71" s="81" t="str">
        <f t="shared" si="4"/>
        <v/>
      </c>
      <c r="BW71" s="91"/>
      <c r="BX71" s="91"/>
      <c r="BY71" s="91">
        <f t="array" ref="BY71">IFERROR(VALUE(RIGHT(INDEX(ECR!$E:$E,MATCH(P71,ECR!$C:$C,0)),LEN(INDEX(ECR!$E:$E,MATCH(P71,ECR!$C:$C,0)))-2)),"")</f>
        <v>69</v>
      </c>
      <c r="BZ71" s="91"/>
      <c r="CA71" s="91"/>
      <c r="CB71" s="91"/>
      <c r="CC71" s="91"/>
      <c r="CD71" s="91"/>
      <c r="CE71" s="91"/>
      <c r="CF71" s="91"/>
      <c r="CG71" s="91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17"/>
      <c r="M72" s="2"/>
      <c r="N72" s="117"/>
      <c r="O72" s="73" t="s">
        <v>652</v>
      </c>
      <c r="P72" s="59" t="str">
        <f>VLOOKUP(O72,ECR!E:L,8,FALSE())</f>
        <v>Kaelon Black</v>
      </c>
      <c r="Q72" s="60" t="str">
        <f>IFERROR(VLOOKUP(Aggregate!$P72,ECR!C:F,2,FALSE()),"-")</f>
        <v>SF</v>
      </c>
      <c r="R72" s="60">
        <f>IFERROR(VLOOKUP(Aggregate!$P72,ECR!C:F,4,FALSE()),"-")</f>
        <v>8</v>
      </c>
      <c r="S72" s="60" t="str">
        <f>Aggregate!$Q72 &amp; "/" &amp; Aggregate!$R72</f>
        <v>SF/8</v>
      </c>
      <c r="T72" s="62">
        <f>IFERROR(VLOOKUP(Aggregate!$P72,RB!A:Q,13,FALSE())/17*(16-Aggregate!$AA72),0)</f>
        <v>72.05154591</v>
      </c>
      <c r="U72" s="62">
        <f>IFERROR(VLOOKUP(Aggregate!$P72,RB!A:Q,14,FALSE())/17*(16-Aggregate!$AA72),0)</f>
        <v>94.58108944</v>
      </c>
      <c r="V72" s="62">
        <f>IFERROR(VLOOKUP(Aggregate!$P72,RB!A:Q,15,FALSE())/17*(16-Aggregate!$AA72),0)</f>
        <v>117.2666753</v>
      </c>
      <c r="W72" s="69">
        <f>AVERAGE(Aggregate!$T72,Aggregate!$U72,Aggregate!$V72,VLOOKUP(Aggregate!$P72,ECR!L:N,3,FALSE))</f>
        <v>81.23089708</v>
      </c>
      <c r="X72" s="69">
        <f>Aggregate!$W72-$Q$1</f>
        <v>2.840007976</v>
      </c>
      <c r="Y72" s="72">
        <f>MAX(Aggregate!$X72*Scoring!$B$48+1,1)</f>
        <v>1.74414863</v>
      </c>
      <c r="Z72" s="73">
        <f>VLOOKUP(Aggregate!$X72,BM:BO,3,FALSE)</f>
        <v>7</v>
      </c>
      <c r="AA72" s="80">
        <f t="array" ref="AA72">VLOOKUP(INDEX(ECR!$E:$E,MATCH(P72,ECR!$C:$C,0)),RISK!A:B,2,FALSE())</f>
        <v>3.368</v>
      </c>
      <c r="AB72" s="81"/>
      <c r="AC72" s="60" t="s">
        <v>655</v>
      </c>
      <c r="AD72" s="60" t="str">
        <f>VLOOKUP(AC72,ECR!E:L,8,FALSE())</f>
        <v>Omar Cooper Jr.</v>
      </c>
      <c r="AE72" s="60" t="str">
        <f>IFERROR(VLOOKUP(Aggregate!$AD72,ECR!C:F,2,FALSE()),"-")</f>
        <v>NYJ</v>
      </c>
      <c r="AF72" s="60">
        <f>IFERROR(VLOOKUP(Aggregate!$AD72,ECR!C:F,4,FALSE()),"-")</f>
        <v>13</v>
      </c>
      <c r="AG72" s="60" t="str">
        <f>Aggregate!$AE72 &amp; "/" &amp; Aggregate!$AF72</f>
        <v>NYJ/13</v>
      </c>
      <c r="AH72" s="62">
        <f>IFERROR(VLOOKUP(Aggregate!$AD72,WR!A:Q,13,FALSE())/17*(16-Aggregate!$AO72),0)</f>
        <v>63.51835765</v>
      </c>
      <c r="AI72" s="62">
        <f>IFERROR(VLOOKUP(Aggregate!$AD72,WR!A:Q,14,FALSE())/17*(16-Aggregate!$AO72),0)</f>
        <v>81.14353412</v>
      </c>
      <c r="AJ72" s="62">
        <f>IFERROR(VLOOKUP(Aggregate!$AD72,WR!A:Q,15,FALSE())/17*(16-Aggregate!$AO72),0)</f>
        <v>97.76300471</v>
      </c>
      <c r="AK72" s="69">
        <f>AVERAGE(Aggregate!$AH72,Aggregate!$AI72,Aggregate!$AJ72,VLOOKUP(Aggregate!$AD72,ECR!L:N,3,FALSE))</f>
        <v>80.89210765</v>
      </c>
      <c r="AL72" s="69">
        <f>Aggregate!$AK72-$AE$1</f>
        <v>-0.6288194118</v>
      </c>
      <c r="AM72" s="72">
        <f>MAX(Aggregate!$AL72*Scoring!$B$48+1,1)</f>
        <v>1</v>
      </c>
      <c r="AN72" s="73">
        <f>VLOOKUP(Aggregate!$AL72,BR:BT,3,FALSE)</f>
        <v>6</v>
      </c>
      <c r="AO72" s="80">
        <f t="array" ref="AO72">VLOOKUP(INDEX(ECR!$E:$E,MATCH(AD72,ECR!$C:$C,0)),RISK!A:B,2,FALSE())</f>
        <v>3.7</v>
      </c>
      <c r="AP72" s="81"/>
      <c r="AQ72" s="85" t="s">
        <v>658</v>
      </c>
      <c r="AR72" s="2"/>
      <c r="AS72" s="117"/>
      <c r="AT72" s="2"/>
      <c r="AU72" s="2"/>
      <c r="AV72" s="2"/>
      <c r="AW72" s="2"/>
      <c r="AX72" s="2"/>
      <c r="AY72" s="2"/>
      <c r="AZ72" s="2"/>
      <c r="BA72" s="2"/>
      <c r="BB72" s="117"/>
      <c r="BC72" s="2"/>
      <c r="BD72" s="2"/>
      <c r="BE72" s="117"/>
      <c r="BF72" s="81">
        <v>70.0</v>
      </c>
      <c r="BG72" s="81" t="str">
        <f t="shared" si="1"/>
        <v/>
      </c>
      <c r="BH72" s="91"/>
      <c r="BI72" s="91"/>
      <c r="BJ72" s="91"/>
      <c r="BK72" s="90">
        <v>70.0</v>
      </c>
      <c r="BL72" s="81">
        <f t="shared" si="2"/>
        <v>41.02427765</v>
      </c>
      <c r="BM72" s="91">
        <f>IFERROR(LARGE($X$3:$X$102,70),"")</f>
        <v>-34.05071146</v>
      </c>
      <c r="BN72" s="91">
        <f t="shared" si="7"/>
        <v>-12.65619028</v>
      </c>
      <c r="BO72" s="93">
        <f t="shared" si="8"/>
        <v>8</v>
      </c>
      <c r="BP72" s="91">
        <v>70.0</v>
      </c>
      <c r="BQ72" s="81">
        <f t="shared" si="3"/>
        <v>81.14353412</v>
      </c>
      <c r="BR72" s="91">
        <f>IFERROR(LARGE($AL$3:$AL$102,70),"")</f>
        <v>-1.955410588</v>
      </c>
      <c r="BS72" s="91">
        <f t="shared" si="9"/>
        <v>3.30747</v>
      </c>
      <c r="BT72" s="91">
        <f t="shared" si="10"/>
        <v>6</v>
      </c>
      <c r="BU72" s="81">
        <v>70.0</v>
      </c>
      <c r="BV72" s="81" t="str">
        <f t="shared" si="4"/>
        <v/>
      </c>
      <c r="BW72" s="91"/>
      <c r="BX72" s="91"/>
      <c r="BY72" s="91">
        <f t="array" ref="BY72">IFERROR(VALUE(RIGHT(INDEX(ECR!$E:$E,MATCH(P72,ECR!$C:$C,0)),LEN(INDEX(ECR!$E:$E,MATCH(P72,ECR!$C:$C,0)))-2)),"")</f>
        <v>70</v>
      </c>
      <c r="BZ72" s="91"/>
      <c r="CA72" s="91"/>
      <c r="CB72" s="91"/>
      <c r="CC72" s="91"/>
      <c r="CD72" s="91"/>
      <c r="CE72" s="91"/>
      <c r="CF72" s="91"/>
      <c r="CG72" s="91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17"/>
      <c r="M73" s="2"/>
      <c r="N73" s="117"/>
      <c r="O73" s="73" t="s">
        <v>659</v>
      </c>
      <c r="P73" s="59" t="str">
        <f>VLOOKUP(O73,ECR!E:L,8,FALSE())</f>
        <v>Justice Hill</v>
      </c>
      <c r="Q73" s="60" t="str">
        <f>IFERROR(VLOOKUP(Aggregate!$P73,ECR!C:F,2,FALSE()),"-")</f>
        <v>BAL</v>
      </c>
      <c r="R73" s="60">
        <f>IFERROR(VLOOKUP(Aggregate!$P73,ECR!C:F,4,FALSE()),"-")</f>
        <v>13</v>
      </c>
      <c r="S73" s="60" t="str">
        <f>Aggregate!$Q73 &amp; "/" &amp; Aggregate!$R73</f>
        <v>BAL/13</v>
      </c>
      <c r="T73" s="62">
        <f>IFERROR(VLOOKUP(Aggregate!$P73,RB!A:Q,13,FALSE())/17*(16-Aggregate!$AA73),0)</f>
        <v>55.68482824</v>
      </c>
      <c r="U73" s="62">
        <f>IFERROR(VLOOKUP(Aggregate!$P73,RB!A:Q,14,FALSE())/17*(16-Aggregate!$AA73),0)</f>
        <v>71.08100706</v>
      </c>
      <c r="V73" s="62">
        <f>IFERROR(VLOOKUP(Aggregate!$P73,RB!A:Q,15,FALSE())/17*(16-Aggregate!$AA73),0)</f>
        <v>86.93045176</v>
      </c>
      <c r="W73" s="69">
        <f>AVERAGE(Aggregate!$T73,Aggregate!$U73,Aggregate!$V73,VLOOKUP(Aggregate!$P73,ECR!L:N,3,FALSE))</f>
        <v>63.33833412</v>
      </c>
      <c r="X73" s="69">
        <f>Aggregate!$W73-$Q$1</f>
        <v>-15.05255499</v>
      </c>
      <c r="Y73" s="72">
        <f>MAX(Aggregate!$X73*Scoring!$B$48+1,1)</f>
        <v>1</v>
      </c>
      <c r="Z73" s="73">
        <f>VLOOKUP(Aggregate!$X73,BM:BO,3,FALSE)</f>
        <v>8</v>
      </c>
      <c r="AA73" s="80">
        <f t="array" ref="AA73">VLOOKUP(INDEX(ECR!$E:$E,MATCH(P73,ECR!$C:$C,0)),RISK!A:B,2,FALSE())</f>
        <v>3.368</v>
      </c>
      <c r="AB73" s="81"/>
      <c r="AC73" s="60" t="s">
        <v>662</v>
      </c>
      <c r="AD73" s="60" t="str">
        <f>VLOOKUP(AC73,ECR!E:L,8,FALSE())</f>
        <v>Malik Washington</v>
      </c>
      <c r="AE73" s="60" t="str">
        <f>IFERROR(VLOOKUP(Aggregate!$AD73,ECR!C:F,2,FALSE()),"-")</f>
        <v>MIA</v>
      </c>
      <c r="AF73" s="60">
        <f>IFERROR(VLOOKUP(Aggregate!$AD73,ECR!C:F,4,FALSE()),"-")</f>
        <v>6</v>
      </c>
      <c r="AG73" s="60" t="str">
        <f>Aggregate!$AE73 &amp; "/" &amp; Aggregate!$AF73</f>
        <v>MIA/6</v>
      </c>
      <c r="AH73" s="62">
        <f>IFERROR(VLOOKUP(Aggregate!$AD73,WR!A:Q,13,FALSE())/17*(16-Aggregate!$AO73),0)</f>
        <v>55.32829412</v>
      </c>
      <c r="AI73" s="62">
        <f>IFERROR(VLOOKUP(Aggregate!$AD73,WR!A:Q,14,FALSE())/17*(16-Aggregate!$AO73),0)</f>
        <v>64.61117647</v>
      </c>
      <c r="AJ73" s="62">
        <f>IFERROR(VLOOKUP(Aggregate!$AD73,WR!A:Q,15,FALSE())/17*(16-Aggregate!$AO73),0)</f>
        <v>73.90129412</v>
      </c>
      <c r="AK73" s="69">
        <f>AVERAGE(Aggregate!$AH73,Aggregate!$AI73,Aggregate!$AJ73,VLOOKUP(Aggregate!$AD73,ECR!L:N,3,FALSE))</f>
        <v>68.41332353</v>
      </c>
      <c r="AL73" s="69">
        <f>Aggregate!$AK73-$AE$1</f>
        <v>-13.10760353</v>
      </c>
      <c r="AM73" s="72">
        <f>MAX(Aggregate!$AL73*Scoring!$B$48+1,1)</f>
        <v>1</v>
      </c>
      <c r="AN73" s="73">
        <f>VLOOKUP(Aggregate!$AL73,BR:BT,3,FALSE)</f>
        <v>6</v>
      </c>
      <c r="AO73" s="80">
        <f t="array" ref="AO73">VLOOKUP(INDEX(ECR!$E:$E,MATCH(AD73,ECR!$C:$C,0)),RISK!A:B,2,FALSE())</f>
        <v>3.7</v>
      </c>
      <c r="AP73" s="81"/>
      <c r="AQ73" s="85" t="s">
        <v>665</v>
      </c>
      <c r="AR73" s="2"/>
      <c r="AS73" s="117"/>
      <c r="AT73" s="2"/>
      <c r="AU73" s="2"/>
      <c r="AV73" s="2"/>
      <c r="AW73" s="2"/>
      <c r="AX73" s="2"/>
      <c r="AY73" s="2"/>
      <c r="AZ73" s="2"/>
      <c r="BA73" s="2"/>
      <c r="BB73" s="117"/>
      <c r="BC73" s="2"/>
      <c r="BD73" s="2"/>
      <c r="BE73" s="117"/>
      <c r="BF73" s="81">
        <v>71.0</v>
      </c>
      <c r="BG73" s="81" t="str">
        <f t="shared" si="1"/>
        <v/>
      </c>
      <c r="BH73" s="91"/>
      <c r="BI73" s="91"/>
      <c r="BJ73" s="91"/>
      <c r="BK73" s="90">
        <v>71.0</v>
      </c>
      <c r="BL73" s="81">
        <f t="shared" si="2"/>
        <v>39.65704941</v>
      </c>
      <c r="BM73" s="91">
        <f>IFERROR(LARGE($X$3:$X$102,71),"")</f>
        <v>-34.5262691</v>
      </c>
      <c r="BN73" s="91">
        <f t="shared" si="7"/>
        <v>-12.65619028</v>
      </c>
      <c r="BO73" s="93">
        <f t="shared" si="8"/>
        <v>8</v>
      </c>
      <c r="BP73" s="91">
        <v>71.0</v>
      </c>
      <c r="BQ73" s="81">
        <f t="shared" si="3"/>
        <v>79.81252941</v>
      </c>
      <c r="BR73" s="91">
        <f>IFERROR(LARGE($AL$3:$AL$102,71),"")</f>
        <v>-3.602235882</v>
      </c>
      <c r="BS73" s="91">
        <f t="shared" si="9"/>
        <v>3.30747</v>
      </c>
      <c r="BT73" s="91">
        <f t="shared" si="10"/>
        <v>6</v>
      </c>
      <c r="BU73" s="81">
        <v>71.0</v>
      </c>
      <c r="BV73" s="81" t="str">
        <f t="shared" si="4"/>
        <v/>
      </c>
      <c r="BW73" s="91"/>
      <c r="BX73" s="91"/>
      <c r="BY73" s="91">
        <f t="array" ref="BY73">IFERROR(VALUE(RIGHT(INDEX(ECR!$E:$E,MATCH(P73,ECR!$C:$C,0)),LEN(INDEX(ECR!$E:$E,MATCH(P73,ECR!$C:$C,0)))-2)),"")</f>
        <v>71</v>
      </c>
      <c r="BZ73" s="91"/>
      <c r="CA73" s="91"/>
      <c r="CB73" s="91"/>
      <c r="CC73" s="91"/>
      <c r="CD73" s="91"/>
      <c r="CE73" s="91"/>
      <c r="CF73" s="91"/>
      <c r="CG73" s="91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17"/>
      <c r="M74" s="2"/>
      <c r="N74" s="117"/>
      <c r="O74" s="73" t="s">
        <v>668</v>
      </c>
      <c r="P74" s="59" t="str">
        <f>VLOOKUP(O74,ECR!E:L,8,FALSE())</f>
        <v>Demond Claiborne</v>
      </c>
      <c r="Q74" s="60" t="str">
        <f>IFERROR(VLOOKUP(Aggregate!$P74,ECR!C:F,2,FALSE()),"-")</f>
        <v>MIN</v>
      </c>
      <c r="R74" s="60">
        <f>IFERROR(VLOOKUP(Aggregate!$P74,ECR!C:F,4,FALSE()),"-")</f>
        <v>6</v>
      </c>
      <c r="S74" s="60" t="str">
        <f>Aggregate!$Q74 &amp; "/" &amp; Aggregate!$R74</f>
        <v>MIN/6</v>
      </c>
      <c r="T74" s="62">
        <f>IFERROR(VLOOKUP(Aggregate!$P74,RB!A:Q,13,FALSE())/17*(16-Aggregate!$AA74),0)</f>
        <v>53.34252849</v>
      </c>
      <c r="U74" s="62">
        <f>IFERROR(VLOOKUP(Aggregate!$P74,RB!A:Q,14,FALSE())/17*(16-Aggregate!$AA74),0)</f>
        <v>58.80401084</v>
      </c>
      <c r="V74" s="62">
        <f>IFERROR(VLOOKUP(Aggregate!$P74,RB!A:Q,15,FALSE())/17*(16-Aggregate!$AA74),0)</f>
        <v>64.08715908</v>
      </c>
      <c r="W74" s="69">
        <f>AVERAGE(Aggregate!$T74,Aggregate!$U74,Aggregate!$V74,VLOOKUP(Aggregate!$P74,ECR!L:N,3,FALSE))</f>
        <v>53.93181872</v>
      </c>
      <c r="X74" s="69">
        <f>Aggregate!$W74-$Q$1</f>
        <v>-24.45907038</v>
      </c>
      <c r="Y74" s="72">
        <f>MAX(Aggregate!$X74*Scoring!$B$48+1,1)</f>
        <v>1</v>
      </c>
      <c r="Z74" s="73">
        <f>VLOOKUP(Aggregate!$X74,BM:BO,3,FALSE)</f>
        <v>8</v>
      </c>
      <c r="AA74" s="80">
        <f t="array" ref="AA74">VLOOKUP(INDEX(ECR!$E:$E,MATCH(P74,ECR!$C:$C,0)),RISK!A:B,2,FALSE())</f>
        <v>3.368</v>
      </c>
      <c r="AB74" s="81"/>
      <c r="AC74" s="60" t="s">
        <v>670</v>
      </c>
      <c r="AD74" s="60" t="str">
        <f>VLOOKUP(AC74,ECR!E:L,8,FALSE())</f>
        <v>Calvin Ridley</v>
      </c>
      <c r="AE74" s="60" t="str">
        <f>IFERROR(VLOOKUP(Aggregate!$AD74,ECR!C:F,2,FALSE()),"-")</f>
        <v>TEN</v>
      </c>
      <c r="AF74" s="60">
        <f>IFERROR(VLOOKUP(Aggregate!$AD74,ECR!C:F,4,FALSE()),"-")</f>
        <v>9</v>
      </c>
      <c r="AG74" s="60" t="str">
        <f>Aggregate!$AE74 &amp; "/" &amp; Aggregate!$AF74</f>
        <v>TEN/9</v>
      </c>
      <c r="AH74" s="62">
        <f>IFERROR(VLOOKUP(Aggregate!$AD74,WR!A:Q,13,FALSE())/17*(16-Aggregate!$AO74),0)</f>
        <v>80.15258824</v>
      </c>
      <c r="AI74" s="62">
        <f>IFERROR(VLOOKUP(Aggregate!$AD74,WR!A:Q,14,FALSE())/17*(16-Aggregate!$AO74),0)</f>
        <v>90.26029412</v>
      </c>
      <c r="AJ74" s="62">
        <f>IFERROR(VLOOKUP(Aggregate!$AD74,WR!A:Q,15,FALSE())/17*(16-Aggregate!$AO74),0)</f>
        <v>100.7948824</v>
      </c>
      <c r="AK74" s="69">
        <f>AVERAGE(Aggregate!$AH74,Aggregate!$AI74,Aggregate!$AJ74,VLOOKUP(Aggregate!$AD74,ECR!L:N,3,FALSE))</f>
        <v>87.68452941</v>
      </c>
      <c r="AL74" s="69">
        <f>Aggregate!$AK74-$AE$1</f>
        <v>6.163602353</v>
      </c>
      <c r="AM74" s="72">
        <f>MAX(Aggregate!$AL74*Scoring!$B$48+1,1)</f>
        <v>2.615008227</v>
      </c>
      <c r="AN74" s="73">
        <f>VLOOKUP(Aggregate!$AL74,BR:BT,3,FALSE)</f>
        <v>5</v>
      </c>
      <c r="AO74" s="80">
        <f t="array" ref="AO74">VLOOKUP(INDEX(ECR!$E:$E,MATCH(AD74,ECR!$C:$C,0)),RISK!A:B,2,FALSE())</f>
        <v>3.7</v>
      </c>
      <c r="AP74" s="81"/>
      <c r="AQ74" s="85" t="s">
        <v>672</v>
      </c>
      <c r="AR74" s="2"/>
      <c r="AS74" s="117"/>
      <c r="AT74" s="2"/>
      <c r="AU74" s="2"/>
      <c r="AV74" s="2"/>
      <c r="AW74" s="2"/>
      <c r="AX74" s="2"/>
      <c r="AY74" s="2"/>
      <c r="AZ74" s="2"/>
      <c r="BA74" s="2"/>
      <c r="BB74" s="117"/>
      <c r="BC74" s="2"/>
      <c r="BD74" s="2"/>
      <c r="BE74" s="117"/>
      <c r="BF74" s="81">
        <v>72.0</v>
      </c>
      <c r="BG74" s="81" t="str">
        <f t="shared" si="1"/>
        <v/>
      </c>
      <c r="BH74" s="91"/>
      <c r="BI74" s="91"/>
      <c r="BJ74" s="91"/>
      <c r="BK74" s="90">
        <v>72.0</v>
      </c>
      <c r="BL74" s="81">
        <f t="shared" si="2"/>
        <v>39.49357647</v>
      </c>
      <c r="BM74" s="91">
        <f>IFERROR(LARGE($X$3:$X$102,72),"")</f>
        <v>-35.623819</v>
      </c>
      <c r="BN74" s="91">
        <f t="shared" si="7"/>
        <v>-12.65619028</v>
      </c>
      <c r="BO74" s="93">
        <f t="shared" si="8"/>
        <v>8</v>
      </c>
      <c r="BP74" s="91">
        <v>72.0</v>
      </c>
      <c r="BQ74" s="81">
        <f t="shared" si="3"/>
        <v>79.53035294</v>
      </c>
      <c r="BR74" s="91">
        <f>IFERROR(LARGE($AL$3:$AL$102,72),"")</f>
        <v>-7.447794706</v>
      </c>
      <c r="BS74" s="91">
        <f t="shared" si="9"/>
        <v>3.30747</v>
      </c>
      <c r="BT74" s="91">
        <f t="shared" si="10"/>
        <v>6</v>
      </c>
      <c r="BU74" s="81">
        <v>72.0</v>
      </c>
      <c r="BV74" s="81" t="str">
        <f t="shared" si="4"/>
        <v/>
      </c>
      <c r="BW74" s="91"/>
      <c r="BX74" s="91"/>
      <c r="BY74" s="91">
        <f t="array" ref="BY74">IFERROR(VALUE(RIGHT(INDEX(ECR!$E:$E,MATCH(P74,ECR!$C:$C,0)),LEN(INDEX(ECR!$E:$E,MATCH(P74,ECR!$C:$C,0)))-2)),"")</f>
        <v>72</v>
      </c>
      <c r="BZ74" s="91"/>
      <c r="CA74" s="91"/>
      <c r="CB74" s="91"/>
      <c r="CC74" s="91"/>
      <c r="CD74" s="91"/>
      <c r="CE74" s="91"/>
      <c r="CF74" s="91"/>
      <c r="CG74" s="91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17"/>
      <c r="M75" s="2"/>
      <c r="N75" s="117"/>
      <c r="O75" s="73" t="s">
        <v>675</v>
      </c>
      <c r="P75" s="59" t="str">
        <f>VLOOKUP(O75,ECR!E:L,8,FALSE())</f>
        <v>Isaiah Davis</v>
      </c>
      <c r="Q75" s="60" t="str">
        <f>IFERROR(VLOOKUP(Aggregate!$P75,ECR!C:F,2,FALSE()),"-")</f>
        <v>NYJ</v>
      </c>
      <c r="R75" s="60">
        <f>IFERROR(VLOOKUP(Aggregate!$P75,ECR!C:F,4,FALSE()),"-")</f>
        <v>13</v>
      </c>
      <c r="S75" s="60" t="str">
        <f>Aggregate!$Q75 &amp; "/" &amp; Aggregate!$R75</f>
        <v>NYJ/13</v>
      </c>
      <c r="T75" s="62">
        <f>IFERROR(VLOOKUP(Aggregate!$P75,RB!A:Q,13,FALSE())/17*(16-Aggregate!$AA75),0)</f>
        <v>24.14941176</v>
      </c>
      <c r="U75" s="62">
        <f>IFERROR(VLOOKUP(Aggregate!$P75,RB!A:Q,14,FALSE())/17*(16-Aggregate!$AA75),0)</f>
        <v>28.60033412</v>
      </c>
      <c r="V75" s="62">
        <f>IFERROR(VLOOKUP(Aggregate!$P75,RB!A:Q,15,FALSE())/17*(16-Aggregate!$AA75),0)</f>
        <v>32.79861647</v>
      </c>
      <c r="W75" s="69">
        <f>AVERAGE(Aggregate!$T75,Aggregate!$U75,Aggregate!$V75,VLOOKUP(Aggregate!$P75,ECR!L:N,3,FALSE))</f>
        <v>30.67904118</v>
      </c>
      <c r="X75" s="69">
        <f>Aggregate!$W75-$Q$1</f>
        <v>-47.71184793</v>
      </c>
      <c r="Y75" s="72">
        <f>MAX(Aggregate!$X75*Scoring!$B$48+1,1)</f>
        <v>1</v>
      </c>
      <c r="Z75" s="73">
        <f>VLOOKUP(Aggregate!$X75,BM:BO,3,FALSE)</f>
        <v>9</v>
      </c>
      <c r="AA75" s="80">
        <f t="array" ref="AA75">VLOOKUP(INDEX(ECR!$E:$E,MATCH(P75,ECR!$C:$C,0)),RISK!A:B,2,FALSE())</f>
        <v>3.368</v>
      </c>
      <c r="AB75" s="81"/>
      <c r="AC75" s="60" t="s">
        <v>678</v>
      </c>
      <c r="AD75" s="60" t="str">
        <f>VLOOKUP(AC75,ECR!E:L,8,FALSE())</f>
        <v>Keenan Allen</v>
      </c>
      <c r="AE75" s="60" t="str">
        <f>IFERROR(VLOOKUP(Aggregate!$AD75,ECR!C:F,2,FALSE()),"-")</f>
        <v>IND</v>
      </c>
      <c r="AF75" s="60">
        <f>IFERROR(VLOOKUP(Aggregate!$AD75,ECR!C:F,4,FALSE()),"-")</f>
        <v>13</v>
      </c>
      <c r="AG75" s="60" t="str">
        <f>Aggregate!$AE75 &amp; "/" &amp; Aggregate!$AF75</f>
        <v>IND/13</v>
      </c>
      <c r="AH75" s="62">
        <f>IFERROR(VLOOKUP(Aggregate!$AD75,WR!A:Q,13,FALSE())/17*(16-Aggregate!$AO75),0)</f>
        <v>69.82058824</v>
      </c>
      <c r="AI75" s="62">
        <f>IFERROR(VLOOKUP(Aggregate!$AD75,WR!A:Q,14,FALSE())/17*(16-Aggregate!$AO75),0)</f>
        <v>81.20170588</v>
      </c>
      <c r="AJ75" s="62">
        <f>IFERROR(VLOOKUP(Aggregate!$AD75,WR!A:Q,15,FALSE())/17*(16-Aggregate!$AO75),0)</f>
        <v>92.97352941</v>
      </c>
      <c r="AK75" s="69">
        <f>AVERAGE(Aggregate!$AH75,Aggregate!$AI75,Aggregate!$AJ75,VLOOKUP(Aggregate!$AD75,ECR!L:N,3,FALSE))</f>
        <v>80.25077118</v>
      </c>
      <c r="AL75" s="69">
        <f>Aggregate!$AK75-$AE$1</f>
        <v>-1.270155882</v>
      </c>
      <c r="AM75" s="72">
        <f>MAX(Aggregate!$AL75*Scoring!$B$48+1,1)</f>
        <v>1</v>
      </c>
      <c r="AN75" s="73">
        <f>VLOOKUP(Aggregate!$AL75,BR:BT,3,FALSE)</f>
        <v>6</v>
      </c>
      <c r="AO75" s="80">
        <f t="array" ref="AO75">VLOOKUP(INDEX(ECR!$E:$E,MATCH(AD75,ECR!$C:$C,0)),RISK!A:B,2,FALSE())</f>
        <v>3.7</v>
      </c>
      <c r="AP75" s="81"/>
      <c r="AQ75" s="85" t="s">
        <v>680</v>
      </c>
      <c r="AR75" s="2"/>
      <c r="AS75" s="117"/>
      <c r="AT75" s="2"/>
      <c r="AU75" s="2"/>
      <c r="AV75" s="2"/>
      <c r="AW75" s="2"/>
      <c r="AX75" s="2"/>
      <c r="AY75" s="2"/>
      <c r="AZ75" s="2"/>
      <c r="BA75" s="2"/>
      <c r="BB75" s="117"/>
      <c r="BC75" s="2"/>
      <c r="BD75" s="2"/>
      <c r="BE75" s="117"/>
      <c r="BF75" s="81">
        <v>73.0</v>
      </c>
      <c r="BG75" s="81" t="str">
        <f t="shared" si="1"/>
        <v/>
      </c>
      <c r="BH75" s="91"/>
      <c r="BI75" s="91"/>
      <c r="BJ75" s="91"/>
      <c r="BK75" s="90">
        <v>73.0</v>
      </c>
      <c r="BL75" s="81">
        <f t="shared" si="2"/>
        <v>37.16780235</v>
      </c>
      <c r="BM75" s="91">
        <f>IFERROR(LARGE($X$3:$X$102,73),"")</f>
        <v>-37.30878662</v>
      </c>
      <c r="BN75" s="91">
        <f t="shared" si="7"/>
        <v>-12.65619028</v>
      </c>
      <c r="BO75" s="93">
        <f t="shared" si="8"/>
        <v>8</v>
      </c>
      <c r="BP75" s="91">
        <v>73.0</v>
      </c>
      <c r="BQ75" s="81">
        <f t="shared" si="3"/>
        <v>77.00726118</v>
      </c>
      <c r="BR75" s="91">
        <f>IFERROR(LARGE($AL$3:$AL$102,73),"")</f>
        <v>-7.675634118</v>
      </c>
      <c r="BS75" s="91">
        <f t="shared" si="9"/>
        <v>3.30747</v>
      </c>
      <c r="BT75" s="91">
        <f t="shared" si="10"/>
        <v>6</v>
      </c>
      <c r="BU75" s="81">
        <v>73.0</v>
      </c>
      <c r="BV75" s="81" t="str">
        <f t="shared" si="4"/>
        <v/>
      </c>
      <c r="BW75" s="91"/>
      <c r="BX75" s="91"/>
      <c r="BY75" s="91">
        <f t="array" ref="BY75">IFERROR(VALUE(RIGHT(INDEX(ECR!$E:$E,MATCH(P75,ECR!$C:$C,0)),LEN(INDEX(ECR!$E:$E,MATCH(P75,ECR!$C:$C,0)))-2)),"")</f>
        <v>73</v>
      </c>
      <c r="BZ75" s="91"/>
      <c r="CA75" s="91"/>
      <c r="CB75" s="91"/>
      <c r="CC75" s="91"/>
      <c r="CD75" s="91"/>
      <c r="CE75" s="91"/>
      <c r="CF75" s="91"/>
      <c r="CG75" s="91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17"/>
      <c r="M76" s="2"/>
      <c r="N76" s="117"/>
      <c r="O76" s="73" t="s">
        <v>682</v>
      </c>
      <c r="P76" s="59" t="str">
        <f>VLOOKUP(O76,ECR!E:L,8,FALSE())</f>
        <v>Chris Brooks</v>
      </c>
      <c r="Q76" s="60" t="str">
        <f>IFERROR(VLOOKUP(Aggregate!$P76,ECR!C:F,2,FALSE()),"-")</f>
        <v>GB</v>
      </c>
      <c r="R76" s="60">
        <f>IFERROR(VLOOKUP(Aggregate!$P76,ECR!C:F,4,FALSE()),"-")</f>
        <v>11</v>
      </c>
      <c r="S76" s="60" t="str">
        <f>Aggregate!$Q76 &amp; "/" &amp; Aggregate!$R76</f>
        <v>GB/11</v>
      </c>
      <c r="T76" s="62">
        <f>IFERROR(VLOOKUP(Aggregate!$P76,RB!A:Q,13,FALSE())/17*(16-Aggregate!$AA76),0)</f>
        <v>19.00744471</v>
      </c>
      <c r="U76" s="62">
        <f>IFERROR(VLOOKUP(Aggregate!$P76,RB!A:Q,14,FALSE())/17*(16-Aggregate!$AA76),0)</f>
        <v>41.82678118</v>
      </c>
      <c r="V76" s="62">
        <f>IFERROR(VLOOKUP(Aggregate!$P76,RB!A:Q,15,FALSE())/17*(16-Aggregate!$AA76),0)</f>
        <v>64.79472941</v>
      </c>
      <c r="W76" s="69">
        <f>AVERAGE(Aggregate!$T76,Aggregate!$U76,Aggregate!$V76,VLOOKUP(Aggregate!$P76,ECR!L:N,3,FALSE))</f>
        <v>40.66575176</v>
      </c>
      <c r="X76" s="69">
        <f>Aggregate!$W76-$Q$1</f>
        <v>-37.72513734</v>
      </c>
      <c r="Y76" s="72">
        <f>MAX(Aggregate!$X76*Scoring!$B$48+1,1)</f>
        <v>1</v>
      </c>
      <c r="Z76" s="73">
        <f>VLOOKUP(Aggregate!$X76,BM:BO,3,FALSE)</f>
        <v>9</v>
      </c>
      <c r="AA76" s="80">
        <f t="array" ref="AA76">VLOOKUP(INDEX(ECR!$E:$E,MATCH(P76,ECR!$C:$C,0)),RISK!A:B,2,FALSE())</f>
        <v>3.368</v>
      </c>
      <c r="AB76" s="81"/>
      <c r="AC76" s="60" t="s">
        <v>685</v>
      </c>
      <c r="AD76" s="60" t="str">
        <f>VLOOKUP(AC76,ECR!E:L,8,FALSE())</f>
        <v>Tank Dell</v>
      </c>
      <c r="AE76" s="60" t="str">
        <f>IFERROR(VLOOKUP(Aggregate!$AD76,ECR!C:F,2,FALSE()),"-")</f>
        <v>HOU</v>
      </c>
      <c r="AF76" s="60">
        <f>IFERROR(VLOOKUP(Aggregate!$AD76,ECR!C:F,4,FALSE()),"-")</f>
        <v>8</v>
      </c>
      <c r="AG76" s="60" t="str">
        <f>Aggregate!$AE76 &amp; "/" &amp; Aggregate!$AF76</f>
        <v>HOU/8</v>
      </c>
      <c r="AH76" s="62">
        <f>IFERROR(VLOOKUP(Aggregate!$AD76,WR!A:Q,13,FALSE())/17*(16-Aggregate!$AO76),0)</f>
        <v>83.763</v>
      </c>
      <c r="AI76" s="62">
        <f>IFERROR(VLOOKUP(Aggregate!$AD76,WR!A:Q,14,FALSE())/17*(16-Aggregate!$AO76),0)</f>
        <v>87.55429412</v>
      </c>
      <c r="AJ76" s="62">
        <f>IFERROR(VLOOKUP(Aggregate!$AD76,WR!A:Q,15,FALSE())/17*(16-Aggregate!$AO76),0)</f>
        <v>91.93888235</v>
      </c>
      <c r="AK76" s="69">
        <f>AVERAGE(Aggregate!$AH76,Aggregate!$AI76,Aggregate!$AJ76,VLOOKUP(Aggregate!$AD76,ECR!L:N,3,FALSE))</f>
        <v>84.82839706</v>
      </c>
      <c r="AL76" s="69">
        <f>Aggregate!$AK76-$AE$1</f>
        <v>3.30747</v>
      </c>
      <c r="AM76" s="72">
        <f>MAX(Aggregate!$AL76*Scoring!$B$48+1,1)</f>
        <v>1.866634633</v>
      </c>
      <c r="AN76" s="73">
        <f>VLOOKUP(Aggregate!$AL76,BR:BT,3,FALSE)</f>
        <v>6</v>
      </c>
      <c r="AO76" s="80">
        <f t="array" ref="AO76">VLOOKUP(INDEX(ECR!$E:$E,MATCH(AD76,ECR!$C:$C,0)),RISK!A:B,2,FALSE())</f>
        <v>3.7</v>
      </c>
      <c r="AP76" s="81"/>
      <c r="AQ76" s="85" t="s">
        <v>688</v>
      </c>
      <c r="AR76" s="2"/>
      <c r="AS76" s="117"/>
      <c r="AT76" s="2"/>
      <c r="AU76" s="2"/>
      <c r="AV76" s="2"/>
      <c r="AW76" s="2"/>
      <c r="AX76" s="2"/>
      <c r="AY76" s="2"/>
      <c r="AZ76" s="2"/>
      <c r="BA76" s="2"/>
      <c r="BB76" s="117"/>
      <c r="BC76" s="2"/>
      <c r="BD76" s="2"/>
      <c r="BE76" s="117"/>
      <c r="BF76" s="81">
        <v>74.0</v>
      </c>
      <c r="BG76" s="81" t="str">
        <f t="shared" si="1"/>
        <v/>
      </c>
      <c r="BH76" s="91"/>
      <c r="BI76" s="91"/>
      <c r="BJ76" s="91"/>
      <c r="BK76" s="90">
        <v>74.0</v>
      </c>
      <c r="BL76" s="81">
        <f t="shared" si="2"/>
        <v>37.03405176</v>
      </c>
      <c r="BM76" s="91">
        <f>IFERROR(LARGE($X$3:$X$102,74),"")</f>
        <v>-37.72513734</v>
      </c>
      <c r="BN76" s="91">
        <f t="shared" si="7"/>
        <v>-37.72513734</v>
      </c>
      <c r="BO76" s="93">
        <f t="shared" si="8"/>
        <v>9</v>
      </c>
      <c r="BP76" s="91">
        <v>74.0</v>
      </c>
      <c r="BQ76" s="81">
        <f t="shared" si="3"/>
        <v>76.05741176</v>
      </c>
      <c r="BR76" s="91">
        <f>IFERROR(LARGE($AL$3:$AL$102,74),"")</f>
        <v>-8.267481176</v>
      </c>
      <c r="BS76" s="91">
        <f t="shared" si="9"/>
        <v>3.30747</v>
      </c>
      <c r="BT76" s="91">
        <f t="shared" si="10"/>
        <v>6</v>
      </c>
      <c r="BU76" s="81">
        <v>74.0</v>
      </c>
      <c r="BV76" s="81" t="str">
        <f t="shared" si="4"/>
        <v/>
      </c>
      <c r="BW76" s="91"/>
      <c r="BX76" s="91"/>
      <c r="BY76" s="91">
        <f t="array" ref="BY76">IFERROR(VALUE(RIGHT(INDEX(ECR!$E:$E,MATCH(P76,ECR!$C:$C,0)),LEN(INDEX(ECR!$E:$E,MATCH(P76,ECR!$C:$C,0)))-2)),"")</f>
        <v>74</v>
      </c>
      <c r="BZ76" s="91"/>
      <c r="CA76" s="91"/>
      <c r="CB76" s="91"/>
      <c r="CC76" s="91"/>
      <c r="CD76" s="91"/>
      <c r="CE76" s="91"/>
      <c r="CF76" s="91"/>
      <c r="CG76" s="91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17"/>
      <c r="M77" s="2"/>
      <c r="N77" s="117"/>
      <c r="O77" s="73" t="s">
        <v>691</v>
      </c>
      <c r="P77" s="59" t="str">
        <f>VLOOKUP(O77,ECR!E:L,8,FALSE())</f>
        <v>Najee Harris</v>
      </c>
      <c r="Q77" s="60" t="str">
        <f>IFERROR(VLOOKUP(Aggregate!$P77,ECR!C:F,2,FALSE()),"-")</f>
        <v>NYG</v>
      </c>
      <c r="R77" s="60">
        <f>IFERROR(VLOOKUP(Aggregate!$P77,ECR!C:F,4,FALSE()),"-")</f>
        <v>8</v>
      </c>
      <c r="S77" s="60" t="str">
        <f>Aggregate!$Q77 &amp; "/" &amp; Aggregate!$R77</f>
        <v>NYG/8</v>
      </c>
      <c r="T77" s="62">
        <f>IFERROR(VLOOKUP(Aggregate!$P77,RB!A:Q,13,FALSE())/17*(16-Aggregate!$AA77),0)</f>
        <v>32.65743529</v>
      </c>
      <c r="U77" s="62">
        <f>IFERROR(VLOOKUP(Aggregate!$P77,RB!A:Q,14,FALSE())/17*(16-Aggregate!$AA77),0)</f>
        <v>41.02427765</v>
      </c>
      <c r="V77" s="62">
        <f>IFERROR(VLOOKUP(Aggregate!$P77,RB!A:Q,15,FALSE())/17*(16-Aggregate!$AA77),0)</f>
        <v>49.78494118</v>
      </c>
      <c r="W77" s="69">
        <f>AVERAGE(Aggregate!$T77,Aggregate!$U77,Aggregate!$V77,VLOOKUP(Aggregate!$P77,ECR!L:N,3,FALSE))</f>
        <v>39.65519176</v>
      </c>
      <c r="X77" s="69">
        <f>Aggregate!$W77-$Q$1</f>
        <v>-38.73569734</v>
      </c>
      <c r="Y77" s="72">
        <f>MAX(Aggregate!$X77*Scoring!$B$48+1,1)</f>
        <v>1</v>
      </c>
      <c r="Z77" s="73">
        <f>VLOOKUP(Aggregate!$X77,BM:BO,3,FALSE)</f>
        <v>9</v>
      </c>
      <c r="AA77" s="80">
        <f t="array" ref="AA77">VLOOKUP(INDEX(ECR!$E:$E,MATCH(P77,ECR!$C:$C,0)),RISK!A:B,2,FALSE())</f>
        <v>3.368</v>
      </c>
      <c r="AB77" s="81"/>
      <c r="AC77" s="60" t="s">
        <v>692</v>
      </c>
      <c r="AD77" s="60" t="str">
        <f>VLOOKUP(AC77,ECR!E:L,8,FALSE())</f>
        <v>Jaylin Noel</v>
      </c>
      <c r="AE77" s="60" t="str">
        <f>IFERROR(VLOOKUP(Aggregate!$AD77,ECR!C:F,2,FALSE()),"-")</f>
        <v>HOU</v>
      </c>
      <c r="AF77" s="60">
        <f>IFERROR(VLOOKUP(Aggregate!$AD77,ECR!C:F,4,FALSE()),"-")</f>
        <v>8</v>
      </c>
      <c r="AG77" s="60" t="str">
        <f>Aggregate!$AE77 &amp; "/" &amp; Aggregate!$AF77</f>
        <v>HOU/8</v>
      </c>
      <c r="AH77" s="62">
        <f>IFERROR(VLOOKUP(Aggregate!$AD77,WR!A:Q,13,FALSE())/17*(16-Aggregate!$AO77),0)</f>
        <v>59.04</v>
      </c>
      <c r="AI77" s="62">
        <f>IFERROR(VLOOKUP(Aggregate!$AD77,WR!A:Q,14,FALSE())/17*(16-Aggregate!$AO77),0)</f>
        <v>65.39982353</v>
      </c>
      <c r="AJ77" s="62">
        <f>IFERROR(VLOOKUP(Aggregate!$AD77,WR!A:Q,15,FALSE())/17*(16-Aggregate!$AO77),0)</f>
        <v>70.79011765</v>
      </c>
      <c r="AK77" s="69">
        <f>AVERAGE(Aggregate!$AH77,Aggregate!$AI77,Aggregate!$AJ77,VLOOKUP(Aggregate!$AD77,ECR!L:N,3,FALSE))</f>
        <v>67.56180176</v>
      </c>
      <c r="AL77" s="69">
        <f>Aggregate!$AK77-$AE$1</f>
        <v>-13.95912529</v>
      </c>
      <c r="AM77" s="72">
        <f>MAX(Aggregate!$AL77*Scoring!$B$48+1,1)</f>
        <v>1</v>
      </c>
      <c r="AN77" s="73">
        <f>VLOOKUP(Aggregate!$AL77,BR:BT,3,FALSE)</f>
        <v>6</v>
      </c>
      <c r="AO77" s="80">
        <f t="array" ref="AO77">VLOOKUP(INDEX(ECR!$E:$E,MATCH(AD77,ECR!$C:$C,0)),RISK!A:B,2,FALSE())</f>
        <v>3.7</v>
      </c>
      <c r="AP77" s="81"/>
      <c r="AQ77" s="85" t="s">
        <v>695</v>
      </c>
      <c r="AR77" s="2"/>
      <c r="AS77" s="117"/>
      <c r="AT77" s="2"/>
      <c r="AU77" s="2"/>
      <c r="AV77" s="2"/>
      <c r="AW77" s="2"/>
      <c r="AX77" s="2"/>
      <c r="AY77" s="2"/>
      <c r="AZ77" s="2"/>
      <c r="BA77" s="2"/>
      <c r="BB77" s="117"/>
      <c r="BC77" s="2"/>
      <c r="BD77" s="2"/>
      <c r="BE77" s="117"/>
      <c r="BF77" s="81">
        <v>75.0</v>
      </c>
      <c r="BG77" s="81" t="str">
        <f t="shared" si="1"/>
        <v/>
      </c>
      <c r="BH77" s="91"/>
      <c r="BI77" s="91"/>
      <c r="BJ77" s="91"/>
      <c r="BK77" s="90">
        <v>75.0</v>
      </c>
      <c r="BL77" s="81">
        <f t="shared" si="2"/>
        <v>35.15411294</v>
      </c>
      <c r="BM77" s="91">
        <f>IFERROR(LARGE($X$3:$X$102,75),"")</f>
        <v>-38.73569734</v>
      </c>
      <c r="BN77" s="91">
        <f t="shared" si="7"/>
        <v>-37.72513734</v>
      </c>
      <c r="BO77" s="93">
        <f t="shared" si="8"/>
        <v>9</v>
      </c>
      <c r="BP77" s="91">
        <v>75.0</v>
      </c>
      <c r="BQ77" s="81">
        <f t="shared" si="3"/>
        <v>75.01726588</v>
      </c>
      <c r="BR77" s="91">
        <f>IFERROR(LARGE($AL$3:$AL$102,75),"")</f>
        <v>-9.105183529</v>
      </c>
      <c r="BS77" s="91">
        <f t="shared" si="9"/>
        <v>3.30747</v>
      </c>
      <c r="BT77" s="91">
        <f t="shared" si="10"/>
        <v>6</v>
      </c>
      <c r="BU77" s="81">
        <v>75.0</v>
      </c>
      <c r="BV77" s="81" t="str">
        <f t="shared" si="4"/>
        <v/>
      </c>
      <c r="BW77" s="91"/>
      <c r="BX77" s="91"/>
      <c r="BY77" s="91">
        <f t="array" ref="BY77">IFERROR(VALUE(RIGHT(INDEX(ECR!$E:$E,MATCH(P77,ECR!$C:$C,0)),LEN(INDEX(ECR!$E:$E,MATCH(P77,ECR!$C:$C,0)))-2)),"")</f>
        <v>75</v>
      </c>
      <c r="BZ77" s="91"/>
      <c r="CA77" s="91"/>
      <c r="CB77" s="91"/>
      <c r="CC77" s="91"/>
      <c r="CD77" s="91"/>
      <c r="CE77" s="91"/>
      <c r="CF77" s="91"/>
      <c r="CG77" s="91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17"/>
      <c r="M78" s="2"/>
      <c r="N78" s="117"/>
      <c r="O78" s="73" t="s">
        <v>698</v>
      </c>
      <c r="P78" s="59" t="str">
        <f>VLOOKUP(O78,ECR!E:L,8,FALSE())</f>
        <v>Jordan James</v>
      </c>
      <c r="Q78" s="60" t="str">
        <f>IFERROR(VLOOKUP(Aggregate!$P78,ECR!C:F,2,FALSE()),"-")</f>
        <v>SF</v>
      </c>
      <c r="R78" s="60">
        <f>IFERROR(VLOOKUP(Aggregate!$P78,ECR!C:F,4,FALSE()),"-")</f>
        <v>8</v>
      </c>
      <c r="S78" s="60" t="str">
        <f>Aggregate!$Q78 &amp; "/" &amp; Aggregate!$R78</f>
        <v>SF/8</v>
      </c>
      <c r="T78" s="62">
        <f>IFERROR(VLOOKUP(Aggregate!$P78,RB!A:Q,13,FALSE())/17*(16-Aggregate!$AA78),0)</f>
        <v>17.46188235</v>
      </c>
      <c r="U78" s="62">
        <f>IFERROR(VLOOKUP(Aggregate!$P78,RB!A:Q,14,FALSE())/17*(16-Aggregate!$AA78),0)</f>
        <v>51.13730824</v>
      </c>
      <c r="V78" s="62">
        <f>IFERROR(VLOOKUP(Aggregate!$P78,RB!A:Q,15,FALSE())/17*(16-Aggregate!$AA78),0)</f>
        <v>84.85731765</v>
      </c>
      <c r="W78" s="69">
        <f>AVERAGE(Aggregate!$T78,Aggregate!$U78,Aggregate!$V78,VLOOKUP(Aggregate!$P78,ECR!L:N,3,FALSE))</f>
        <v>47.08392235</v>
      </c>
      <c r="X78" s="69">
        <f>Aggregate!$W78-$Q$1</f>
        <v>-31.30696675</v>
      </c>
      <c r="Y78" s="72">
        <f>MAX(Aggregate!$X78*Scoring!$B$48+1,1)</f>
        <v>1</v>
      </c>
      <c r="Z78" s="73">
        <f>VLOOKUP(Aggregate!$X78,BM:BO,3,FALSE)</f>
        <v>8</v>
      </c>
      <c r="AA78" s="80">
        <f t="array" ref="AA78">VLOOKUP(INDEX(ECR!$E:$E,MATCH(P78,ECR!$C:$C,0)),RISK!A:B,2,FALSE())</f>
        <v>3.368</v>
      </c>
      <c r="AB78" s="81"/>
      <c r="AC78" s="60" t="s">
        <v>701</v>
      </c>
      <c r="AD78" s="60" t="str">
        <f>VLOOKUP(AC78,ECR!E:L,8,FALSE())</f>
        <v>Travis Hunter</v>
      </c>
      <c r="AE78" s="60" t="str">
        <f>IFERROR(VLOOKUP(Aggregate!$AD78,ECR!C:F,2,FALSE()),"-")</f>
        <v>JAC</v>
      </c>
      <c r="AF78" s="60">
        <f>IFERROR(VLOOKUP(Aggregate!$AD78,ECR!C:F,4,FALSE()),"-")</f>
        <v>7</v>
      </c>
      <c r="AG78" s="60" t="str">
        <f>Aggregate!$AE78 &amp; "/" &amp; Aggregate!$AF78</f>
        <v>JAC/7</v>
      </c>
      <c r="AH78" s="62">
        <f>IFERROR(VLOOKUP(Aggregate!$AD78,WR!A:Q,13,FALSE())/17*(16-Aggregate!$AO78),0)</f>
        <v>65.94247059</v>
      </c>
      <c r="AI78" s="62">
        <f>IFERROR(VLOOKUP(Aggregate!$AD78,WR!A:Q,14,FALSE())/17*(16-Aggregate!$AO78),0)</f>
        <v>65.94247059</v>
      </c>
      <c r="AJ78" s="62">
        <f>IFERROR(VLOOKUP(Aggregate!$AD78,WR!A:Q,15,FALSE())/17*(16-Aggregate!$AO78),0)</f>
        <v>65.94247059</v>
      </c>
      <c r="AK78" s="69">
        <f>AVERAGE(Aggregate!$AH78,Aggregate!$AI78,Aggregate!$AJ78,VLOOKUP(Aggregate!$AD78,ECR!L:N,3,FALSE))</f>
        <v>67.94664706</v>
      </c>
      <c r="AL78" s="69">
        <f>Aggregate!$AK78-$AE$1</f>
        <v>-13.57428</v>
      </c>
      <c r="AM78" s="72">
        <f>MAX(Aggregate!$AL78*Scoring!$B$48+1,1)</f>
        <v>1</v>
      </c>
      <c r="AN78" s="73">
        <f>VLOOKUP(Aggregate!$AL78,BR:BT,3,FALSE)</f>
        <v>6</v>
      </c>
      <c r="AO78" s="80">
        <f t="array" ref="AO78">VLOOKUP(INDEX(ECR!$E:$E,MATCH(AD78,ECR!$C:$C,0)),RISK!A:B,2,FALSE())</f>
        <v>3.7</v>
      </c>
      <c r="AP78" s="81"/>
      <c r="AQ78" s="85" t="s">
        <v>703</v>
      </c>
      <c r="AR78" s="2"/>
      <c r="AS78" s="117"/>
      <c r="AT78" s="2"/>
      <c r="AU78" s="2"/>
      <c r="AV78" s="2"/>
      <c r="AW78" s="2"/>
      <c r="AX78" s="2"/>
      <c r="AY78" s="2"/>
      <c r="AZ78" s="2"/>
      <c r="BA78" s="2"/>
      <c r="BB78" s="117"/>
      <c r="BC78" s="2"/>
      <c r="BD78" s="2"/>
      <c r="BE78" s="117"/>
      <c r="BF78" s="81">
        <v>76.0</v>
      </c>
      <c r="BG78" s="81" t="str">
        <f t="shared" si="1"/>
        <v/>
      </c>
      <c r="BH78" s="91"/>
      <c r="BI78" s="91"/>
      <c r="BJ78" s="91"/>
      <c r="BK78" s="90">
        <v>76.0</v>
      </c>
      <c r="BL78" s="81">
        <f t="shared" si="2"/>
        <v>34.87918118</v>
      </c>
      <c r="BM78" s="91">
        <f>IFERROR(LARGE($X$3:$X$102,76),"")</f>
        <v>-39.36543969</v>
      </c>
      <c r="BN78" s="91">
        <f t="shared" si="7"/>
        <v>-37.72513734</v>
      </c>
      <c r="BO78" s="93">
        <f t="shared" si="8"/>
        <v>9</v>
      </c>
      <c r="BP78" s="91">
        <v>76.0</v>
      </c>
      <c r="BQ78" s="81">
        <f t="shared" si="3"/>
        <v>73.95917647</v>
      </c>
      <c r="BR78" s="91">
        <f>IFERROR(LARGE($AL$3:$AL$102,76),"")</f>
        <v>-9.815544706</v>
      </c>
      <c r="BS78" s="91">
        <f t="shared" si="9"/>
        <v>3.30747</v>
      </c>
      <c r="BT78" s="91">
        <f t="shared" si="10"/>
        <v>6</v>
      </c>
      <c r="BU78" s="81">
        <v>76.0</v>
      </c>
      <c r="BV78" s="81" t="str">
        <f t="shared" si="4"/>
        <v/>
      </c>
      <c r="BW78" s="91"/>
      <c r="BX78" s="91"/>
      <c r="BY78" s="91">
        <f t="array" ref="BY78">IFERROR(VALUE(RIGHT(INDEX(ECR!$E:$E,MATCH(P78,ECR!$C:$C,0)),LEN(INDEX(ECR!$E:$E,MATCH(P78,ECR!$C:$C,0)))-2)),"")</f>
        <v>76</v>
      </c>
      <c r="BZ78" s="91"/>
      <c r="CA78" s="91"/>
      <c r="CB78" s="91"/>
      <c r="CC78" s="91"/>
      <c r="CD78" s="91"/>
      <c r="CE78" s="91"/>
      <c r="CF78" s="91"/>
      <c r="CG78" s="91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17"/>
      <c r="M79" s="2"/>
      <c r="N79" s="117"/>
      <c r="O79" s="73" t="s">
        <v>705</v>
      </c>
      <c r="P79" s="59" t="str">
        <f>VLOOKUP(O79,ECR!E:L,8,FALSE())</f>
        <v>Samaje Perine</v>
      </c>
      <c r="Q79" s="60" t="str">
        <f>IFERROR(VLOOKUP(Aggregate!$P79,ECR!C:F,2,FALSE()),"-")</f>
        <v>CIN</v>
      </c>
      <c r="R79" s="60">
        <f>IFERROR(VLOOKUP(Aggregate!$P79,ECR!C:F,4,FALSE()),"-")</f>
        <v>6</v>
      </c>
      <c r="S79" s="60" t="str">
        <f>Aggregate!$Q79 &amp; "/" &amp; Aggregate!$R79</f>
        <v>CIN/6</v>
      </c>
      <c r="T79" s="62">
        <f>IFERROR(VLOOKUP(Aggregate!$P79,RB!A:Q,13,FALSE())/17*(16-Aggregate!$AA79),0)</f>
        <v>59.56359529</v>
      </c>
      <c r="U79" s="62">
        <f>IFERROR(VLOOKUP(Aggregate!$P79,RB!A:Q,14,FALSE())/17*(16-Aggregate!$AA79),0)</f>
        <v>65.01764706</v>
      </c>
      <c r="V79" s="62">
        <f>IFERROR(VLOOKUP(Aggregate!$P79,RB!A:Q,15,FALSE())/17*(16-Aggregate!$AA79),0)</f>
        <v>70.02586353</v>
      </c>
      <c r="W79" s="69">
        <f>AVERAGE(Aggregate!$T79,Aggregate!$U79,Aggregate!$V79,VLOOKUP(Aggregate!$P79,ECR!L:N,3,FALSE))</f>
        <v>56.95545882</v>
      </c>
      <c r="X79" s="69">
        <f>Aggregate!$W79-$Q$1</f>
        <v>-21.43543028</v>
      </c>
      <c r="Y79" s="72">
        <f>MAX(Aggregate!$X79*Scoring!$B$48+1,1)</f>
        <v>1</v>
      </c>
      <c r="Z79" s="73">
        <f>VLOOKUP(Aggregate!$X79,BM:BO,3,FALSE)</f>
        <v>8</v>
      </c>
      <c r="AA79" s="80">
        <f t="array" ref="AA79">VLOOKUP(INDEX(ECR!$E:$E,MATCH(P79,ECR!$C:$C,0)),RISK!A:B,2,FALSE())</f>
        <v>3.368</v>
      </c>
      <c r="AB79" s="81"/>
      <c r="AC79" s="60" t="s">
        <v>708</v>
      </c>
      <c r="AD79" s="60" t="str">
        <f>VLOOKUP(AC79,ECR!E:L,8,FALSE())</f>
        <v>Rashod Bateman</v>
      </c>
      <c r="AE79" s="60" t="str">
        <f>IFERROR(VLOOKUP(Aggregate!$AD79,ECR!C:F,2,FALSE()),"-")</f>
        <v>BAL</v>
      </c>
      <c r="AF79" s="60">
        <f>IFERROR(VLOOKUP(Aggregate!$AD79,ECR!C:F,4,FALSE()),"-")</f>
        <v>13</v>
      </c>
      <c r="AG79" s="60" t="str">
        <f>Aggregate!$AE79 &amp; "/" &amp; Aggregate!$AF79</f>
        <v>BAL/13</v>
      </c>
      <c r="AH79" s="62">
        <f>IFERROR(VLOOKUP(Aggregate!$AD79,WR!A:Q,13,FALSE())/17*(16-Aggregate!$AO79),0)</f>
        <v>72.75088235</v>
      </c>
      <c r="AI79" s="62">
        <f>IFERROR(VLOOKUP(Aggregate!$AD79,WR!A:Q,14,FALSE())/17*(16-Aggregate!$AO79),0)</f>
        <v>83.10458824</v>
      </c>
      <c r="AJ79" s="62">
        <f>IFERROR(VLOOKUP(Aggregate!$AD79,WR!A:Q,15,FALSE())/17*(16-Aggregate!$AO79),0)</f>
        <v>93.64641176</v>
      </c>
      <c r="AK79" s="69">
        <f>AVERAGE(Aggregate!$AH79,Aggregate!$AI79,Aggregate!$AJ79,VLOOKUP(Aggregate!$AD79,ECR!L:N,3,FALSE))</f>
        <v>80.70427941</v>
      </c>
      <c r="AL79" s="69">
        <f>Aggregate!$AK79-$AE$1</f>
        <v>-0.8166476471</v>
      </c>
      <c r="AM79" s="72">
        <f>MAX(Aggregate!$AL79*Scoring!$B$48+1,1)</f>
        <v>1</v>
      </c>
      <c r="AN79" s="73">
        <f>VLOOKUP(Aggregate!$AL79,BR:BT,3,FALSE)</f>
        <v>6</v>
      </c>
      <c r="AO79" s="80">
        <f t="array" ref="AO79">VLOOKUP(INDEX(ECR!$E:$E,MATCH(AD79,ECR!$C:$C,0)),RISK!A:B,2,FALSE())</f>
        <v>3.7</v>
      </c>
      <c r="AP79" s="81"/>
      <c r="AQ79" s="85" t="s">
        <v>711</v>
      </c>
      <c r="AR79" s="2"/>
      <c r="AS79" s="117"/>
      <c r="AT79" s="2"/>
      <c r="AU79" s="2"/>
      <c r="AV79" s="2"/>
      <c r="AW79" s="2"/>
      <c r="AX79" s="2"/>
      <c r="AY79" s="2"/>
      <c r="AZ79" s="2"/>
      <c r="BA79" s="2"/>
      <c r="BB79" s="117"/>
      <c r="BC79" s="2"/>
      <c r="BD79" s="2"/>
      <c r="BE79" s="117"/>
      <c r="BF79" s="81">
        <v>77.0</v>
      </c>
      <c r="BG79" s="81" t="str">
        <f t="shared" si="1"/>
        <v/>
      </c>
      <c r="BH79" s="91"/>
      <c r="BI79" s="91"/>
      <c r="BJ79" s="91"/>
      <c r="BK79" s="90">
        <v>77.0</v>
      </c>
      <c r="BL79" s="81">
        <f t="shared" si="2"/>
        <v>33.21472941</v>
      </c>
      <c r="BM79" s="91">
        <f>IFERROR(LARGE($X$3:$X$102,77),"")</f>
        <v>-43.91110204</v>
      </c>
      <c r="BN79" s="91">
        <f t="shared" si="7"/>
        <v>-37.72513734</v>
      </c>
      <c r="BO79" s="93">
        <f t="shared" si="8"/>
        <v>9</v>
      </c>
      <c r="BP79" s="91">
        <v>77.0</v>
      </c>
      <c r="BQ79" s="81">
        <f t="shared" si="3"/>
        <v>73.31523529</v>
      </c>
      <c r="BR79" s="91">
        <f>IFERROR(LARGE($AL$3:$AL$102,77),"")</f>
        <v>-9.892455882</v>
      </c>
      <c r="BS79" s="91">
        <f t="shared" si="9"/>
        <v>3.30747</v>
      </c>
      <c r="BT79" s="91">
        <f t="shared" si="10"/>
        <v>6</v>
      </c>
      <c r="BU79" s="81">
        <v>77.0</v>
      </c>
      <c r="BV79" s="81" t="str">
        <f t="shared" si="4"/>
        <v/>
      </c>
      <c r="BW79" s="91"/>
      <c r="BX79" s="91"/>
      <c r="BY79" s="91">
        <f t="array" ref="BY79">IFERROR(VALUE(RIGHT(INDEX(ECR!$E:$E,MATCH(P79,ECR!$C:$C,0)),LEN(INDEX(ECR!$E:$E,MATCH(P79,ECR!$C:$C,0)))-2)),"")</f>
        <v>77</v>
      </c>
      <c r="BZ79" s="91"/>
      <c r="CA79" s="91"/>
      <c r="CB79" s="91"/>
      <c r="CC79" s="91"/>
      <c r="CD79" s="91"/>
      <c r="CE79" s="91"/>
      <c r="CF79" s="91"/>
      <c r="CG79" s="91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17"/>
      <c r="M80" s="2"/>
      <c r="N80" s="117"/>
      <c r="O80" s="73" t="s">
        <v>714</v>
      </c>
      <c r="P80" s="59" t="str">
        <f>VLOOKUP(O80,ECR!E:L,8,FALSE())</f>
        <v>Ty Johnson</v>
      </c>
      <c r="Q80" s="60" t="str">
        <f>IFERROR(VLOOKUP(Aggregate!$P80,ECR!C:F,2,FALSE()),"-")</f>
        <v>BUF</v>
      </c>
      <c r="R80" s="60">
        <f>IFERROR(VLOOKUP(Aggregate!$P80,ECR!C:F,4,FALSE()),"-")</f>
        <v>7</v>
      </c>
      <c r="S80" s="60" t="str">
        <f>Aggregate!$Q80 &amp; "/" &amp; Aggregate!$R80</f>
        <v>BUF/7</v>
      </c>
      <c r="T80" s="62">
        <f>IFERROR(VLOOKUP(Aggregate!$P80,RB!A:Q,13,FALSE())/17*(16-Aggregate!$AA80),0)</f>
        <v>48.89327059</v>
      </c>
      <c r="U80" s="62">
        <f>IFERROR(VLOOKUP(Aggregate!$P80,RB!A:Q,14,FALSE())/17*(16-Aggregate!$AA80),0)</f>
        <v>60.93082353</v>
      </c>
      <c r="V80" s="62">
        <f>IFERROR(VLOOKUP(Aggregate!$P80,RB!A:Q,15,FALSE())/17*(16-Aggregate!$AA80),0)</f>
        <v>71.03642353</v>
      </c>
      <c r="W80" s="69">
        <f>AVERAGE(Aggregate!$T80,Aggregate!$U80,Aggregate!$V80,VLOOKUP(Aggregate!$P80,ECR!L:N,3,FALSE))</f>
        <v>52.36521294</v>
      </c>
      <c r="X80" s="69">
        <f>Aggregate!$W80-$Q$1</f>
        <v>-26.02567616</v>
      </c>
      <c r="Y80" s="72">
        <f>MAX(Aggregate!$X80*Scoring!$B$48+1,1)</f>
        <v>1</v>
      </c>
      <c r="Z80" s="73">
        <f>VLOOKUP(Aggregate!$X80,BM:BO,3,FALSE)</f>
        <v>8</v>
      </c>
      <c r="AA80" s="80">
        <f t="array" ref="AA80">VLOOKUP(INDEX(ECR!$E:$E,MATCH(P80,ECR!$C:$C,0)),RISK!A:B,2,FALSE())</f>
        <v>3.368</v>
      </c>
      <c r="AB80" s="81"/>
      <c r="AC80" s="60" t="s">
        <v>716</v>
      </c>
      <c r="AD80" s="60" t="str">
        <f>VLOOKUP(AC80,ECR!E:L,8,FALSE())</f>
        <v>Isaac TeSlaa</v>
      </c>
      <c r="AE80" s="60" t="str">
        <f>IFERROR(VLOOKUP(Aggregate!$AD80,ECR!C:F,2,FALSE()),"-")</f>
        <v>DET</v>
      </c>
      <c r="AF80" s="60">
        <f>IFERROR(VLOOKUP(Aggregate!$AD80,ECR!C:F,4,FALSE()),"-")</f>
        <v>6</v>
      </c>
      <c r="AG80" s="60" t="str">
        <f>Aggregate!$AE80 &amp; "/" &amp; Aggregate!$AF80</f>
        <v>DET/6</v>
      </c>
      <c r="AH80" s="62">
        <f>IFERROR(VLOOKUP(Aggregate!$AD80,WR!A:Q,13,FALSE())/17*(16-Aggregate!$AO80),0)</f>
        <v>43.96888235</v>
      </c>
      <c r="AI80" s="62">
        <f>IFERROR(VLOOKUP(Aggregate!$AD80,WR!A:Q,14,FALSE())/17*(16-Aggregate!$AO80),0)</f>
        <v>52.34011765</v>
      </c>
      <c r="AJ80" s="62">
        <f>IFERROR(VLOOKUP(Aggregate!$AD80,WR!A:Q,15,FALSE())/17*(16-Aggregate!$AO80),0)</f>
        <v>60.70411765</v>
      </c>
      <c r="AK80" s="69">
        <f>AVERAGE(Aggregate!$AH80,Aggregate!$AI80,Aggregate!$AJ80,VLOOKUP(Aggregate!$AD80,ECR!L:N,3,FALSE))</f>
        <v>56.29963235</v>
      </c>
      <c r="AL80" s="69">
        <f>Aggregate!$AK80-$AE$1</f>
        <v>-25.22129471</v>
      </c>
      <c r="AM80" s="72">
        <f>MAX(Aggregate!$AL80*Scoring!$B$48+1,1)</f>
        <v>1</v>
      </c>
      <c r="AN80" s="73">
        <f>VLOOKUP(Aggregate!$AL80,BR:BT,3,FALSE)</f>
        <v>7</v>
      </c>
      <c r="AO80" s="80">
        <f t="array" ref="AO80">VLOOKUP(INDEX(ECR!$E:$E,MATCH(AD80,ECR!$C:$C,0)),RISK!A:B,2,FALSE())</f>
        <v>3.7</v>
      </c>
      <c r="AP80" s="81"/>
      <c r="AQ80" s="85" t="s">
        <v>718</v>
      </c>
      <c r="AR80" s="2"/>
      <c r="AS80" s="117"/>
      <c r="AT80" s="2"/>
      <c r="AU80" s="2"/>
      <c r="AV80" s="2"/>
      <c r="AW80" s="2"/>
      <c r="AX80" s="2"/>
      <c r="AY80" s="2"/>
      <c r="AZ80" s="2"/>
      <c r="BA80" s="2"/>
      <c r="BB80" s="117"/>
      <c r="BC80" s="2"/>
      <c r="BD80" s="2"/>
      <c r="BE80" s="117"/>
      <c r="BF80" s="81">
        <v>78.0</v>
      </c>
      <c r="BG80" s="81" t="str">
        <f t="shared" si="1"/>
        <v/>
      </c>
      <c r="BH80" s="91"/>
      <c r="BI80" s="91"/>
      <c r="BJ80" s="91"/>
      <c r="BK80" s="90">
        <v>78.0</v>
      </c>
      <c r="BL80" s="81">
        <f t="shared" si="2"/>
        <v>28.60033412</v>
      </c>
      <c r="BM80" s="91">
        <f>IFERROR(LARGE($X$3:$X$102,78),"")</f>
        <v>-44.14145028</v>
      </c>
      <c r="BN80" s="91">
        <f t="shared" si="7"/>
        <v>-37.72513734</v>
      </c>
      <c r="BO80" s="93">
        <f t="shared" si="8"/>
        <v>9</v>
      </c>
      <c r="BP80" s="91">
        <v>78.0</v>
      </c>
      <c r="BQ80" s="81">
        <f t="shared" si="3"/>
        <v>68.18541176</v>
      </c>
      <c r="BR80" s="91">
        <f>IFERROR(LARGE($AL$3:$AL$102,78),"")</f>
        <v>-10.76184882</v>
      </c>
      <c r="BS80" s="91">
        <f t="shared" si="9"/>
        <v>3.30747</v>
      </c>
      <c r="BT80" s="91">
        <f t="shared" si="10"/>
        <v>6</v>
      </c>
      <c r="BU80" s="81">
        <v>78.0</v>
      </c>
      <c r="BV80" s="81" t="str">
        <f t="shared" si="4"/>
        <v/>
      </c>
      <c r="BW80" s="91"/>
      <c r="BX80" s="91"/>
      <c r="BY80" s="91">
        <f t="array" ref="BY80">IFERROR(VALUE(RIGHT(INDEX(ECR!$E:$E,MATCH(P80,ECR!$C:$C,0)),LEN(INDEX(ECR!$E:$E,MATCH(P80,ECR!$C:$C,0)))-2)),"")</f>
        <v>78</v>
      </c>
      <c r="BZ80" s="91"/>
      <c r="CA80" s="91"/>
      <c r="CB80" s="91"/>
      <c r="CC80" s="91"/>
      <c r="CD80" s="91"/>
      <c r="CE80" s="91"/>
      <c r="CF80" s="91"/>
      <c r="CG80" s="91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17"/>
      <c r="M81" s="2"/>
      <c r="N81" s="117"/>
      <c r="O81" s="73" t="s">
        <v>720</v>
      </c>
      <c r="P81" s="59" t="str">
        <f>VLOOKUP(O81,ECR!E:L,8,FALSE())</f>
        <v>LeQuint Allen Jr.</v>
      </c>
      <c r="Q81" s="60" t="str">
        <f>IFERROR(VLOOKUP(Aggregate!$P81,ECR!C:F,2,FALSE()),"-")</f>
        <v>JAC</v>
      </c>
      <c r="R81" s="60">
        <f>IFERROR(VLOOKUP(Aggregate!$P81,ECR!C:F,4,FALSE()),"-")</f>
        <v>7</v>
      </c>
      <c r="S81" s="60" t="str">
        <f>Aggregate!$Q81 &amp; "/" &amp; Aggregate!$R81</f>
        <v>JAC/7</v>
      </c>
      <c r="T81" s="62">
        <f>IFERROR(VLOOKUP(Aggregate!$P81,RB!A:Q,13,FALSE())/17*(16-Aggregate!$AA81),0)</f>
        <v>10.32851765</v>
      </c>
      <c r="U81" s="62">
        <f>IFERROR(VLOOKUP(Aggregate!$P81,RB!A:Q,14,FALSE())/17*(16-Aggregate!$AA81),0)</f>
        <v>26.72039529</v>
      </c>
      <c r="V81" s="62">
        <f>IFERROR(VLOOKUP(Aggregate!$P81,RB!A:Q,15,FALSE())/17*(16-Aggregate!$AA81),0)</f>
        <v>43.75130353</v>
      </c>
      <c r="W81" s="69">
        <f>AVERAGE(Aggregate!$T81,Aggregate!$U81,Aggregate!$V81,VLOOKUP(Aggregate!$P81,ECR!L:N,3,FALSE))</f>
        <v>27.07892118</v>
      </c>
      <c r="X81" s="69">
        <f>Aggregate!$W81-$Q$1</f>
        <v>-51.31196793</v>
      </c>
      <c r="Y81" s="72">
        <f>MAX(Aggregate!$X81*Scoring!$B$48+1,1)</f>
        <v>1</v>
      </c>
      <c r="Z81" s="73">
        <f>VLOOKUP(Aggregate!$X81,BM:BO,3,FALSE)</f>
        <v>9</v>
      </c>
      <c r="AA81" s="80">
        <f t="array" ref="AA81">VLOOKUP(INDEX(ECR!$E:$E,MATCH(P81,ECR!$C:$C,0)),RISK!A:B,2,FALSE())</f>
        <v>3.368</v>
      </c>
      <c r="AB81" s="81"/>
      <c r="AC81" s="60" t="s">
        <v>722</v>
      </c>
      <c r="AD81" s="60" t="str">
        <f>VLOOKUP(AC81,ECR!E:L,8,FALSE())</f>
        <v>Darnell Mooney</v>
      </c>
      <c r="AE81" s="60" t="str">
        <f>IFERROR(VLOOKUP(Aggregate!$AD81,ECR!C:F,2,FALSE()),"-")</f>
        <v>NYG</v>
      </c>
      <c r="AF81" s="60">
        <f>IFERROR(VLOOKUP(Aggregate!$AD81,ECR!C:F,4,FALSE()),"-")</f>
        <v>8</v>
      </c>
      <c r="AG81" s="60" t="str">
        <f>Aggregate!$AE81 &amp; "/" &amp; Aggregate!$AF81</f>
        <v>NYG/8</v>
      </c>
      <c r="AH81" s="62">
        <f>IFERROR(VLOOKUP(Aggregate!$AD81,WR!A:Q,13,FALSE())/17*(16-Aggregate!$AO81),0)</f>
        <v>38.48452941</v>
      </c>
      <c r="AI81" s="62">
        <f>IFERROR(VLOOKUP(Aggregate!$AD81,WR!A:Q,14,FALSE())/17*(16-Aggregate!$AO81),0)</f>
        <v>38.48452941</v>
      </c>
      <c r="AJ81" s="62">
        <f>IFERROR(VLOOKUP(Aggregate!$AD81,WR!A:Q,15,FALSE())/17*(16-Aggregate!$AO81),0)</f>
        <v>38.48452941</v>
      </c>
      <c r="AK81" s="69">
        <f>AVERAGE(Aggregate!$AH81,Aggregate!$AI81,Aggregate!$AJ81,VLOOKUP(Aggregate!$AD81,ECR!L:N,3,FALSE))</f>
        <v>45.65832353</v>
      </c>
      <c r="AL81" s="69">
        <f>Aggregate!$AK81-$AE$1</f>
        <v>-35.86260353</v>
      </c>
      <c r="AM81" s="72">
        <f>MAX(Aggregate!$AL81*Scoring!$B$48+1,1)</f>
        <v>1</v>
      </c>
      <c r="AN81" s="73">
        <f>VLOOKUP(Aggregate!$AL81,BR:BT,3,FALSE)</f>
        <v>7</v>
      </c>
      <c r="AO81" s="80">
        <f t="array" ref="AO81">VLOOKUP(INDEX(ECR!$E:$E,MATCH(AD81,ECR!$C:$C,0)),RISK!A:B,2,FALSE())</f>
        <v>3.7</v>
      </c>
      <c r="AP81" s="81"/>
      <c r="AQ81" s="85" t="s">
        <v>724</v>
      </c>
      <c r="AR81" s="2"/>
      <c r="AS81" s="117"/>
      <c r="AT81" s="2"/>
      <c r="AU81" s="2"/>
      <c r="AV81" s="2"/>
      <c r="AW81" s="2"/>
      <c r="AX81" s="2"/>
      <c r="AY81" s="2"/>
      <c r="AZ81" s="2"/>
      <c r="BA81" s="2"/>
      <c r="BB81" s="117"/>
      <c r="BC81" s="2"/>
      <c r="BD81" s="2"/>
      <c r="BE81" s="117"/>
      <c r="BF81" s="81">
        <v>79.0</v>
      </c>
      <c r="BG81" s="81" t="str">
        <f t="shared" si="1"/>
        <v/>
      </c>
      <c r="BH81" s="91"/>
      <c r="BI81" s="91"/>
      <c r="BJ81" s="91"/>
      <c r="BK81" s="90">
        <v>79.0</v>
      </c>
      <c r="BL81" s="81">
        <f t="shared" si="2"/>
        <v>27.51546824</v>
      </c>
      <c r="BM81" s="91">
        <f>IFERROR(LARGE($X$3:$X$102,79),"")</f>
        <v>-45.73531146</v>
      </c>
      <c r="BN81" s="91">
        <f t="shared" si="7"/>
        <v>-37.72513734</v>
      </c>
      <c r="BO81" s="93">
        <f t="shared" si="8"/>
        <v>9</v>
      </c>
      <c r="BP81" s="91">
        <v>79.0</v>
      </c>
      <c r="BQ81" s="81">
        <f t="shared" si="3"/>
        <v>67.17970588</v>
      </c>
      <c r="BR81" s="91">
        <f>IFERROR(LARGE($AL$3:$AL$102,79),"")</f>
        <v>-11.11970647</v>
      </c>
      <c r="BS81" s="91">
        <f t="shared" si="9"/>
        <v>3.30747</v>
      </c>
      <c r="BT81" s="91">
        <f t="shared" si="10"/>
        <v>6</v>
      </c>
      <c r="BU81" s="81">
        <v>79.0</v>
      </c>
      <c r="BV81" s="81" t="str">
        <f t="shared" si="4"/>
        <v/>
      </c>
      <c r="BW81" s="91"/>
      <c r="BX81" s="91"/>
      <c r="BY81" s="91">
        <f t="array" ref="BY81">IFERROR(VALUE(RIGHT(INDEX(ECR!$E:$E,MATCH(P81,ECR!$C:$C,0)),LEN(INDEX(ECR!$E:$E,MATCH(P81,ECR!$C:$C,0)))-2)),"")</f>
        <v>79</v>
      </c>
      <c r="BZ81" s="91"/>
      <c r="CA81" s="91"/>
      <c r="CB81" s="91"/>
      <c r="CC81" s="91"/>
      <c r="CD81" s="91"/>
      <c r="CE81" s="91"/>
      <c r="CF81" s="91"/>
      <c r="CG81" s="91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17"/>
      <c r="M82" s="2"/>
      <c r="N82" s="117"/>
      <c r="O82" s="73" t="s">
        <v>726</v>
      </c>
      <c r="P82" s="59" t="str">
        <f>VLOOKUP(O82,ECR!E:L,8,FALSE())</f>
        <v>Malik Davis</v>
      </c>
      <c r="Q82" s="60" t="str">
        <f>IFERROR(VLOOKUP(Aggregate!$P82,ECR!C:F,2,FALSE()),"-")</f>
        <v>DAL</v>
      </c>
      <c r="R82" s="60">
        <f>IFERROR(VLOOKUP(Aggregate!$P82,ECR!C:F,4,FALSE()),"-")</f>
        <v>14</v>
      </c>
      <c r="S82" s="60" t="str">
        <f>Aggregate!$Q82 &amp; "/" &amp; Aggregate!$R82</f>
        <v>DAL/14</v>
      </c>
      <c r="T82" s="62">
        <f>IFERROR(VLOOKUP(Aggregate!$P82,RB!A:Q,13,FALSE())/17*(16-Aggregate!$AA82),0)</f>
        <v>-1.486117647</v>
      </c>
      <c r="U82" s="62">
        <f>IFERROR(VLOOKUP(Aggregate!$P82,RB!A:Q,14,FALSE())/17*(16-Aggregate!$AA82),0)</f>
        <v>33.21472941</v>
      </c>
      <c r="V82" s="62">
        <f>IFERROR(VLOOKUP(Aggregate!$P82,RB!A:Q,15,FALSE())/17*(16-Aggregate!$AA82),0)</f>
        <v>67.91557647</v>
      </c>
      <c r="W82" s="69">
        <f>AVERAGE(Aggregate!$T82,Aggregate!$U82,Aggregate!$V82,VLOOKUP(Aggregate!$P82,ECR!L:N,3,FALSE))</f>
        <v>31.59114588</v>
      </c>
      <c r="X82" s="69">
        <f>Aggregate!$W82-$Q$1</f>
        <v>-46.79974322</v>
      </c>
      <c r="Y82" s="72">
        <f>MAX(Aggregate!$X82*Scoring!$B$48+1,1)</f>
        <v>1</v>
      </c>
      <c r="Z82" s="73">
        <f>VLOOKUP(Aggregate!$X82,BM:BO,3,FALSE)</f>
        <v>9</v>
      </c>
      <c r="AA82" s="80">
        <f t="array" ref="AA82">VLOOKUP(INDEX(ECR!$E:$E,MATCH(P82,ECR!$C:$C,0)),RISK!A:B,2,FALSE())</f>
        <v>3.368</v>
      </c>
      <c r="AB82" s="81"/>
      <c r="AC82" s="60" t="s">
        <v>727</v>
      </c>
      <c r="AD82" s="60" t="str">
        <f>VLOOKUP(AC82,ECR!E:L,8,FALSE())</f>
        <v>Cooper Kupp</v>
      </c>
      <c r="AE82" s="60" t="str">
        <f>IFERROR(VLOOKUP(Aggregate!$AD82,ECR!C:F,2,FALSE()),"-")</f>
        <v>SEA</v>
      </c>
      <c r="AF82" s="60">
        <f>IFERROR(VLOOKUP(Aggregate!$AD82,ECR!C:F,4,FALSE()),"-")</f>
        <v>11</v>
      </c>
      <c r="AG82" s="60" t="str">
        <f>Aggregate!$AE82 &amp; "/" &amp; Aggregate!$AF82</f>
        <v>SEA/11</v>
      </c>
      <c r="AH82" s="62">
        <f>IFERROR(VLOOKUP(Aggregate!$AD82,WR!A:Q,13,FALSE())/17*(16-Aggregate!$AO82),0)</f>
        <v>58.548</v>
      </c>
      <c r="AI82" s="62">
        <f>IFERROR(VLOOKUP(Aggregate!$AD82,WR!A:Q,14,FALSE())/17*(16-Aggregate!$AO82),0)</f>
        <v>73.31523529</v>
      </c>
      <c r="AJ82" s="62">
        <f>IFERROR(VLOOKUP(Aggregate!$AD82,WR!A:Q,15,FALSE())/17*(16-Aggregate!$AO82),0)</f>
        <v>88.27058824</v>
      </c>
      <c r="AK82" s="69">
        <f>AVERAGE(Aggregate!$AH82,Aggregate!$AI82,Aggregate!$AJ82,VLOOKUP(Aggregate!$AD82,ECR!L:N,3,FALSE))</f>
        <v>71.62847118</v>
      </c>
      <c r="AL82" s="69">
        <f>Aggregate!$AK82-$AE$1</f>
        <v>-9.892455882</v>
      </c>
      <c r="AM82" s="72">
        <f>MAX(Aggregate!$AL82*Scoring!$B$48+1,1)</f>
        <v>1</v>
      </c>
      <c r="AN82" s="73">
        <f>VLOOKUP(Aggregate!$AL82,BR:BT,3,FALSE)</f>
        <v>6</v>
      </c>
      <c r="AO82" s="80">
        <f t="array" ref="AO82">VLOOKUP(INDEX(ECR!$E:$E,MATCH(AD82,ECR!$C:$C,0)),RISK!A:B,2,FALSE())</f>
        <v>3.7</v>
      </c>
      <c r="AP82" s="81"/>
      <c r="AQ82" s="85" t="s">
        <v>729</v>
      </c>
      <c r="AR82" s="2"/>
      <c r="AS82" s="117"/>
      <c r="AT82" s="2"/>
      <c r="AU82" s="2"/>
      <c r="AV82" s="2"/>
      <c r="AW82" s="2"/>
      <c r="AX82" s="2"/>
      <c r="AY82" s="2"/>
      <c r="AZ82" s="2"/>
      <c r="BA82" s="2"/>
      <c r="BB82" s="117"/>
      <c r="BC82" s="2"/>
      <c r="BD82" s="2"/>
      <c r="BE82" s="117"/>
      <c r="BF82" s="81">
        <v>80.0</v>
      </c>
      <c r="BG82" s="81" t="str">
        <f t="shared" si="1"/>
        <v/>
      </c>
      <c r="BH82" s="91"/>
      <c r="BI82" s="91"/>
      <c r="BJ82" s="91"/>
      <c r="BK82" s="90">
        <v>80.0</v>
      </c>
      <c r="BL82" s="81">
        <f t="shared" si="2"/>
        <v>26.72039529</v>
      </c>
      <c r="BM82" s="91">
        <f>IFERROR(LARGE($X$3:$X$102,80),"")</f>
        <v>-46.79974322</v>
      </c>
      <c r="BN82" s="91">
        <f t="shared" si="7"/>
        <v>-37.72513734</v>
      </c>
      <c r="BO82" s="93">
        <f t="shared" si="8"/>
        <v>9</v>
      </c>
      <c r="BP82" s="91">
        <v>80.0</v>
      </c>
      <c r="BQ82" s="81">
        <f t="shared" si="3"/>
        <v>66.38006118</v>
      </c>
      <c r="BR82" s="91">
        <f>IFERROR(LARGE($AL$3:$AL$102,80),"")</f>
        <v>-12.21947118</v>
      </c>
      <c r="BS82" s="91">
        <f t="shared" si="9"/>
        <v>3.30747</v>
      </c>
      <c r="BT82" s="91">
        <f t="shared" si="10"/>
        <v>6</v>
      </c>
      <c r="BU82" s="81">
        <v>80.0</v>
      </c>
      <c r="BV82" s="81" t="str">
        <f t="shared" si="4"/>
        <v/>
      </c>
      <c r="BW82" s="91"/>
      <c r="BX82" s="91"/>
      <c r="BY82" s="91">
        <f t="array" ref="BY82">IFERROR(VALUE(RIGHT(INDEX(ECR!$E:$E,MATCH(P82,ECR!$C:$C,0)),LEN(INDEX(ECR!$E:$E,MATCH(P82,ECR!$C:$C,0)))-2)),"")</f>
        <v>80</v>
      </c>
      <c r="BZ82" s="91"/>
      <c r="CA82" s="91"/>
      <c r="CB82" s="91"/>
      <c r="CC82" s="91"/>
      <c r="CD82" s="91"/>
      <c r="CE82" s="91"/>
      <c r="CF82" s="91"/>
      <c r="CG82" s="91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17"/>
      <c r="M83" s="2"/>
      <c r="N83" s="117"/>
      <c r="O83" s="73" t="s">
        <v>731</v>
      </c>
      <c r="P83" s="59" t="str">
        <f>VLOOKUP(O83,ECR!E:L,8,FALSE())</f>
        <v>DJ Giddens</v>
      </c>
      <c r="Q83" s="60" t="str">
        <f>IFERROR(VLOOKUP(Aggregate!$P83,ECR!C:F,2,FALSE()),"-")</f>
        <v>IND</v>
      </c>
      <c r="R83" s="60">
        <f>IFERROR(VLOOKUP(Aggregate!$P83,ECR!C:F,4,FALSE()),"-")</f>
        <v>13</v>
      </c>
      <c r="S83" s="60" t="str">
        <f>Aggregate!$Q83 &amp; "/" &amp; Aggregate!$R83</f>
        <v>IND/13</v>
      </c>
      <c r="T83" s="62">
        <f>IFERROR(VLOOKUP(Aggregate!$P83,RB!A:Q,13,FALSE())/17*(16-Aggregate!$AA83),0)</f>
        <v>23.39149176</v>
      </c>
      <c r="U83" s="62">
        <f>IFERROR(VLOOKUP(Aggregate!$P83,RB!A:Q,14,FALSE())/17*(16-Aggregate!$AA83),0)</f>
        <v>23.39149176</v>
      </c>
      <c r="V83" s="62">
        <f>IFERROR(VLOOKUP(Aggregate!$P83,RB!A:Q,15,FALSE())/17*(16-Aggregate!$AA83),0)</f>
        <v>23.39149176</v>
      </c>
      <c r="W83" s="69">
        <f>AVERAGE(Aggregate!$T83,Aggregate!$U83,Aggregate!$V83,VLOOKUP(Aggregate!$P83,ECR!L:N,3,FALSE))</f>
        <v>23.57539882</v>
      </c>
      <c r="X83" s="69">
        <f>Aggregate!$W83-$Q$1</f>
        <v>-54.81549028</v>
      </c>
      <c r="Y83" s="72">
        <f>MAX(Aggregate!$X83*Scoring!$B$48+1,1)</f>
        <v>1</v>
      </c>
      <c r="Z83" s="73">
        <f>VLOOKUP(Aggregate!$X83,BM:BO,3,FALSE)</f>
        <v>9</v>
      </c>
      <c r="AA83" s="80">
        <f t="array" ref="AA83">VLOOKUP(INDEX(ECR!$E:$E,MATCH(P83,ECR!$C:$C,0)),RISK!A:B,2,FALSE())</f>
        <v>3.368</v>
      </c>
      <c r="AB83" s="81"/>
      <c r="AC83" s="60" t="s">
        <v>733</v>
      </c>
      <c r="AD83" s="60" t="str">
        <f>VLOOKUP(AC83,ECR!E:L,8,FALSE())</f>
        <v>Troy Franklin</v>
      </c>
      <c r="AE83" s="60" t="str">
        <f>IFERROR(VLOOKUP(Aggregate!$AD83,ECR!C:F,2,FALSE()),"-")</f>
        <v>DEN</v>
      </c>
      <c r="AF83" s="60">
        <f>IFERROR(VLOOKUP(Aggregate!$AD83,ECR!C:F,4,FALSE()),"-")</f>
        <v>10</v>
      </c>
      <c r="AG83" s="60" t="str">
        <f>Aggregate!$AE83 &amp; "/" &amp; Aggregate!$AF83</f>
        <v>DEN/10</v>
      </c>
      <c r="AH83" s="62">
        <f>IFERROR(VLOOKUP(Aggregate!$AD83,WR!A:Q,13,FALSE())/17*(16-Aggregate!$AO83),0)</f>
        <v>28.94117647</v>
      </c>
      <c r="AI83" s="62">
        <f>IFERROR(VLOOKUP(Aggregate!$AD83,WR!A:Q,14,FALSE())/17*(16-Aggregate!$AO83),0)</f>
        <v>59.18470588</v>
      </c>
      <c r="AJ83" s="62">
        <f>IFERROR(VLOOKUP(Aggregate!$AD83,WR!A:Q,15,FALSE())/17*(16-Aggregate!$AO83),0)</f>
        <v>89.86235294</v>
      </c>
      <c r="AK83" s="69">
        <f>AVERAGE(Aggregate!$AH83,Aggregate!$AI83,Aggregate!$AJ83,VLOOKUP(Aggregate!$AD83,ECR!L:N,3,FALSE))</f>
        <v>60.98267647</v>
      </c>
      <c r="AL83" s="69">
        <f>Aggregate!$AK83-$AE$1</f>
        <v>-20.53825059</v>
      </c>
      <c r="AM83" s="72">
        <f>MAX(Aggregate!$AL83*Scoring!$B$48+1,1)</f>
        <v>1</v>
      </c>
      <c r="AN83" s="73">
        <f>VLOOKUP(Aggregate!$AL83,BR:BT,3,FALSE)</f>
        <v>7</v>
      </c>
      <c r="AO83" s="80">
        <f t="array" ref="AO83">VLOOKUP(INDEX(ECR!$E:$E,MATCH(AD83,ECR!$C:$C,0)),RISK!A:B,2,FALSE())</f>
        <v>3.7</v>
      </c>
      <c r="AP83" s="81"/>
      <c r="AQ83" s="85" t="s">
        <v>735</v>
      </c>
      <c r="AR83" s="2"/>
      <c r="AS83" s="117"/>
      <c r="AT83" s="2"/>
      <c r="AU83" s="2"/>
      <c r="AV83" s="2"/>
      <c r="AW83" s="2"/>
      <c r="AX83" s="2"/>
      <c r="AY83" s="2"/>
      <c r="AZ83" s="2"/>
      <c r="BA83" s="2"/>
      <c r="BB83" s="117"/>
      <c r="BC83" s="2"/>
      <c r="BD83" s="2"/>
      <c r="BE83" s="117"/>
      <c r="BF83" s="81">
        <v>81.0</v>
      </c>
      <c r="BG83" s="81" t="str">
        <f t="shared" si="1"/>
        <v/>
      </c>
      <c r="BH83" s="91"/>
      <c r="BI83" s="91"/>
      <c r="BJ83" s="91"/>
      <c r="BK83" s="90">
        <v>81.0</v>
      </c>
      <c r="BL83" s="81">
        <f t="shared" si="2"/>
        <v>24.12712</v>
      </c>
      <c r="BM83" s="91">
        <f>IFERROR(LARGE($X$3:$X$102,81),"")</f>
        <v>-47.71184793</v>
      </c>
      <c r="BN83" s="91">
        <f t="shared" si="7"/>
        <v>-37.72513734</v>
      </c>
      <c r="BO83" s="93">
        <f t="shared" si="8"/>
        <v>9</v>
      </c>
      <c r="BP83" s="91">
        <v>81.0</v>
      </c>
      <c r="BQ83" s="81">
        <f t="shared" si="3"/>
        <v>65.94247059</v>
      </c>
      <c r="BR83" s="91">
        <f>IFERROR(LARGE($AL$3:$AL$102,81),"")</f>
        <v>-13.10760353</v>
      </c>
      <c r="BS83" s="91">
        <f t="shared" si="9"/>
        <v>3.30747</v>
      </c>
      <c r="BT83" s="91">
        <f t="shared" si="10"/>
        <v>6</v>
      </c>
      <c r="BU83" s="81">
        <v>81.0</v>
      </c>
      <c r="BV83" s="81" t="str">
        <f t="shared" si="4"/>
        <v/>
      </c>
      <c r="BW83" s="91"/>
      <c r="BX83" s="91"/>
      <c r="BY83" s="91">
        <f t="array" ref="BY83">IFERROR(VALUE(RIGHT(INDEX(ECR!$E:$E,MATCH(P83,ECR!$C:$C,0)),LEN(INDEX(ECR!$E:$E,MATCH(P83,ECR!$C:$C,0)))-2)),"")</f>
        <v>81</v>
      </c>
      <c r="BZ83" s="91"/>
      <c r="CA83" s="91"/>
      <c r="CB83" s="91"/>
      <c r="CC83" s="91"/>
      <c r="CD83" s="91"/>
      <c r="CE83" s="91"/>
      <c r="CF83" s="91"/>
      <c r="CG83" s="91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17"/>
      <c r="M84" s="2"/>
      <c r="N84" s="117"/>
      <c r="O84" s="73" t="s">
        <v>739</v>
      </c>
      <c r="P84" s="59" t="str">
        <f>VLOOKUP(O84,ECR!E:L,8,FALSE())</f>
        <v>Seth McGowan</v>
      </c>
      <c r="Q84" s="60" t="str">
        <f>IFERROR(VLOOKUP(Aggregate!$P84,ECR!C:F,2,FALSE()),"-")</f>
        <v>IND</v>
      </c>
      <c r="R84" s="60">
        <f>IFERROR(VLOOKUP(Aggregate!$P84,ECR!C:F,4,FALSE()),"-")</f>
        <v>13</v>
      </c>
      <c r="S84" s="60" t="str">
        <f>Aggregate!$Q84 &amp; "/" &amp; Aggregate!$R84</f>
        <v>IND/13</v>
      </c>
      <c r="T84" s="62">
        <f>IFERROR(VLOOKUP(Aggregate!$P84,RB!A:Q,13,FALSE())/17*(16-Aggregate!$AA84),0)</f>
        <v>52.46347504</v>
      </c>
      <c r="U84" s="62">
        <f>IFERROR(VLOOKUP(Aggregate!$P84,RB!A:Q,14,FALSE())/17*(16-Aggregate!$AA84),0)</f>
        <v>60.56281622</v>
      </c>
      <c r="V84" s="62">
        <f>IFERROR(VLOOKUP(Aggregate!$P84,RB!A:Q,15,FALSE())/17*(16-Aggregate!$AA84),0)</f>
        <v>68.4689621</v>
      </c>
      <c r="W84" s="69">
        <f>AVERAGE(Aggregate!$T84,Aggregate!$U84,Aggregate!$V84,VLOOKUP(Aggregate!$P84,ECR!L:N,3,FALSE))</f>
        <v>51.37215569</v>
      </c>
      <c r="X84" s="69">
        <f>Aggregate!$W84-$Q$1</f>
        <v>-27.01873341</v>
      </c>
      <c r="Y84" s="72">
        <f>MAX(Aggregate!$X84*Scoring!$B$48+1,1)</f>
        <v>1</v>
      </c>
      <c r="Z84" s="73">
        <f>VLOOKUP(Aggregate!$X84,BM:BO,3,FALSE)</f>
        <v>8</v>
      </c>
      <c r="AA84" s="80">
        <f t="array" ref="AA84">VLOOKUP(INDEX(ECR!$E:$E,MATCH(P84,ECR!$C:$C,0)),RISK!A:B,2,FALSE())</f>
        <v>3.368</v>
      </c>
      <c r="AB84" s="81"/>
      <c r="AC84" s="60" t="s">
        <v>743</v>
      </c>
      <c r="AD84" s="60" t="str">
        <f>VLOOKUP(AC84,ECR!E:L,8,FALSE())</f>
        <v>Germie Bernard</v>
      </c>
      <c r="AE84" s="60" t="str">
        <f>IFERROR(VLOOKUP(Aggregate!$AD84,ECR!C:F,2,FALSE()),"-")</f>
        <v>PIT</v>
      </c>
      <c r="AF84" s="60">
        <f>IFERROR(VLOOKUP(Aggregate!$AD84,ECR!C:F,4,FALSE()),"-")</f>
        <v>9</v>
      </c>
      <c r="AG84" s="60" t="str">
        <f>Aggregate!$AE84 &amp; "/" &amp; Aggregate!$AF84</f>
        <v>PIT/9</v>
      </c>
      <c r="AH84" s="62">
        <f>IFERROR(VLOOKUP(Aggregate!$AD84,WR!A:Q,13,FALSE())/17*(16-Aggregate!$AO84),0)</f>
        <v>85.94082353</v>
      </c>
      <c r="AI84" s="62">
        <f>IFERROR(VLOOKUP(Aggregate!$AD84,WR!A:Q,14,FALSE())/17*(16-Aggregate!$AO84),0)</f>
        <v>87.43129412</v>
      </c>
      <c r="AJ84" s="62">
        <f>IFERROR(VLOOKUP(Aggregate!$AD84,WR!A:Q,15,FALSE())/17*(16-Aggregate!$AO84),0)</f>
        <v>89.36311765</v>
      </c>
      <c r="AK84" s="69">
        <f>AVERAGE(Aggregate!$AH84,Aggregate!$AI84,Aggregate!$AJ84,VLOOKUP(Aggregate!$AD84,ECR!L:N,3,FALSE))</f>
        <v>82.03376471</v>
      </c>
      <c r="AL84" s="69">
        <f>Aggregate!$AK84-$AE$1</f>
        <v>0.5128376471</v>
      </c>
      <c r="AM84" s="72">
        <f>MAX(Aggregate!$AL84*Scoring!$B$48+1,1)</f>
        <v>1.134375479</v>
      </c>
      <c r="AN84" s="73">
        <f>VLOOKUP(Aggregate!$AL84,BR:BT,3,FALSE)</f>
        <v>6</v>
      </c>
      <c r="AO84" s="80">
        <f t="array" ref="AO84">VLOOKUP(INDEX(ECR!$E:$E,MATCH(AD84,ECR!$C:$C,0)),RISK!A:B,2,FALSE())</f>
        <v>3.7</v>
      </c>
      <c r="AP84" s="81"/>
      <c r="AQ84" s="85" t="s">
        <v>746</v>
      </c>
      <c r="AR84" s="2"/>
      <c r="AS84" s="117"/>
      <c r="AT84" s="2"/>
      <c r="AU84" s="2"/>
      <c r="AV84" s="2"/>
      <c r="AW84" s="2"/>
      <c r="AX84" s="2"/>
      <c r="AY84" s="2"/>
      <c r="AZ84" s="2"/>
      <c r="BA84" s="2"/>
      <c r="BB84" s="117"/>
      <c r="BC84" s="2"/>
      <c r="BD84" s="2"/>
      <c r="BE84" s="117"/>
      <c r="BF84" s="81">
        <v>82.0</v>
      </c>
      <c r="BG84" s="81" t="str">
        <f t="shared" si="1"/>
        <v/>
      </c>
      <c r="BH84" s="91"/>
      <c r="BI84" s="91"/>
      <c r="BJ84" s="91"/>
      <c r="BK84" s="90">
        <v>82.0</v>
      </c>
      <c r="BL84" s="81">
        <f t="shared" si="2"/>
        <v>23.99336941</v>
      </c>
      <c r="BM84" s="91">
        <f>IFERROR(LARGE($X$3:$X$102,82),"")</f>
        <v>-49.83885381</v>
      </c>
      <c r="BN84" s="91">
        <f t="shared" si="7"/>
        <v>-37.72513734</v>
      </c>
      <c r="BO84" s="93">
        <f t="shared" si="8"/>
        <v>9</v>
      </c>
      <c r="BP84" s="91">
        <v>82.0</v>
      </c>
      <c r="BQ84" s="81">
        <f t="shared" si="3"/>
        <v>65.39982353</v>
      </c>
      <c r="BR84" s="91">
        <f>IFERROR(LARGE($AL$3:$AL$102,82),"")</f>
        <v>-13.57428</v>
      </c>
      <c r="BS84" s="91">
        <f t="shared" si="9"/>
        <v>3.30747</v>
      </c>
      <c r="BT84" s="91">
        <f t="shared" si="10"/>
        <v>6</v>
      </c>
      <c r="BU84" s="81">
        <v>82.0</v>
      </c>
      <c r="BV84" s="81" t="str">
        <f t="shared" si="4"/>
        <v/>
      </c>
      <c r="BW84" s="91"/>
      <c r="BX84" s="91"/>
      <c r="BY84" s="91">
        <f t="array" ref="BY84">IFERROR(VALUE(RIGHT(INDEX(ECR!$E:$E,MATCH(P84,ECR!$C:$C,0)),LEN(INDEX(ECR!$E:$E,MATCH(P84,ECR!$C:$C,0)))-2)),"")</f>
        <v>82</v>
      </c>
      <c r="BZ84" s="91"/>
      <c r="CA84" s="91"/>
      <c r="CB84" s="91"/>
      <c r="CC84" s="91"/>
      <c r="CD84" s="91"/>
      <c r="CE84" s="91"/>
      <c r="CF84" s="91"/>
      <c r="CG84" s="91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17"/>
      <c r="M85" s="2"/>
      <c r="N85" s="117"/>
      <c r="O85" s="73" t="s">
        <v>750</v>
      </c>
      <c r="P85" s="59" t="str">
        <f>VLOOKUP(O85,ECR!E:L,8,FALSE())</f>
        <v>Devin Neal</v>
      </c>
      <c r="Q85" s="60" t="str">
        <f>IFERROR(VLOOKUP(Aggregate!$P85,ECR!C:F,2,FALSE()),"-")</f>
        <v>NO</v>
      </c>
      <c r="R85" s="60">
        <f>IFERROR(VLOOKUP(Aggregate!$P85,ECR!C:F,4,FALSE()),"-")</f>
        <v>8</v>
      </c>
      <c r="S85" s="60" t="str">
        <f>Aggregate!$Q85 &amp; "/" &amp; Aggregate!$R85</f>
        <v>NO/8</v>
      </c>
      <c r="T85" s="62">
        <f>IFERROR(VLOOKUP(Aggregate!$P85,RB!A:Q,13,FALSE())/17*(16-Aggregate!$AA85),0)</f>
        <v>0</v>
      </c>
      <c r="U85" s="62">
        <f>IFERROR(VLOOKUP(Aggregate!$P85,RB!A:Q,14,FALSE())/17*(16-Aggregate!$AA85),0)</f>
        <v>13.37505882</v>
      </c>
      <c r="V85" s="62">
        <f>IFERROR(VLOOKUP(Aggregate!$P85,RB!A:Q,15,FALSE())/17*(16-Aggregate!$AA85),0)</f>
        <v>26.75011765</v>
      </c>
      <c r="W85" s="69">
        <f>AVERAGE(Aggregate!$T85,Aggregate!$U85,Aggregate!$V85,VLOOKUP(Aggregate!$P85,ECR!L:N,3,FALSE))</f>
        <v>15.87916706</v>
      </c>
      <c r="X85" s="69">
        <f>Aggregate!$W85-$Q$1</f>
        <v>-62.51172204</v>
      </c>
      <c r="Y85" s="72">
        <f>MAX(Aggregate!$X85*Scoring!$B$48+1,1)</f>
        <v>1</v>
      </c>
      <c r="Z85" s="73">
        <f>VLOOKUP(Aggregate!$X85,BM:BO,3,FALSE)</f>
        <v>10</v>
      </c>
      <c r="AA85" s="80">
        <f t="array" ref="AA85">VLOOKUP(INDEX(ECR!$E:$E,MATCH(P85,ECR!$C:$C,0)),RISK!A:B,2,FALSE())</f>
        <v>3.368</v>
      </c>
      <c r="AB85" s="81"/>
      <c r="AC85" s="60" t="s">
        <v>753</v>
      </c>
      <c r="AD85" s="60" t="str">
        <f>VLOOKUP(AC85,ECR!E:L,8,FALSE())</f>
        <v>Zachariah Branch</v>
      </c>
      <c r="AE85" s="60" t="str">
        <f>IFERROR(VLOOKUP(Aggregate!$AD85,ECR!C:F,2,FALSE()),"-")</f>
        <v>ATL</v>
      </c>
      <c r="AF85" s="60">
        <f>IFERROR(VLOOKUP(Aggregate!$AD85,ECR!C:F,4,FALSE()),"-")</f>
        <v>11</v>
      </c>
      <c r="AG85" s="60" t="str">
        <f>Aggregate!$AE85 &amp; "/" &amp; Aggregate!$AF85</f>
        <v>ATL/11</v>
      </c>
      <c r="AH85" s="62">
        <f>IFERROR(VLOOKUP(Aggregate!$AD85,WR!A:Q,13,FALSE())/17*(16-Aggregate!$AO85),0)</f>
        <v>75.01726588</v>
      </c>
      <c r="AI85" s="62">
        <f>IFERROR(VLOOKUP(Aggregate!$AD85,WR!A:Q,14,FALSE())/17*(16-Aggregate!$AO85),0)</f>
        <v>75.01726588</v>
      </c>
      <c r="AJ85" s="62">
        <f>IFERROR(VLOOKUP(Aggregate!$AD85,WR!A:Q,15,FALSE())/17*(16-Aggregate!$AO85),0)</f>
        <v>75.01726588</v>
      </c>
      <c r="AK85" s="69">
        <f>AVERAGE(Aggregate!$AH85,Aggregate!$AI85,Aggregate!$AJ85,VLOOKUP(Aggregate!$AD85,ECR!L:N,3,FALSE))</f>
        <v>72.41574353</v>
      </c>
      <c r="AL85" s="69">
        <f>Aggregate!$AK85-$AE$1</f>
        <v>-9.105183529</v>
      </c>
      <c r="AM85" s="72">
        <f>MAX(Aggregate!$AL85*Scoring!$B$48+1,1)</f>
        <v>1</v>
      </c>
      <c r="AN85" s="73">
        <f>VLOOKUP(Aggregate!$AL85,BR:BT,3,FALSE)</f>
        <v>6</v>
      </c>
      <c r="AO85" s="80">
        <f t="array" ref="AO85">VLOOKUP(INDEX(ECR!$E:$E,MATCH(AD85,ECR!$C:$C,0)),RISK!A:B,2,FALSE())</f>
        <v>3.7</v>
      </c>
      <c r="AP85" s="81"/>
      <c r="AQ85" s="85" t="s">
        <v>756</v>
      </c>
      <c r="AR85" s="2"/>
      <c r="AS85" s="117"/>
      <c r="AT85" s="2"/>
      <c r="AU85" s="2"/>
      <c r="AV85" s="2"/>
      <c r="AW85" s="2"/>
      <c r="AX85" s="2"/>
      <c r="AY85" s="2"/>
      <c r="AZ85" s="2"/>
      <c r="BA85" s="2"/>
      <c r="BB85" s="117"/>
      <c r="BC85" s="2"/>
      <c r="BD85" s="2"/>
      <c r="BE85" s="117"/>
      <c r="BF85" s="81">
        <v>83.0</v>
      </c>
      <c r="BG85" s="81" t="str">
        <f t="shared" si="1"/>
        <v/>
      </c>
      <c r="BH85" s="91"/>
      <c r="BI85" s="91"/>
      <c r="BJ85" s="91"/>
      <c r="BK85" s="90">
        <v>83.0</v>
      </c>
      <c r="BL85" s="81">
        <f t="shared" si="2"/>
        <v>23.39149176</v>
      </c>
      <c r="BM85" s="91">
        <f>IFERROR(LARGE($X$3:$X$102,83),"")</f>
        <v>-51.31196793</v>
      </c>
      <c r="BN85" s="91">
        <f t="shared" si="7"/>
        <v>-37.72513734</v>
      </c>
      <c r="BO85" s="93">
        <f t="shared" si="8"/>
        <v>9</v>
      </c>
      <c r="BP85" s="91">
        <v>83.0</v>
      </c>
      <c r="BQ85" s="81">
        <f t="shared" si="3"/>
        <v>64.61117647</v>
      </c>
      <c r="BR85" s="91">
        <f>IFERROR(LARGE($AL$3:$AL$102,83),"")</f>
        <v>-13.95912529</v>
      </c>
      <c r="BS85" s="91">
        <f t="shared" si="9"/>
        <v>3.30747</v>
      </c>
      <c r="BT85" s="91">
        <f t="shared" si="10"/>
        <v>6</v>
      </c>
      <c r="BU85" s="81">
        <v>83.0</v>
      </c>
      <c r="BV85" s="81" t="str">
        <f t="shared" si="4"/>
        <v/>
      </c>
      <c r="BW85" s="91"/>
      <c r="BX85" s="91"/>
      <c r="BY85" s="91">
        <f t="array" ref="BY85">IFERROR(VALUE(RIGHT(INDEX(ECR!$E:$E,MATCH(P85,ECR!$C:$C,0)),LEN(INDEX(ECR!$E:$E,MATCH(P85,ECR!$C:$C,0)))-2)),"")</f>
        <v>83</v>
      </c>
      <c r="BZ85" s="91"/>
      <c r="CA85" s="91"/>
      <c r="CB85" s="91"/>
      <c r="CC85" s="91"/>
      <c r="CD85" s="91"/>
      <c r="CE85" s="91"/>
      <c r="CF85" s="91"/>
      <c r="CG85" s="91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17"/>
      <c r="M86" s="2"/>
      <c r="N86" s="117"/>
      <c r="O86" s="73" t="s">
        <v>760</v>
      </c>
      <c r="P86" s="59" t="str">
        <f>VLOOKUP(O86,ECR!E:L,8,FALSE())</f>
        <v>Kendre Miller</v>
      </c>
      <c r="Q86" s="60" t="str">
        <f>IFERROR(VLOOKUP(Aggregate!$P86,ECR!C:F,2,FALSE()),"-")</f>
        <v>NO</v>
      </c>
      <c r="R86" s="60">
        <f>IFERROR(VLOOKUP(Aggregate!$P86,ECR!C:F,4,FALSE()),"-")</f>
        <v>8</v>
      </c>
      <c r="S86" s="60" t="str">
        <f>Aggregate!$Q86 &amp; "/" &amp; Aggregate!$R86</f>
        <v>NO/8</v>
      </c>
      <c r="T86" s="62">
        <f>IFERROR(VLOOKUP(Aggregate!$P86,RB!A:Q,13,FALSE())/17*(16-Aggregate!$AA86),0)</f>
        <v>10.87095059</v>
      </c>
      <c r="U86" s="62">
        <f>IFERROR(VLOOKUP(Aggregate!$P86,RB!A:Q,14,FALSE())/17*(16-Aggregate!$AA86),0)</f>
        <v>16.18382118</v>
      </c>
      <c r="V86" s="62">
        <f>IFERROR(VLOOKUP(Aggregate!$P86,RB!A:Q,15,FALSE())/17*(16-Aggregate!$AA86),0)</f>
        <v>20.87995294</v>
      </c>
      <c r="W86" s="69">
        <f>AVERAGE(Aggregate!$T86,Aggregate!$U86,Aggregate!$V86,VLOOKUP(Aggregate!$P86,ECR!L:N,3,FALSE))</f>
        <v>17.76653647</v>
      </c>
      <c r="X86" s="69">
        <f>Aggregate!$W86-$Q$1</f>
        <v>-60.62435263</v>
      </c>
      <c r="Y86" s="72">
        <f>MAX(Aggregate!$X86*Scoring!$B$48+1,1)</f>
        <v>1</v>
      </c>
      <c r="Z86" s="73">
        <f>VLOOKUP(Aggregate!$X86,BM:BO,3,FALSE)</f>
        <v>9</v>
      </c>
      <c r="AA86" s="80">
        <f t="array" ref="AA86">VLOOKUP(INDEX(ECR!$E:$E,MATCH(P86,ECR!$C:$C,0)),RISK!A:B,2,FALSE())</f>
        <v>3.368</v>
      </c>
      <c r="AB86" s="81"/>
      <c r="AC86" s="60" t="s">
        <v>764</v>
      </c>
      <c r="AD86" s="60" t="str">
        <f>VLOOKUP(AC86,ECR!E:L,8,FALSE())</f>
        <v>Malachi Fields</v>
      </c>
      <c r="AE86" s="60" t="str">
        <f>IFERROR(VLOOKUP(Aggregate!$AD86,ECR!C:F,2,FALSE()),"-")</f>
        <v>NYG</v>
      </c>
      <c r="AF86" s="60">
        <f>IFERROR(VLOOKUP(Aggregate!$AD86,ECR!C:F,4,FALSE()),"-")</f>
        <v>8</v>
      </c>
      <c r="AG86" s="60" t="str">
        <f>Aggregate!$AE86 &amp; "/" &amp; Aggregate!$AF86</f>
        <v>NYG/8</v>
      </c>
      <c r="AH86" s="62">
        <f>IFERROR(VLOOKUP(Aggregate!$AD86,WR!A:Q,13,FALSE())/17*(16-Aggregate!$AO86),0)</f>
        <v>66.38006118</v>
      </c>
      <c r="AI86" s="62">
        <f>IFERROR(VLOOKUP(Aggregate!$AD86,WR!A:Q,14,FALSE())/17*(16-Aggregate!$AO86),0)</f>
        <v>66.38006118</v>
      </c>
      <c r="AJ86" s="62">
        <f>IFERROR(VLOOKUP(Aggregate!$AD86,WR!A:Q,15,FALSE())/17*(16-Aggregate!$AO86),0)</f>
        <v>66.38006118</v>
      </c>
      <c r="AK86" s="69">
        <f>AVERAGE(Aggregate!$AH86,Aggregate!$AI86,Aggregate!$AJ86,VLOOKUP(Aggregate!$AD86,ECR!L:N,3,FALSE))</f>
        <v>65.72620765</v>
      </c>
      <c r="AL86" s="69">
        <f>Aggregate!$AK86-$AE$1</f>
        <v>-15.79471941</v>
      </c>
      <c r="AM86" s="72">
        <f>MAX(Aggregate!$AL86*Scoring!$B$48+1,1)</f>
        <v>1</v>
      </c>
      <c r="AN86" s="73">
        <f>VLOOKUP(Aggregate!$AL86,BR:BT,3,FALSE)</f>
        <v>6</v>
      </c>
      <c r="AO86" s="80">
        <f t="array" ref="AO86">VLOOKUP(INDEX(ECR!$E:$E,MATCH(AD86,ECR!$C:$C,0)),RISK!A:B,2,FALSE())</f>
        <v>3.7</v>
      </c>
      <c r="AP86" s="81"/>
      <c r="AQ86" s="85" t="s">
        <v>767</v>
      </c>
      <c r="AR86" s="2"/>
      <c r="AS86" s="117"/>
      <c r="AT86" s="2"/>
      <c r="AU86" s="2"/>
      <c r="AV86" s="2"/>
      <c r="AW86" s="2"/>
      <c r="AX86" s="2"/>
      <c r="AY86" s="2"/>
      <c r="AZ86" s="2"/>
      <c r="BA86" s="2"/>
      <c r="BB86" s="117"/>
      <c r="BC86" s="2"/>
      <c r="BD86" s="2"/>
      <c r="BE86" s="117"/>
      <c r="BF86" s="81">
        <v>84.0</v>
      </c>
      <c r="BG86" s="81" t="str">
        <f t="shared" si="1"/>
        <v/>
      </c>
      <c r="BH86" s="91"/>
      <c r="BI86" s="91"/>
      <c r="BJ86" s="91"/>
      <c r="BK86" s="90">
        <v>84.0</v>
      </c>
      <c r="BL86" s="81">
        <f t="shared" si="2"/>
        <v>23.13142118</v>
      </c>
      <c r="BM86" s="91">
        <f>IFERROR(LARGE($X$3:$X$102,84),"")</f>
        <v>-54.81549028</v>
      </c>
      <c r="BN86" s="91">
        <f t="shared" si="7"/>
        <v>-37.72513734</v>
      </c>
      <c r="BO86" s="93">
        <f t="shared" si="8"/>
        <v>9</v>
      </c>
      <c r="BP86" s="91">
        <v>84.0</v>
      </c>
      <c r="BQ86" s="81">
        <f t="shared" si="3"/>
        <v>63.76464706</v>
      </c>
      <c r="BR86" s="91">
        <f>IFERROR(LARGE($AL$3:$AL$102,84),"")</f>
        <v>-15.79471941</v>
      </c>
      <c r="BS86" s="91">
        <f t="shared" si="9"/>
        <v>3.30747</v>
      </c>
      <c r="BT86" s="91">
        <f t="shared" si="10"/>
        <v>6</v>
      </c>
      <c r="BU86" s="81">
        <v>84.0</v>
      </c>
      <c r="BV86" s="81" t="str">
        <f t="shared" si="4"/>
        <v/>
      </c>
      <c r="BW86" s="91"/>
      <c r="BX86" s="91"/>
      <c r="BY86" s="91">
        <f t="array" ref="BY86">IFERROR(VALUE(RIGHT(INDEX(ECR!$E:$E,MATCH(P86,ECR!$C:$C,0)),LEN(INDEX(ECR!$E:$E,MATCH(P86,ECR!$C:$C,0)))-2)),"")</f>
        <v>84</v>
      </c>
      <c r="BZ86" s="91"/>
      <c r="CA86" s="91"/>
      <c r="CB86" s="91"/>
      <c r="CC86" s="91"/>
      <c r="CD86" s="91"/>
      <c r="CE86" s="91"/>
      <c r="CF86" s="91"/>
      <c r="CG86" s="91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17"/>
      <c r="M87" s="2"/>
      <c r="N87" s="117"/>
      <c r="O87" s="73" t="s">
        <v>770</v>
      </c>
      <c r="P87" s="59" t="str">
        <f>VLOOKUP(O87,ECR!E:L,8,FALSE())</f>
        <v>Adam Randall</v>
      </c>
      <c r="Q87" s="60" t="str">
        <f>IFERROR(VLOOKUP(Aggregate!$P87,ECR!C:F,2,FALSE()),"-")</f>
        <v>BAL</v>
      </c>
      <c r="R87" s="60">
        <f>IFERROR(VLOOKUP(Aggregate!$P87,ECR!C:F,4,FALSE()),"-")</f>
        <v>13</v>
      </c>
      <c r="S87" s="60" t="str">
        <f>Aggregate!$Q87 &amp; "/" &amp; Aggregate!$R87</f>
        <v>BAL/13</v>
      </c>
      <c r="T87" s="62">
        <f>IFERROR(VLOOKUP(Aggregate!$P87,RB!A:Q,13,FALSE())/17*(16-Aggregate!$AA87),0)</f>
        <v>52.60969416</v>
      </c>
      <c r="U87" s="62">
        <f>IFERROR(VLOOKUP(Aggregate!$P87,RB!A:Q,14,FALSE())/17*(16-Aggregate!$AA87),0)</f>
        <v>82.66642357</v>
      </c>
      <c r="V87" s="62">
        <f>IFERROR(VLOOKUP(Aggregate!$P87,RB!A:Q,15,FALSE())/17*(16-Aggregate!$AA87),0)</f>
        <v>112.4184989</v>
      </c>
      <c r="W87" s="69">
        <f>AVERAGE(Aggregate!$T87,Aggregate!$U87,Aggregate!$V87,VLOOKUP(Aggregate!$P87,ECR!L:N,3,FALSE))</f>
        <v>66.99503062</v>
      </c>
      <c r="X87" s="69">
        <f>Aggregate!$W87-$Q$1</f>
        <v>-11.39585849</v>
      </c>
      <c r="Y87" s="72">
        <f>MAX(Aggregate!$X87*Scoring!$B$48+1,1)</f>
        <v>1</v>
      </c>
      <c r="Z87" s="73">
        <f>VLOOKUP(Aggregate!$X87,BM:BO,3,FALSE)</f>
        <v>7</v>
      </c>
      <c r="AA87" s="80">
        <f t="array" ref="AA87">VLOOKUP(INDEX(ECR!$E:$E,MATCH(P87,ECR!$C:$C,0)),RISK!A:B,2,FALSE())</f>
        <v>3.368</v>
      </c>
      <c r="AB87" s="81"/>
      <c r="AC87" s="60" t="s">
        <v>774</v>
      </c>
      <c r="AD87" s="60" t="str">
        <f>VLOOKUP(AC87,ECR!E:L,8,FALSE())</f>
        <v>Devaughn Vele</v>
      </c>
      <c r="AE87" s="60" t="str">
        <f>IFERROR(VLOOKUP(Aggregate!$AD87,ECR!C:F,2,FALSE()),"-")</f>
        <v>NO</v>
      </c>
      <c r="AF87" s="60">
        <f>IFERROR(VLOOKUP(Aggregate!$AD87,ECR!C:F,4,FALSE()),"-")</f>
        <v>8</v>
      </c>
      <c r="AG87" s="60" t="str">
        <f>Aggregate!$AE87 &amp; "/" &amp; Aggregate!$AF87</f>
        <v>NO/8</v>
      </c>
      <c r="AH87" s="62">
        <f>IFERROR(VLOOKUP(Aggregate!$AD87,WR!A:Q,13,FALSE())/17*(16-Aggregate!$AO87),0)</f>
        <v>69.84952941</v>
      </c>
      <c r="AI87" s="62">
        <f>IFERROR(VLOOKUP(Aggregate!$AD87,WR!A:Q,14,FALSE())/17*(16-Aggregate!$AO87),0)</f>
        <v>73.95917647</v>
      </c>
      <c r="AJ87" s="62">
        <f>IFERROR(VLOOKUP(Aggregate!$AD87,WR!A:Q,15,FALSE())/17*(16-Aggregate!$AO87),0)</f>
        <v>78.03264706</v>
      </c>
      <c r="AK87" s="69">
        <f>AVERAGE(Aggregate!$AH87,Aggregate!$AI87,Aggregate!$AJ87,VLOOKUP(Aggregate!$AD87,ECR!L:N,3,FALSE))</f>
        <v>70.40122059</v>
      </c>
      <c r="AL87" s="69">
        <f>Aggregate!$AK87-$AE$1</f>
        <v>-11.11970647</v>
      </c>
      <c r="AM87" s="72">
        <f>MAX(Aggregate!$AL87*Scoring!$B$48+1,1)</f>
        <v>1</v>
      </c>
      <c r="AN87" s="73">
        <f>VLOOKUP(Aggregate!$AL87,BR:BT,3,FALSE)</f>
        <v>6</v>
      </c>
      <c r="AO87" s="80">
        <f t="array" ref="AO87">VLOOKUP(INDEX(ECR!$E:$E,MATCH(AD87,ECR!$C:$C,0)),RISK!A:B,2,FALSE())</f>
        <v>3.7</v>
      </c>
      <c r="AP87" s="81"/>
      <c r="AQ87" s="85" t="s">
        <v>777</v>
      </c>
      <c r="AR87" s="2"/>
      <c r="AS87" s="117"/>
      <c r="AT87" s="2"/>
      <c r="AU87" s="2"/>
      <c r="AV87" s="2"/>
      <c r="AW87" s="2"/>
      <c r="AX87" s="2"/>
      <c r="AY87" s="2"/>
      <c r="AZ87" s="2"/>
      <c r="BA87" s="2"/>
      <c r="BB87" s="117"/>
      <c r="BC87" s="2"/>
      <c r="BD87" s="2"/>
      <c r="BE87" s="117"/>
      <c r="BF87" s="81">
        <v>85.0</v>
      </c>
      <c r="BG87" s="81" t="str">
        <f t="shared" si="1"/>
        <v/>
      </c>
      <c r="BH87" s="91"/>
      <c r="BI87" s="91"/>
      <c r="BJ87" s="91"/>
      <c r="BK87" s="90">
        <v>85.0</v>
      </c>
      <c r="BL87" s="81">
        <f t="shared" si="2"/>
        <v>20.28550588</v>
      </c>
      <c r="BM87" s="91">
        <f>IFERROR(LARGE($X$3:$X$102,85),"")</f>
        <v>-59.09736675</v>
      </c>
      <c r="BN87" s="91">
        <f t="shared" si="7"/>
        <v>-37.72513734</v>
      </c>
      <c r="BO87" s="93">
        <f t="shared" si="8"/>
        <v>9</v>
      </c>
      <c r="BP87" s="91">
        <v>85.0</v>
      </c>
      <c r="BQ87" s="81">
        <f t="shared" si="3"/>
        <v>59.76352941</v>
      </c>
      <c r="BR87" s="91">
        <f>IFERROR(LARGE($AL$3:$AL$102,85),"")</f>
        <v>-20.53825059</v>
      </c>
      <c r="BS87" s="91">
        <f t="shared" si="9"/>
        <v>-20.53825059</v>
      </c>
      <c r="BT87" s="91">
        <f t="shared" si="10"/>
        <v>7</v>
      </c>
      <c r="BU87" s="81">
        <v>85.0</v>
      </c>
      <c r="BV87" s="81" t="str">
        <f t="shared" si="4"/>
        <v/>
      </c>
      <c r="BW87" s="91"/>
      <c r="BX87" s="91"/>
      <c r="BY87" s="91">
        <f t="array" ref="BY87">IFERROR(VALUE(RIGHT(INDEX(ECR!$E:$E,MATCH(P87,ECR!$C:$C,0)),LEN(INDEX(ECR!$E:$E,MATCH(P87,ECR!$C:$C,0)))-2)),"")</f>
        <v>85</v>
      </c>
      <c r="BZ87" s="91"/>
      <c r="CA87" s="91"/>
      <c r="CB87" s="91"/>
      <c r="CC87" s="91"/>
      <c r="CD87" s="91"/>
      <c r="CE87" s="91"/>
      <c r="CF87" s="91"/>
      <c r="CG87" s="91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17"/>
      <c r="M88" s="2"/>
      <c r="N88" s="117"/>
      <c r="O88" s="73" t="s">
        <v>781</v>
      </c>
      <c r="P88" s="59" t="str">
        <f>VLOOKUP(O88,ECR!E:L,8,FALSE())</f>
        <v>Brashard Smith</v>
      </c>
      <c r="Q88" s="60" t="str">
        <f>IFERROR(VLOOKUP(Aggregate!$P88,ECR!C:F,2,FALSE()),"-")</f>
        <v>KC</v>
      </c>
      <c r="R88" s="60">
        <f>IFERROR(VLOOKUP(Aggregate!$P88,ECR!C:F,4,FALSE()),"-")</f>
        <v>5</v>
      </c>
      <c r="S88" s="60" t="str">
        <f>Aggregate!$Q88 &amp; "/" &amp; Aggregate!$R88</f>
        <v>KC/5</v>
      </c>
      <c r="T88" s="62">
        <f>IFERROR(VLOOKUP(Aggregate!$P88,RB!A:Q,13,FALSE())/17*(16-Aggregate!$AA88),0)</f>
        <v>0</v>
      </c>
      <c r="U88" s="62">
        <f>IFERROR(VLOOKUP(Aggregate!$P88,RB!A:Q,14,FALSE())/17*(16-Aggregate!$AA88),0)</f>
        <v>20.28550588</v>
      </c>
      <c r="V88" s="62">
        <f>IFERROR(VLOOKUP(Aggregate!$P88,RB!A:Q,15,FALSE())/17*(16-Aggregate!$AA88),0)</f>
        <v>40.57101176</v>
      </c>
      <c r="W88" s="69">
        <f>AVERAGE(Aggregate!$T88,Aggregate!$U88,Aggregate!$V88,VLOOKUP(Aggregate!$P88,ECR!L:N,3,FALSE))</f>
        <v>19.29352235</v>
      </c>
      <c r="X88" s="69">
        <f>Aggregate!$W88-$Q$1</f>
        <v>-59.09736675</v>
      </c>
      <c r="Y88" s="72">
        <f>MAX(Aggregate!$X88*Scoring!$B$48+1,1)</f>
        <v>1</v>
      </c>
      <c r="Z88" s="73">
        <f>VLOOKUP(Aggregate!$X88,BM:BO,3,FALSE)</f>
        <v>9</v>
      </c>
      <c r="AA88" s="80">
        <f t="array" ref="AA88">VLOOKUP(INDEX(ECR!$E:$E,MATCH(P88,ECR!$C:$C,0)),RISK!A:B,2,FALSE())</f>
        <v>3.368</v>
      </c>
      <c r="AB88" s="81"/>
      <c r="AC88" s="60" t="s">
        <v>784</v>
      </c>
      <c r="AD88" s="60" t="str">
        <f>VLOOKUP(AC88,ECR!E:L,8,FALSE())</f>
        <v>Jack Bech</v>
      </c>
      <c r="AE88" s="60" t="str">
        <f>IFERROR(VLOOKUP(Aggregate!$AD88,ECR!C:F,2,FALSE()),"-")</f>
        <v>LV</v>
      </c>
      <c r="AF88" s="60">
        <f>IFERROR(VLOOKUP(Aggregate!$AD88,ECR!C:F,4,FALSE()),"-")</f>
        <v>13</v>
      </c>
      <c r="AG88" s="60" t="str">
        <f>Aggregate!$AE88 &amp; "/" &amp; Aggregate!$AF88</f>
        <v>LV/13</v>
      </c>
      <c r="AH88" s="62">
        <f>IFERROR(VLOOKUP(Aggregate!$AD88,WR!A:Q,13,FALSE())/17*(16-Aggregate!$AO88),0)</f>
        <v>37.58735294</v>
      </c>
      <c r="AI88" s="62">
        <f>IFERROR(VLOOKUP(Aggregate!$AD88,WR!A:Q,14,FALSE())/17*(16-Aggregate!$AO88),0)</f>
        <v>37.58735294</v>
      </c>
      <c r="AJ88" s="62">
        <f>IFERROR(VLOOKUP(Aggregate!$AD88,WR!A:Q,15,FALSE())/17*(16-Aggregate!$AO88),0)</f>
        <v>37.58735294</v>
      </c>
      <c r="AK88" s="69">
        <f>AVERAGE(Aggregate!$AH88,Aggregate!$AI88,Aggregate!$AJ88,VLOOKUP(Aggregate!$AD88,ECR!L:N,3,FALSE))</f>
        <v>43.02286765</v>
      </c>
      <c r="AL88" s="69">
        <f>Aggregate!$AK88-$AE$1</f>
        <v>-38.49805941</v>
      </c>
      <c r="AM88" s="72">
        <f>MAX(Aggregate!$AL88*Scoring!$B$48+1,1)</f>
        <v>1</v>
      </c>
      <c r="AN88" s="73">
        <f>VLOOKUP(Aggregate!$AL88,BR:BT,3,FALSE)</f>
        <v>7</v>
      </c>
      <c r="AO88" s="80">
        <f t="array" ref="AO88">VLOOKUP(INDEX(ECR!$E:$E,MATCH(AD88,ECR!$C:$C,0)),RISK!A:B,2,FALSE())</f>
        <v>3.7</v>
      </c>
      <c r="AP88" s="81"/>
      <c r="AQ88" s="85" t="s">
        <v>788</v>
      </c>
      <c r="AR88" s="2"/>
      <c r="AS88" s="117"/>
      <c r="AT88" s="2"/>
      <c r="AU88" s="2"/>
      <c r="AV88" s="2"/>
      <c r="AW88" s="2"/>
      <c r="AX88" s="2"/>
      <c r="AY88" s="2"/>
      <c r="AZ88" s="2"/>
      <c r="BA88" s="2"/>
      <c r="BB88" s="117"/>
      <c r="BC88" s="2"/>
      <c r="BD88" s="2"/>
      <c r="BE88" s="117"/>
      <c r="BF88" s="81">
        <v>86.0</v>
      </c>
      <c r="BG88" s="81" t="str">
        <f t="shared" si="1"/>
        <v/>
      </c>
      <c r="BH88" s="91"/>
      <c r="BI88" s="91"/>
      <c r="BJ88" s="91"/>
      <c r="BK88" s="90">
        <v>86.0</v>
      </c>
      <c r="BL88" s="81">
        <f t="shared" si="2"/>
        <v>16.31757176</v>
      </c>
      <c r="BM88" s="91">
        <f>IFERROR(LARGE($X$3:$X$102,86),"")</f>
        <v>-60.62435263</v>
      </c>
      <c r="BN88" s="91">
        <f t="shared" si="7"/>
        <v>-37.72513734</v>
      </c>
      <c r="BO88" s="93">
        <f t="shared" si="8"/>
        <v>9</v>
      </c>
      <c r="BP88" s="91">
        <v>86.0</v>
      </c>
      <c r="BQ88" s="81">
        <f t="shared" si="3"/>
        <v>59.32941176</v>
      </c>
      <c r="BR88" s="91">
        <f>IFERROR(LARGE($AL$3:$AL$102,86),"")</f>
        <v>-20.68715294</v>
      </c>
      <c r="BS88" s="91">
        <f t="shared" si="9"/>
        <v>-20.53825059</v>
      </c>
      <c r="BT88" s="91">
        <f t="shared" si="10"/>
        <v>7</v>
      </c>
      <c r="BU88" s="81">
        <v>86.0</v>
      </c>
      <c r="BV88" s="81" t="str">
        <f t="shared" si="4"/>
        <v/>
      </c>
      <c r="BW88" s="91"/>
      <c r="BX88" s="91"/>
      <c r="BY88" s="91">
        <f t="array" ref="BY88">IFERROR(VALUE(RIGHT(INDEX(ECR!$E:$E,MATCH(P88,ECR!$C:$C,0)),LEN(INDEX(ECR!$E:$E,MATCH(P88,ECR!$C:$C,0)))-2)),"")</f>
        <v>86</v>
      </c>
      <c r="BZ88" s="91"/>
      <c r="CA88" s="91"/>
      <c r="CB88" s="91"/>
      <c r="CC88" s="91"/>
      <c r="CD88" s="91"/>
      <c r="CE88" s="91"/>
      <c r="CF88" s="91"/>
      <c r="CG88" s="91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17"/>
      <c r="M89" s="2"/>
      <c r="N89" s="117"/>
      <c r="O89" s="73" t="s">
        <v>791</v>
      </c>
      <c r="P89" s="59" t="str">
        <f>VLOOKUP(O89,ECR!E:L,8,FALSE())</f>
        <v>Emari Demercado</v>
      </c>
      <c r="Q89" s="60" t="str">
        <f>IFERROR(VLOOKUP(Aggregate!$P89,ECR!C:F,2,FALSE()),"-")</f>
        <v>KC</v>
      </c>
      <c r="R89" s="60">
        <f>IFERROR(VLOOKUP(Aggregate!$P89,ECR!C:F,4,FALSE()),"-")</f>
        <v>5</v>
      </c>
      <c r="S89" s="60" t="str">
        <f>Aggregate!$Q89 &amp; "/" &amp; Aggregate!$R89</f>
        <v>KC/5</v>
      </c>
      <c r="T89" s="62">
        <f>IFERROR(VLOOKUP(Aggregate!$P89,RB!A:Q,13,FALSE())/17*(16-Aggregate!$AA89),0)</f>
        <v>37.35356706</v>
      </c>
      <c r="U89" s="62">
        <f>IFERROR(VLOOKUP(Aggregate!$P89,RB!A:Q,14,FALSE())/17*(16-Aggregate!$AA89),0)</f>
        <v>55.37274353</v>
      </c>
      <c r="V89" s="62">
        <f>IFERROR(VLOOKUP(Aggregate!$P89,RB!A:Q,15,FALSE())/17*(16-Aggregate!$AA89),0)</f>
        <v>73.48851765</v>
      </c>
      <c r="W89" s="69">
        <f>AVERAGE(Aggregate!$T89,Aggregate!$U89,Aggregate!$V89,VLOOKUP(Aggregate!$P89,ECR!L:N,3,FALSE))</f>
        <v>45.59966235</v>
      </c>
      <c r="X89" s="69">
        <f>Aggregate!$W89-$Q$1</f>
        <v>-32.79122675</v>
      </c>
      <c r="Y89" s="72">
        <f>MAX(Aggregate!$X89*Scoring!$B$48+1,1)</f>
        <v>1</v>
      </c>
      <c r="Z89" s="73">
        <f>VLOOKUP(Aggregate!$X89,BM:BO,3,FALSE)</f>
        <v>8</v>
      </c>
      <c r="AA89" s="80">
        <f t="array" ref="AA89">VLOOKUP(INDEX(ECR!$E:$E,MATCH(P89,ECR!$C:$C,0)),RISK!A:B,2,FALSE())</f>
        <v>3.368</v>
      </c>
      <c r="AB89" s="81"/>
      <c r="AC89" s="60" t="s">
        <v>796</v>
      </c>
      <c r="AD89" s="60" t="str">
        <f>VLOOKUP(AC89,ECR!E:L,8,FALSE())</f>
        <v>Antonio Williams</v>
      </c>
      <c r="AE89" s="60" t="str">
        <f>IFERROR(VLOOKUP(Aggregate!$AD89,ECR!C:F,2,FALSE()),"-")</f>
        <v>WAS</v>
      </c>
      <c r="AF89" s="60">
        <f>IFERROR(VLOOKUP(Aggregate!$AD89,ECR!C:F,4,FALSE()),"-")</f>
        <v>7</v>
      </c>
      <c r="AG89" s="60" t="str">
        <f>Aggregate!$AE89 &amp; "/" &amp; Aggregate!$AF89</f>
        <v>WAS/7</v>
      </c>
      <c r="AH89" s="62">
        <f>IFERROR(VLOOKUP(Aggregate!$AD89,WR!A:Q,13,FALSE())/17*(16-Aggregate!$AO89),0)</f>
        <v>66.35835529</v>
      </c>
      <c r="AI89" s="62">
        <f>IFERROR(VLOOKUP(Aggregate!$AD89,WR!A:Q,14,FALSE())/17*(16-Aggregate!$AO89),0)</f>
        <v>86.17582588</v>
      </c>
      <c r="AJ89" s="62">
        <f>IFERROR(VLOOKUP(Aggregate!$AD89,WR!A:Q,15,FALSE())/17*(16-Aggregate!$AO89),0)</f>
        <v>106.5431788</v>
      </c>
      <c r="AK89" s="69">
        <f>AVERAGE(Aggregate!$AH89,Aggregate!$AI89,Aggregate!$AJ89,VLOOKUP(Aggregate!$AD89,ECR!L:N,3,FALSE))</f>
        <v>79.56551647</v>
      </c>
      <c r="AL89" s="69">
        <f>Aggregate!$AK89-$AE$1</f>
        <v>-1.955410588</v>
      </c>
      <c r="AM89" s="72">
        <f>MAX(Aggregate!$AL89*Scoring!$B$48+1,1)</f>
        <v>1</v>
      </c>
      <c r="AN89" s="73">
        <f>VLOOKUP(Aggregate!$AL89,BR:BT,3,FALSE)</f>
        <v>6</v>
      </c>
      <c r="AO89" s="80">
        <f t="array" ref="AO89">VLOOKUP(INDEX(ECR!$E:$E,MATCH(AD89,ECR!$C:$C,0)),RISK!A:B,2,FALSE())</f>
        <v>3.7</v>
      </c>
      <c r="AP89" s="81"/>
      <c r="AQ89" s="85" t="s">
        <v>800</v>
      </c>
      <c r="AR89" s="2"/>
      <c r="AS89" s="117"/>
      <c r="AT89" s="2"/>
      <c r="AU89" s="2"/>
      <c r="AV89" s="2"/>
      <c r="AW89" s="2"/>
      <c r="AX89" s="2"/>
      <c r="AY89" s="2"/>
      <c r="AZ89" s="2"/>
      <c r="BA89" s="2"/>
      <c r="BB89" s="117"/>
      <c r="BC89" s="2"/>
      <c r="BD89" s="2"/>
      <c r="BE89" s="117"/>
      <c r="BF89" s="81">
        <v>87.0</v>
      </c>
      <c r="BG89" s="81" t="str">
        <f t="shared" si="1"/>
        <v/>
      </c>
      <c r="BH89" s="91"/>
      <c r="BI89" s="91"/>
      <c r="BJ89" s="91"/>
      <c r="BK89" s="90">
        <v>87.0</v>
      </c>
      <c r="BL89" s="81">
        <f t="shared" si="2"/>
        <v>16.18382118</v>
      </c>
      <c r="BM89" s="91">
        <f>IFERROR(LARGE($X$3:$X$102,87),"")</f>
        <v>-62.51172204</v>
      </c>
      <c r="BN89" s="91">
        <f t="shared" si="7"/>
        <v>-62.51172204</v>
      </c>
      <c r="BO89" s="93">
        <f t="shared" si="8"/>
        <v>10</v>
      </c>
      <c r="BP89" s="91">
        <v>87.0</v>
      </c>
      <c r="BQ89" s="81">
        <f t="shared" si="3"/>
        <v>59.18470588</v>
      </c>
      <c r="BR89" s="91">
        <f>IFERROR(LARGE($AL$3:$AL$102,87),"")</f>
        <v>-21.91114765</v>
      </c>
      <c r="BS89" s="91">
        <f t="shared" si="9"/>
        <v>-20.53825059</v>
      </c>
      <c r="BT89" s="91">
        <f t="shared" si="10"/>
        <v>7</v>
      </c>
      <c r="BU89" s="81">
        <v>87.0</v>
      </c>
      <c r="BV89" s="81" t="str">
        <f t="shared" si="4"/>
        <v/>
      </c>
      <c r="BW89" s="91"/>
      <c r="BX89" s="91"/>
      <c r="BY89" s="91">
        <f t="array" ref="BY89">IFERROR(VALUE(RIGHT(INDEX(ECR!$E:$E,MATCH(P89,ECR!$C:$C,0)),LEN(INDEX(ECR!$E:$E,MATCH(P89,ECR!$C:$C,0)))-2)),"")</f>
        <v>87</v>
      </c>
      <c r="BZ89" s="91"/>
      <c r="CA89" s="91"/>
      <c r="CB89" s="91"/>
      <c r="CC89" s="91"/>
      <c r="CD89" s="91"/>
      <c r="CE89" s="91"/>
      <c r="CF89" s="91"/>
      <c r="CG89" s="91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17"/>
      <c r="M90" s="2"/>
      <c r="N90" s="117"/>
      <c r="O90" s="73" t="s">
        <v>804</v>
      </c>
      <c r="P90" s="59" t="str">
        <f>VLOOKUP(O90,ECR!E:L,8,FALSE())</f>
        <v>Trey Benson</v>
      </c>
      <c r="Q90" s="60" t="str">
        <f>IFERROR(VLOOKUP(Aggregate!$P90,ECR!C:F,2,FALSE()),"-")</f>
        <v>FA</v>
      </c>
      <c r="R90" s="60" t="str">
        <f>IFERROR(VLOOKUP(Aggregate!$P90,ECR!C:F,4,FALSE()),"-")</f>
        <v>-</v>
      </c>
      <c r="S90" s="60" t="str">
        <f>Aggregate!$Q90 &amp; "/" &amp; Aggregate!$R90</f>
        <v>FA/-</v>
      </c>
      <c r="T90" s="62">
        <f>IFERROR(VLOOKUP(Aggregate!$P90,RB!A:Q,13,FALSE())/17*(16-Aggregate!$AA90),0)</f>
        <v>0</v>
      </c>
      <c r="U90" s="62">
        <f>IFERROR(VLOOKUP(Aggregate!$P90,RB!A:Q,14,FALSE())/17*(16-Aggregate!$AA90),0)</f>
        <v>0</v>
      </c>
      <c r="V90" s="62">
        <f>IFERROR(VLOOKUP(Aggregate!$P90,RB!A:Q,15,FALSE())/17*(16-Aggregate!$AA90),0)</f>
        <v>0</v>
      </c>
      <c r="W90" s="69">
        <f>AVERAGE(Aggregate!$T90,Aggregate!$U90,Aggregate!$V90,VLOOKUP(Aggregate!$P90,ECR!L:N,3,FALSE))</f>
        <v>3.351195294</v>
      </c>
      <c r="X90" s="69">
        <f>Aggregate!$W90-$Q$1</f>
        <v>-75.03969381</v>
      </c>
      <c r="Y90" s="72">
        <f>MAX(Aggregate!$X90*Scoring!$B$48+1,1)</f>
        <v>1</v>
      </c>
      <c r="Z90" s="73">
        <f>VLOOKUP(Aggregate!$X90,BM:BO,3,FALSE)</f>
        <v>10</v>
      </c>
      <c r="AA90" s="80">
        <f t="array" ref="AA90">VLOOKUP(INDEX(ECR!$E:$E,MATCH(P90,ECR!$C:$C,0)),RISK!A:B,2,FALSE())</f>
        <v>3.368</v>
      </c>
      <c r="AB90" s="81"/>
      <c r="AC90" s="60" t="s">
        <v>807</v>
      </c>
      <c r="AD90" s="60" t="str">
        <f>VLOOKUP(AC90,ECR!E:L,8,FALSE())</f>
        <v>Keon Coleman</v>
      </c>
      <c r="AE90" s="60" t="str">
        <f>IFERROR(VLOOKUP(Aggregate!$AD90,ECR!C:F,2,FALSE()),"-")</f>
        <v>BUF</v>
      </c>
      <c r="AF90" s="60">
        <f>IFERROR(VLOOKUP(Aggregate!$AD90,ECR!C:F,4,FALSE()),"-")</f>
        <v>7</v>
      </c>
      <c r="AG90" s="60" t="str">
        <f>Aggregate!$AE90 &amp; "/" &amp; Aggregate!$AF90</f>
        <v>BUF/7</v>
      </c>
      <c r="AH90" s="62">
        <f>IFERROR(VLOOKUP(Aggregate!$AD90,WR!A:Q,13,FALSE())/17*(16-Aggregate!$AO90),0)</f>
        <v>45.12652941</v>
      </c>
      <c r="AI90" s="62">
        <f>IFERROR(VLOOKUP(Aggregate!$AD90,WR!A:Q,14,FALSE())/17*(16-Aggregate!$AO90),0)</f>
        <v>45.12652941</v>
      </c>
      <c r="AJ90" s="62">
        <f>IFERROR(VLOOKUP(Aggregate!$AD90,WR!A:Q,15,FALSE())/17*(16-Aggregate!$AO90),0)</f>
        <v>45.12652941</v>
      </c>
      <c r="AK90" s="69">
        <f>AVERAGE(Aggregate!$AH90,Aggregate!$AI90,Aggregate!$AJ90,VLOOKUP(Aggregate!$AD90,ECR!L:N,3,FALSE))</f>
        <v>48.35347059</v>
      </c>
      <c r="AL90" s="69">
        <f>Aggregate!$AK90-$AE$1</f>
        <v>-33.16745647</v>
      </c>
      <c r="AM90" s="72">
        <f>MAX(Aggregate!$AL90*Scoring!$B$48+1,1)</f>
        <v>1</v>
      </c>
      <c r="AN90" s="73">
        <f>VLOOKUP(Aggregate!$AL90,BR:BT,3,FALSE)</f>
        <v>7</v>
      </c>
      <c r="AO90" s="80">
        <f t="array" ref="AO90">VLOOKUP(INDEX(ECR!$E:$E,MATCH(AD90,ECR!$C:$C,0)),RISK!A:B,2,FALSE())</f>
        <v>3.7</v>
      </c>
      <c r="AP90" s="81"/>
      <c r="AQ90" s="85" t="s">
        <v>810</v>
      </c>
      <c r="AR90" s="2"/>
      <c r="AS90" s="117"/>
      <c r="AT90" s="2"/>
      <c r="AU90" s="2"/>
      <c r="AV90" s="2"/>
      <c r="AW90" s="2"/>
      <c r="AX90" s="2"/>
      <c r="AY90" s="2"/>
      <c r="AZ90" s="2"/>
      <c r="BA90" s="2"/>
      <c r="BB90" s="117"/>
      <c r="BC90" s="2"/>
      <c r="BD90" s="2"/>
      <c r="BE90" s="117"/>
      <c r="BF90" s="81">
        <v>88.0</v>
      </c>
      <c r="BG90" s="81" t="str">
        <f t="shared" si="1"/>
        <v/>
      </c>
      <c r="BH90" s="91"/>
      <c r="BI90" s="91"/>
      <c r="BJ90" s="91"/>
      <c r="BK90" s="90">
        <v>88.0</v>
      </c>
      <c r="BL90" s="81">
        <f t="shared" si="2"/>
        <v>13.40478118</v>
      </c>
      <c r="BM90" s="91">
        <f>IFERROR(LARGE($X$3:$X$102,88),"")</f>
        <v>-65.76446204</v>
      </c>
      <c r="BN90" s="91">
        <f t="shared" si="7"/>
        <v>-62.51172204</v>
      </c>
      <c r="BO90" s="93">
        <f t="shared" si="8"/>
        <v>10</v>
      </c>
      <c r="BP90" s="91">
        <v>88.0</v>
      </c>
      <c r="BQ90" s="81">
        <f t="shared" si="3"/>
        <v>58.03429412</v>
      </c>
      <c r="BR90" s="91">
        <f>IFERROR(LARGE($AL$3:$AL$102,88),"")</f>
        <v>-22.83733765</v>
      </c>
      <c r="BS90" s="91">
        <f t="shared" si="9"/>
        <v>-20.53825059</v>
      </c>
      <c r="BT90" s="91">
        <f t="shared" si="10"/>
        <v>7</v>
      </c>
      <c r="BU90" s="81">
        <v>88.0</v>
      </c>
      <c r="BV90" s="81" t="str">
        <f t="shared" si="4"/>
        <v/>
      </c>
      <c r="BW90" s="91"/>
      <c r="BX90" s="91"/>
      <c r="BY90" s="91">
        <f t="array" ref="BY90">IFERROR(VALUE(RIGHT(INDEX(ECR!$E:$E,MATCH(P90,ECR!$C:$C,0)),LEN(INDEX(ECR!$E:$E,MATCH(P90,ECR!$C:$C,0)))-2)),"")</f>
        <v>88</v>
      </c>
      <c r="BZ90" s="91"/>
      <c r="CA90" s="91"/>
      <c r="CB90" s="91"/>
      <c r="CC90" s="91"/>
      <c r="CD90" s="91"/>
      <c r="CE90" s="91"/>
      <c r="CF90" s="91"/>
      <c r="CG90" s="91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17"/>
      <c r="M91" s="2"/>
      <c r="N91" s="117"/>
      <c r="O91" s="73" t="s">
        <v>814</v>
      </c>
      <c r="P91" s="59" t="str">
        <f>VLOOKUP(O91,ECR!E:L,8,FALSE())</f>
        <v>Devin Singletary</v>
      </c>
      <c r="Q91" s="60" t="str">
        <f>IFERROR(VLOOKUP(Aggregate!$P91,ECR!C:F,2,FALSE()),"-")</f>
        <v>NYG</v>
      </c>
      <c r="R91" s="60">
        <f>IFERROR(VLOOKUP(Aggregate!$P91,ECR!C:F,4,FALSE()),"-")</f>
        <v>8</v>
      </c>
      <c r="S91" s="60" t="str">
        <f>Aggregate!$Q91 &amp; "/" &amp; Aggregate!$R91</f>
        <v>NYG/8</v>
      </c>
      <c r="T91" s="62">
        <f>IFERROR(VLOOKUP(Aggregate!$P91,RB!A:Q,13,FALSE())/17*(16-Aggregate!$AA91),0)</f>
        <v>0</v>
      </c>
      <c r="U91" s="62">
        <f>IFERROR(VLOOKUP(Aggregate!$P91,RB!A:Q,14,FALSE())/17*(16-Aggregate!$AA91),0)</f>
        <v>0</v>
      </c>
      <c r="V91" s="62">
        <f>IFERROR(VLOOKUP(Aggregate!$P91,RB!A:Q,15,FALSE())/17*(16-Aggregate!$AA91),0)</f>
        <v>0</v>
      </c>
      <c r="W91" s="69">
        <f>AVERAGE(Aggregate!$T91,Aggregate!$U91,Aggregate!$V91,VLOOKUP(Aggregate!$P91,ECR!L:N,3,FALSE))</f>
        <v>3.343764706</v>
      </c>
      <c r="X91" s="69">
        <f>Aggregate!$W91-$Q$1</f>
        <v>-75.0471244</v>
      </c>
      <c r="Y91" s="72">
        <f>MAX(Aggregate!$X91*Scoring!$B$48+1,1)</f>
        <v>1</v>
      </c>
      <c r="Z91" s="73">
        <f>VLOOKUP(Aggregate!$X91,BM:BO,3,FALSE)</f>
        <v>10</v>
      </c>
      <c r="AA91" s="80">
        <f t="array" ref="AA91">VLOOKUP(INDEX(ECR!$E:$E,MATCH(P91,ECR!$C:$C,0)),RISK!A:B,2,FALSE())</f>
        <v>3.368</v>
      </c>
      <c r="AB91" s="81"/>
      <c r="AC91" s="60" t="s">
        <v>818</v>
      </c>
      <c r="AD91" s="60" t="str">
        <f>VLOOKUP(AC91,ECR!E:L,8,FALSE())</f>
        <v>Tory Horton</v>
      </c>
      <c r="AE91" s="60" t="str">
        <f>IFERROR(VLOOKUP(Aggregate!$AD91,ECR!C:F,2,FALSE()),"-")</f>
        <v>SEA</v>
      </c>
      <c r="AF91" s="60">
        <f>IFERROR(VLOOKUP(Aggregate!$AD91,ECR!C:F,4,FALSE()),"-")</f>
        <v>11</v>
      </c>
      <c r="AG91" s="60" t="str">
        <f>Aggregate!$AE91 &amp; "/" &amp; Aggregate!$AF91</f>
        <v>SEA/11</v>
      </c>
      <c r="AH91" s="62">
        <f>IFERROR(VLOOKUP(Aggregate!$AD91,WR!A:Q,13,FALSE())/17*(16-Aggregate!$AO91),0)</f>
        <v>37.98529412</v>
      </c>
      <c r="AI91" s="62">
        <f>IFERROR(VLOOKUP(Aggregate!$AD91,WR!A:Q,14,FALSE())/17*(16-Aggregate!$AO91),0)</f>
        <v>59.76352941</v>
      </c>
      <c r="AJ91" s="62">
        <f>IFERROR(VLOOKUP(Aggregate!$AD91,WR!A:Q,15,FALSE())/17*(16-Aggregate!$AO91),0)</f>
        <v>81.10764706</v>
      </c>
      <c r="AK91" s="69">
        <f>AVERAGE(Aggregate!$AH91,Aggregate!$AI91,Aggregate!$AJ91,VLOOKUP(Aggregate!$AD91,ECR!L:N,3,FALSE))</f>
        <v>58.68358941</v>
      </c>
      <c r="AL91" s="69">
        <f>Aggregate!$AK91-$AE$1</f>
        <v>-22.83733765</v>
      </c>
      <c r="AM91" s="72">
        <f>MAX(Aggregate!$AL91*Scoring!$B$48+1,1)</f>
        <v>1</v>
      </c>
      <c r="AN91" s="73">
        <f>VLOOKUP(Aggregate!$AL91,BR:BT,3,FALSE)</f>
        <v>7</v>
      </c>
      <c r="AO91" s="80">
        <f t="array" ref="AO91">VLOOKUP(INDEX(ECR!$E:$E,MATCH(AD91,ECR!$C:$C,0)),RISK!A:B,2,FALSE())</f>
        <v>3.7</v>
      </c>
      <c r="AP91" s="81"/>
      <c r="AQ91" s="85" t="s">
        <v>821</v>
      </c>
      <c r="AR91" s="2"/>
      <c r="AS91" s="117"/>
      <c r="AT91" s="2"/>
      <c r="AU91" s="2"/>
      <c r="AV91" s="2"/>
      <c r="AW91" s="2"/>
      <c r="AX91" s="2"/>
      <c r="AY91" s="2"/>
      <c r="AZ91" s="2"/>
      <c r="BA91" s="2"/>
      <c r="BB91" s="117"/>
      <c r="BC91" s="2"/>
      <c r="BD91" s="2"/>
      <c r="BE91" s="117"/>
      <c r="BF91" s="81">
        <v>89.0</v>
      </c>
      <c r="BG91" s="81" t="str">
        <f t="shared" si="1"/>
        <v/>
      </c>
      <c r="BH91" s="91"/>
      <c r="BI91" s="91"/>
      <c r="BJ91" s="91"/>
      <c r="BK91" s="90">
        <v>89.0</v>
      </c>
      <c r="BL91" s="81">
        <f t="shared" si="2"/>
        <v>13.37505882</v>
      </c>
      <c r="BM91" s="91">
        <f>IFERROR(LARGE($X$3:$X$102,89),"")</f>
        <v>-66.15271028</v>
      </c>
      <c r="BN91" s="91">
        <f t="shared" si="7"/>
        <v>-62.51172204</v>
      </c>
      <c r="BO91" s="93">
        <f t="shared" si="8"/>
        <v>10</v>
      </c>
      <c r="BP91" s="91">
        <v>89.0</v>
      </c>
      <c r="BQ91" s="81">
        <f t="shared" si="3"/>
        <v>55.87788706</v>
      </c>
      <c r="BR91" s="91">
        <f>IFERROR(LARGE($AL$3:$AL$102,89),"")</f>
        <v>-24.90836824</v>
      </c>
      <c r="BS91" s="91">
        <f t="shared" si="9"/>
        <v>-20.53825059</v>
      </c>
      <c r="BT91" s="91">
        <f t="shared" si="10"/>
        <v>7</v>
      </c>
      <c r="BU91" s="81">
        <v>89.0</v>
      </c>
      <c r="BV91" s="81" t="str">
        <f t="shared" si="4"/>
        <v/>
      </c>
      <c r="BW91" s="91"/>
      <c r="BX91" s="91"/>
      <c r="BY91" s="91">
        <f t="array" ref="BY91">IFERROR(VALUE(RIGHT(INDEX(ECR!$E:$E,MATCH(P91,ECR!$C:$C,0)),LEN(INDEX(ECR!$E:$E,MATCH(P91,ECR!$C:$C,0)))-2)),"")</f>
        <v>89</v>
      </c>
      <c r="BZ91" s="91"/>
      <c r="CA91" s="91"/>
      <c r="CB91" s="91"/>
      <c r="CC91" s="91"/>
      <c r="CD91" s="91"/>
      <c r="CE91" s="91"/>
      <c r="CF91" s="91"/>
      <c r="CG91" s="91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17"/>
      <c r="M92" s="2"/>
      <c r="N92" s="117"/>
      <c r="O92" s="73" t="s">
        <v>825</v>
      </c>
      <c r="P92" s="59" t="str">
        <f>VLOOKUP(O92,ECR!E:L,8,FALSE())</f>
        <v>Trevor Etienne</v>
      </c>
      <c r="Q92" s="60" t="str">
        <f>IFERROR(VLOOKUP(Aggregate!$P92,ECR!C:F,2,FALSE()),"-")</f>
        <v>CAR</v>
      </c>
      <c r="R92" s="60">
        <f>IFERROR(VLOOKUP(Aggregate!$P92,ECR!C:F,4,FALSE()),"-")</f>
        <v>5</v>
      </c>
      <c r="S92" s="60" t="str">
        <f>Aggregate!$Q92 &amp; "/" &amp; Aggregate!$R92</f>
        <v>CAR/5</v>
      </c>
      <c r="T92" s="62">
        <f>IFERROR(VLOOKUP(Aggregate!$P92,RB!A:Q,13,FALSE())/17*(16-Aggregate!$AA92),0)</f>
        <v>9.228790588</v>
      </c>
      <c r="U92" s="62">
        <f>IFERROR(VLOOKUP(Aggregate!$P92,RB!A:Q,14,FALSE())/17*(16-Aggregate!$AA92),0)</f>
        <v>9.228790588</v>
      </c>
      <c r="V92" s="62">
        <f>IFERROR(VLOOKUP(Aggregate!$P92,RB!A:Q,15,FALSE())/17*(16-Aggregate!$AA92),0)</f>
        <v>9.228790588</v>
      </c>
      <c r="W92" s="69">
        <f>AVERAGE(Aggregate!$T92,Aggregate!$U92,Aggregate!$V92,VLOOKUP(Aggregate!$P92,ECR!L:N,3,FALSE))</f>
        <v>10.07959294</v>
      </c>
      <c r="X92" s="69">
        <f>Aggregate!$W92-$Q$1</f>
        <v>-68.31129616</v>
      </c>
      <c r="Y92" s="72">
        <f>MAX(Aggregate!$X92*Scoring!$B$48+1,1)</f>
        <v>1</v>
      </c>
      <c r="Z92" s="73">
        <f>VLOOKUP(Aggregate!$X92,BM:BO,3,FALSE)</f>
        <v>10</v>
      </c>
      <c r="AA92" s="80">
        <f t="array" ref="AA92">VLOOKUP(INDEX(ECR!$E:$E,MATCH(P92,ECR!$C:$C,0)),RISK!A:B,2,FALSE())</f>
        <v>3.368</v>
      </c>
      <c r="AB92" s="81"/>
      <c r="AC92" s="60" t="s">
        <v>828</v>
      </c>
      <c r="AD92" s="60" t="str">
        <f>VLOOKUP(AC92,ECR!E:L,8,FALSE())</f>
        <v>Elic Ayomanor</v>
      </c>
      <c r="AE92" s="60" t="str">
        <f>IFERROR(VLOOKUP(Aggregate!$AD92,ECR!C:F,2,FALSE()),"-")</f>
        <v>TEN</v>
      </c>
      <c r="AF92" s="60">
        <f>IFERROR(VLOOKUP(Aggregate!$AD92,ECR!C:F,4,FALSE()),"-")</f>
        <v>9</v>
      </c>
      <c r="AG92" s="60" t="str">
        <f>Aggregate!$AE92 &amp; "/" &amp; Aggregate!$AF92</f>
        <v>TEN/9</v>
      </c>
      <c r="AH92" s="62">
        <f>IFERROR(VLOOKUP(Aggregate!$AD92,WR!A:Q,13,FALSE())/17*(16-Aggregate!$AO92),0)</f>
        <v>14.00752941</v>
      </c>
      <c r="AI92" s="62">
        <f>IFERROR(VLOOKUP(Aggregate!$AD92,WR!A:Q,14,FALSE())/17*(16-Aggregate!$AO92),0)</f>
        <v>48.31729412</v>
      </c>
      <c r="AJ92" s="62">
        <f>IFERROR(VLOOKUP(Aggregate!$AD92,WR!A:Q,15,FALSE())/17*(16-Aggregate!$AO92),0)</f>
        <v>82.48235294</v>
      </c>
      <c r="AK92" s="69">
        <f>AVERAGE(Aggregate!$AH92,Aggregate!$AI92,Aggregate!$AJ92,VLOOKUP(Aggregate!$AD92,ECR!L:N,3,FALSE))</f>
        <v>49.98141176</v>
      </c>
      <c r="AL92" s="69">
        <f>Aggregate!$AK92-$AE$1</f>
        <v>-31.53951529</v>
      </c>
      <c r="AM92" s="72">
        <f>MAX(Aggregate!$AL92*Scoring!$B$48+1,1)</f>
        <v>1</v>
      </c>
      <c r="AN92" s="73">
        <f>VLOOKUP(Aggregate!$AL92,BR:BT,3,FALSE)</f>
        <v>7</v>
      </c>
      <c r="AO92" s="80">
        <f t="array" ref="AO92">VLOOKUP(INDEX(ECR!$E:$E,MATCH(AD92,ECR!$C:$C,0)),RISK!A:B,2,FALSE())</f>
        <v>3.7</v>
      </c>
      <c r="AP92" s="81"/>
      <c r="AQ92" s="85" t="s">
        <v>832</v>
      </c>
      <c r="AR92" s="2"/>
      <c r="AS92" s="117"/>
      <c r="AT92" s="2"/>
      <c r="AU92" s="2"/>
      <c r="AV92" s="2"/>
      <c r="AW92" s="2"/>
      <c r="AX92" s="2"/>
      <c r="AY92" s="2"/>
      <c r="AZ92" s="2"/>
      <c r="BA92" s="2"/>
      <c r="BB92" s="117"/>
      <c r="BC92" s="2"/>
      <c r="BD92" s="2"/>
      <c r="BE92" s="117"/>
      <c r="BF92" s="81">
        <v>90.0</v>
      </c>
      <c r="BG92" s="81" t="str">
        <f t="shared" si="1"/>
        <v/>
      </c>
      <c r="BH92" s="91"/>
      <c r="BI92" s="91"/>
      <c r="BJ92" s="91"/>
      <c r="BK92" s="90">
        <v>90.0</v>
      </c>
      <c r="BL92" s="81">
        <f t="shared" si="2"/>
        <v>12.632</v>
      </c>
      <c r="BM92" s="91">
        <f>IFERROR(LARGE($X$3:$X$102,90),"")</f>
        <v>-68.31129616</v>
      </c>
      <c r="BN92" s="91">
        <f t="shared" si="7"/>
        <v>-62.51172204</v>
      </c>
      <c r="BO92" s="93">
        <f t="shared" si="8"/>
        <v>10</v>
      </c>
      <c r="BP92" s="91">
        <v>90.0</v>
      </c>
      <c r="BQ92" s="81">
        <f t="shared" si="3"/>
        <v>55.11847059</v>
      </c>
      <c r="BR92" s="91">
        <f>IFERROR(LARGE($AL$3:$AL$102,90),"")</f>
        <v>-25.08744176</v>
      </c>
      <c r="BS92" s="91">
        <f t="shared" si="9"/>
        <v>-20.53825059</v>
      </c>
      <c r="BT92" s="91">
        <f t="shared" si="10"/>
        <v>7</v>
      </c>
      <c r="BU92" s="81">
        <v>90.0</v>
      </c>
      <c r="BV92" s="81" t="str">
        <f t="shared" si="4"/>
        <v/>
      </c>
      <c r="BW92" s="91"/>
      <c r="BX92" s="91"/>
      <c r="BY92" s="91">
        <f t="array" ref="BY92">IFERROR(VALUE(RIGHT(INDEX(ECR!$E:$E,MATCH(P92,ECR!$C:$C,0)),LEN(INDEX(ECR!$E:$E,MATCH(P92,ECR!$C:$C,0)))-2)),"")</f>
        <v>90</v>
      </c>
      <c r="BZ92" s="91"/>
      <c r="CA92" s="91"/>
      <c r="CB92" s="91"/>
      <c r="CC92" s="91"/>
      <c r="CD92" s="91"/>
      <c r="CE92" s="91"/>
      <c r="CF92" s="91"/>
      <c r="CG92" s="91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17"/>
      <c r="M93" s="2"/>
      <c r="N93" s="117"/>
      <c r="O93" s="73" t="s">
        <v>835</v>
      </c>
      <c r="P93" s="59" t="str">
        <f>VLOOKUP(O93,ECR!E:L,8,FALSE())</f>
        <v>Tahj Brooks</v>
      </c>
      <c r="Q93" s="60" t="str">
        <f>IFERROR(VLOOKUP(Aggregate!$P93,ECR!C:F,2,FALSE()),"-")</f>
        <v>CIN</v>
      </c>
      <c r="R93" s="60">
        <f>IFERROR(VLOOKUP(Aggregate!$P93,ECR!C:F,4,FALSE()),"-")</f>
        <v>6</v>
      </c>
      <c r="S93" s="60" t="str">
        <f>Aggregate!$Q93 &amp; "/" &amp; Aggregate!$R93</f>
        <v>CIN/6</v>
      </c>
      <c r="T93" s="62">
        <f>IFERROR(VLOOKUP(Aggregate!$P93,RB!A:Q,13,FALSE())/17*(16-Aggregate!$AA93),0)</f>
        <v>13.40478118</v>
      </c>
      <c r="U93" s="62">
        <f>IFERROR(VLOOKUP(Aggregate!$P93,RB!A:Q,14,FALSE())/17*(16-Aggregate!$AA93),0)</f>
        <v>13.40478118</v>
      </c>
      <c r="V93" s="62">
        <f>IFERROR(VLOOKUP(Aggregate!$P93,RB!A:Q,15,FALSE())/17*(16-Aggregate!$AA93),0)</f>
        <v>13.40478118</v>
      </c>
      <c r="W93" s="69">
        <f>AVERAGE(Aggregate!$T93,Aggregate!$U93,Aggregate!$V93,VLOOKUP(Aggregate!$P93,ECR!L:N,3,FALSE))</f>
        <v>12.62642706</v>
      </c>
      <c r="X93" s="69">
        <f>Aggregate!$W93-$Q$1</f>
        <v>-65.76446204</v>
      </c>
      <c r="Y93" s="72">
        <f>MAX(Aggregate!$X93*Scoring!$B$48+1,1)</f>
        <v>1</v>
      </c>
      <c r="Z93" s="73">
        <f>VLOOKUP(Aggregate!$X93,BM:BO,3,FALSE)</f>
        <v>10</v>
      </c>
      <c r="AA93" s="80">
        <f t="array" ref="AA93">VLOOKUP(INDEX(ECR!$E:$E,MATCH(P93,ECR!$C:$C,0)),RISK!A:B,2,FALSE())</f>
        <v>3.368</v>
      </c>
      <c r="AB93" s="81"/>
      <c r="AC93" s="60" t="s">
        <v>839</v>
      </c>
      <c r="AD93" s="60" t="str">
        <f>VLOOKUP(AC93,ECR!E:L,8,FALSE())</f>
        <v>Ja'Kobi Lane</v>
      </c>
      <c r="AE93" s="60" t="str">
        <f>IFERROR(VLOOKUP(Aggregate!$AD93,ECR!C:F,2,FALSE()),"-")</f>
        <v>BAL</v>
      </c>
      <c r="AF93" s="60">
        <f>IFERROR(VLOOKUP(Aggregate!$AD93,ECR!C:F,4,FALSE()),"-")</f>
        <v>13</v>
      </c>
      <c r="AG93" s="60" t="str">
        <f>Aggregate!$AE93 &amp; "/" &amp; Aggregate!$AF93</f>
        <v>BAL/13</v>
      </c>
      <c r="AH93" s="62">
        <f>IFERROR(VLOOKUP(Aggregate!$AD93,WR!A:Q,13,FALSE())/17*(16-Aggregate!$AO93),0)</f>
        <v>79.96128706</v>
      </c>
      <c r="AI93" s="62">
        <f>IFERROR(VLOOKUP(Aggregate!$AD93,WR!A:Q,14,FALSE())/17*(16-Aggregate!$AO93),0)</f>
        <v>96.79781647</v>
      </c>
      <c r="AJ93" s="62">
        <f>IFERROR(VLOOKUP(Aggregate!$AD93,WR!A:Q,15,FALSE())/17*(16-Aggregate!$AO93),0)</f>
        <v>114.1769929</v>
      </c>
      <c r="AK93" s="69">
        <f>AVERAGE(Aggregate!$AH93,Aggregate!$AI93,Aggregate!$AJ93,VLOOKUP(Aggregate!$AD93,ECR!L:N,3,FALSE))</f>
        <v>85.90949471</v>
      </c>
      <c r="AL93" s="69">
        <f>Aggregate!$AK93-$AE$1</f>
        <v>4.388567647</v>
      </c>
      <c r="AM93" s="72">
        <f>MAX(Aggregate!$AL93*Scoring!$B$48+1,1)</f>
        <v>2.149907546</v>
      </c>
      <c r="AN93" s="73">
        <f>VLOOKUP(Aggregate!$AL93,BR:BT,3,FALSE)</f>
        <v>5</v>
      </c>
      <c r="AO93" s="80">
        <f t="array" ref="AO93">VLOOKUP(INDEX(ECR!$E:$E,MATCH(AD93,ECR!$C:$C,0)),RISK!A:B,2,FALSE())</f>
        <v>3.7</v>
      </c>
      <c r="AP93" s="81"/>
      <c r="AQ93" s="85" t="s">
        <v>842</v>
      </c>
      <c r="AR93" s="2"/>
      <c r="AS93" s="117"/>
      <c r="AT93" s="2"/>
      <c r="AU93" s="2"/>
      <c r="AV93" s="2"/>
      <c r="AW93" s="2"/>
      <c r="AX93" s="2"/>
      <c r="AY93" s="2"/>
      <c r="AZ93" s="2"/>
      <c r="BA93" s="2"/>
      <c r="BB93" s="117"/>
      <c r="BC93" s="2"/>
      <c r="BD93" s="2"/>
      <c r="BE93" s="117"/>
      <c r="BF93" s="81">
        <v>91.0</v>
      </c>
      <c r="BG93" s="81" t="str">
        <f t="shared" si="1"/>
        <v/>
      </c>
      <c r="BH93" s="91"/>
      <c r="BI93" s="91"/>
      <c r="BJ93" s="91"/>
      <c r="BK93" s="90">
        <v>91.0</v>
      </c>
      <c r="BL93" s="81">
        <f t="shared" si="2"/>
        <v>10.29136471</v>
      </c>
      <c r="BM93" s="91">
        <f>IFERROR(LARGE($X$3:$X$102,91),"")</f>
        <v>-68.9168891</v>
      </c>
      <c r="BN93" s="91">
        <f t="shared" si="7"/>
        <v>-62.51172204</v>
      </c>
      <c r="BO93" s="93">
        <f t="shared" si="8"/>
        <v>10</v>
      </c>
      <c r="BP93" s="91">
        <v>91.0</v>
      </c>
      <c r="BQ93" s="81">
        <f t="shared" si="3"/>
        <v>52.70188235</v>
      </c>
      <c r="BR93" s="91">
        <f>IFERROR(LARGE($AL$3:$AL$102,91),"")</f>
        <v>-25.22129471</v>
      </c>
      <c r="BS93" s="91">
        <f t="shared" si="9"/>
        <v>-20.53825059</v>
      </c>
      <c r="BT93" s="91">
        <f t="shared" si="10"/>
        <v>7</v>
      </c>
      <c r="BU93" s="81">
        <v>91.0</v>
      </c>
      <c r="BV93" s="81" t="str">
        <f t="shared" si="4"/>
        <v/>
      </c>
      <c r="BW93" s="91"/>
      <c r="BX93" s="91"/>
      <c r="BY93" s="91">
        <f t="array" ref="BY93">IFERROR(VALUE(RIGHT(INDEX(ECR!$E:$E,MATCH(P93,ECR!$C:$C,0)),LEN(INDEX(ECR!$E:$E,MATCH(P93,ECR!$C:$C,0)))-2)),"")</f>
        <v>91</v>
      </c>
      <c r="BZ93" s="91"/>
      <c r="CA93" s="91"/>
      <c r="CB93" s="91"/>
      <c r="CC93" s="91"/>
      <c r="CD93" s="91"/>
      <c r="CE93" s="91"/>
      <c r="CF93" s="91"/>
      <c r="CG93" s="91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17"/>
      <c r="M94" s="2"/>
      <c r="N94" s="117"/>
      <c r="O94" s="73" t="s">
        <v>845</v>
      </c>
      <c r="P94" s="59" t="str">
        <f>VLOOKUP(O94,ECR!E:L,8,FALSE())</f>
        <v>Kaleb Johnson</v>
      </c>
      <c r="Q94" s="60" t="str">
        <f>IFERROR(VLOOKUP(Aggregate!$P94,ECR!C:F,2,FALSE()),"-")</f>
        <v>PIT</v>
      </c>
      <c r="R94" s="60">
        <f>IFERROR(VLOOKUP(Aggregate!$P94,ECR!C:F,4,FALSE()),"-")</f>
        <v>9</v>
      </c>
      <c r="S94" s="60" t="str">
        <f>Aggregate!$Q94 &amp; "/" &amp; Aggregate!$R94</f>
        <v>PIT/9</v>
      </c>
      <c r="T94" s="62">
        <f>IFERROR(VLOOKUP(Aggregate!$P94,RB!A:Q,13,FALSE())/17*(16-Aggregate!$AA94),0)</f>
        <v>3.559251765</v>
      </c>
      <c r="U94" s="62">
        <f>IFERROR(VLOOKUP(Aggregate!$P94,RB!A:Q,14,FALSE())/17*(16-Aggregate!$AA94),0)</f>
        <v>3.559251765</v>
      </c>
      <c r="V94" s="62">
        <f>IFERROR(VLOOKUP(Aggregate!$P94,RB!A:Q,15,FALSE())/17*(16-Aggregate!$AA94),0)</f>
        <v>3.559251765</v>
      </c>
      <c r="W94" s="69">
        <f>AVERAGE(Aggregate!$T94,Aggregate!$U94,Aggregate!$V94,VLOOKUP(Aggregate!$P94,ECR!L:N,3,FALSE))</f>
        <v>4.976636471</v>
      </c>
      <c r="X94" s="69">
        <f>Aggregate!$W94-$Q$1</f>
        <v>-73.41425263</v>
      </c>
      <c r="Y94" s="72">
        <f>MAX(Aggregate!$X94*Scoring!$B$48+1,1)</f>
        <v>1</v>
      </c>
      <c r="Z94" s="73">
        <f>VLOOKUP(Aggregate!$X94,BM:BO,3,FALSE)</f>
        <v>10</v>
      </c>
      <c r="AA94" s="80">
        <f t="array" ref="AA94">VLOOKUP(INDEX(ECR!$E:$E,MATCH(P94,ECR!$C:$C,0)),RISK!A:B,2,FALSE())</f>
        <v>3.368</v>
      </c>
      <c r="AB94" s="81"/>
      <c r="AC94" s="60" t="s">
        <v>849</v>
      </c>
      <c r="AD94" s="60" t="str">
        <f>VLOOKUP(AC94,ECR!E:L,8,FALSE())</f>
        <v>Ted Hurst III</v>
      </c>
      <c r="AE94" s="60" t="str">
        <f>IFERROR(VLOOKUP(Aggregate!$AD94,ECR!C:F,2,FALSE()),"-")</f>
        <v>TB</v>
      </c>
      <c r="AF94" s="60">
        <f>IFERROR(VLOOKUP(Aggregate!$AD94,ECR!C:F,4,FALSE()),"-")</f>
        <v>10</v>
      </c>
      <c r="AG94" s="60" t="str">
        <f>Aggregate!$AE94 &amp; "/" &amp; Aggregate!$AF94</f>
        <v>TB/10</v>
      </c>
      <c r="AH94" s="62">
        <f>IFERROR(VLOOKUP(Aggregate!$AD94,WR!A:Q,13,FALSE())/17*(16-Aggregate!$AO94),0)</f>
        <v>64.69279059</v>
      </c>
      <c r="AI94" s="62">
        <f>IFERROR(VLOOKUP(Aggregate!$AD94,WR!A:Q,14,FALSE())/17*(16-Aggregate!$AO94),0)</f>
        <v>77.00726118</v>
      </c>
      <c r="AJ94" s="62">
        <f>IFERROR(VLOOKUP(Aggregate!$AD94,WR!A:Q,15,FALSE())/17*(16-Aggregate!$AO94),0)</f>
        <v>88.88037882</v>
      </c>
      <c r="AK94" s="69">
        <f>AVERAGE(Aggregate!$AH94,Aggregate!$AI94,Aggregate!$AJ94,VLOOKUP(Aggregate!$AD94,ECR!L:N,3,FALSE))</f>
        <v>70.75907824</v>
      </c>
      <c r="AL94" s="69">
        <f>Aggregate!$AK94-$AE$1</f>
        <v>-10.76184882</v>
      </c>
      <c r="AM94" s="72">
        <f>MAX(Aggregate!$AL94*Scoring!$B$48+1,1)</f>
        <v>1</v>
      </c>
      <c r="AN94" s="73">
        <f>VLOOKUP(Aggregate!$AL94,BR:BT,3,FALSE)</f>
        <v>6</v>
      </c>
      <c r="AO94" s="80">
        <f t="array" ref="AO94">VLOOKUP(INDEX(ECR!$E:$E,MATCH(AD94,ECR!$C:$C,0)),RISK!A:B,2,FALSE())</f>
        <v>3.7</v>
      </c>
      <c r="AP94" s="81"/>
      <c r="AQ94" s="85" t="s">
        <v>853</v>
      </c>
      <c r="AR94" s="2"/>
      <c r="AS94" s="117"/>
      <c r="AT94" s="2"/>
      <c r="AU94" s="2"/>
      <c r="AV94" s="2"/>
      <c r="AW94" s="2"/>
      <c r="AX94" s="2"/>
      <c r="AY94" s="2"/>
      <c r="AZ94" s="2"/>
      <c r="BA94" s="2"/>
      <c r="BB94" s="117"/>
      <c r="BC94" s="2"/>
      <c r="BD94" s="2"/>
      <c r="BE94" s="117"/>
      <c r="BF94" s="81">
        <v>92.0</v>
      </c>
      <c r="BG94" s="81" t="str">
        <f t="shared" si="1"/>
        <v/>
      </c>
      <c r="BH94" s="91"/>
      <c r="BI94" s="91"/>
      <c r="BJ94" s="91"/>
      <c r="BK94" s="90">
        <v>92.0</v>
      </c>
      <c r="BL94" s="81">
        <f t="shared" si="2"/>
        <v>9.228790588</v>
      </c>
      <c r="BM94" s="91">
        <f>IFERROR(LARGE($X$3:$X$102,92),"")</f>
        <v>-69.78255263</v>
      </c>
      <c r="BN94" s="91">
        <f t="shared" si="7"/>
        <v>-62.51172204</v>
      </c>
      <c r="BO94" s="93">
        <f t="shared" si="8"/>
        <v>10</v>
      </c>
      <c r="BP94" s="91">
        <v>92.0</v>
      </c>
      <c r="BQ94" s="81">
        <f t="shared" si="3"/>
        <v>52.45588235</v>
      </c>
      <c r="BR94" s="91">
        <f>IFERROR(LARGE($AL$3:$AL$102,92),"")</f>
        <v>-29.52036176</v>
      </c>
      <c r="BS94" s="91">
        <f t="shared" si="9"/>
        <v>-20.53825059</v>
      </c>
      <c r="BT94" s="91">
        <f t="shared" si="10"/>
        <v>7</v>
      </c>
      <c r="BU94" s="81">
        <v>92.0</v>
      </c>
      <c r="BV94" s="81" t="str">
        <f t="shared" si="4"/>
        <v/>
      </c>
      <c r="BW94" s="91"/>
      <c r="BX94" s="91"/>
      <c r="BY94" s="91">
        <f t="array" ref="BY94">IFERROR(VALUE(RIGHT(INDEX(ECR!$E:$E,MATCH(P94,ECR!$C:$C,0)),LEN(INDEX(ECR!$E:$E,MATCH(P94,ECR!$C:$C,0)))-2)),"")</f>
        <v>92</v>
      </c>
      <c r="BZ94" s="91"/>
      <c r="CA94" s="91"/>
      <c r="CB94" s="91"/>
      <c r="CC94" s="91"/>
      <c r="CD94" s="91"/>
      <c r="CE94" s="91"/>
      <c r="CF94" s="91"/>
      <c r="CG94" s="91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17"/>
      <c r="M95" s="2"/>
      <c r="N95" s="117"/>
      <c r="O95" s="73" t="s">
        <v>857</v>
      </c>
      <c r="P95" s="59" t="str">
        <f>VLOOKUP(O95,ECR!E:L,8,FALSE())</f>
        <v>Isaac Guerendo</v>
      </c>
      <c r="Q95" s="60" t="str">
        <f>IFERROR(VLOOKUP(Aggregate!$P95,ECR!C:F,2,FALSE()),"-")</f>
        <v>SF</v>
      </c>
      <c r="R95" s="60">
        <f>IFERROR(VLOOKUP(Aggregate!$P95,ECR!C:F,4,FALSE()),"-")</f>
        <v>8</v>
      </c>
      <c r="S95" s="60" t="str">
        <f>Aggregate!$Q95 &amp; "/" &amp; Aggregate!$R95</f>
        <v>SF/8</v>
      </c>
      <c r="T95" s="62">
        <f>IFERROR(VLOOKUP(Aggregate!$P95,RB!A:Q,13,FALSE())/17*(16-Aggregate!$AA95),0)</f>
        <v>0</v>
      </c>
      <c r="U95" s="62">
        <f>IFERROR(VLOOKUP(Aggregate!$P95,RB!A:Q,14,FALSE())/17*(16-Aggregate!$AA95),0)</f>
        <v>10.29136471</v>
      </c>
      <c r="V95" s="62">
        <f>IFERROR(VLOOKUP(Aggregate!$P95,RB!A:Q,15,FALSE())/17*(16-Aggregate!$AA95),0)</f>
        <v>20.58272941</v>
      </c>
      <c r="W95" s="69">
        <f>AVERAGE(Aggregate!$T95,Aggregate!$U95,Aggregate!$V95,VLOOKUP(Aggregate!$P95,ECR!L:N,3,FALSE))</f>
        <v>8.608336471</v>
      </c>
      <c r="X95" s="69">
        <f>Aggregate!$W95-$Q$1</f>
        <v>-69.78255263</v>
      </c>
      <c r="Y95" s="72">
        <f>MAX(Aggregate!$X95*Scoring!$B$48+1,1)</f>
        <v>1</v>
      </c>
      <c r="Z95" s="73">
        <f>VLOOKUP(Aggregate!$X95,BM:BO,3,FALSE)</f>
        <v>10</v>
      </c>
      <c r="AA95" s="80">
        <f t="array" ref="AA95">VLOOKUP(INDEX(ECR!$E:$E,MATCH(P95,ECR!$C:$C,0)),RISK!A:B,2,FALSE())</f>
        <v>3.368</v>
      </c>
      <c r="AB95" s="81"/>
      <c r="AC95" s="60" t="s">
        <v>859</v>
      </c>
      <c r="AD95" s="60" t="str">
        <f>VLOOKUP(AC95,ECR!E:L,8,FALSE())</f>
        <v>Chimere Dike</v>
      </c>
      <c r="AE95" s="60" t="str">
        <f>IFERROR(VLOOKUP(Aggregate!$AD95,ECR!C:F,2,FALSE()),"-")</f>
        <v>TEN</v>
      </c>
      <c r="AF95" s="60">
        <f>IFERROR(VLOOKUP(Aggregate!$AD95,ECR!C:F,4,FALSE()),"-")</f>
        <v>9</v>
      </c>
      <c r="AG95" s="60" t="str">
        <f>Aggregate!$AE95 &amp; "/" &amp; Aggregate!$AF95</f>
        <v>TEN/9</v>
      </c>
      <c r="AH95" s="62">
        <f>IFERROR(VLOOKUP(Aggregate!$AD95,WR!A:Q,13,FALSE())/17*(16-Aggregate!$AO95),0)</f>
        <v>15.20858824</v>
      </c>
      <c r="AI95" s="62">
        <f>IFERROR(VLOOKUP(Aggregate!$AD95,WR!A:Q,14,FALSE())/17*(16-Aggregate!$AO95),0)</f>
        <v>47.34052941</v>
      </c>
      <c r="AJ95" s="62">
        <f>IFERROR(VLOOKUP(Aggregate!$AD95,WR!A:Q,15,FALSE())/17*(16-Aggregate!$AO95),0)</f>
        <v>79.46523529</v>
      </c>
      <c r="AK95" s="69">
        <f>AVERAGE(Aggregate!$AH95,Aggregate!$AI95,Aggregate!$AJ95,VLOOKUP(Aggregate!$AD95,ECR!L:N,3,FALSE))</f>
        <v>48.60670588</v>
      </c>
      <c r="AL95" s="69">
        <f>Aggregate!$AK95-$AE$1</f>
        <v>-32.91422118</v>
      </c>
      <c r="AM95" s="72">
        <f>MAX(Aggregate!$AL95*Scoring!$B$48+1,1)</f>
        <v>1</v>
      </c>
      <c r="AN95" s="73">
        <f>VLOOKUP(Aggregate!$AL95,BR:BT,3,FALSE)</f>
        <v>7</v>
      </c>
      <c r="AO95" s="80">
        <f t="array" ref="AO95">VLOOKUP(INDEX(ECR!$E:$E,MATCH(AD95,ECR!$C:$C,0)),RISK!A:B,2,FALSE())</f>
        <v>3.7</v>
      </c>
      <c r="AP95" s="81"/>
      <c r="AQ95" s="85" t="s">
        <v>863</v>
      </c>
      <c r="AR95" s="2"/>
      <c r="AS95" s="117"/>
      <c r="AT95" s="2"/>
      <c r="AU95" s="2"/>
      <c r="AV95" s="2"/>
      <c r="AW95" s="2"/>
      <c r="AX95" s="2"/>
      <c r="AY95" s="2"/>
      <c r="AZ95" s="2"/>
      <c r="BA95" s="2"/>
      <c r="BB95" s="117"/>
      <c r="BC95" s="2"/>
      <c r="BD95" s="2"/>
      <c r="BE95" s="117"/>
      <c r="BF95" s="81">
        <v>93.0</v>
      </c>
      <c r="BG95" s="81" t="str">
        <f t="shared" si="1"/>
        <v/>
      </c>
      <c r="BH95" s="91"/>
      <c r="BI95" s="91"/>
      <c r="BJ95" s="91"/>
      <c r="BK95" s="90">
        <v>93.0</v>
      </c>
      <c r="BL95" s="81">
        <f t="shared" si="2"/>
        <v>3.559251765</v>
      </c>
      <c r="BM95" s="91">
        <f>IFERROR(LARGE($X$3:$X$102,93),"")</f>
        <v>-73.41425263</v>
      </c>
      <c r="BN95" s="91">
        <f t="shared" si="7"/>
        <v>-62.51172204</v>
      </c>
      <c r="BO95" s="93">
        <f t="shared" si="8"/>
        <v>10</v>
      </c>
      <c r="BP95" s="91">
        <v>93.0</v>
      </c>
      <c r="BQ95" s="81">
        <f t="shared" si="3"/>
        <v>52.41247059</v>
      </c>
      <c r="BR95" s="91">
        <f>IFERROR(LARGE($AL$3:$AL$102,93),"")</f>
        <v>-29.64567706</v>
      </c>
      <c r="BS95" s="91">
        <f t="shared" si="9"/>
        <v>-20.53825059</v>
      </c>
      <c r="BT95" s="91">
        <f t="shared" si="10"/>
        <v>7</v>
      </c>
      <c r="BU95" s="81">
        <v>93.0</v>
      </c>
      <c r="BV95" s="81" t="str">
        <f t="shared" si="4"/>
        <v/>
      </c>
      <c r="BW95" s="91"/>
      <c r="BX95" s="91"/>
      <c r="BY95" s="91">
        <f t="array" ref="BY95">IFERROR(VALUE(RIGHT(INDEX(ECR!$E:$E,MATCH(P95,ECR!$C:$C,0)),LEN(INDEX(ECR!$E:$E,MATCH(P95,ECR!$C:$C,0)))-2)),"")</f>
        <v>93</v>
      </c>
      <c r="BZ95" s="91"/>
      <c r="CA95" s="91"/>
      <c r="CB95" s="91"/>
      <c r="CC95" s="91"/>
      <c r="CD95" s="91"/>
      <c r="CE95" s="91"/>
      <c r="CF95" s="91"/>
      <c r="CG95" s="91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17"/>
      <c r="M96" s="2"/>
      <c r="N96" s="117"/>
      <c r="O96" s="73" t="s">
        <v>866</v>
      </c>
      <c r="P96" s="59" t="str">
        <f>VLOOKUP(O96,ECR!E:L,8,FALSE())</f>
        <v>Jerome Ford</v>
      </c>
      <c r="Q96" s="60" t="str">
        <f>IFERROR(VLOOKUP(Aggregate!$P96,ECR!C:F,2,FALSE()),"-")</f>
        <v>WAS</v>
      </c>
      <c r="R96" s="60">
        <f>IFERROR(VLOOKUP(Aggregate!$P96,ECR!C:F,4,FALSE()),"-")</f>
        <v>7</v>
      </c>
      <c r="S96" s="60" t="str">
        <f>Aggregate!$Q96 &amp; "/" &amp; Aggregate!$R96</f>
        <v>WAS/7</v>
      </c>
      <c r="T96" s="62">
        <f>IFERROR(VLOOKUP(Aggregate!$P96,RB!A:Q,13,FALSE())/17*(16-Aggregate!$AA96),0)</f>
        <v>0</v>
      </c>
      <c r="U96" s="62">
        <f>IFERROR(VLOOKUP(Aggregate!$P96,RB!A:Q,14,FALSE())/17*(16-Aggregate!$AA96),0)</f>
        <v>12.632</v>
      </c>
      <c r="V96" s="62">
        <f>IFERROR(VLOOKUP(Aggregate!$P96,RB!A:Q,15,FALSE())/17*(16-Aggregate!$AA96),0)</f>
        <v>25.264</v>
      </c>
      <c r="W96" s="69">
        <f>AVERAGE(Aggregate!$T96,Aggregate!$U96,Aggregate!$V96,VLOOKUP(Aggregate!$P96,ECR!L:N,3,FALSE))</f>
        <v>9.474</v>
      </c>
      <c r="X96" s="69">
        <f>Aggregate!$W96-$Q$1</f>
        <v>-68.9168891</v>
      </c>
      <c r="Y96" s="72">
        <f>MAX(Aggregate!$X96*Scoring!$B$48+1,1)</f>
        <v>1</v>
      </c>
      <c r="Z96" s="73">
        <f>VLOOKUP(Aggregate!$X96,BM:BO,3,FALSE)</f>
        <v>10</v>
      </c>
      <c r="AA96" s="80">
        <f t="array" ref="AA96">VLOOKUP(INDEX(ECR!$E:$E,MATCH(P96,ECR!$C:$C,0)),RISK!A:B,2,FALSE())</f>
        <v>3.368</v>
      </c>
      <c r="AB96" s="81"/>
      <c r="AC96" s="60" t="s">
        <v>869</v>
      </c>
      <c r="AD96" s="60" t="str">
        <f>VLOOKUP(AC96,ECR!E:L,8,FALSE())</f>
        <v>Tyquan Thornton</v>
      </c>
      <c r="AE96" s="60" t="str">
        <f>IFERROR(VLOOKUP(Aggregate!$AD96,ECR!C:F,2,FALSE()),"-")</f>
        <v>KC</v>
      </c>
      <c r="AF96" s="60">
        <f>IFERROR(VLOOKUP(Aggregate!$AD96,ECR!C:F,4,FALSE()),"-")</f>
        <v>5</v>
      </c>
      <c r="AG96" s="60" t="str">
        <f>Aggregate!$AE96 &amp; "/" &amp; Aggregate!$AF96</f>
        <v>KC/5</v>
      </c>
      <c r="AH96" s="62">
        <f>IFERROR(VLOOKUP(Aggregate!$AD96,WR!A:Q,13,FALSE())/17*(16-Aggregate!$AO96),0)</f>
        <v>47.34052941</v>
      </c>
      <c r="AI96" s="62">
        <f>IFERROR(VLOOKUP(Aggregate!$AD96,WR!A:Q,14,FALSE())/17*(16-Aggregate!$AO96),0)</f>
        <v>58.03429412</v>
      </c>
      <c r="AJ96" s="62">
        <f>IFERROR(VLOOKUP(Aggregate!$AD96,WR!A:Q,15,FALSE())/17*(16-Aggregate!$AO96),0)</f>
        <v>68.73529412</v>
      </c>
      <c r="AK96" s="69">
        <f>AVERAGE(Aggregate!$AH96,Aggregate!$AI96,Aggregate!$AJ96,VLOOKUP(Aggregate!$AD96,ECR!L:N,3,FALSE))</f>
        <v>56.61255882</v>
      </c>
      <c r="AL96" s="69">
        <f>Aggregate!$AK96-$AE$1</f>
        <v>-24.90836824</v>
      </c>
      <c r="AM96" s="72">
        <f>MAX(Aggregate!$AL96*Scoring!$B$48+1,1)</f>
        <v>1</v>
      </c>
      <c r="AN96" s="73">
        <f>VLOOKUP(Aggregate!$AL96,BR:BT,3,FALSE)</f>
        <v>7</v>
      </c>
      <c r="AO96" s="80">
        <f t="array" ref="AO96">VLOOKUP(INDEX(ECR!$E:$E,MATCH(AD96,ECR!$C:$C,0)),RISK!A:B,2,FALSE())</f>
        <v>3.7</v>
      </c>
      <c r="AP96" s="81"/>
      <c r="AQ96" s="85" t="s">
        <v>872</v>
      </c>
      <c r="AR96" s="2"/>
      <c r="AS96" s="117"/>
      <c r="AT96" s="2"/>
      <c r="AU96" s="2"/>
      <c r="AV96" s="2"/>
      <c r="AW96" s="2"/>
      <c r="AX96" s="2"/>
      <c r="AY96" s="2"/>
      <c r="AZ96" s="2"/>
      <c r="BA96" s="2"/>
      <c r="BB96" s="117"/>
      <c r="BC96" s="2"/>
      <c r="BD96" s="2"/>
      <c r="BE96" s="117"/>
      <c r="BF96" s="81">
        <v>94.0</v>
      </c>
      <c r="BG96" s="81" t="str">
        <f t="shared" si="1"/>
        <v/>
      </c>
      <c r="BH96" s="91"/>
      <c r="BI96" s="91"/>
      <c r="BJ96" s="91"/>
      <c r="BK96" s="90">
        <v>94.0</v>
      </c>
      <c r="BL96" s="81">
        <f t="shared" si="2"/>
        <v>0</v>
      </c>
      <c r="BM96" s="91">
        <f>IFERROR(LARGE($X$3:$X$102,94),"")</f>
        <v>-75.03969381</v>
      </c>
      <c r="BN96" s="91">
        <f t="shared" si="7"/>
        <v>-62.51172204</v>
      </c>
      <c r="BO96" s="93">
        <f t="shared" si="8"/>
        <v>10</v>
      </c>
      <c r="BP96" s="91">
        <v>94.0</v>
      </c>
      <c r="BQ96" s="81">
        <f t="shared" si="3"/>
        <v>52.34011765</v>
      </c>
      <c r="BR96" s="91">
        <f>IFERROR(LARGE($AL$3:$AL$102,94),"")</f>
        <v>-29.99137941</v>
      </c>
      <c r="BS96" s="91">
        <f t="shared" si="9"/>
        <v>-20.53825059</v>
      </c>
      <c r="BT96" s="91">
        <f t="shared" si="10"/>
        <v>7</v>
      </c>
      <c r="BU96" s="81">
        <v>94.0</v>
      </c>
      <c r="BV96" s="81" t="str">
        <f t="shared" si="4"/>
        <v/>
      </c>
      <c r="BW96" s="91"/>
      <c r="BX96" s="91"/>
      <c r="BY96" s="91">
        <f t="array" ref="BY96">IFERROR(VALUE(RIGHT(INDEX(ECR!$E:$E,MATCH(P96,ECR!$C:$C,0)),LEN(INDEX(ECR!$E:$E,MATCH(P96,ECR!$C:$C,0)))-2)),"")</f>
        <v>94</v>
      </c>
      <c r="BZ96" s="91"/>
      <c r="CA96" s="91"/>
      <c r="CB96" s="91"/>
      <c r="CC96" s="91"/>
      <c r="CD96" s="91"/>
      <c r="CE96" s="91"/>
      <c r="CF96" s="91"/>
      <c r="CG96" s="91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17"/>
      <c r="M97" s="2"/>
      <c r="N97" s="117"/>
      <c r="O97" s="73" t="s">
        <v>875</v>
      </c>
      <c r="P97" s="59" t="str">
        <f>VLOOKUP(O97,ECR!E:L,8,FALSE())</f>
        <v>Jarquez Hunter</v>
      </c>
      <c r="Q97" s="60" t="str">
        <f>IFERROR(VLOOKUP(Aggregate!$P97,ECR!C:F,2,FALSE()),"-")</f>
        <v>LAR</v>
      </c>
      <c r="R97" s="60">
        <f>IFERROR(VLOOKUP(Aggregate!$P97,ECR!C:F,4,FALSE()),"-")</f>
        <v>11</v>
      </c>
      <c r="S97" s="60" t="str">
        <f>Aggregate!$Q97 &amp; "/" &amp; Aggregate!$R97</f>
        <v>LAR/11</v>
      </c>
      <c r="T97" s="62">
        <f>IFERROR(VLOOKUP(Aggregate!$P97,RB!A:Q,13,FALSE())/17*(16-Aggregate!$AA97),0)</f>
        <v>0</v>
      </c>
      <c r="U97" s="62">
        <f>IFERROR(VLOOKUP(Aggregate!$P97,RB!A:Q,14,FALSE())/17*(16-Aggregate!$AA97),0)</f>
        <v>0</v>
      </c>
      <c r="V97" s="62">
        <f>IFERROR(VLOOKUP(Aggregate!$P97,RB!A:Q,15,FALSE())/17*(16-Aggregate!$AA97),0)</f>
        <v>0</v>
      </c>
      <c r="W97" s="69">
        <f>AVERAGE(Aggregate!$T97,Aggregate!$U97,Aggregate!$V97,VLOOKUP(Aggregate!$P97,ECR!L:N,3,FALSE))</f>
        <v>0</v>
      </c>
      <c r="X97" s="69">
        <f>Aggregate!$W97-$Q$1</f>
        <v>-78.3908891</v>
      </c>
      <c r="Y97" s="72">
        <f>MAX(Aggregate!$X97*Scoring!$B$48+1,1)</f>
        <v>1</v>
      </c>
      <c r="Z97" s="73">
        <f>VLOOKUP(Aggregate!$X97,BM:BO,3,FALSE)</f>
        <v>10</v>
      </c>
      <c r="AA97" s="80">
        <f t="array" ref="AA97">VLOOKUP(INDEX(ECR!$E:$E,MATCH(P97,ECR!$C:$C,0)),RISK!A:B,2,FALSE())</f>
        <v>3.368</v>
      </c>
      <c r="AB97" s="81"/>
      <c r="AC97" s="60" t="s">
        <v>879</v>
      </c>
      <c r="AD97" s="60" t="str">
        <f>VLOOKUP(AC97,ECR!E:L,8,FALSE())</f>
        <v>Chris Bell</v>
      </c>
      <c r="AE97" s="60" t="str">
        <f>IFERROR(VLOOKUP(Aggregate!$AD97,ECR!C:F,2,FALSE()),"-")</f>
        <v>MIA</v>
      </c>
      <c r="AF97" s="60">
        <f>IFERROR(VLOOKUP(Aggregate!$AD97,ECR!C:F,4,FALSE()),"-")</f>
        <v>6</v>
      </c>
      <c r="AG97" s="60" t="str">
        <f>Aggregate!$AE97 &amp; "/" &amp; Aggregate!$AF97</f>
        <v>MIA/6</v>
      </c>
      <c r="AH97" s="62">
        <f>IFERROR(VLOOKUP(Aggregate!$AD97,WR!A:Q,13,FALSE())/17*(16-Aggregate!$AO97),0)</f>
        <v>60.46737882</v>
      </c>
      <c r="AI97" s="62">
        <f>IFERROR(VLOOKUP(Aggregate!$AD97,WR!A:Q,14,FALSE())/17*(16-Aggregate!$AO97),0)</f>
        <v>81.56549647</v>
      </c>
      <c r="AJ97" s="62">
        <f>IFERROR(VLOOKUP(Aggregate!$AD97,WR!A:Q,15,FALSE())/17*(16-Aggregate!$AO97),0)</f>
        <v>102.6636141</v>
      </c>
      <c r="AK97" s="69">
        <f>AVERAGE(Aggregate!$AH97,Aggregate!$AI97,Aggregate!$AJ97,VLOOKUP(Aggregate!$AD97,ECR!L:N,3,FALSE))</f>
        <v>73.25344588</v>
      </c>
      <c r="AL97" s="69">
        <f>Aggregate!$AK97-$AE$1</f>
        <v>-8.267481176</v>
      </c>
      <c r="AM97" s="72">
        <f>MAX(Aggregate!$AL97*Scoring!$B$48+1,1)</f>
        <v>1</v>
      </c>
      <c r="AN97" s="73">
        <f>VLOOKUP(Aggregate!$AL97,BR:BT,3,FALSE)</f>
        <v>6</v>
      </c>
      <c r="AO97" s="80">
        <f t="array" ref="AO97">VLOOKUP(INDEX(ECR!$E:$E,MATCH(AD97,ECR!$C:$C,0)),RISK!A:B,2,FALSE())</f>
        <v>3.7</v>
      </c>
      <c r="AP97" s="81"/>
      <c r="AQ97" s="85" t="s">
        <v>883</v>
      </c>
      <c r="AR97" s="2"/>
      <c r="AS97" s="117"/>
      <c r="AT97" s="2"/>
      <c r="AU97" s="2"/>
      <c r="AV97" s="2"/>
      <c r="AW97" s="2"/>
      <c r="AX97" s="2"/>
      <c r="AY97" s="2"/>
      <c r="AZ97" s="2"/>
      <c r="BA97" s="2"/>
      <c r="BB97" s="117"/>
      <c r="BC97" s="2"/>
      <c r="BD97" s="2"/>
      <c r="BE97" s="117"/>
      <c r="BF97" s="81">
        <v>95.0</v>
      </c>
      <c r="BG97" s="81" t="str">
        <f t="shared" si="1"/>
        <v/>
      </c>
      <c r="BH97" s="91"/>
      <c r="BI97" s="91"/>
      <c r="BJ97" s="91"/>
      <c r="BK97" s="90">
        <v>95.0</v>
      </c>
      <c r="BL97" s="81">
        <f t="shared" si="2"/>
        <v>0</v>
      </c>
      <c r="BM97" s="91">
        <f>IFERROR(LARGE($X$3:$X$102,95),"")</f>
        <v>-75.0471244</v>
      </c>
      <c r="BN97" s="91">
        <f t="shared" si="7"/>
        <v>-62.51172204</v>
      </c>
      <c r="BO97" s="93">
        <f t="shared" si="8"/>
        <v>10</v>
      </c>
      <c r="BP97" s="91">
        <v>95.0</v>
      </c>
      <c r="BQ97" s="81">
        <f t="shared" si="3"/>
        <v>48.31729412</v>
      </c>
      <c r="BR97" s="91">
        <f>IFERROR(LARGE($AL$3:$AL$102,95),"")</f>
        <v>-30.77800059</v>
      </c>
      <c r="BS97" s="91">
        <f t="shared" si="9"/>
        <v>-20.53825059</v>
      </c>
      <c r="BT97" s="91">
        <f t="shared" si="10"/>
        <v>7</v>
      </c>
      <c r="BU97" s="81">
        <v>95.0</v>
      </c>
      <c r="BV97" s="81" t="str">
        <f t="shared" si="4"/>
        <v/>
      </c>
      <c r="BW97" s="91"/>
      <c r="BX97" s="91"/>
      <c r="BY97" s="91">
        <f t="array" ref="BY97">IFERROR(VALUE(RIGHT(INDEX(ECR!$E:$E,MATCH(P97,ECR!$C:$C,0)),LEN(INDEX(ECR!$E:$E,MATCH(P97,ECR!$C:$C,0)))-2)),"")</f>
        <v>95</v>
      </c>
      <c r="BZ97" s="91"/>
      <c r="CA97" s="91"/>
      <c r="CB97" s="91"/>
      <c r="CC97" s="91"/>
      <c r="CD97" s="91"/>
      <c r="CE97" s="91"/>
      <c r="CF97" s="91"/>
      <c r="CG97" s="91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17"/>
      <c r="M98" s="2"/>
      <c r="N98" s="117"/>
      <c r="O98" s="73" t="s">
        <v>887</v>
      </c>
      <c r="P98" s="59" t="str">
        <f>VLOOKUP(O98,ECR!E:L,8,FALSE())</f>
        <v>Audric Estime</v>
      </c>
      <c r="Q98" s="60" t="str">
        <f>IFERROR(VLOOKUP(Aggregate!$P98,ECR!C:F,2,FALSE()),"-")</f>
        <v>NO</v>
      </c>
      <c r="R98" s="60">
        <f>IFERROR(VLOOKUP(Aggregate!$P98,ECR!C:F,4,FALSE()),"-")</f>
        <v>8</v>
      </c>
      <c r="S98" s="60" t="str">
        <f>Aggregate!$Q98 &amp; "/" &amp; Aggregate!$R98</f>
        <v>NO/8</v>
      </c>
      <c r="T98" s="62">
        <f>IFERROR(VLOOKUP(Aggregate!$P98,RB!A:Q,13,FALSE())/17*(16-Aggregate!$AA98),0)</f>
        <v>0</v>
      </c>
      <c r="U98" s="62">
        <f>IFERROR(VLOOKUP(Aggregate!$P98,RB!A:Q,14,FALSE())/17*(16-Aggregate!$AA98),0)</f>
        <v>0</v>
      </c>
      <c r="V98" s="62">
        <f>IFERROR(VLOOKUP(Aggregate!$P98,RB!A:Q,15,FALSE())/17*(16-Aggregate!$AA98),0)</f>
        <v>0</v>
      </c>
      <c r="W98" s="69">
        <f>AVERAGE(Aggregate!$T98,Aggregate!$U98,Aggregate!$V98,VLOOKUP(Aggregate!$P98,ECR!L:N,3,FALSE))</f>
        <v>0</v>
      </c>
      <c r="X98" s="69">
        <f>Aggregate!$W98-$Q$1</f>
        <v>-78.3908891</v>
      </c>
      <c r="Y98" s="72">
        <f>MAX(Aggregate!$X98*Scoring!$B$48+1,1)</f>
        <v>1</v>
      </c>
      <c r="Z98" s="73">
        <f>VLOOKUP(Aggregate!$X98,BM:BO,3,FALSE)</f>
        <v>10</v>
      </c>
      <c r="AA98" s="80">
        <f t="array" ref="AA98">VLOOKUP(INDEX(ECR!$E:$E,MATCH(P98,ECR!$C:$C,0)),RISK!A:B,2,FALSE())</f>
        <v>3.368</v>
      </c>
      <c r="AB98" s="81"/>
      <c r="AC98" s="60" t="s">
        <v>890</v>
      </c>
      <c r="AD98" s="60" t="str">
        <f>VLOOKUP(AC98,ECR!E:L,8,FALSE())</f>
        <v>Darius Slayton</v>
      </c>
      <c r="AE98" s="60" t="str">
        <f>IFERROR(VLOOKUP(Aggregate!$AD98,ECR!C:F,2,FALSE()),"-")</f>
        <v>NYG</v>
      </c>
      <c r="AF98" s="60">
        <f>IFERROR(VLOOKUP(Aggregate!$AD98,ECR!C:F,4,FALSE()),"-")</f>
        <v>8</v>
      </c>
      <c r="AG98" s="60" t="str">
        <f>Aggregate!$AE98 &amp; "/" &amp; Aggregate!$AF98</f>
        <v>NYG/8</v>
      </c>
      <c r="AH98" s="62">
        <f>IFERROR(VLOOKUP(Aggregate!$AD98,WR!A:Q,13,FALSE())/17*(16-Aggregate!$AO98),0)</f>
        <v>50.82070588</v>
      </c>
      <c r="AI98" s="62">
        <f>IFERROR(VLOOKUP(Aggregate!$AD98,WR!A:Q,14,FALSE())/17*(16-Aggregate!$AO98),0)</f>
        <v>59.32941176</v>
      </c>
      <c r="AJ98" s="62">
        <f>IFERROR(VLOOKUP(Aggregate!$AD98,WR!A:Q,15,FALSE())/17*(16-Aggregate!$AO98),0)</f>
        <v>68.24329412</v>
      </c>
      <c r="AK98" s="69">
        <f>AVERAGE(Aggregate!$AH98,Aggregate!$AI98,Aggregate!$AJ98,VLOOKUP(Aggregate!$AD98,ECR!L:N,3,FALSE))</f>
        <v>56.43348529</v>
      </c>
      <c r="AL98" s="69">
        <f>Aggregate!$AK98-$AE$1</f>
        <v>-25.08744176</v>
      </c>
      <c r="AM98" s="72">
        <f>MAX(Aggregate!$AL98*Scoring!$B$48+1,1)</f>
        <v>1</v>
      </c>
      <c r="AN98" s="73">
        <f>VLOOKUP(Aggregate!$AL98,BR:BT,3,FALSE)</f>
        <v>7</v>
      </c>
      <c r="AO98" s="80">
        <f t="array" ref="AO98">VLOOKUP(INDEX(ECR!$E:$E,MATCH(AD98,ECR!$C:$C,0)),RISK!A:B,2,FALSE())</f>
        <v>3.7</v>
      </c>
      <c r="AP98" s="81"/>
      <c r="AQ98" s="85" t="s">
        <v>894</v>
      </c>
      <c r="AR98" s="2"/>
      <c r="AS98" s="117"/>
      <c r="AT98" s="2"/>
      <c r="AU98" s="2"/>
      <c r="AV98" s="2"/>
      <c r="AW98" s="2"/>
      <c r="AX98" s="2"/>
      <c r="AY98" s="2"/>
      <c r="AZ98" s="2"/>
      <c r="BA98" s="2"/>
      <c r="BB98" s="117"/>
      <c r="BC98" s="2"/>
      <c r="BD98" s="2"/>
      <c r="BE98" s="117"/>
      <c r="BF98" s="81">
        <v>96.0</v>
      </c>
      <c r="BG98" s="81" t="str">
        <f t="shared" si="1"/>
        <v/>
      </c>
      <c r="BH98" s="91"/>
      <c r="BI98" s="91"/>
      <c r="BJ98" s="91"/>
      <c r="BK98" s="90">
        <v>96.0</v>
      </c>
      <c r="BL98" s="81">
        <f t="shared" si="2"/>
        <v>0</v>
      </c>
      <c r="BM98" s="91">
        <f>IFERROR(LARGE($X$3:$X$102,96),"")</f>
        <v>-78.3908891</v>
      </c>
      <c r="BN98" s="91">
        <f t="shared" si="7"/>
        <v>-62.51172204</v>
      </c>
      <c r="BO98" s="93">
        <f t="shared" si="8"/>
        <v>10</v>
      </c>
      <c r="BP98" s="91">
        <v>96.0</v>
      </c>
      <c r="BQ98" s="81">
        <f t="shared" si="3"/>
        <v>47.34052941</v>
      </c>
      <c r="BR98" s="91">
        <f>IFERROR(LARGE($AL$3:$AL$102,96),"")</f>
        <v>-31.53951529</v>
      </c>
      <c r="BS98" s="91">
        <f t="shared" si="9"/>
        <v>-20.53825059</v>
      </c>
      <c r="BT98" s="91">
        <f t="shared" si="10"/>
        <v>7</v>
      </c>
      <c r="BU98" s="81">
        <v>96.0</v>
      </c>
      <c r="BV98" s="81" t="str">
        <f t="shared" si="4"/>
        <v/>
      </c>
      <c r="BW98" s="91"/>
      <c r="BX98" s="91"/>
      <c r="BY98" s="91">
        <f t="array" ref="BY98">IFERROR(VALUE(RIGHT(INDEX(ECR!$E:$E,MATCH(P98,ECR!$C:$C,0)),LEN(INDEX(ECR!$E:$E,MATCH(P98,ECR!$C:$C,0)))-2)),"")</f>
        <v>96</v>
      </c>
      <c r="BZ98" s="91"/>
      <c r="CA98" s="91"/>
      <c r="CB98" s="91"/>
      <c r="CC98" s="91"/>
      <c r="CD98" s="91"/>
      <c r="CE98" s="91"/>
      <c r="CF98" s="91"/>
      <c r="CG98" s="91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17"/>
      <c r="M99" s="2"/>
      <c r="N99" s="117"/>
      <c r="O99" s="73" t="s">
        <v>897</v>
      </c>
      <c r="P99" s="59" t="str">
        <f>VLOOKUP(O99,ECR!E:L,8,FALSE())</f>
        <v>Jaleel McLaughlin</v>
      </c>
      <c r="Q99" s="60" t="str">
        <f>IFERROR(VLOOKUP(Aggregate!$P99,ECR!C:F,2,FALSE()),"-")</f>
        <v>DEN</v>
      </c>
      <c r="R99" s="60">
        <f>IFERROR(VLOOKUP(Aggregate!$P99,ECR!C:F,4,FALSE()),"-")</f>
        <v>10</v>
      </c>
      <c r="S99" s="60" t="str">
        <f>Aggregate!$Q99 &amp; "/" &amp; Aggregate!$R99</f>
        <v>DEN/10</v>
      </c>
      <c r="T99" s="62">
        <f>IFERROR(VLOOKUP(Aggregate!$P99,RB!A:Q,13,FALSE())/17*(16-Aggregate!$AA99),0)</f>
        <v>0</v>
      </c>
      <c r="U99" s="62">
        <f>IFERROR(VLOOKUP(Aggregate!$P99,RB!A:Q,14,FALSE())/17*(16-Aggregate!$AA99),0)</f>
        <v>0</v>
      </c>
      <c r="V99" s="62">
        <f>IFERROR(VLOOKUP(Aggregate!$P99,RB!A:Q,15,FALSE())/17*(16-Aggregate!$AA99),0)</f>
        <v>0</v>
      </c>
      <c r="W99" s="69">
        <f>AVERAGE(Aggregate!$T99,Aggregate!$U99,Aggregate!$V99,VLOOKUP(Aggregate!$P99,ECR!L:N,3,FALSE))</f>
        <v>0</v>
      </c>
      <c r="X99" s="69">
        <f>Aggregate!$W99-$Q$1</f>
        <v>-78.3908891</v>
      </c>
      <c r="Y99" s="72">
        <f>MAX(Aggregate!$X99*Scoring!$B$48+1,1)</f>
        <v>1</v>
      </c>
      <c r="Z99" s="73">
        <f>VLOOKUP(Aggregate!$X99,BM:BO,3,FALSE)</f>
        <v>10</v>
      </c>
      <c r="AA99" s="80">
        <f t="array" ref="AA99">VLOOKUP(INDEX(ECR!$E:$E,MATCH(P99,ECR!$C:$C,0)),RISK!A:B,2,FALSE())</f>
        <v>3.368</v>
      </c>
      <c r="AB99" s="81"/>
      <c r="AC99" s="60" t="s">
        <v>901</v>
      </c>
      <c r="AD99" s="60" t="str">
        <f>VLOOKUP(AC99,ECR!E:L,8,FALSE())</f>
        <v>Christian Kirk</v>
      </c>
      <c r="AE99" s="60" t="str">
        <f>IFERROR(VLOOKUP(Aggregate!$AD99,ECR!C:F,2,FALSE()),"-")</f>
        <v>SF</v>
      </c>
      <c r="AF99" s="60">
        <f>IFERROR(VLOOKUP(Aggregate!$AD99,ECR!C:F,4,FALSE()),"-")</f>
        <v>8</v>
      </c>
      <c r="AG99" s="60" t="str">
        <f>Aggregate!$AE99 &amp; "/" &amp; Aggregate!$AF99</f>
        <v>SF/8</v>
      </c>
      <c r="AH99" s="62">
        <f>IFERROR(VLOOKUP(Aggregate!$AD99,WR!A:Q,13,FALSE())/17*(16-Aggregate!$AO99),0)</f>
        <v>22.08211765</v>
      </c>
      <c r="AI99" s="62">
        <f>IFERROR(VLOOKUP(Aggregate!$AD99,WR!A:Q,14,FALSE())/17*(16-Aggregate!$AO99),0)</f>
        <v>52.70188235</v>
      </c>
      <c r="AJ99" s="62">
        <f>IFERROR(VLOOKUP(Aggregate!$AD99,WR!A:Q,15,FALSE())/17*(16-Aggregate!$AO99),0)</f>
        <v>83.06117647</v>
      </c>
      <c r="AK99" s="69">
        <f>AVERAGE(Aggregate!$AH99,Aggregate!$AI99,Aggregate!$AJ99,VLOOKUP(Aggregate!$AD99,ECR!L:N,3,FALSE))</f>
        <v>50.74292647</v>
      </c>
      <c r="AL99" s="69">
        <f>Aggregate!$AK99-$AE$1</f>
        <v>-30.77800059</v>
      </c>
      <c r="AM99" s="72">
        <f>MAX(Aggregate!$AL99*Scoring!$B$48+1,1)</f>
        <v>1</v>
      </c>
      <c r="AN99" s="73">
        <f>VLOOKUP(Aggregate!$AL99,BR:BT,3,FALSE)</f>
        <v>7</v>
      </c>
      <c r="AO99" s="80">
        <f t="array" ref="AO99">VLOOKUP(INDEX(ECR!$E:$E,MATCH(AD99,ECR!$C:$C,0)),RISK!A:B,2,FALSE())</f>
        <v>3.7</v>
      </c>
      <c r="AP99" s="81"/>
      <c r="AQ99" s="85" t="s">
        <v>905</v>
      </c>
      <c r="AR99" s="2"/>
      <c r="AS99" s="117"/>
      <c r="AT99" s="2"/>
      <c r="AU99" s="2"/>
      <c r="AV99" s="2"/>
      <c r="AW99" s="2"/>
      <c r="AX99" s="2"/>
      <c r="AY99" s="2"/>
      <c r="AZ99" s="2"/>
      <c r="BA99" s="2"/>
      <c r="BB99" s="117"/>
      <c r="BC99" s="2"/>
      <c r="BD99" s="2"/>
      <c r="BE99" s="117"/>
      <c r="BF99" s="81">
        <v>97.0</v>
      </c>
      <c r="BG99" s="81" t="str">
        <f t="shared" si="1"/>
        <v/>
      </c>
      <c r="BH99" s="91"/>
      <c r="BI99" s="91"/>
      <c r="BJ99" s="91"/>
      <c r="BK99" s="90">
        <v>97.0</v>
      </c>
      <c r="BL99" s="81">
        <f t="shared" si="2"/>
        <v>0</v>
      </c>
      <c r="BM99" s="91">
        <f>IFERROR(LARGE($X$3:$X$102,97),"")</f>
        <v>-78.3908891</v>
      </c>
      <c r="BN99" s="91">
        <f t="shared" si="7"/>
        <v>-62.51172204</v>
      </c>
      <c r="BO99" s="93">
        <f t="shared" si="8"/>
        <v>10</v>
      </c>
      <c r="BP99" s="91">
        <v>97.0</v>
      </c>
      <c r="BQ99" s="81">
        <f t="shared" si="3"/>
        <v>45.12652941</v>
      </c>
      <c r="BR99" s="91">
        <f>IFERROR(LARGE($AL$3:$AL$102,97),"")</f>
        <v>-32.91422118</v>
      </c>
      <c r="BS99" s="91">
        <f t="shared" si="9"/>
        <v>-20.53825059</v>
      </c>
      <c r="BT99" s="91">
        <f t="shared" si="10"/>
        <v>7</v>
      </c>
      <c r="BU99" s="81">
        <v>97.0</v>
      </c>
      <c r="BV99" s="81" t="str">
        <f t="shared" si="4"/>
        <v/>
      </c>
      <c r="BW99" s="91"/>
      <c r="BX99" s="91"/>
      <c r="BY99" s="91">
        <f t="array" ref="BY99">IFERROR(VALUE(RIGHT(INDEX(ECR!$E:$E,MATCH(P99,ECR!$C:$C,0)),LEN(INDEX(ECR!$E:$E,MATCH(P99,ECR!$C:$C,0)))-2)),"")</f>
        <v>97</v>
      </c>
      <c r="BZ99" s="91"/>
      <c r="CA99" s="91"/>
      <c r="CB99" s="91"/>
      <c r="CC99" s="91"/>
      <c r="CD99" s="91"/>
      <c r="CE99" s="91"/>
      <c r="CF99" s="91"/>
      <c r="CG99" s="91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17"/>
      <c r="M100" s="2"/>
      <c r="N100" s="117"/>
      <c r="O100" s="73" t="s">
        <v>909</v>
      </c>
      <c r="P100" s="59" t="str">
        <f>VLOOKUP(O100,ECR!E:L,8,FALSE())</f>
        <v>Will Shipley</v>
      </c>
      <c r="Q100" s="60" t="str">
        <f>IFERROR(VLOOKUP(Aggregate!$P100,ECR!C:F,2,FALSE()),"-")</f>
        <v>PHI</v>
      </c>
      <c r="R100" s="60">
        <f>IFERROR(VLOOKUP(Aggregate!$P100,ECR!C:F,4,FALSE()),"-")</f>
        <v>10</v>
      </c>
      <c r="S100" s="60" t="str">
        <f>Aggregate!$Q100 &amp; "/" &amp; Aggregate!$R100</f>
        <v>PHI/10</v>
      </c>
      <c r="T100" s="62">
        <f>IFERROR(VLOOKUP(Aggregate!$P100,RB!A:Q,13,FALSE())/17*(16-Aggregate!$AA100),0)</f>
        <v>16.31757176</v>
      </c>
      <c r="U100" s="62">
        <f>IFERROR(VLOOKUP(Aggregate!$P100,RB!A:Q,14,FALSE())/17*(16-Aggregate!$AA100),0)</f>
        <v>16.31757176</v>
      </c>
      <c r="V100" s="62">
        <f>IFERROR(VLOOKUP(Aggregate!$P100,RB!A:Q,15,FALSE())/17*(16-Aggregate!$AA100),0)</f>
        <v>16.31757176</v>
      </c>
      <c r="W100" s="69">
        <f>AVERAGE(Aggregate!$T100,Aggregate!$U100,Aggregate!$V100,VLOOKUP(Aggregate!$P100,ECR!L:N,3,FALSE))</f>
        <v>12.23817882</v>
      </c>
      <c r="X100" s="69">
        <f>Aggregate!$W100-$Q$1</f>
        <v>-66.15271028</v>
      </c>
      <c r="Y100" s="72">
        <f>MAX(Aggregate!$X100*Scoring!$B$48+1,1)</f>
        <v>1</v>
      </c>
      <c r="Z100" s="73">
        <f>VLOOKUP(Aggregate!$X100,BM:BO,3,FALSE)</f>
        <v>10</v>
      </c>
      <c r="AA100" s="80">
        <f t="array" ref="AA100">VLOOKUP(INDEX(ECR!$E:$E,MATCH(P100,ECR!$C:$C,0)),RISK!A:B,2,FALSE())</f>
        <v>3.368</v>
      </c>
      <c r="AB100" s="81"/>
      <c r="AC100" s="60" t="s">
        <v>912</v>
      </c>
      <c r="AD100" s="60" t="str">
        <f>VLOOKUP(AC100,ECR!E:L,8,FALSE())</f>
        <v>Xavier Legette</v>
      </c>
      <c r="AE100" s="60" t="str">
        <f>IFERROR(VLOOKUP(Aggregate!$AD100,ECR!C:F,2,FALSE()),"-")</f>
        <v>CAR</v>
      </c>
      <c r="AF100" s="60">
        <f>IFERROR(VLOOKUP(Aggregate!$AD100,ECR!C:F,4,FALSE()),"-")</f>
        <v>5</v>
      </c>
      <c r="AG100" s="60" t="str">
        <f>Aggregate!$AE100 &amp; "/" &amp; Aggregate!$AF100</f>
        <v>CAR/5</v>
      </c>
      <c r="AH100" s="62">
        <f>IFERROR(VLOOKUP(Aggregate!$AD100,WR!A:Q,13,FALSE())/17*(16-Aggregate!$AO100),0)</f>
        <v>55.11847059</v>
      </c>
      <c r="AI100" s="62">
        <f>IFERROR(VLOOKUP(Aggregate!$AD100,WR!A:Q,14,FALSE())/17*(16-Aggregate!$AO100),0)</f>
        <v>55.11847059</v>
      </c>
      <c r="AJ100" s="62">
        <f>IFERROR(VLOOKUP(Aggregate!$AD100,WR!A:Q,15,FALSE())/17*(16-Aggregate!$AO100),0)</f>
        <v>55.11847059</v>
      </c>
      <c r="AK100" s="69">
        <f>AVERAGE(Aggregate!$AH100,Aggregate!$AI100,Aggregate!$AJ100,VLOOKUP(Aggregate!$AD100,ECR!L:N,3,FALSE))</f>
        <v>51.87525</v>
      </c>
      <c r="AL100" s="69">
        <f>Aggregate!$AK100-$AE$1</f>
        <v>-29.64567706</v>
      </c>
      <c r="AM100" s="72">
        <f>MAX(Aggregate!$AL100*Scoring!$B$48+1,1)</f>
        <v>1</v>
      </c>
      <c r="AN100" s="73">
        <f>VLOOKUP(Aggregate!$AL100,BR:BT,3,FALSE)</f>
        <v>7</v>
      </c>
      <c r="AO100" s="80">
        <f t="array" ref="AO100">VLOOKUP(INDEX(ECR!$E:$E,MATCH(AD100,ECR!$C:$C,0)),RISK!A:B,2,FALSE())</f>
        <v>3.7</v>
      </c>
      <c r="AP100" s="81"/>
      <c r="AQ100" s="85" t="s">
        <v>915</v>
      </c>
      <c r="AR100" s="2"/>
      <c r="AS100" s="117"/>
      <c r="AT100" s="2"/>
      <c r="AU100" s="2"/>
      <c r="AV100" s="2"/>
      <c r="AW100" s="2"/>
      <c r="AX100" s="2"/>
      <c r="AY100" s="2"/>
      <c r="AZ100" s="2"/>
      <c r="BA100" s="2"/>
      <c r="BB100" s="117"/>
      <c r="BC100" s="2"/>
      <c r="BD100" s="2"/>
      <c r="BE100" s="117"/>
      <c r="BF100" s="81">
        <v>98.0</v>
      </c>
      <c r="BG100" s="81" t="str">
        <f t="shared" si="1"/>
        <v/>
      </c>
      <c r="BH100" s="91"/>
      <c r="BI100" s="91"/>
      <c r="BJ100" s="91"/>
      <c r="BK100" s="90">
        <v>98.0</v>
      </c>
      <c r="BL100" s="81">
        <f t="shared" si="2"/>
        <v>0</v>
      </c>
      <c r="BM100" s="91">
        <f>IFERROR(LARGE($X$3:$X$102,98),"")</f>
        <v>-78.3908891</v>
      </c>
      <c r="BN100" s="91">
        <f t="shared" si="7"/>
        <v>-62.51172204</v>
      </c>
      <c r="BO100" s="93">
        <f t="shared" si="8"/>
        <v>10</v>
      </c>
      <c r="BP100" s="91">
        <v>98.0</v>
      </c>
      <c r="BQ100" s="81">
        <f t="shared" si="3"/>
        <v>42.14558824</v>
      </c>
      <c r="BR100" s="91">
        <f>IFERROR(LARGE($AL$3:$AL$102,98),"")</f>
        <v>-33.16745647</v>
      </c>
      <c r="BS100" s="91">
        <f t="shared" si="9"/>
        <v>-20.53825059</v>
      </c>
      <c r="BT100" s="91">
        <f t="shared" si="10"/>
        <v>7</v>
      </c>
      <c r="BU100" s="81">
        <v>98.0</v>
      </c>
      <c r="BV100" s="81" t="str">
        <f t="shared" si="4"/>
        <v/>
      </c>
      <c r="BW100" s="91"/>
      <c r="BX100" s="91"/>
      <c r="BY100" s="91">
        <f t="array" ref="BY100">IFERROR(VALUE(RIGHT(INDEX(ECR!$E:$E,MATCH(P100,ECR!$C:$C,0)),LEN(INDEX(ECR!$E:$E,MATCH(P100,ECR!$C:$C,0)))-2)),"")</f>
        <v>98</v>
      </c>
      <c r="BZ100" s="91"/>
      <c r="CA100" s="91"/>
      <c r="CB100" s="91"/>
      <c r="CC100" s="91"/>
      <c r="CD100" s="91"/>
      <c r="CE100" s="91"/>
      <c r="CF100" s="91"/>
      <c r="CG100" s="91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17"/>
      <c r="M101" s="2"/>
      <c r="N101" s="117"/>
      <c r="O101" s="73" t="s">
        <v>919</v>
      </c>
      <c r="P101" s="59" t="str">
        <f>VLOOKUP(O101,ECR!E:L,8,FALSE())</f>
        <v>Kareem Hunt</v>
      </c>
      <c r="Q101" s="60" t="str">
        <f>IFERROR(VLOOKUP(Aggregate!$P101,ECR!C:F,2,FALSE()),"-")</f>
        <v>FA</v>
      </c>
      <c r="R101" s="60" t="str">
        <f>IFERROR(VLOOKUP(Aggregate!$P101,ECR!C:F,4,FALSE()),"-")</f>
        <v>-</v>
      </c>
      <c r="S101" s="60" t="str">
        <f>Aggregate!$Q101 &amp; "/" &amp; Aggregate!$R101</f>
        <v>FA/-</v>
      </c>
      <c r="T101" s="62">
        <f>IFERROR(VLOOKUP(Aggregate!$P101,RB!A:Q,13,FALSE())/17*(16-Aggregate!$AA101),0)</f>
        <v>0</v>
      </c>
      <c r="U101" s="62">
        <f>IFERROR(VLOOKUP(Aggregate!$P101,RB!A:Q,14,FALSE())/17*(16-Aggregate!$AA101),0)</f>
        <v>0</v>
      </c>
      <c r="V101" s="62">
        <f>IFERROR(VLOOKUP(Aggregate!$P101,RB!A:Q,15,FALSE())/17*(16-Aggregate!$AA101),0)</f>
        <v>0</v>
      </c>
      <c r="W101" s="69">
        <f>AVERAGE(Aggregate!$T101,Aggregate!$U101,Aggregate!$V101,VLOOKUP(Aggregate!$P101,ECR!L:N,3,FALSE))</f>
        <v>0</v>
      </c>
      <c r="X101" s="69">
        <f>Aggregate!$W101-$Q$1</f>
        <v>-78.3908891</v>
      </c>
      <c r="Y101" s="72">
        <f>MAX(Aggregate!$X101*Scoring!$B$48+1,1)</f>
        <v>1</v>
      </c>
      <c r="Z101" s="73">
        <f>VLOOKUP(Aggregate!$X101,BM:BO,3,FALSE)</f>
        <v>10</v>
      </c>
      <c r="AA101" s="80">
        <f t="array" ref="AA101">VLOOKUP(INDEX(ECR!$E:$E,MATCH(P101,ECR!$C:$C,0)),RISK!A:B,2,FALSE())</f>
        <v>3.368</v>
      </c>
      <c r="AB101" s="81"/>
      <c r="AC101" s="60" t="s">
        <v>923</v>
      </c>
      <c r="AD101" s="60" t="str">
        <f>VLOOKUP(AC101,ECR!E:L,8,FALSE())</f>
        <v>Elijah Sarratt</v>
      </c>
      <c r="AE101" s="60" t="str">
        <f>IFERROR(VLOOKUP(Aggregate!$AD101,ECR!C:F,2,FALSE()),"-")</f>
        <v>BAL</v>
      </c>
      <c r="AF101" s="60">
        <f>IFERROR(VLOOKUP(Aggregate!$AD101,ECR!C:F,4,FALSE()),"-")</f>
        <v>13</v>
      </c>
      <c r="AG101" s="60" t="str">
        <f>Aggregate!$AE101 &amp; "/" &amp; Aggregate!$AF101</f>
        <v>BAL/13</v>
      </c>
      <c r="AH101" s="62">
        <f>IFERROR(VLOOKUP(Aggregate!$AD101,WR!A:Q,13,FALSE())/17*(16-Aggregate!$AO101),0)</f>
        <v>55.87788706</v>
      </c>
      <c r="AI101" s="62">
        <f>IFERROR(VLOOKUP(Aggregate!$AD101,WR!A:Q,14,FALSE())/17*(16-Aggregate!$AO101),0)</f>
        <v>55.87788706</v>
      </c>
      <c r="AJ101" s="62">
        <f>IFERROR(VLOOKUP(Aggregate!$AD101,WR!A:Q,15,FALSE())/17*(16-Aggregate!$AO101),0)</f>
        <v>55.87788706</v>
      </c>
      <c r="AK101" s="69">
        <f>AVERAGE(Aggregate!$AH101,Aggregate!$AI101,Aggregate!$AJ101,VLOOKUP(Aggregate!$AD101,ECR!L:N,3,FALSE))</f>
        <v>51.52954765</v>
      </c>
      <c r="AL101" s="69">
        <f>Aggregate!$AK101-$AE$1</f>
        <v>-29.99137941</v>
      </c>
      <c r="AM101" s="72">
        <f>MAX(Aggregate!$AL101*Scoring!$B$48+1,1)</f>
        <v>1</v>
      </c>
      <c r="AN101" s="73">
        <f>VLOOKUP(Aggregate!$AL101,BR:BT,3,FALSE)</f>
        <v>7</v>
      </c>
      <c r="AO101" s="80">
        <f t="array" ref="AO101">VLOOKUP(INDEX(ECR!$E:$E,MATCH(AD101,ECR!$C:$C,0)),RISK!A:B,2,FALSE())</f>
        <v>3.7</v>
      </c>
      <c r="AP101" s="81"/>
      <c r="AQ101" s="85" t="s">
        <v>926</v>
      </c>
      <c r="AR101" s="2"/>
      <c r="AS101" s="117"/>
      <c r="AT101" s="2"/>
      <c r="AU101" s="2"/>
      <c r="AV101" s="2"/>
      <c r="AW101" s="2"/>
      <c r="AX101" s="2"/>
      <c r="AY101" s="2"/>
      <c r="AZ101" s="2"/>
      <c r="BA101" s="2"/>
      <c r="BB101" s="117"/>
      <c r="BC101" s="2"/>
      <c r="BD101" s="2"/>
      <c r="BE101" s="117"/>
      <c r="BF101" s="81">
        <v>99.0</v>
      </c>
      <c r="BG101" s="81" t="str">
        <f t="shared" si="1"/>
        <v/>
      </c>
      <c r="BH101" s="91"/>
      <c r="BI101" s="91"/>
      <c r="BJ101" s="91"/>
      <c r="BK101" s="90">
        <v>99.0</v>
      </c>
      <c r="BL101" s="81">
        <f t="shared" si="2"/>
        <v>0</v>
      </c>
      <c r="BM101" s="91">
        <f>IFERROR(LARGE($X$3:$X$102,99),"")</f>
        <v>-78.3908891</v>
      </c>
      <c r="BN101" s="91">
        <f t="shared" si="7"/>
        <v>-62.51172204</v>
      </c>
      <c r="BO101" s="93">
        <f t="shared" si="8"/>
        <v>10</v>
      </c>
      <c r="BP101" s="91">
        <v>99.0</v>
      </c>
      <c r="BQ101" s="81">
        <f t="shared" si="3"/>
        <v>38.48452941</v>
      </c>
      <c r="BR101" s="91">
        <f>IFERROR(LARGE($AL$3:$AL$102,99),"")</f>
        <v>-35.86260353</v>
      </c>
      <c r="BS101" s="91">
        <f t="shared" si="9"/>
        <v>-20.53825059</v>
      </c>
      <c r="BT101" s="91">
        <f t="shared" si="10"/>
        <v>7</v>
      </c>
      <c r="BU101" s="81">
        <v>99.0</v>
      </c>
      <c r="BV101" s="81" t="str">
        <f t="shared" si="4"/>
        <v/>
      </c>
      <c r="BW101" s="91"/>
      <c r="BX101" s="91"/>
      <c r="BY101" s="91">
        <f t="array" ref="BY101">IFERROR(VALUE(RIGHT(INDEX(ECR!$E:$E,MATCH(P101,ECR!$C:$C,0)),LEN(INDEX(ECR!$E:$E,MATCH(P101,ECR!$C:$C,0)))-2)),"")</f>
        <v>99</v>
      </c>
      <c r="BZ101" s="91"/>
      <c r="CA101" s="91"/>
      <c r="CB101" s="91"/>
      <c r="CC101" s="91"/>
      <c r="CD101" s="91"/>
      <c r="CE101" s="91"/>
      <c r="CF101" s="91"/>
      <c r="CG101" s="91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17"/>
      <c r="M102" s="2"/>
      <c r="N102" s="117"/>
      <c r="O102" s="73" t="s">
        <v>929</v>
      </c>
      <c r="P102" s="59" t="str">
        <f>VLOOKUP(O102,ECR!E:L,8,FALSE())</f>
        <v>Joe Mixon</v>
      </c>
      <c r="Q102" s="60" t="str">
        <f>IFERROR(VLOOKUP(Aggregate!$P102,ECR!C:F,2,FALSE()),"-")</f>
        <v>FA</v>
      </c>
      <c r="R102" s="60" t="str">
        <f>IFERROR(VLOOKUP(Aggregate!$P102,ECR!C:F,4,FALSE()),"-")</f>
        <v>-</v>
      </c>
      <c r="S102" s="60" t="str">
        <f>Aggregate!$Q102 &amp; "/" &amp; Aggregate!$R102</f>
        <v>FA/-</v>
      </c>
      <c r="T102" s="62">
        <f>IFERROR(VLOOKUP(Aggregate!$P102,RB!A:Q,13,FALSE())/17*(16-Aggregate!$AA102),0)</f>
        <v>0</v>
      </c>
      <c r="U102" s="62">
        <f>IFERROR(VLOOKUP(Aggregate!$P102,RB!A:Q,14,FALSE())/17*(16-Aggregate!$AA102),0)</f>
        <v>0</v>
      </c>
      <c r="V102" s="62">
        <f>IFERROR(VLOOKUP(Aggregate!$P102,RB!A:Q,15,FALSE())/17*(16-Aggregate!$AA102),0)</f>
        <v>0</v>
      </c>
      <c r="W102" s="69">
        <f>AVERAGE(Aggregate!$T102,Aggregate!$U102,Aggregate!$V102,VLOOKUP(Aggregate!$P102,ECR!L:N,3,FALSE))</f>
        <v>0</v>
      </c>
      <c r="X102" s="69">
        <f>Aggregate!$W102-$Q$1</f>
        <v>-78.3908891</v>
      </c>
      <c r="Y102" s="72">
        <f>MAX(Aggregate!$X102*Scoring!$B$48+1,1)</f>
        <v>1</v>
      </c>
      <c r="Z102" s="73">
        <f>VLOOKUP(Aggregate!$X102,BM:BO,3,FALSE)</f>
        <v>10</v>
      </c>
      <c r="AA102" s="80">
        <f t="array" ref="AA102">VLOOKUP(INDEX(ECR!$E:$E,MATCH(P102,ECR!$C:$C,0)),RISK!A:B,2,FALSE())</f>
        <v>3.368</v>
      </c>
      <c r="AB102" s="81"/>
      <c r="AC102" s="60" t="s">
        <v>933</v>
      </c>
      <c r="AD102" s="60" t="str">
        <f>VLOOKUP(AC102,ECR!E:L,8,FALSE())</f>
        <v>Caleb Douglas</v>
      </c>
      <c r="AE102" s="60" t="str">
        <f>IFERROR(VLOOKUP(Aggregate!$AD102,ECR!C:F,2,FALSE()),"-")</f>
        <v>MIA</v>
      </c>
      <c r="AF102" s="60">
        <f>IFERROR(VLOOKUP(Aggregate!$AD102,ECR!C:F,4,FALSE()),"-")</f>
        <v>6</v>
      </c>
      <c r="AG102" s="60" t="str">
        <f>Aggregate!$AE102 &amp; "/" &amp; Aggregate!$AF102</f>
        <v>MIA/6</v>
      </c>
      <c r="AH102" s="62">
        <f>IFERROR(VLOOKUP(Aggregate!$AD102,WR!A:Q,13,FALSE())/17*(16-Aggregate!$AO102),0)</f>
        <v>76.06233176</v>
      </c>
      <c r="AI102" s="62">
        <f>IFERROR(VLOOKUP(Aggregate!$AD102,WR!A:Q,14,FALSE())/17*(16-Aggregate!$AO102),0)</f>
        <v>85.96744941</v>
      </c>
      <c r="AJ102" s="62">
        <f>IFERROR(VLOOKUP(Aggregate!$AD102,WR!A:Q,15,FALSE())/17*(16-Aggregate!$AO102),0)</f>
        <v>95.76403765</v>
      </c>
      <c r="AK102" s="69">
        <f>AVERAGE(Aggregate!$AH102,Aggregate!$AI102,Aggregate!$AJ102,VLOOKUP(Aggregate!$AD102,ECR!L:N,3,FALSE))</f>
        <v>73.84529294</v>
      </c>
      <c r="AL102" s="69">
        <f>Aggregate!$AK102-$AE$1</f>
        <v>-7.675634118</v>
      </c>
      <c r="AM102" s="72">
        <f>MAX(Aggregate!$AL102*Scoring!$B$48+1,1)</f>
        <v>1</v>
      </c>
      <c r="AN102" s="73">
        <f>VLOOKUP(Aggregate!$AL102,BR:BT,3,FALSE)</f>
        <v>6</v>
      </c>
      <c r="AO102" s="80">
        <f t="array" ref="AO102">VLOOKUP(INDEX(ECR!$E:$E,MATCH(AD102,ECR!$C:$C,0)),RISK!A:B,2,FALSE())</f>
        <v>3.7</v>
      </c>
      <c r="AP102" s="81"/>
      <c r="AQ102" s="85" t="s">
        <v>937</v>
      </c>
      <c r="AR102" s="2"/>
      <c r="AS102" s="117"/>
      <c r="AT102" s="2"/>
      <c r="AU102" s="2"/>
      <c r="AV102" s="2"/>
      <c r="AW102" s="2"/>
      <c r="AX102" s="2"/>
      <c r="AY102" s="2"/>
      <c r="AZ102" s="2"/>
      <c r="BA102" s="2"/>
      <c r="BB102" s="117"/>
      <c r="BC102" s="2"/>
      <c r="BD102" s="2"/>
      <c r="BE102" s="117"/>
      <c r="BF102" s="81">
        <v>100.0</v>
      </c>
      <c r="BG102" s="81" t="str">
        <f t="shared" si="1"/>
        <v/>
      </c>
      <c r="BH102" s="91"/>
      <c r="BI102" s="91"/>
      <c r="BJ102" s="91"/>
      <c r="BK102" s="120">
        <v>100.0</v>
      </c>
      <c r="BL102" s="121">
        <f t="shared" si="2"/>
        <v>0</v>
      </c>
      <c r="BM102" s="122">
        <f>IFERROR(LARGE($X$3:$X$102,100),"")</f>
        <v>-78.3908891</v>
      </c>
      <c r="BN102" s="122">
        <f t="shared" si="7"/>
        <v>-62.51172204</v>
      </c>
      <c r="BO102" s="123">
        <f t="shared" si="8"/>
        <v>10</v>
      </c>
      <c r="BP102" s="91">
        <v>100.0</v>
      </c>
      <c r="BQ102" s="81">
        <f t="shared" si="3"/>
        <v>37.58735294</v>
      </c>
      <c r="BR102" s="91">
        <f>IFERROR(LARGE($AL$3:$AL$102,100),"")</f>
        <v>-38.49805941</v>
      </c>
      <c r="BS102" s="91">
        <f t="shared" si="9"/>
        <v>-20.53825059</v>
      </c>
      <c r="BT102" s="91">
        <f t="shared" si="10"/>
        <v>7</v>
      </c>
      <c r="BU102" s="81">
        <v>100.0</v>
      </c>
      <c r="BV102" s="81" t="str">
        <f t="shared" si="4"/>
        <v/>
      </c>
      <c r="BW102" s="91"/>
      <c r="BX102" s="91"/>
      <c r="BY102" s="91">
        <f t="array" ref="BY102">IFERROR(VALUE(RIGHT(INDEX(ECR!$E:$E,MATCH(P102,ECR!$C:$C,0)),LEN(INDEX(ECR!$E:$E,MATCH(P102,ECR!$C:$C,0)))-2)),"")</f>
        <v>100</v>
      </c>
      <c r="BZ102" s="91"/>
      <c r="CA102" s="91"/>
      <c r="CB102" s="91"/>
      <c r="CC102" s="91"/>
      <c r="CD102" s="91"/>
      <c r="CE102" s="91"/>
      <c r="CF102" s="91"/>
      <c r="CG102" s="91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17"/>
      <c r="M103" s="2"/>
      <c r="N103" s="11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117"/>
      <c r="AA103" s="2"/>
      <c r="AB103" s="117"/>
      <c r="AC103" s="2"/>
      <c r="AD103" s="2"/>
      <c r="AE103" s="117"/>
      <c r="AF103" s="2"/>
      <c r="AG103" s="2"/>
      <c r="AH103" s="2"/>
      <c r="AI103" s="2"/>
      <c r="AJ103" s="2"/>
      <c r="AK103" s="2"/>
      <c r="AL103" s="2"/>
      <c r="AM103" s="2"/>
      <c r="AN103" s="117"/>
      <c r="AO103" s="2"/>
      <c r="AP103" s="117"/>
      <c r="AQ103" s="2"/>
      <c r="AR103" s="2"/>
      <c r="AS103" s="117"/>
      <c r="AT103" s="2"/>
      <c r="AU103" s="2"/>
      <c r="AV103" s="2"/>
      <c r="AW103" s="2"/>
      <c r="AX103" s="2"/>
      <c r="AY103" s="2"/>
      <c r="AZ103" s="2"/>
      <c r="BA103" s="2"/>
      <c r="BB103" s="117"/>
      <c r="BC103" s="2"/>
      <c r="BD103" s="2"/>
      <c r="BE103" s="117"/>
      <c r="BF103" s="117"/>
      <c r="BG103" s="117"/>
      <c r="BH103" s="91"/>
      <c r="BI103" s="91"/>
      <c r="BJ103" s="91"/>
      <c r="BK103" s="91"/>
      <c r="BL103" s="91"/>
      <c r="BM103" s="91"/>
      <c r="BN103" s="91"/>
      <c r="BO103" s="81"/>
      <c r="BP103" s="91"/>
      <c r="BQ103" s="8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17"/>
      <c r="M104" s="2"/>
      <c r="N104" s="11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117"/>
      <c r="AA104" s="2"/>
      <c r="AB104" s="117"/>
      <c r="AC104" s="2"/>
      <c r="AD104" s="2"/>
      <c r="AE104" s="117"/>
      <c r="AF104" s="2"/>
      <c r="AG104" s="2"/>
      <c r="AH104" s="2"/>
      <c r="AI104" s="2"/>
      <c r="AJ104" s="2"/>
      <c r="AK104" s="2"/>
      <c r="AL104" s="2"/>
      <c r="AM104" s="2"/>
      <c r="AN104" s="117"/>
      <c r="AO104" s="2"/>
      <c r="AP104" s="117"/>
      <c r="AQ104" s="2"/>
      <c r="AR104" s="2"/>
      <c r="AS104" s="117"/>
      <c r="AT104" s="2"/>
      <c r="AU104" s="2"/>
      <c r="AV104" s="2"/>
      <c r="AW104" s="2"/>
      <c r="AX104" s="2"/>
      <c r="AY104" s="2"/>
      <c r="AZ104" s="2"/>
      <c r="BA104" s="2"/>
      <c r="BB104" s="117"/>
      <c r="BC104" s="2"/>
      <c r="BD104" s="2"/>
      <c r="BE104" s="117"/>
      <c r="BF104" s="117"/>
      <c r="BG104" s="117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17"/>
      <c r="M105" s="2"/>
      <c r="N105" s="11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117"/>
      <c r="AA105" s="2"/>
      <c r="AB105" s="117"/>
      <c r="AC105" s="2"/>
      <c r="AD105" s="2"/>
      <c r="AE105" s="117"/>
      <c r="AF105" s="2"/>
      <c r="AG105" s="2"/>
      <c r="AH105" s="2"/>
      <c r="AI105" s="2"/>
      <c r="AJ105" s="2"/>
      <c r="AK105" s="2"/>
      <c r="AL105" s="2"/>
      <c r="AM105" s="2"/>
      <c r="AN105" s="117"/>
      <c r="AO105" s="2"/>
      <c r="AP105" s="117"/>
      <c r="AQ105" s="2"/>
      <c r="AR105" s="2"/>
      <c r="AS105" s="117"/>
      <c r="AT105" s="2"/>
      <c r="AU105" s="2"/>
      <c r="AV105" s="2"/>
      <c r="AW105" s="2"/>
      <c r="AX105" s="2"/>
      <c r="AY105" s="2"/>
      <c r="AZ105" s="2"/>
      <c r="BA105" s="2"/>
      <c r="BB105" s="117"/>
      <c r="BC105" s="2"/>
      <c r="BD105" s="2"/>
      <c r="BE105" s="117"/>
      <c r="BF105" s="117"/>
      <c r="BG105" s="117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17"/>
      <c r="M106" s="2"/>
      <c r="N106" s="11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117"/>
      <c r="AA106" s="2"/>
      <c r="AB106" s="117"/>
      <c r="AC106" s="2"/>
      <c r="AD106" s="2"/>
      <c r="AE106" s="117"/>
      <c r="AF106" s="2"/>
      <c r="AG106" s="2"/>
      <c r="AH106" s="2"/>
      <c r="AI106" s="2"/>
      <c r="AJ106" s="2"/>
      <c r="AK106" s="2"/>
      <c r="AL106" s="2"/>
      <c r="AM106" s="2"/>
      <c r="AN106" s="117"/>
      <c r="AO106" s="2"/>
      <c r="AP106" s="117"/>
      <c r="AQ106" s="2"/>
      <c r="AR106" s="2"/>
      <c r="AS106" s="117"/>
      <c r="AT106" s="2"/>
      <c r="AU106" s="2"/>
      <c r="AV106" s="2"/>
      <c r="AW106" s="2"/>
      <c r="AX106" s="2"/>
      <c r="AY106" s="2"/>
      <c r="AZ106" s="2"/>
      <c r="BA106" s="2"/>
      <c r="BB106" s="117"/>
      <c r="BC106" s="2"/>
      <c r="BD106" s="2"/>
      <c r="BE106" s="117"/>
      <c r="BF106" s="117"/>
      <c r="BG106" s="117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17"/>
      <c r="M107" s="2"/>
      <c r="N107" s="11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117"/>
      <c r="AA107" s="2"/>
      <c r="AB107" s="117"/>
      <c r="AC107" s="2"/>
      <c r="AD107" s="2"/>
      <c r="AE107" s="117"/>
      <c r="AF107" s="2"/>
      <c r="AG107" s="2"/>
      <c r="AH107" s="2"/>
      <c r="AI107" s="2"/>
      <c r="AJ107" s="2"/>
      <c r="AK107" s="2"/>
      <c r="AL107" s="2"/>
      <c r="AM107" s="2"/>
      <c r="AN107" s="117"/>
      <c r="AO107" s="2"/>
      <c r="AP107" s="117"/>
      <c r="AQ107" s="2"/>
      <c r="AR107" s="2"/>
      <c r="AS107" s="117"/>
      <c r="AT107" s="2"/>
      <c r="AU107" s="2"/>
      <c r="AV107" s="2"/>
      <c r="AW107" s="2"/>
      <c r="AX107" s="2"/>
      <c r="AY107" s="2"/>
      <c r="AZ107" s="2"/>
      <c r="BA107" s="2"/>
      <c r="BB107" s="117"/>
      <c r="BC107" s="2"/>
      <c r="BD107" s="2"/>
      <c r="BE107" s="117"/>
      <c r="BF107" s="117"/>
      <c r="BG107" s="117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17"/>
      <c r="M108" s="2"/>
      <c r="N108" s="11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117"/>
      <c r="AA108" s="2"/>
      <c r="AB108" s="117"/>
      <c r="AC108" s="2"/>
      <c r="AD108" s="2"/>
      <c r="AE108" s="117"/>
      <c r="AF108" s="2"/>
      <c r="AG108" s="2"/>
      <c r="AH108" s="2"/>
      <c r="AI108" s="2"/>
      <c r="AJ108" s="2"/>
      <c r="AK108" s="2"/>
      <c r="AL108" s="2"/>
      <c r="AM108" s="2"/>
      <c r="AN108" s="117"/>
      <c r="AO108" s="2"/>
      <c r="AP108" s="117"/>
      <c r="AQ108" s="2"/>
      <c r="AR108" s="2"/>
      <c r="AS108" s="117"/>
      <c r="AT108" s="2"/>
      <c r="AU108" s="2"/>
      <c r="AV108" s="2"/>
      <c r="AW108" s="2"/>
      <c r="AX108" s="2"/>
      <c r="AY108" s="2"/>
      <c r="AZ108" s="2"/>
      <c r="BA108" s="2"/>
      <c r="BB108" s="117"/>
      <c r="BC108" s="2"/>
      <c r="BD108" s="2"/>
      <c r="BE108" s="117"/>
      <c r="BF108" s="117"/>
      <c r="BG108" s="117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17"/>
      <c r="M109" s="2"/>
      <c r="N109" s="11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117"/>
      <c r="AA109" s="2"/>
      <c r="AB109" s="117"/>
      <c r="AC109" s="2"/>
      <c r="AD109" s="2"/>
      <c r="AE109" s="117"/>
      <c r="AF109" s="2"/>
      <c r="AG109" s="2"/>
      <c r="AH109" s="2"/>
      <c r="AI109" s="2"/>
      <c r="AJ109" s="2"/>
      <c r="AK109" s="2"/>
      <c r="AL109" s="2"/>
      <c r="AM109" s="2"/>
      <c r="AN109" s="117"/>
      <c r="AO109" s="2"/>
      <c r="AP109" s="117"/>
      <c r="AQ109" s="2"/>
      <c r="AR109" s="2"/>
      <c r="AS109" s="117"/>
      <c r="AT109" s="2"/>
      <c r="AU109" s="2"/>
      <c r="AV109" s="2"/>
      <c r="AW109" s="2"/>
      <c r="AX109" s="2"/>
      <c r="AY109" s="2"/>
      <c r="AZ109" s="2"/>
      <c r="BA109" s="2"/>
      <c r="BB109" s="117"/>
      <c r="BC109" s="2"/>
      <c r="BD109" s="2"/>
      <c r="BE109" s="117"/>
      <c r="BF109" s="117"/>
      <c r="BG109" s="117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17"/>
      <c r="M110" s="2"/>
      <c r="N110" s="11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117"/>
      <c r="AA110" s="2"/>
      <c r="AB110" s="117"/>
      <c r="AC110" s="2"/>
      <c r="AD110" s="2"/>
      <c r="AE110" s="117"/>
      <c r="AF110" s="2"/>
      <c r="AG110" s="2"/>
      <c r="AH110" s="2"/>
      <c r="AI110" s="2"/>
      <c r="AJ110" s="2"/>
      <c r="AK110" s="2"/>
      <c r="AL110" s="2"/>
      <c r="AM110" s="2"/>
      <c r="AN110" s="117"/>
      <c r="AO110" s="2"/>
      <c r="AP110" s="117"/>
      <c r="AQ110" s="2"/>
      <c r="AR110" s="2"/>
      <c r="AS110" s="117"/>
      <c r="AT110" s="2"/>
      <c r="AU110" s="2"/>
      <c r="AV110" s="2"/>
      <c r="AW110" s="2"/>
      <c r="AX110" s="2"/>
      <c r="AY110" s="2"/>
      <c r="AZ110" s="2"/>
      <c r="BA110" s="2"/>
      <c r="BB110" s="117"/>
      <c r="BC110" s="2"/>
      <c r="BD110" s="2"/>
      <c r="BE110" s="117"/>
      <c r="BF110" s="117"/>
      <c r="BG110" s="117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17"/>
      <c r="M111" s="2"/>
      <c r="N111" s="11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117"/>
      <c r="AA111" s="2"/>
      <c r="AB111" s="117"/>
      <c r="AC111" s="2"/>
      <c r="AD111" s="2"/>
      <c r="AE111" s="117"/>
      <c r="AF111" s="2"/>
      <c r="AG111" s="2"/>
      <c r="AH111" s="2"/>
      <c r="AI111" s="2"/>
      <c r="AJ111" s="2"/>
      <c r="AK111" s="2"/>
      <c r="AL111" s="2"/>
      <c r="AM111" s="2"/>
      <c r="AN111" s="117"/>
      <c r="AO111" s="2"/>
      <c r="AP111" s="117"/>
      <c r="AQ111" s="2"/>
      <c r="AR111" s="2"/>
      <c r="AS111" s="117"/>
      <c r="AT111" s="2"/>
      <c r="AU111" s="2"/>
      <c r="AV111" s="2"/>
      <c r="AW111" s="2"/>
      <c r="AX111" s="2"/>
      <c r="AY111" s="2"/>
      <c r="AZ111" s="2"/>
      <c r="BA111" s="2"/>
      <c r="BB111" s="117"/>
      <c r="BC111" s="2"/>
      <c r="BD111" s="2"/>
      <c r="BE111" s="117"/>
      <c r="BF111" s="117"/>
      <c r="BG111" s="117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17"/>
      <c r="M112" s="2"/>
      <c r="N112" s="11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117"/>
      <c r="AA112" s="2"/>
      <c r="AB112" s="117"/>
      <c r="AC112" s="2"/>
      <c r="AD112" s="2"/>
      <c r="AE112" s="117"/>
      <c r="AF112" s="2"/>
      <c r="AG112" s="2"/>
      <c r="AH112" s="2"/>
      <c r="AI112" s="2"/>
      <c r="AJ112" s="2"/>
      <c r="AK112" s="2"/>
      <c r="AL112" s="2"/>
      <c r="AM112" s="2"/>
      <c r="AN112" s="117"/>
      <c r="AO112" s="2"/>
      <c r="AP112" s="117"/>
      <c r="AQ112" s="2"/>
      <c r="AR112" s="2"/>
      <c r="AS112" s="117"/>
      <c r="AT112" s="2"/>
      <c r="AU112" s="2"/>
      <c r="AV112" s="2"/>
      <c r="AW112" s="2"/>
      <c r="AX112" s="2"/>
      <c r="AY112" s="2"/>
      <c r="AZ112" s="2"/>
      <c r="BA112" s="2"/>
      <c r="BB112" s="117"/>
      <c r="BC112" s="2"/>
      <c r="BD112" s="2"/>
      <c r="BE112" s="117"/>
      <c r="BF112" s="117"/>
      <c r="BG112" s="117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17"/>
      <c r="M113" s="2"/>
      <c r="N113" s="11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117"/>
      <c r="AA113" s="2"/>
      <c r="AB113" s="117"/>
      <c r="AC113" s="2"/>
      <c r="AD113" s="2"/>
      <c r="AE113" s="117"/>
      <c r="AF113" s="2"/>
      <c r="AG113" s="2"/>
      <c r="AH113" s="2"/>
      <c r="AI113" s="2"/>
      <c r="AJ113" s="2"/>
      <c r="AK113" s="2"/>
      <c r="AL113" s="2"/>
      <c r="AM113" s="2"/>
      <c r="AN113" s="117"/>
      <c r="AO113" s="2"/>
      <c r="AP113" s="117"/>
      <c r="AQ113" s="2"/>
      <c r="AR113" s="2"/>
      <c r="AS113" s="117"/>
      <c r="AT113" s="2"/>
      <c r="AU113" s="2"/>
      <c r="AV113" s="2"/>
      <c r="AW113" s="2"/>
      <c r="AX113" s="2"/>
      <c r="AY113" s="2"/>
      <c r="AZ113" s="2"/>
      <c r="BA113" s="2"/>
      <c r="BB113" s="117"/>
      <c r="BC113" s="2"/>
      <c r="BD113" s="2"/>
      <c r="BE113" s="117"/>
      <c r="BF113" s="117"/>
      <c r="BG113" s="117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17"/>
      <c r="M114" s="2"/>
      <c r="N114" s="11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117"/>
      <c r="AA114" s="2"/>
      <c r="AB114" s="117"/>
      <c r="AC114" s="2"/>
      <c r="AD114" s="2"/>
      <c r="AE114" s="117"/>
      <c r="AF114" s="2"/>
      <c r="AG114" s="2"/>
      <c r="AH114" s="2"/>
      <c r="AI114" s="2"/>
      <c r="AJ114" s="2"/>
      <c r="AK114" s="2"/>
      <c r="AL114" s="2"/>
      <c r="AM114" s="2"/>
      <c r="AN114" s="117"/>
      <c r="AO114" s="2"/>
      <c r="AP114" s="117"/>
      <c r="AQ114" s="2"/>
      <c r="AR114" s="2"/>
      <c r="AS114" s="117"/>
      <c r="AT114" s="2"/>
      <c r="AU114" s="2"/>
      <c r="AV114" s="2"/>
      <c r="AW114" s="2"/>
      <c r="AX114" s="2"/>
      <c r="AY114" s="2"/>
      <c r="AZ114" s="2"/>
      <c r="BA114" s="2"/>
      <c r="BB114" s="117"/>
      <c r="BC114" s="2"/>
      <c r="BD114" s="2"/>
      <c r="BE114" s="117"/>
      <c r="BF114" s="117"/>
      <c r="BG114" s="117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17"/>
      <c r="M115" s="2"/>
      <c r="N115" s="11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117"/>
      <c r="AA115" s="2"/>
      <c r="AB115" s="117"/>
      <c r="AC115" s="2"/>
      <c r="AD115" s="2"/>
      <c r="AE115" s="117"/>
      <c r="AF115" s="2"/>
      <c r="AG115" s="2"/>
      <c r="AH115" s="2"/>
      <c r="AI115" s="2"/>
      <c r="AJ115" s="2"/>
      <c r="AK115" s="2"/>
      <c r="AL115" s="2"/>
      <c r="AM115" s="2"/>
      <c r="AN115" s="117"/>
      <c r="AO115" s="2"/>
      <c r="AP115" s="117"/>
      <c r="AQ115" s="2"/>
      <c r="AR115" s="2"/>
      <c r="AS115" s="117"/>
      <c r="AT115" s="2"/>
      <c r="AU115" s="2"/>
      <c r="AV115" s="2"/>
      <c r="AW115" s="2"/>
      <c r="AX115" s="2"/>
      <c r="AY115" s="2"/>
      <c r="AZ115" s="2"/>
      <c r="BA115" s="2"/>
      <c r="BB115" s="117"/>
      <c r="BC115" s="2"/>
      <c r="BD115" s="2"/>
      <c r="BE115" s="117"/>
      <c r="BF115" s="117"/>
      <c r="BG115" s="117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17"/>
      <c r="M116" s="2"/>
      <c r="N116" s="11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117"/>
      <c r="AA116" s="2"/>
      <c r="AB116" s="117"/>
      <c r="AC116" s="2"/>
      <c r="AD116" s="2"/>
      <c r="AE116" s="117"/>
      <c r="AF116" s="2"/>
      <c r="AG116" s="2"/>
      <c r="AH116" s="2"/>
      <c r="AI116" s="2"/>
      <c r="AJ116" s="2"/>
      <c r="AK116" s="2"/>
      <c r="AL116" s="2"/>
      <c r="AM116" s="2"/>
      <c r="AN116" s="117"/>
      <c r="AO116" s="2"/>
      <c r="AP116" s="117"/>
      <c r="AQ116" s="2"/>
      <c r="AR116" s="2"/>
      <c r="AS116" s="117"/>
      <c r="AT116" s="2"/>
      <c r="AU116" s="2"/>
      <c r="AV116" s="2"/>
      <c r="AW116" s="2"/>
      <c r="AX116" s="2"/>
      <c r="AY116" s="2"/>
      <c r="AZ116" s="2"/>
      <c r="BA116" s="2"/>
      <c r="BB116" s="117"/>
      <c r="BC116" s="2"/>
      <c r="BD116" s="2"/>
      <c r="BE116" s="117"/>
      <c r="BF116" s="117"/>
      <c r="BG116" s="117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17"/>
      <c r="M117" s="2"/>
      <c r="N117" s="11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117"/>
      <c r="AA117" s="2"/>
      <c r="AB117" s="117"/>
      <c r="AC117" s="2"/>
      <c r="AD117" s="2"/>
      <c r="AE117" s="117"/>
      <c r="AF117" s="2"/>
      <c r="AG117" s="2"/>
      <c r="AH117" s="2"/>
      <c r="AI117" s="2"/>
      <c r="AJ117" s="2"/>
      <c r="AK117" s="2"/>
      <c r="AL117" s="2"/>
      <c r="AM117" s="2"/>
      <c r="AN117" s="117"/>
      <c r="AO117" s="2"/>
      <c r="AP117" s="117"/>
      <c r="AQ117" s="2"/>
      <c r="AR117" s="2"/>
      <c r="AS117" s="117"/>
      <c r="AT117" s="2"/>
      <c r="AU117" s="2"/>
      <c r="AV117" s="2"/>
      <c r="AW117" s="2"/>
      <c r="AX117" s="2"/>
      <c r="AY117" s="2"/>
      <c r="AZ117" s="2"/>
      <c r="BA117" s="2"/>
      <c r="BB117" s="117"/>
      <c r="BC117" s="2"/>
      <c r="BD117" s="2"/>
      <c r="BE117" s="117"/>
      <c r="BF117" s="117"/>
      <c r="BG117" s="117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17"/>
      <c r="M118" s="2"/>
      <c r="N118" s="11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117"/>
      <c r="AA118" s="2"/>
      <c r="AB118" s="117"/>
      <c r="AC118" s="2"/>
      <c r="AD118" s="2"/>
      <c r="AE118" s="117"/>
      <c r="AF118" s="2"/>
      <c r="AG118" s="2"/>
      <c r="AH118" s="2"/>
      <c r="AI118" s="2"/>
      <c r="AJ118" s="2"/>
      <c r="AK118" s="2"/>
      <c r="AL118" s="2"/>
      <c r="AM118" s="2"/>
      <c r="AN118" s="117"/>
      <c r="AO118" s="2"/>
      <c r="AP118" s="117"/>
      <c r="AQ118" s="2"/>
      <c r="AR118" s="2"/>
      <c r="AS118" s="117"/>
      <c r="AT118" s="2"/>
      <c r="AU118" s="2"/>
      <c r="AV118" s="2"/>
      <c r="AW118" s="2"/>
      <c r="AX118" s="2"/>
      <c r="AY118" s="2"/>
      <c r="AZ118" s="2"/>
      <c r="BA118" s="2"/>
      <c r="BB118" s="117"/>
      <c r="BC118" s="2"/>
      <c r="BD118" s="2"/>
      <c r="BE118" s="117"/>
      <c r="BF118" s="117"/>
      <c r="BG118" s="117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17"/>
      <c r="M119" s="2"/>
      <c r="N119" s="11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117"/>
      <c r="AA119" s="2"/>
      <c r="AB119" s="117"/>
      <c r="AC119" s="2"/>
      <c r="AD119" s="2"/>
      <c r="AE119" s="117"/>
      <c r="AF119" s="2"/>
      <c r="AG119" s="2"/>
      <c r="AH119" s="2"/>
      <c r="AI119" s="2"/>
      <c r="AJ119" s="2"/>
      <c r="AK119" s="2"/>
      <c r="AL119" s="2"/>
      <c r="AM119" s="2"/>
      <c r="AN119" s="117"/>
      <c r="AO119" s="2"/>
      <c r="AP119" s="117"/>
      <c r="AQ119" s="2"/>
      <c r="AR119" s="2"/>
      <c r="AS119" s="117"/>
      <c r="AT119" s="2"/>
      <c r="AU119" s="2"/>
      <c r="AV119" s="2"/>
      <c r="AW119" s="2"/>
      <c r="AX119" s="2"/>
      <c r="AY119" s="2"/>
      <c r="AZ119" s="2"/>
      <c r="BA119" s="2"/>
      <c r="BB119" s="117"/>
      <c r="BC119" s="2"/>
      <c r="BD119" s="2"/>
      <c r="BE119" s="117"/>
      <c r="BF119" s="117"/>
      <c r="BG119" s="117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17"/>
      <c r="M120" s="2"/>
      <c r="N120" s="11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117"/>
      <c r="AA120" s="2"/>
      <c r="AB120" s="117"/>
      <c r="AC120" s="2"/>
      <c r="AD120" s="2"/>
      <c r="AE120" s="117"/>
      <c r="AF120" s="2"/>
      <c r="AG120" s="2"/>
      <c r="AH120" s="2"/>
      <c r="AI120" s="2"/>
      <c r="AJ120" s="2"/>
      <c r="AK120" s="2"/>
      <c r="AL120" s="2"/>
      <c r="AM120" s="2"/>
      <c r="AN120" s="117"/>
      <c r="AO120" s="2"/>
      <c r="AP120" s="117"/>
      <c r="AQ120" s="2"/>
      <c r="AR120" s="2"/>
      <c r="AS120" s="117"/>
      <c r="AT120" s="2"/>
      <c r="AU120" s="2"/>
      <c r="AV120" s="2"/>
      <c r="AW120" s="2"/>
      <c r="AX120" s="2"/>
      <c r="AY120" s="2"/>
      <c r="AZ120" s="2"/>
      <c r="BA120" s="2"/>
      <c r="BB120" s="117"/>
      <c r="BC120" s="2"/>
      <c r="BD120" s="2"/>
      <c r="BE120" s="117"/>
      <c r="BF120" s="117"/>
      <c r="BG120" s="117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17"/>
      <c r="M121" s="2"/>
      <c r="N121" s="11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117"/>
      <c r="AA121" s="2"/>
      <c r="AB121" s="117"/>
      <c r="AC121" s="2"/>
      <c r="AD121" s="2"/>
      <c r="AE121" s="117"/>
      <c r="AF121" s="2"/>
      <c r="AG121" s="2"/>
      <c r="AH121" s="2"/>
      <c r="AI121" s="2"/>
      <c r="AJ121" s="2"/>
      <c r="AK121" s="2"/>
      <c r="AL121" s="2"/>
      <c r="AM121" s="2"/>
      <c r="AN121" s="117"/>
      <c r="AO121" s="2"/>
      <c r="AP121" s="117"/>
      <c r="AQ121" s="2"/>
      <c r="AR121" s="2"/>
      <c r="AS121" s="117"/>
      <c r="AT121" s="2"/>
      <c r="AU121" s="2"/>
      <c r="AV121" s="2"/>
      <c r="AW121" s="2"/>
      <c r="AX121" s="2"/>
      <c r="AY121" s="2"/>
      <c r="AZ121" s="2"/>
      <c r="BA121" s="2"/>
      <c r="BB121" s="117"/>
      <c r="BC121" s="2"/>
      <c r="BD121" s="2"/>
      <c r="BE121" s="117"/>
      <c r="BF121" s="117"/>
      <c r="BG121" s="117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17"/>
      <c r="M122" s="2"/>
      <c r="N122" s="11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117"/>
      <c r="AA122" s="2"/>
      <c r="AB122" s="117"/>
      <c r="AC122" s="2"/>
      <c r="AD122" s="2"/>
      <c r="AE122" s="117"/>
      <c r="AF122" s="2"/>
      <c r="AG122" s="2"/>
      <c r="AH122" s="2"/>
      <c r="AI122" s="2"/>
      <c r="AJ122" s="2"/>
      <c r="AK122" s="2"/>
      <c r="AL122" s="2"/>
      <c r="AM122" s="2"/>
      <c r="AN122" s="117"/>
      <c r="AO122" s="2"/>
      <c r="AP122" s="117"/>
      <c r="AQ122" s="2"/>
      <c r="AR122" s="2"/>
      <c r="AS122" s="117"/>
      <c r="AT122" s="2"/>
      <c r="AU122" s="2"/>
      <c r="AV122" s="2"/>
      <c r="AW122" s="2"/>
      <c r="AX122" s="2"/>
      <c r="AY122" s="2"/>
      <c r="AZ122" s="2"/>
      <c r="BA122" s="2"/>
      <c r="BB122" s="117"/>
      <c r="BC122" s="2"/>
      <c r="BD122" s="2"/>
      <c r="BE122" s="117"/>
      <c r="BF122" s="117"/>
      <c r="BG122" s="117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17"/>
      <c r="M123" s="2"/>
      <c r="N123" s="11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117"/>
      <c r="AA123" s="2"/>
      <c r="AB123" s="117"/>
      <c r="AC123" s="2"/>
      <c r="AD123" s="2"/>
      <c r="AE123" s="117"/>
      <c r="AF123" s="2"/>
      <c r="AG123" s="2"/>
      <c r="AH123" s="2"/>
      <c r="AI123" s="2"/>
      <c r="AJ123" s="2"/>
      <c r="AK123" s="2"/>
      <c r="AL123" s="2"/>
      <c r="AM123" s="2"/>
      <c r="AN123" s="117"/>
      <c r="AO123" s="2"/>
      <c r="AP123" s="117"/>
      <c r="AQ123" s="2"/>
      <c r="AR123" s="2"/>
      <c r="AS123" s="117"/>
      <c r="AT123" s="2"/>
      <c r="AU123" s="2"/>
      <c r="AV123" s="2"/>
      <c r="AW123" s="2"/>
      <c r="AX123" s="2"/>
      <c r="AY123" s="2"/>
      <c r="AZ123" s="2"/>
      <c r="BA123" s="2"/>
      <c r="BB123" s="117"/>
      <c r="BC123" s="2"/>
      <c r="BD123" s="2"/>
      <c r="BE123" s="117"/>
      <c r="BF123" s="117"/>
      <c r="BG123" s="117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17"/>
      <c r="M124" s="2"/>
      <c r="N124" s="11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117"/>
      <c r="AA124" s="2"/>
      <c r="AB124" s="117"/>
      <c r="AC124" s="2"/>
      <c r="AD124" s="2"/>
      <c r="AE124" s="117"/>
      <c r="AF124" s="2"/>
      <c r="AG124" s="2"/>
      <c r="AH124" s="2"/>
      <c r="AI124" s="2"/>
      <c r="AJ124" s="2"/>
      <c r="AK124" s="2"/>
      <c r="AL124" s="2"/>
      <c r="AM124" s="2"/>
      <c r="AN124" s="117"/>
      <c r="AO124" s="2"/>
      <c r="AP124" s="117"/>
      <c r="AQ124" s="2"/>
      <c r="AR124" s="2"/>
      <c r="AS124" s="117"/>
      <c r="AT124" s="2"/>
      <c r="AU124" s="2"/>
      <c r="AV124" s="2"/>
      <c r="AW124" s="2"/>
      <c r="AX124" s="2"/>
      <c r="AY124" s="2"/>
      <c r="AZ124" s="2"/>
      <c r="BA124" s="2"/>
      <c r="BB124" s="117"/>
      <c r="BC124" s="2"/>
      <c r="BD124" s="2"/>
      <c r="BE124" s="117"/>
      <c r="BF124" s="117"/>
      <c r="BG124" s="117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17"/>
      <c r="M125" s="2"/>
      <c r="N125" s="11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117"/>
      <c r="AA125" s="2"/>
      <c r="AB125" s="117"/>
      <c r="AC125" s="2"/>
      <c r="AD125" s="2"/>
      <c r="AE125" s="117"/>
      <c r="AF125" s="2"/>
      <c r="AG125" s="2"/>
      <c r="AH125" s="2"/>
      <c r="AI125" s="2"/>
      <c r="AJ125" s="2"/>
      <c r="AK125" s="2"/>
      <c r="AL125" s="2"/>
      <c r="AM125" s="2"/>
      <c r="AN125" s="117"/>
      <c r="AO125" s="2"/>
      <c r="AP125" s="117"/>
      <c r="AQ125" s="2"/>
      <c r="AR125" s="2"/>
      <c r="AS125" s="117"/>
      <c r="AT125" s="2"/>
      <c r="AU125" s="2"/>
      <c r="AV125" s="2"/>
      <c r="AW125" s="2"/>
      <c r="AX125" s="2"/>
      <c r="AY125" s="2"/>
      <c r="AZ125" s="2"/>
      <c r="BA125" s="2"/>
      <c r="BB125" s="117"/>
      <c r="BC125" s="2"/>
      <c r="BD125" s="2"/>
      <c r="BE125" s="117"/>
      <c r="BF125" s="117"/>
      <c r="BG125" s="117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17"/>
      <c r="M126" s="2"/>
      <c r="N126" s="11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117"/>
      <c r="AA126" s="2"/>
      <c r="AB126" s="117"/>
      <c r="AC126" s="2"/>
      <c r="AD126" s="2"/>
      <c r="AE126" s="117"/>
      <c r="AF126" s="2"/>
      <c r="AG126" s="2"/>
      <c r="AH126" s="2"/>
      <c r="AI126" s="2"/>
      <c r="AJ126" s="2"/>
      <c r="AK126" s="2"/>
      <c r="AL126" s="2"/>
      <c r="AM126" s="2"/>
      <c r="AN126" s="117"/>
      <c r="AO126" s="2"/>
      <c r="AP126" s="117"/>
      <c r="AQ126" s="2"/>
      <c r="AR126" s="2"/>
      <c r="AS126" s="117"/>
      <c r="AT126" s="2"/>
      <c r="AU126" s="2"/>
      <c r="AV126" s="2"/>
      <c r="AW126" s="2"/>
      <c r="AX126" s="2"/>
      <c r="AY126" s="2"/>
      <c r="AZ126" s="2"/>
      <c r="BA126" s="2"/>
      <c r="BB126" s="117"/>
      <c r="BC126" s="2"/>
      <c r="BD126" s="2"/>
      <c r="BE126" s="117"/>
      <c r="BF126" s="117"/>
      <c r="BG126" s="117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17"/>
      <c r="M127" s="2"/>
      <c r="N127" s="11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117"/>
      <c r="AA127" s="2"/>
      <c r="AB127" s="117"/>
      <c r="AC127" s="2"/>
      <c r="AD127" s="2"/>
      <c r="AE127" s="117"/>
      <c r="AF127" s="2"/>
      <c r="AG127" s="2"/>
      <c r="AH127" s="2"/>
      <c r="AI127" s="2"/>
      <c r="AJ127" s="2"/>
      <c r="AK127" s="2"/>
      <c r="AL127" s="2"/>
      <c r="AM127" s="2"/>
      <c r="AN127" s="117"/>
      <c r="AO127" s="2"/>
      <c r="AP127" s="117"/>
      <c r="AQ127" s="2"/>
      <c r="AR127" s="2"/>
      <c r="AS127" s="117"/>
      <c r="AT127" s="2"/>
      <c r="AU127" s="2"/>
      <c r="AV127" s="2"/>
      <c r="AW127" s="2"/>
      <c r="AX127" s="2"/>
      <c r="AY127" s="2"/>
      <c r="AZ127" s="2"/>
      <c r="BA127" s="2"/>
      <c r="BB127" s="117"/>
      <c r="BC127" s="2"/>
      <c r="BD127" s="2"/>
      <c r="BE127" s="117"/>
      <c r="BF127" s="117"/>
      <c r="BG127" s="117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17"/>
      <c r="M128" s="2"/>
      <c r="N128" s="11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117"/>
      <c r="AA128" s="2"/>
      <c r="AB128" s="117"/>
      <c r="AC128" s="2"/>
      <c r="AD128" s="2"/>
      <c r="AE128" s="117"/>
      <c r="AF128" s="2"/>
      <c r="AG128" s="2"/>
      <c r="AH128" s="2"/>
      <c r="AI128" s="2"/>
      <c r="AJ128" s="2"/>
      <c r="AK128" s="2"/>
      <c r="AL128" s="2"/>
      <c r="AM128" s="2"/>
      <c r="AN128" s="117"/>
      <c r="AO128" s="2"/>
      <c r="AP128" s="117"/>
      <c r="AQ128" s="2"/>
      <c r="AR128" s="2"/>
      <c r="AS128" s="117"/>
      <c r="AT128" s="2"/>
      <c r="AU128" s="2"/>
      <c r="AV128" s="2"/>
      <c r="AW128" s="2"/>
      <c r="AX128" s="2"/>
      <c r="AY128" s="2"/>
      <c r="AZ128" s="2"/>
      <c r="BA128" s="2"/>
      <c r="BB128" s="117"/>
      <c r="BC128" s="2"/>
      <c r="BD128" s="2"/>
      <c r="BE128" s="117"/>
      <c r="BF128" s="117"/>
      <c r="BG128" s="117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17"/>
      <c r="M129" s="2"/>
      <c r="N129" s="11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117"/>
      <c r="AA129" s="2"/>
      <c r="AB129" s="117"/>
      <c r="AC129" s="2"/>
      <c r="AD129" s="2"/>
      <c r="AE129" s="117"/>
      <c r="AF129" s="2"/>
      <c r="AG129" s="2"/>
      <c r="AH129" s="2"/>
      <c r="AI129" s="2"/>
      <c r="AJ129" s="2"/>
      <c r="AK129" s="2"/>
      <c r="AL129" s="2"/>
      <c r="AM129" s="2"/>
      <c r="AN129" s="117"/>
      <c r="AO129" s="2"/>
      <c r="AP129" s="117"/>
      <c r="AQ129" s="2"/>
      <c r="AR129" s="2"/>
      <c r="AS129" s="117"/>
      <c r="AT129" s="2"/>
      <c r="AU129" s="2"/>
      <c r="AV129" s="2"/>
      <c r="AW129" s="2"/>
      <c r="AX129" s="2"/>
      <c r="AY129" s="2"/>
      <c r="AZ129" s="2"/>
      <c r="BA129" s="2"/>
      <c r="BB129" s="117"/>
      <c r="BC129" s="2"/>
      <c r="BD129" s="2"/>
      <c r="BE129" s="117"/>
      <c r="BF129" s="117"/>
      <c r="BG129" s="117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17"/>
      <c r="M130" s="2"/>
      <c r="N130" s="11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117"/>
      <c r="AA130" s="2"/>
      <c r="AB130" s="117"/>
      <c r="AC130" s="2"/>
      <c r="AD130" s="2"/>
      <c r="AE130" s="117"/>
      <c r="AF130" s="2"/>
      <c r="AG130" s="2"/>
      <c r="AH130" s="2"/>
      <c r="AI130" s="2"/>
      <c r="AJ130" s="2"/>
      <c r="AK130" s="2"/>
      <c r="AL130" s="2"/>
      <c r="AM130" s="2"/>
      <c r="AN130" s="117"/>
      <c r="AO130" s="2"/>
      <c r="AP130" s="117"/>
      <c r="AQ130" s="2"/>
      <c r="AR130" s="2"/>
      <c r="AS130" s="117"/>
      <c r="AT130" s="2"/>
      <c r="AU130" s="2"/>
      <c r="AV130" s="2"/>
      <c r="AW130" s="2"/>
      <c r="AX130" s="2"/>
      <c r="AY130" s="2"/>
      <c r="AZ130" s="2"/>
      <c r="BA130" s="2"/>
      <c r="BB130" s="117"/>
      <c r="BC130" s="2"/>
      <c r="BD130" s="2"/>
      <c r="BE130" s="117"/>
      <c r="BF130" s="117"/>
      <c r="BG130" s="117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17"/>
      <c r="M131" s="2"/>
      <c r="N131" s="11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117"/>
      <c r="AA131" s="2"/>
      <c r="AB131" s="117"/>
      <c r="AC131" s="2"/>
      <c r="AD131" s="2"/>
      <c r="AE131" s="117"/>
      <c r="AF131" s="2"/>
      <c r="AG131" s="2"/>
      <c r="AH131" s="2"/>
      <c r="AI131" s="2"/>
      <c r="AJ131" s="2"/>
      <c r="AK131" s="2"/>
      <c r="AL131" s="2"/>
      <c r="AM131" s="2"/>
      <c r="AN131" s="117"/>
      <c r="AO131" s="2"/>
      <c r="AP131" s="117"/>
      <c r="AQ131" s="2"/>
      <c r="AR131" s="2"/>
      <c r="AS131" s="117"/>
      <c r="AT131" s="2"/>
      <c r="AU131" s="2"/>
      <c r="AV131" s="2"/>
      <c r="AW131" s="2"/>
      <c r="AX131" s="2"/>
      <c r="AY131" s="2"/>
      <c r="AZ131" s="2"/>
      <c r="BA131" s="2"/>
      <c r="BB131" s="117"/>
      <c r="BC131" s="2"/>
      <c r="BD131" s="2"/>
      <c r="BE131" s="117"/>
      <c r="BF131" s="117"/>
      <c r="BG131" s="117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17"/>
      <c r="M132" s="2"/>
      <c r="N132" s="11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117"/>
      <c r="AA132" s="2"/>
      <c r="AB132" s="117"/>
      <c r="AC132" s="2"/>
      <c r="AD132" s="2"/>
      <c r="AE132" s="117"/>
      <c r="AF132" s="2"/>
      <c r="AG132" s="2"/>
      <c r="AH132" s="2"/>
      <c r="AI132" s="2"/>
      <c r="AJ132" s="2"/>
      <c r="AK132" s="2"/>
      <c r="AL132" s="2"/>
      <c r="AM132" s="2"/>
      <c r="AN132" s="117"/>
      <c r="AO132" s="2"/>
      <c r="AP132" s="117"/>
      <c r="AQ132" s="2"/>
      <c r="AR132" s="2"/>
      <c r="AS132" s="117"/>
      <c r="AT132" s="2"/>
      <c r="AU132" s="2"/>
      <c r="AV132" s="2"/>
      <c r="AW132" s="2"/>
      <c r="AX132" s="2"/>
      <c r="AY132" s="2"/>
      <c r="AZ132" s="2"/>
      <c r="BA132" s="2"/>
      <c r="BB132" s="117"/>
      <c r="BC132" s="2"/>
      <c r="BD132" s="2"/>
      <c r="BE132" s="117"/>
      <c r="BF132" s="117"/>
      <c r="BG132" s="117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17"/>
      <c r="M133" s="2"/>
      <c r="N133" s="11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117"/>
      <c r="AA133" s="2"/>
      <c r="AB133" s="117"/>
      <c r="AC133" s="2"/>
      <c r="AD133" s="2"/>
      <c r="AE133" s="117"/>
      <c r="AF133" s="2"/>
      <c r="AG133" s="2"/>
      <c r="AH133" s="2"/>
      <c r="AI133" s="2"/>
      <c r="AJ133" s="2"/>
      <c r="AK133" s="2"/>
      <c r="AL133" s="2"/>
      <c r="AM133" s="2"/>
      <c r="AN133" s="117"/>
      <c r="AO133" s="2"/>
      <c r="AP133" s="117"/>
      <c r="AQ133" s="2"/>
      <c r="AR133" s="2"/>
      <c r="AS133" s="117"/>
      <c r="AT133" s="2"/>
      <c r="AU133" s="2"/>
      <c r="AV133" s="2"/>
      <c r="AW133" s="2"/>
      <c r="AX133" s="2"/>
      <c r="AY133" s="2"/>
      <c r="AZ133" s="2"/>
      <c r="BA133" s="2"/>
      <c r="BB133" s="117"/>
      <c r="BC133" s="2"/>
      <c r="BD133" s="2"/>
      <c r="BE133" s="117"/>
      <c r="BF133" s="117"/>
      <c r="BG133" s="117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17"/>
      <c r="M134" s="2"/>
      <c r="N134" s="11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117"/>
      <c r="AA134" s="2"/>
      <c r="AB134" s="117"/>
      <c r="AC134" s="2"/>
      <c r="AD134" s="2"/>
      <c r="AE134" s="117"/>
      <c r="AF134" s="2"/>
      <c r="AG134" s="2"/>
      <c r="AH134" s="2"/>
      <c r="AI134" s="2"/>
      <c r="AJ134" s="2"/>
      <c r="AK134" s="2"/>
      <c r="AL134" s="2"/>
      <c r="AM134" s="2"/>
      <c r="AN134" s="117"/>
      <c r="AO134" s="2"/>
      <c r="AP134" s="117"/>
      <c r="AQ134" s="2"/>
      <c r="AR134" s="2"/>
      <c r="AS134" s="117"/>
      <c r="AT134" s="2"/>
      <c r="AU134" s="2"/>
      <c r="AV134" s="2"/>
      <c r="AW134" s="2"/>
      <c r="AX134" s="2"/>
      <c r="AY134" s="2"/>
      <c r="AZ134" s="2"/>
      <c r="BA134" s="2"/>
      <c r="BB134" s="117"/>
      <c r="BC134" s="2"/>
      <c r="BD134" s="2"/>
      <c r="BE134" s="117"/>
      <c r="BF134" s="117"/>
      <c r="BG134" s="117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17"/>
      <c r="M135" s="2"/>
      <c r="N135" s="11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117"/>
      <c r="AA135" s="2"/>
      <c r="AB135" s="117"/>
      <c r="AC135" s="2"/>
      <c r="AD135" s="2"/>
      <c r="AE135" s="117"/>
      <c r="AF135" s="2"/>
      <c r="AG135" s="2"/>
      <c r="AH135" s="2"/>
      <c r="AI135" s="2"/>
      <c r="AJ135" s="2"/>
      <c r="AK135" s="2"/>
      <c r="AL135" s="2"/>
      <c r="AM135" s="2"/>
      <c r="AN135" s="117"/>
      <c r="AO135" s="2"/>
      <c r="AP135" s="117"/>
      <c r="AQ135" s="2"/>
      <c r="AR135" s="2"/>
      <c r="AS135" s="117"/>
      <c r="AT135" s="2"/>
      <c r="AU135" s="2"/>
      <c r="AV135" s="2"/>
      <c r="AW135" s="2"/>
      <c r="AX135" s="2"/>
      <c r="AY135" s="2"/>
      <c r="AZ135" s="2"/>
      <c r="BA135" s="2"/>
      <c r="BB135" s="117"/>
      <c r="BC135" s="2"/>
      <c r="BD135" s="2"/>
      <c r="BE135" s="117"/>
      <c r="BF135" s="117"/>
      <c r="BG135" s="117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17"/>
      <c r="M136" s="2"/>
      <c r="N136" s="11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117"/>
      <c r="AA136" s="2"/>
      <c r="AB136" s="117"/>
      <c r="AC136" s="2"/>
      <c r="AD136" s="2"/>
      <c r="AE136" s="117"/>
      <c r="AF136" s="2"/>
      <c r="AG136" s="2"/>
      <c r="AH136" s="2"/>
      <c r="AI136" s="2"/>
      <c r="AJ136" s="2"/>
      <c r="AK136" s="2"/>
      <c r="AL136" s="2"/>
      <c r="AM136" s="2"/>
      <c r="AN136" s="117"/>
      <c r="AO136" s="2"/>
      <c r="AP136" s="117"/>
      <c r="AQ136" s="2"/>
      <c r="AR136" s="2"/>
      <c r="AS136" s="117"/>
      <c r="AT136" s="2"/>
      <c r="AU136" s="2"/>
      <c r="AV136" s="2"/>
      <c r="AW136" s="2"/>
      <c r="AX136" s="2"/>
      <c r="AY136" s="2"/>
      <c r="AZ136" s="2"/>
      <c r="BA136" s="2"/>
      <c r="BB136" s="117"/>
      <c r="BC136" s="2"/>
      <c r="BD136" s="2"/>
      <c r="BE136" s="117"/>
      <c r="BF136" s="117"/>
      <c r="BG136" s="117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17"/>
      <c r="M137" s="2"/>
      <c r="N137" s="11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117"/>
      <c r="AA137" s="2"/>
      <c r="AB137" s="117"/>
      <c r="AC137" s="2"/>
      <c r="AD137" s="2"/>
      <c r="AE137" s="117"/>
      <c r="AF137" s="2"/>
      <c r="AG137" s="2"/>
      <c r="AH137" s="2"/>
      <c r="AI137" s="2"/>
      <c r="AJ137" s="2"/>
      <c r="AK137" s="2"/>
      <c r="AL137" s="2"/>
      <c r="AM137" s="2"/>
      <c r="AN137" s="117"/>
      <c r="AO137" s="2"/>
      <c r="AP137" s="117"/>
      <c r="AQ137" s="2"/>
      <c r="AR137" s="2"/>
      <c r="AS137" s="117"/>
      <c r="AT137" s="2"/>
      <c r="AU137" s="2"/>
      <c r="AV137" s="2"/>
      <c r="AW137" s="2"/>
      <c r="AX137" s="2"/>
      <c r="AY137" s="2"/>
      <c r="AZ137" s="2"/>
      <c r="BA137" s="2"/>
      <c r="BB137" s="117"/>
      <c r="BC137" s="2"/>
      <c r="BD137" s="2"/>
      <c r="BE137" s="117"/>
      <c r="BF137" s="117"/>
      <c r="BG137" s="117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17"/>
      <c r="M138" s="2"/>
      <c r="N138" s="11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117"/>
      <c r="AA138" s="2"/>
      <c r="AB138" s="117"/>
      <c r="AC138" s="2"/>
      <c r="AD138" s="2"/>
      <c r="AE138" s="117"/>
      <c r="AF138" s="2"/>
      <c r="AG138" s="2"/>
      <c r="AH138" s="2"/>
      <c r="AI138" s="2"/>
      <c r="AJ138" s="2"/>
      <c r="AK138" s="2"/>
      <c r="AL138" s="2"/>
      <c r="AM138" s="2"/>
      <c r="AN138" s="117"/>
      <c r="AO138" s="2"/>
      <c r="AP138" s="117"/>
      <c r="AQ138" s="2"/>
      <c r="AR138" s="2"/>
      <c r="AS138" s="117"/>
      <c r="AT138" s="2"/>
      <c r="AU138" s="2"/>
      <c r="AV138" s="2"/>
      <c r="AW138" s="2"/>
      <c r="AX138" s="2"/>
      <c r="AY138" s="2"/>
      <c r="AZ138" s="2"/>
      <c r="BA138" s="2"/>
      <c r="BB138" s="117"/>
      <c r="BC138" s="2"/>
      <c r="BD138" s="2"/>
      <c r="BE138" s="117"/>
      <c r="BF138" s="117"/>
      <c r="BG138" s="117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17"/>
      <c r="M139" s="2"/>
      <c r="N139" s="11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117"/>
      <c r="AA139" s="2"/>
      <c r="AB139" s="117"/>
      <c r="AC139" s="2"/>
      <c r="AD139" s="2"/>
      <c r="AE139" s="117"/>
      <c r="AF139" s="2"/>
      <c r="AG139" s="2"/>
      <c r="AH139" s="2"/>
      <c r="AI139" s="2"/>
      <c r="AJ139" s="2"/>
      <c r="AK139" s="2"/>
      <c r="AL139" s="2"/>
      <c r="AM139" s="2"/>
      <c r="AN139" s="117"/>
      <c r="AO139" s="2"/>
      <c r="AP139" s="117"/>
      <c r="AQ139" s="2"/>
      <c r="AR139" s="2"/>
      <c r="AS139" s="117"/>
      <c r="AT139" s="2"/>
      <c r="AU139" s="2"/>
      <c r="AV139" s="2"/>
      <c r="AW139" s="2"/>
      <c r="AX139" s="2"/>
      <c r="AY139" s="2"/>
      <c r="AZ139" s="2"/>
      <c r="BA139" s="2"/>
      <c r="BB139" s="117"/>
      <c r="BC139" s="2"/>
      <c r="BD139" s="2"/>
      <c r="BE139" s="117"/>
      <c r="BF139" s="117"/>
      <c r="BG139" s="117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17"/>
      <c r="M140" s="2"/>
      <c r="N140" s="11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117"/>
      <c r="AA140" s="2"/>
      <c r="AB140" s="117"/>
      <c r="AC140" s="2"/>
      <c r="AD140" s="2"/>
      <c r="AE140" s="117"/>
      <c r="AF140" s="2"/>
      <c r="AG140" s="2"/>
      <c r="AH140" s="2"/>
      <c r="AI140" s="2"/>
      <c r="AJ140" s="2"/>
      <c r="AK140" s="2"/>
      <c r="AL140" s="2"/>
      <c r="AM140" s="2"/>
      <c r="AN140" s="117"/>
      <c r="AO140" s="2"/>
      <c r="AP140" s="117"/>
      <c r="AQ140" s="2"/>
      <c r="AR140" s="2"/>
      <c r="AS140" s="117"/>
      <c r="AT140" s="2"/>
      <c r="AU140" s="2"/>
      <c r="AV140" s="2"/>
      <c r="AW140" s="2"/>
      <c r="AX140" s="2"/>
      <c r="AY140" s="2"/>
      <c r="AZ140" s="2"/>
      <c r="BA140" s="2"/>
      <c r="BB140" s="117"/>
      <c r="BC140" s="2"/>
      <c r="BD140" s="2"/>
      <c r="BE140" s="117"/>
      <c r="BF140" s="117"/>
      <c r="BG140" s="117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17"/>
      <c r="M141" s="2"/>
      <c r="N141" s="11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117"/>
      <c r="AA141" s="2"/>
      <c r="AB141" s="117"/>
      <c r="AC141" s="2"/>
      <c r="AD141" s="2"/>
      <c r="AE141" s="117"/>
      <c r="AF141" s="2"/>
      <c r="AG141" s="2"/>
      <c r="AH141" s="2"/>
      <c r="AI141" s="2"/>
      <c r="AJ141" s="2"/>
      <c r="AK141" s="2"/>
      <c r="AL141" s="2"/>
      <c r="AM141" s="2"/>
      <c r="AN141" s="117"/>
      <c r="AO141" s="2"/>
      <c r="AP141" s="117"/>
      <c r="AQ141" s="2"/>
      <c r="AR141" s="2"/>
      <c r="AS141" s="117"/>
      <c r="AT141" s="2"/>
      <c r="AU141" s="2"/>
      <c r="AV141" s="2"/>
      <c r="AW141" s="2"/>
      <c r="AX141" s="2"/>
      <c r="AY141" s="2"/>
      <c r="AZ141" s="2"/>
      <c r="BA141" s="2"/>
      <c r="BB141" s="117"/>
      <c r="BC141" s="2"/>
      <c r="BD141" s="2"/>
      <c r="BE141" s="117"/>
      <c r="BF141" s="117"/>
      <c r="BG141" s="117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17"/>
      <c r="M142" s="2"/>
      <c r="N142" s="11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117"/>
      <c r="AA142" s="2"/>
      <c r="AB142" s="117"/>
      <c r="AC142" s="2"/>
      <c r="AD142" s="2"/>
      <c r="AE142" s="117"/>
      <c r="AF142" s="2"/>
      <c r="AG142" s="2"/>
      <c r="AH142" s="2"/>
      <c r="AI142" s="2"/>
      <c r="AJ142" s="2"/>
      <c r="AK142" s="2"/>
      <c r="AL142" s="2"/>
      <c r="AM142" s="2"/>
      <c r="AN142" s="117"/>
      <c r="AO142" s="2"/>
      <c r="AP142" s="117"/>
      <c r="AQ142" s="2"/>
      <c r="AR142" s="2"/>
      <c r="AS142" s="117"/>
      <c r="AT142" s="2"/>
      <c r="AU142" s="2"/>
      <c r="AV142" s="2"/>
      <c r="AW142" s="2"/>
      <c r="AX142" s="2"/>
      <c r="AY142" s="2"/>
      <c r="AZ142" s="2"/>
      <c r="BA142" s="2"/>
      <c r="BB142" s="117"/>
      <c r="BC142" s="2"/>
      <c r="BD142" s="2"/>
      <c r="BE142" s="117"/>
      <c r="BF142" s="117"/>
      <c r="BG142" s="117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17"/>
      <c r="M143" s="2"/>
      <c r="N143" s="11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117"/>
      <c r="AA143" s="2"/>
      <c r="AB143" s="117"/>
      <c r="AC143" s="2"/>
      <c r="AD143" s="2"/>
      <c r="AE143" s="117"/>
      <c r="AF143" s="2"/>
      <c r="AG143" s="2"/>
      <c r="AH143" s="2"/>
      <c r="AI143" s="2"/>
      <c r="AJ143" s="2"/>
      <c r="AK143" s="2"/>
      <c r="AL143" s="2"/>
      <c r="AM143" s="2"/>
      <c r="AN143" s="117"/>
      <c r="AO143" s="2"/>
      <c r="AP143" s="117"/>
      <c r="AQ143" s="2"/>
      <c r="AR143" s="2"/>
      <c r="AS143" s="117"/>
      <c r="AT143" s="2"/>
      <c r="AU143" s="2"/>
      <c r="AV143" s="2"/>
      <c r="AW143" s="2"/>
      <c r="AX143" s="2"/>
      <c r="AY143" s="2"/>
      <c r="AZ143" s="2"/>
      <c r="BA143" s="2"/>
      <c r="BB143" s="117"/>
      <c r="BC143" s="2"/>
      <c r="BD143" s="2"/>
      <c r="BE143" s="117"/>
      <c r="BF143" s="117"/>
      <c r="BG143" s="117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17"/>
      <c r="M144" s="2"/>
      <c r="N144" s="11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117"/>
      <c r="AA144" s="2"/>
      <c r="AB144" s="117"/>
      <c r="AC144" s="2"/>
      <c r="AD144" s="2"/>
      <c r="AE144" s="117"/>
      <c r="AF144" s="2"/>
      <c r="AG144" s="2"/>
      <c r="AH144" s="2"/>
      <c r="AI144" s="2"/>
      <c r="AJ144" s="2"/>
      <c r="AK144" s="2"/>
      <c r="AL144" s="2"/>
      <c r="AM144" s="2"/>
      <c r="AN144" s="117"/>
      <c r="AO144" s="2"/>
      <c r="AP144" s="117"/>
      <c r="AQ144" s="2"/>
      <c r="AR144" s="2"/>
      <c r="AS144" s="117"/>
      <c r="AT144" s="2"/>
      <c r="AU144" s="2"/>
      <c r="AV144" s="2"/>
      <c r="AW144" s="2"/>
      <c r="AX144" s="2"/>
      <c r="AY144" s="2"/>
      <c r="AZ144" s="2"/>
      <c r="BA144" s="2"/>
      <c r="BB144" s="117"/>
      <c r="BC144" s="2"/>
      <c r="BD144" s="2"/>
      <c r="BE144" s="117"/>
      <c r="BF144" s="117"/>
      <c r="BG144" s="117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17"/>
      <c r="M145" s="2"/>
      <c r="N145" s="11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117"/>
      <c r="AA145" s="2"/>
      <c r="AB145" s="117"/>
      <c r="AC145" s="2"/>
      <c r="AD145" s="2"/>
      <c r="AE145" s="117"/>
      <c r="AF145" s="2"/>
      <c r="AG145" s="2"/>
      <c r="AH145" s="2"/>
      <c r="AI145" s="2"/>
      <c r="AJ145" s="2"/>
      <c r="AK145" s="2"/>
      <c r="AL145" s="2"/>
      <c r="AM145" s="2"/>
      <c r="AN145" s="117"/>
      <c r="AO145" s="2"/>
      <c r="AP145" s="117"/>
      <c r="AQ145" s="2"/>
      <c r="AR145" s="2"/>
      <c r="AS145" s="117"/>
      <c r="AT145" s="2"/>
      <c r="AU145" s="2"/>
      <c r="AV145" s="2"/>
      <c r="AW145" s="2"/>
      <c r="AX145" s="2"/>
      <c r="AY145" s="2"/>
      <c r="AZ145" s="2"/>
      <c r="BA145" s="2"/>
      <c r="BB145" s="117"/>
      <c r="BC145" s="2"/>
      <c r="BD145" s="2"/>
      <c r="BE145" s="117"/>
      <c r="BF145" s="117"/>
      <c r="BG145" s="117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17"/>
      <c r="M146" s="2"/>
      <c r="N146" s="11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17"/>
      <c r="AA146" s="2"/>
      <c r="AB146" s="117"/>
      <c r="AC146" s="2"/>
      <c r="AD146" s="2"/>
      <c r="AE146" s="117"/>
      <c r="AF146" s="2"/>
      <c r="AG146" s="2"/>
      <c r="AH146" s="2"/>
      <c r="AI146" s="2"/>
      <c r="AJ146" s="2"/>
      <c r="AK146" s="2"/>
      <c r="AL146" s="2"/>
      <c r="AM146" s="2"/>
      <c r="AN146" s="117"/>
      <c r="AO146" s="2"/>
      <c r="AP146" s="117"/>
      <c r="AQ146" s="2"/>
      <c r="AR146" s="2"/>
      <c r="AS146" s="117"/>
      <c r="AT146" s="2"/>
      <c r="AU146" s="2"/>
      <c r="AV146" s="2"/>
      <c r="AW146" s="2"/>
      <c r="AX146" s="2"/>
      <c r="AY146" s="2"/>
      <c r="AZ146" s="2"/>
      <c r="BA146" s="2"/>
      <c r="BB146" s="117"/>
      <c r="BC146" s="2"/>
      <c r="BD146" s="2"/>
      <c r="BE146" s="117"/>
      <c r="BF146" s="117"/>
      <c r="BG146" s="117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17"/>
      <c r="M147" s="2"/>
      <c r="N147" s="11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117"/>
      <c r="AA147" s="2"/>
      <c r="AB147" s="117"/>
      <c r="AC147" s="2"/>
      <c r="AD147" s="2"/>
      <c r="AE147" s="117"/>
      <c r="AF147" s="2"/>
      <c r="AG147" s="2"/>
      <c r="AH147" s="2"/>
      <c r="AI147" s="2"/>
      <c r="AJ147" s="2"/>
      <c r="AK147" s="2"/>
      <c r="AL147" s="2"/>
      <c r="AM147" s="2"/>
      <c r="AN147" s="117"/>
      <c r="AO147" s="2"/>
      <c r="AP147" s="117"/>
      <c r="AQ147" s="2"/>
      <c r="AR147" s="2"/>
      <c r="AS147" s="117"/>
      <c r="AT147" s="2"/>
      <c r="AU147" s="2"/>
      <c r="AV147" s="2"/>
      <c r="AW147" s="2"/>
      <c r="AX147" s="2"/>
      <c r="AY147" s="2"/>
      <c r="AZ147" s="2"/>
      <c r="BA147" s="2"/>
      <c r="BB147" s="117"/>
      <c r="BC147" s="2"/>
      <c r="BD147" s="2"/>
      <c r="BE147" s="117"/>
      <c r="BF147" s="117"/>
      <c r="BG147" s="117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</row>
    <row r="148" ht="14.25" customHeight="1">
      <c r="AA148" s="2"/>
      <c r="AB148" s="2"/>
      <c r="AF148" s="2"/>
      <c r="AG148" s="2"/>
      <c r="AH148" s="2"/>
      <c r="AI148" s="2"/>
      <c r="AJ148" s="2"/>
      <c r="AK148" s="2"/>
      <c r="AL148" s="2"/>
      <c r="AM148" s="2"/>
      <c r="AT148" s="2"/>
      <c r="AU148" s="2"/>
      <c r="AV148" s="2"/>
      <c r="AW148" s="2"/>
      <c r="AX148" s="2"/>
      <c r="AY148" s="2"/>
      <c r="AZ148" s="2"/>
      <c r="BA148" s="2"/>
      <c r="BC148" s="2"/>
      <c r="BD148" s="2"/>
      <c r="BE148" s="2"/>
      <c r="BF148" s="2"/>
      <c r="BG148" s="2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</row>
    <row r="149" ht="14.25" customHeight="1">
      <c r="AA149" s="2"/>
      <c r="AB149" s="2"/>
      <c r="AF149" s="2"/>
      <c r="AG149" s="2"/>
      <c r="AH149" s="2"/>
      <c r="AI149" s="2"/>
      <c r="AJ149" s="2"/>
      <c r="AK149" s="2"/>
      <c r="AL149" s="2"/>
      <c r="AM149" s="2"/>
      <c r="AT149" s="2"/>
      <c r="AU149" s="2"/>
      <c r="AV149" s="2"/>
      <c r="AW149" s="2"/>
      <c r="AX149" s="2"/>
      <c r="AY149" s="2"/>
      <c r="AZ149" s="2"/>
      <c r="BA149" s="2"/>
      <c r="BC149" s="2"/>
      <c r="BD149" s="2"/>
      <c r="BE149" s="2"/>
      <c r="BF149" s="2"/>
      <c r="BG149" s="2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</row>
    <row r="150" ht="14.25" customHeight="1">
      <c r="AA150" s="2"/>
      <c r="AB150" s="2"/>
      <c r="AF150" s="2"/>
      <c r="AG150" s="2"/>
      <c r="AH150" s="2"/>
      <c r="AI150" s="2"/>
      <c r="AJ150" s="2"/>
      <c r="AK150" s="2"/>
      <c r="AL150" s="2"/>
      <c r="AM150" s="2"/>
      <c r="AT150" s="2"/>
      <c r="AU150" s="2"/>
      <c r="AV150" s="2"/>
      <c r="AW150" s="2"/>
      <c r="AX150" s="2"/>
      <c r="AY150" s="2"/>
      <c r="AZ150" s="2"/>
      <c r="BA150" s="2"/>
      <c r="BC150" s="2"/>
      <c r="BD150" s="2"/>
      <c r="BE150" s="2"/>
      <c r="BF150" s="2"/>
      <c r="BG150" s="2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</row>
    <row r="151" ht="14.25" customHeight="1">
      <c r="AA151" s="2"/>
      <c r="AB151" s="2"/>
      <c r="AF151" s="2"/>
      <c r="AG151" s="2"/>
      <c r="AH151" s="2"/>
      <c r="AI151" s="2"/>
      <c r="AJ151" s="2"/>
      <c r="AK151" s="2"/>
      <c r="AL151" s="2"/>
      <c r="AM151" s="2"/>
      <c r="AT151" s="2"/>
      <c r="AU151" s="2"/>
      <c r="AV151" s="2"/>
      <c r="AW151" s="2"/>
      <c r="AX151" s="2"/>
      <c r="AY151" s="2"/>
      <c r="AZ151" s="2"/>
      <c r="BA151" s="2"/>
      <c r="BC151" s="2"/>
      <c r="BD151" s="2"/>
      <c r="BE151" s="2"/>
      <c r="BF151" s="2"/>
      <c r="BG151" s="2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</row>
    <row r="152" ht="14.25" customHeight="1">
      <c r="AA152" s="2"/>
      <c r="AB152" s="2"/>
      <c r="AF152" s="2"/>
      <c r="AG152" s="2"/>
      <c r="AH152" s="2"/>
      <c r="AI152" s="2"/>
      <c r="AJ152" s="2"/>
      <c r="AK152" s="2"/>
      <c r="AL152" s="2"/>
      <c r="AM152" s="2"/>
      <c r="AT152" s="2"/>
      <c r="AU152" s="2"/>
      <c r="AV152" s="2"/>
      <c r="AW152" s="2"/>
      <c r="AX152" s="2"/>
      <c r="AY152" s="2"/>
      <c r="AZ152" s="2"/>
      <c r="BA152" s="2"/>
      <c r="BC152" s="2"/>
      <c r="BD152" s="2"/>
      <c r="BE152" s="2"/>
      <c r="BF152" s="2"/>
      <c r="BG152" s="2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</row>
    <row r="153" ht="14.25" customHeight="1">
      <c r="AA153" s="2"/>
      <c r="AB153" s="2"/>
      <c r="AF153" s="2"/>
      <c r="AG153" s="2"/>
      <c r="AH153" s="2"/>
      <c r="AI153" s="2"/>
      <c r="AJ153" s="2"/>
      <c r="AK153" s="2"/>
      <c r="AL153" s="2"/>
      <c r="AM153" s="2"/>
      <c r="AT153" s="2"/>
      <c r="AU153" s="2"/>
      <c r="AV153" s="2"/>
      <c r="AW153" s="2"/>
      <c r="AX153" s="2"/>
      <c r="AY153" s="2"/>
      <c r="AZ153" s="2"/>
      <c r="BA153" s="2"/>
      <c r="BC153" s="2"/>
      <c r="BD153" s="2"/>
      <c r="BE153" s="2"/>
      <c r="BF153" s="2"/>
      <c r="BG153" s="2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</row>
    <row r="154" ht="14.25" customHeight="1">
      <c r="AA154" s="2"/>
      <c r="AB154" s="2"/>
      <c r="AF154" s="2"/>
      <c r="AG154" s="2"/>
      <c r="AH154" s="2"/>
      <c r="AI154" s="2"/>
      <c r="AJ154" s="2"/>
      <c r="AK154" s="2"/>
      <c r="AL154" s="2"/>
      <c r="AM154" s="2"/>
      <c r="AT154" s="2"/>
      <c r="AU154" s="2"/>
      <c r="AV154" s="2"/>
      <c r="AW154" s="2"/>
      <c r="AX154" s="2"/>
      <c r="AY154" s="2"/>
      <c r="AZ154" s="2"/>
      <c r="BA154" s="2"/>
      <c r="BC154" s="2"/>
      <c r="BD154" s="2"/>
      <c r="BE154" s="2"/>
      <c r="BF154" s="2"/>
      <c r="BG154" s="2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</row>
    <row r="155" ht="14.25" customHeight="1">
      <c r="AA155" s="2"/>
      <c r="AB155" s="2"/>
      <c r="AF155" s="2"/>
      <c r="AG155" s="2"/>
      <c r="AH155" s="2"/>
      <c r="AI155" s="2"/>
      <c r="AJ155" s="2"/>
      <c r="AK155" s="2"/>
      <c r="AL155" s="2"/>
      <c r="AM155" s="2"/>
      <c r="AT155" s="2"/>
      <c r="AU155" s="2"/>
      <c r="AV155" s="2"/>
      <c r="AW155" s="2"/>
      <c r="AX155" s="2"/>
      <c r="AY155" s="2"/>
      <c r="AZ155" s="2"/>
      <c r="BA155" s="2"/>
      <c r="BC155" s="2"/>
      <c r="BD155" s="2"/>
      <c r="BE155" s="2"/>
      <c r="BF155" s="2"/>
      <c r="BG155" s="2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</row>
    <row r="156" ht="14.25" customHeight="1">
      <c r="AA156" s="2"/>
      <c r="AB156" s="2"/>
      <c r="AF156" s="2"/>
      <c r="AG156" s="2"/>
      <c r="AH156" s="2"/>
      <c r="AI156" s="2"/>
      <c r="AJ156" s="2"/>
      <c r="AK156" s="2"/>
      <c r="AL156" s="2"/>
      <c r="AM156" s="2"/>
      <c r="AT156" s="2"/>
      <c r="AU156" s="2"/>
      <c r="AV156" s="2"/>
      <c r="AW156" s="2"/>
      <c r="AX156" s="2"/>
      <c r="AY156" s="2"/>
      <c r="AZ156" s="2"/>
      <c r="BA156" s="2"/>
      <c r="BC156" s="2"/>
      <c r="BD156" s="2"/>
      <c r="BE156" s="2"/>
      <c r="BF156" s="2"/>
      <c r="BG156" s="2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</row>
    <row r="157" ht="14.25" customHeight="1">
      <c r="AA157" s="2"/>
      <c r="AB157" s="2"/>
      <c r="AF157" s="2"/>
      <c r="AG157" s="2"/>
      <c r="AH157" s="2"/>
      <c r="AI157" s="2"/>
      <c r="AJ157" s="2"/>
      <c r="AK157" s="2"/>
      <c r="AL157" s="2"/>
      <c r="AM157" s="2"/>
      <c r="AT157" s="2"/>
      <c r="AU157" s="2"/>
      <c r="AV157" s="2"/>
      <c r="AW157" s="2"/>
      <c r="AX157" s="2"/>
      <c r="AY157" s="2"/>
      <c r="AZ157" s="2"/>
      <c r="BA157" s="2"/>
      <c r="BC157" s="2"/>
      <c r="BD157" s="2"/>
      <c r="BE157" s="2"/>
      <c r="BF157" s="2"/>
      <c r="BG157" s="2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</row>
    <row r="158" ht="14.25" customHeight="1">
      <c r="AA158" s="2"/>
      <c r="AB158" s="2"/>
      <c r="AF158" s="2"/>
      <c r="AG158" s="2"/>
      <c r="AH158" s="2"/>
      <c r="AI158" s="2"/>
      <c r="AJ158" s="2"/>
      <c r="AK158" s="2"/>
      <c r="AL158" s="2"/>
      <c r="AM158" s="2"/>
      <c r="AT158" s="2"/>
      <c r="AU158" s="2"/>
      <c r="AV158" s="2"/>
      <c r="AW158" s="2"/>
      <c r="AX158" s="2"/>
      <c r="AY158" s="2"/>
      <c r="AZ158" s="2"/>
      <c r="BA158" s="2"/>
      <c r="BC158" s="2"/>
      <c r="BD158" s="2"/>
      <c r="BE158" s="2"/>
      <c r="BF158" s="2"/>
      <c r="BG158" s="2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</row>
    <row r="159" ht="14.25" customHeight="1">
      <c r="AA159" s="2"/>
      <c r="AB159" s="2"/>
      <c r="AF159" s="2"/>
      <c r="AG159" s="2"/>
      <c r="AH159" s="2"/>
      <c r="AI159" s="2"/>
      <c r="AJ159" s="2"/>
      <c r="AK159" s="2"/>
      <c r="AL159" s="2"/>
      <c r="AM159" s="2"/>
      <c r="AT159" s="2"/>
      <c r="AU159" s="2"/>
      <c r="AV159" s="2"/>
      <c r="AW159" s="2"/>
      <c r="AX159" s="2"/>
      <c r="AY159" s="2"/>
      <c r="AZ159" s="2"/>
      <c r="BA159" s="2"/>
      <c r="BC159" s="2"/>
      <c r="BD159" s="2"/>
      <c r="BE159" s="2"/>
      <c r="BF159" s="2"/>
      <c r="BG159" s="2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</row>
    <row r="160" ht="14.25" customHeight="1">
      <c r="AA160" s="2"/>
      <c r="AB160" s="2"/>
      <c r="AF160" s="2"/>
      <c r="AG160" s="2"/>
      <c r="AH160" s="2"/>
      <c r="AI160" s="2"/>
      <c r="AJ160" s="2"/>
      <c r="AK160" s="2"/>
      <c r="AL160" s="2"/>
      <c r="AM160" s="2"/>
      <c r="AT160" s="2"/>
      <c r="AU160" s="2"/>
      <c r="AV160" s="2"/>
      <c r="AW160" s="2"/>
      <c r="AX160" s="2"/>
      <c r="AY160" s="2"/>
      <c r="AZ160" s="2"/>
      <c r="BA160" s="2"/>
      <c r="BC160" s="2"/>
      <c r="BD160" s="2"/>
      <c r="BE160" s="2"/>
      <c r="BF160" s="2"/>
      <c r="BG160" s="2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</row>
    <row r="161" ht="14.25" customHeight="1">
      <c r="AA161" s="2"/>
      <c r="AB161" s="2"/>
      <c r="AF161" s="2"/>
      <c r="AG161" s="2"/>
      <c r="AH161" s="2"/>
      <c r="AI161" s="2"/>
      <c r="AJ161" s="2"/>
      <c r="AK161" s="2"/>
      <c r="AL161" s="2"/>
      <c r="AM161" s="2"/>
      <c r="AT161" s="2"/>
      <c r="AU161" s="2"/>
      <c r="AV161" s="2"/>
      <c r="AW161" s="2"/>
      <c r="AX161" s="2"/>
      <c r="AY161" s="2"/>
      <c r="AZ161" s="2"/>
      <c r="BA161" s="2"/>
      <c r="BC161" s="2"/>
      <c r="BD161" s="2"/>
      <c r="BE161" s="2"/>
      <c r="BF161" s="2"/>
      <c r="BG161" s="2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</row>
    <row r="162" ht="14.25" customHeight="1">
      <c r="AA162" s="2"/>
      <c r="AB162" s="2"/>
      <c r="AF162" s="2"/>
      <c r="AG162" s="2"/>
      <c r="AH162" s="2"/>
      <c r="AI162" s="2"/>
      <c r="AJ162" s="2"/>
      <c r="AK162" s="2"/>
      <c r="AL162" s="2"/>
      <c r="AM162" s="2"/>
      <c r="AT162" s="2"/>
      <c r="AU162" s="2"/>
      <c r="AV162" s="2"/>
      <c r="AW162" s="2"/>
      <c r="AX162" s="2"/>
      <c r="AY162" s="2"/>
      <c r="AZ162" s="2"/>
      <c r="BA162" s="2"/>
      <c r="BC162" s="2"/>
      <c r="BD162" s="2"/>
      <c r="BE162" s="2"/>
      <c r="BF162" s="2"/>
      <c r="BG162" s="2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</row>
    <row r="163" ht="14.25" customHeight="1">
      <c r="AA163" s="2"/>
      <c r="AB163" s="2"/>
      <c r="AF163" s="2"/>
      <c r="AG163" s="2"/>
      <c r="AH163" s="2"/>
      <c r="AI163" s="2"/>
      <c r="AJ163" s="2"/>
      <c r="AK163" s="2"/>
      <c r="AL163" s="2"/>
      <c r="AM163" s="2"/>
      <c r="AT163" s="2"/>
      <c r="AU163" s="2"/>
      <c r="AV163" s="2"/>
      <c r="AW163" s="2"/>
      <c r="AX163" s="2"/>
      <c r="AY163" s="2"/>
      <c r="AZ163" s="2"/>
      <c r="BA163" s="2"/>
      <c r="BC163" s="2"/>
      <c r="BD163" s="2"/>
      <c r="BE163" s="2"/>
      <c r="BF163" s="2"/>
      <c r="BG163" s="2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</row>
    <row r="164" ht="14.25" customHeight="1">
      <c r="AA164" s="2"/>
      <c r="AB164" s="2"/>
      <c r="AF164" s="2"/>
      <c r="AG164" s="2"/>
      <c r="AH164" s="2"/>
      <c r="AI164" s="2"/>
      <c r="AJ164" s="2"/>
      <c r="AK164" s="2"/>
      <c r="AL164" s="2"/>
      <c r="AM164" s="2"/>
      <c r="AT164" s="2"/>
      <c r="AU164" s="2"/>
      <c r="AV164" s="2"/>
      <c r="AW164" s="2"/>
      <c r="AX164" s="2"/>
      <c r="AY164" s="2"/>
      <c r="AZ164" s="2"/>
      <c r="BA164" s="2"/>
      <c r="BC164" s="2"/>
      <c r="BD164" s="2"/>
      <c r="BE164" s="2"/>
      <c r="BF164" s="2"/>
      <c r="BG164" s="2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</row>
    <row r="165" ht="14.25" customHeight="1">
      <c r="AA165" s="2"/>
      <c r="AB165" s="2"/>
      <c r="AF165" s="2"/>
      <c r="AG165" s="2"/>
      <c r="AH165" s="2"/>
      <c r="AI165" s="2"/>
      <c r="AJ165" s="2"/>
      <c r="AK165" s="2"/>
      <c r="AL165" s="2"/>
      <c r="AM165" s="2"/>
      <c r="AT165" s="2"/>
      <c r="AU165" s="2"/>
      <c r="AV165" s="2"/>
      <c r="AW165" s="2"/>
      <c r="AX165" s="2"/>
      <c r="AY165" s="2"/>
      <c r="AZ165" s="2"/>
      <c r="BA165" s="2"/>
      <c r="BC165" s="2"/>
      <c r="BD165" s="2"/>
      <c r="BE165" s="2"/>
      <c r="BF165" s="2"/>
      <c r="BG165" s="2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</row>
    <row r="166" ht="14.25" customHeight="1">
      <c r="AA166" s="2"/>
      <c r="AB166" s="2"/>
      <c r="AF166" s="2"/>
      <c r="AG166" s="2"/>
      <c r="AH166" s="2"/>
      <c r="AI166" s="2"/>
      <c r="AJ166" s="2"/>
      <c r="AK166" s="2"/>
      <c r="AL166" s="2"/>
      <c r="AM166" s="2"/>
      <c r="AT166" s="2"/>
      <c r="AU166" s="2"/>
      <c r="AV166" s="2"/>
      <c r="AW166" s="2"/>
      <c r="AX166" s="2"/>
      <c r="AY166" s="2"/>
      <c r="AZ166" s="2"/>
      <c r="BA166" s="2"/>
      <c r="BC166" s="2"/>
      <c r="BD166" s="2"/>
      <c r="BE166" s="2"/>
      <c r="BF166" s="2"/>
      <c r="BG166" s="2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</row>
    <row r="167" ht="14.25" customHeight="1">
      <c r="AA167" s="2"/>
      <c r="AB167" s="2"/>
      <c r="AF167" s="2"/>
      <c r="AG167" s="2"/>
      <c r="AH167" s="2"/>
      <c r="AI167" s="2"/>
      <c r="AJ167" s="2"/>
      <c r="AK167" s="2"/>
      <c r="AL167" s="2"/>
      <c r="AM167" s="2"/>
      <c r="AT167" s="2"/>
      <c r="AU167" s="2"/>
      <c r="AV167" s="2"/>
      <c r="AW167" s="2"/>
      <c r="AX167" s="2"/>
      <c r="AY167" s="2"/>
      <c r="AZ167" s="2"/>
      <c r="BA167" s="2"/>
      <c r="BC167" s="2"/>
      <c r="BD167" s="2"/>
      <c r="BE167" s="2"/>
      <c r="BF167" s="2"/>
      <c r="BG167" s="2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</row>
    <row r="168" ht="14.25" customHeight="1">
      <c r="AA168" s="2"/>
      <c r="AB168" s="2"/>
      <c r="AF168" s="2"/>
      <c r="AG168" s="2"/>
      <c r="AH168" s="2"/>
      <c r="AI168" s="2"/>
      <c r="AJ168" s="2"/>
      <c r="AK168" s="2"/>
      <c r="AL168" s="2"/>
      <c r="AM168" s="2"/>
      <c r="AT168" s="2"/>
      <c r="AU168" s="2"/>
      <c r="AV168" s="2"/>
      <c r="AW168" s="2"/>
      <c r="AX168" s="2"/>
      <c r="AY168" s="2"/>
      <c r="AZ168" s="2"/>
      <c r="BA168" s="2"/>
      <c r="BC168" s="2"/>
      <c r="BD168" s="2"/>
      <c r="BE168" s="2"/>
      <c r="BF168" s="2"/>
      <c r="BG168" s="2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</row>
    <row r="169" ht="14.25" customHeight="1">
      <c r="AA169" s="2"/>
      <c r="AB169" s="2"/>
      <c r="AF169" s="2"/>
      <c r="AG169" s="2"/>
      <c r="AH169" s="2"/>
      <c r="AI169" s="2"/>
      <c r="AJ169" s="2"/>
      <c r="AK169" s="2"/>
      <c r="AL169" s="2"/>
      <c r="AM169" s="2"/>
      <c r="AT169" s="2"/>
      <c r="AU169" s="2"/>
      <c r="AV169" s="2"/>
      <c r="AW169" s="2"/>
      <c r="AX169" s="2"/>
      <c r="AY169" s="2"/>
      <c r="AZ169" s="2"/>
      <c r="BA169" s="2"/>
      <c r="BC169" s="2"/>
      <c r="BD169" s="2"/>
      <c r="BE169" s="2"/>
      <c r="BF169" s="2"/>
      <c r="BG169" s="2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</row>
    <row r="170" ht="14.25" customHeight="1">
      <c r="AA170" s="2"/>
      <c r="AB170" s="2"/>
      <c r="AF170" s="2"/>
      <c r="AG170" s="2"/>
      <c r="AH170" s="2"/>
      <c r="AI170" s="2"/>
      <c r="AJ170" s="2"/>
      <c r="AK170" s="2"/>
      <c r="AL170" s="2"/>
      <c r="AM170" s="2"/>
      <c r="AT170" s="2"/>
      <c r="AU170" s="2"/>
      <c r="AV170" s="2"/>
      <c r="AW170" s="2"/>
      <c r="AX170" s="2"/>
      <c r="AY170" s="2"/>
      <c r="AZ170" s="2"/>
      <c r="BA170" s="2"/>
      <c r="BC170" s="2"/>
      <c r="BD170" s="2"/>
      <c r="BE170" s="2"/>
      <c r="BF170" s="2"/>
      <c r="BG170" s="2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</row>
    <row r="171" ht="14.25" customHeight="1">
      <c r="AA171" s="2"/>
      <c r="AB171" s="2"/>
      <c r="AF171" s="2"/>
      <c r="AG171" s="2"/>
      <c r="AH171" s="2"/>
      <c r="AI171" s="2"/>
      <c r="AJ171" s="2"/>
      <c r="AK171" s="2"/>
      <c r="AL171" s="2"/>
      <c r="AM171" s="2"/>
      <c r="AT171" s="2"/>
      <c r="AU171" s="2"/>
      <c r="AV171" s="2"/>
      <c r="AW171" s="2"/>
      <c r="AX171" s="2"/>
      <c r="AY171" s="2"/>
      <c r="AZ171" s="2"/>
      <c r="BA171" s="2"/>
      <c r="BC171" s="2"/>
      <c r="BD171" s="2"/>
      <c r="BE171" s="2"/>
      <c r="BF171" s="2"/>
      <c r="BG171" s="2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</row>
    <row r="172" ht="14.25" customHeight="1">
      <c r="AA172" s="2"/>
      <c r="AB172" s="2"/>
      <c r="AF172" s="2"/>
      <c r="AG172" s="2"/>
      <c r="AH172" s="2"/>
      <c r="AI172" s="2"/>
      <c r="AJ172" s="2"/>
      <c r="AK172" s="2"/>
      <c r="AL172" s="2"/>
      <c r="AM172" s="2"/>
      <c r="AT172" s="2"/>
      <c r="AU172" s="2"/>
      <c r="AV172" s="2"/>
      <c r="AW172" s="2"/>
      <c r="AX172" s="2"/>
      <c r="AY172" s="2"/>
      <c r="AZ172" s="2"/>
      <c r="BA172" s="2"/>
      <c r="BC172" s="2"/>
      <c r="BD172" s="2"/>
      <c r="BE172" s="2"/>
      <c r="BF172" s="2"/>
      <c r="BG172" s="2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</row>
    <row r="173" ht="14.25" customHeight="1">
      <c r="AA173" s="2"/>
      <c r="AB173" s="2"/>
      <c r="AF173" s="2"/>
      <c r="AG173" s="2"/>
      <c r="AH173" s="2"/>
      <c r="AI173" s="2"/>
      <c r="AJ173" s="2"/>
      <c r="AK173" s="2"/>
      <c r="AL173" s="2"/>
      <c r="AM173" s="2"/>
      <c r="AT173" s="2"/>
      <c r="AU173" s="2"/>
      <c r="AV173" s="2"/>
      <c r="AW173" s="2"/>
      <c r="AX173" s="2"/>
      <c r="AY173" s="2"/>
      <c r="AZ173" s="2"/>
      <c r="BA173" s="2"/>
      <c r="BC173" s="2"/>
      <c r="BD173" s="2"/>
      <c r="BE173" s="2"/>
      <c r="BF173" s="2"/>
      <c r="BG173" s="2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</row>
    <row r="174" ht="14.25" customHeight="1">
      <c r="AA174" s="2"/>
      <c r="AB174" s="2"/>
      <c r="AF174" s="2"/>
      <c r="AG174" s="2"/>
      <c r="AH174" s="2"/>
      <c r="AI174" s="2"/>
      <c r="AJ174" s="2"/>
      <c r="AK174" s="2"/>
      <c r="AL174" s="2"/>
      <c r="AM174" s="2"/>
      <c r="AT174" s="2"/>
      <c r="AU174" s="2"/>
      <c r="AV174" s="2"/>
      <c r="AW174" s="2"/>
      <c r="AX174" s="2"/>
      <c r="AY174" s="2"/>
      <c r="AZ174" s="2"/>
      <c r="BA174" s="2"/>
      <c r="BC174" s="2"/>
      <c r="BD174" s="2"/>
      <c r="BE174" s="2"/>
      <c r="BF174" s="2"/>
      <c r="BG174" s="2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</row>
    <row r="175" ht="14.25" customHeight="1">
      <c r="AA175" s="2"/>
      <c r="AB175" s="2"/>
      <c r="AF175" s="2"/>
      <c r="AG175" s="2"/>
      <c r="AH175" s="2"/>
      <c r="AI175" s="2"/>
      <c r="AJ175" s="2"/>
      <c r="AK175" s="2"/>
      <c r="AL175" s="2"/>
      <c r="AM175" s="2"/>
      <c r="AT175" s="2"/>
      <c r="AU175" s="2"/>
      <c r="AV175" s="2"/>
      <c r="AW175" s="2"/>
      <c r="AX175" s="2"/>
      <c r="AY175" s="2"/>
      <c r="AZ175" s="2"/>
      <c r="BA175" s="2"/>
      <c r="BC175" s="2"/>
      <c r="BD175" s="2"/>
      <c r="BE175" s="2"/>
      <c r="BF175" s="2"/>
      <c r="BG175" s="2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</row>
    <row r="176" ht="14.25" customHeight="1">
      <c r="AA176" s="2"/>
      <c r="AB176" s="2"/>
      <c r="AF176" s="2"/>
      <c r="AG176" s="2"/>
      <c r="AH176" s="2"/>
      <c r="AI176" s="2"/>
      <c r="AJ176" s="2"/>
      <c r="AK176" s="2"/>
      <c r="AL176" s="2"/>
      <c r="AM176" s="2"/>
      <c r="AT176" s="2"/>
      <c r="AU176" s="2"/>
      <c r="AV176" s="2"/>
      <c r="AW176" s="2"/>
      <c r="AX176" s="2"/>
      <c r="AY176" s="2"/>
      <c r="AZ176" s="2"/>
      <c r="BA176" s="2"/>
      <c r="BC176" s="2"/>
      <c r="BD176" s="2"/>
      <c r="BE176" s="2"/>
      <c r="BF176" s="2"/>
      <c r="BG176" s="2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</row>
    <row r="177" ht="14.25" customHeight="1">
      <c r="AA177" s="2"/>
      <c r="AB177" s="2"/>
      <c r="AF177" s="2"/>
      <c r="AG177" s="2"/>
      <c r="AH177" s="2"/>
      <c r="AI177" s="2"/>
      <c r="AJ177" s="2"/>
      <c r="AK177" s="2"/>
      <c r="AL177" s="2"/>
      <c r="AM177" s="2"/>
      <c r="AT177" s="2"/>
      <c r="AU177" s="2"/>
      <c r="AV177" s="2"/>
      <c r="AW177" s="2"/>
      <c r="AX177" s="2"/>
      <c r="AY177" s="2"/>
      <c r="AZ177" s="2"/>
      <c r="BA177" s="2"/>
      <c r="BC177" s="2"/>
      <c r="BD177" s="2"/>
      <c r="BE177" s="2"/>
      <c r="BF177" s="2"/>
      <c r="BG177" s="2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</row>
    <row r="178" ht="14.25" customHeight="1">
      <c r="AA178" s="2"/>
      <c r="AB178" s="2"/>
      <c r="AF178" s="2"/>
      <c r="AG178" s="2"/>
      <c r="AH178" s="2"/>
      <c r="AI178" s="2"/>
      <c r="AJ178" s="2"/>
      <c r="AK178" s="2"/>
      <c r="AL178" s="2"/>
      <c r="AM178" s="2"/>
      <c r="AT178" s="2"/>
      <c r="AU178" s="2"/>
      <c r="AV178" s="2"/>
      <c r="AW178" s="2"/>
      <c r="AX178" s="2"/>
      <c r="AY178" s="2"/>
      <c r="AZ178" s="2"/>
      <c r="BA178" s="2"/>
      <c r="BC178" s="2"/>
      <c r="BD178" s="2"/>
      <c r="BE178" s="2"/>
      <c r="BF178" s="2"/>
      <c r="BG178" s="2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</row>
    <row r="179" ht="14.25" customHeight="1">
      <c r="AA179" s="2"/>
      <c r="AB179" s="2"/>
      <c r="AF179" s="2"/>
      <c r="AG179" s="2"/>
      <c r="AH179" s="2"/>
      <c r="AI179" s="2"/>
      <c r="AJ179" s="2"/>
      <c r="AK179" s="2"/>
      <c r="AL179" s="2"/>
      <c r="AM179" s="2"/>
      <c r="AT179" s="2"/>
      <c r="AU179" s="2"/>
      <c r="AV179" s="2"/>
      <c r="AW179" s="2"/>
      <c r="AX179" s="2"/>
      <c r="AY179" s="2"/>
      <c r="AZ179" s="2"/>
      <c r="BA179" s="2"/>
      <c r="BC179" s="2"/>
      <c r="BD179" s="2"/>
      <c r="BE179" s="2"/>
      <c r="BF179" s="2"/>
      <c r="BG179" s="2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</row>
    <row r="180" ht="14.25" customHeight="1">
      <c r="AA180" s="2"/>
      <c r="AB180" s="2"/>
      <c r="AF180" s="2"/>
      <c r="AG180" s="2"/>
      <c r="AH180" s="2"/>
      <c r="AI180" s="2"/>
      <c r="AJ180" s="2"/>
      <c r="AK180" s="2"/>
      <c r="AL180" s="2"/>
      <c r="AM180" s="2"/>
      <c r="AT180" s="2"/>
      <c r="AU180" s="2"/>
      <c r="AV180" s="2"/>
      <c r="AW180" s="2"/>
      <c r="AX180" s="2"/>
      <c r="AY180" s="2"/>
      <c r="AZ180" s="2"/>
      <c r="BA180" s="2"/>
      <c r="BC180" s="2"/>
      <c r="BD180" s="2"/>
      <c r="BE180" s="2"/>
      <c r="BF180" s="2"/>
      <c r="BG180" s="2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</row>
    <row r="181" ht="14.25" customHeight="1">
      <c r="AA181" s="2"/>
      <c r="AB181" s="2"/>
      <c r="AF181" s="2"/>
      <c r="AG181" s="2"/>
      <c r="AH181" s="2"/>
      <c r="AI181" s="2"/>
      <c r="AJ181" s="2"/>
      <c r="AK181" s="2"/>
      <c r="AL181" s="2"/>
      <c r="AM181" s="2"/>
      <c r="AT181" s="2"/>
      <c r="AU181" s="2"/>
      <c r="AV181" s="2"/>
      <c r="AW181" s="2"/>
      <c r="AX181" s="2"/>
      <c r="AY181" s="2"/>
      <c r="AZ181" s="2"/>
      <c r="BA181" s="2"/>
      <c r="BC181" s="2"/>
      <c r="BD181" s="2"/>
      <c r="BE181" s="2"/>
      <c r="BF181" s="2"/>
      <c r="BG181" s="2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</row>
    <row r="182" ht="14.25" customHeight="1">
      <c r="AA182" s="2"/>
      <c r="AB182" s="2"/>
      <c r="AF182" s="2"/>
      <c r="AG182" s="2"/>
      <c r="AH182" s="2"/>
      <c r="AI182" s="2"/>
      <c r="AJ182" s="2"/>
      <c r="AK182" s="2"/>
      <c r="AL182" s="2"/>
      <c r="AM182" s="2"/>
      <c r="AT182" s="2"/>
      <c r="AU182" s="2"/>
      <c r="AV182" s="2"/>
      <c r="AW182" s="2"/>
      <c r="AX182" s="2"/>
      <c r="AY182" s="2"/>
      <c r="AZ182" s="2"/>
      <c r="BA182" s="2"/>
      <c r="BC182" s="2"/>
      <c r="BD182" s="2"/>
      <c r="BE182" s="2"/>
      <c r="BF182" s="2"/>
      <c r="BG182" s="2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</row>
    <row r="183" ht="14.25" customHeight="1">
      <c r="AA183" s="2"/>
      <c r="AB183" s="2"/>
      <c r="AF183" s="2"/>
      <c r="AG183" s="2"/>
      <c r="AH183" s="2"/>
      <c r="AI183" s="2"/>
      <c r="AJ183" s="2"/>
      <c r="AK183" s="2"/>
      <c r="AL183" s="2"/>
      <c r="AM183" s="2"/>
      <c r="AT183" s="2"/>
      <c r="AU183" s="2"/>
      <c r="AV183" s="2"/>
      <c r="AW183" s="2"/>
      <c r="AX183" s="2"/>
      <c r="AY183" s="2"/>
      <c r="AZ183" s="2"/>
      <c r="BA183" s="2"/>
      <c r="BC183" s="2"/>
      <c r="BD183" s="2"/>
      <c r="BE183" s="2"/>
      <c r="BF183" s="2"/>
      <c r="BG183" s="2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</row>
    <row r="184" ht="14.25" customHeight="1">
      <c r="AA184" s="2"/>
      <c r="AB184" s="2"/>
      <c r="AF184" s="2"/>
      <c r="AG184" s="2"/>
      <c r="AH184" s="2"/>
      <c r="AI184" s="2"/>
      <c r="AJ184" s="2"/>
      <c r="AK184" s="2"/>
      <c r="AL184" s="2"/>
      <c r="AM184" s="2"/>
      <c r="AT184" s="2"/>
      <c r="AU184" s="2"/>
      <c r="AV184" s="2"/>
      <c r="AW184" s="2"/>
      <c r="AX184" s="2"/>
      <c r="AY184" s="2"/>
      <c r="AZ184" s="2"/>
      <c r="BA184" s="2"/>
      <c r="BC184" s="2"/>
      <c r="BD184" s="2"/>
      <c r="BE184" s="2"/>
      <c r="BF184" s="2"/>
      <c r="BG184" s="2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</row>
    <row r="185" ht="14.25" customHeight="1">
      <c r="AA185" s="2"/>
      <c r="AB185" s="2"/>
      <c r="AF185" s="2"/>
      <c r="AG185" s="2"/>
      <c r="AH185" s="2"/>
      <c r="AI185" s="2"/>
      <c r="AJ185" s="2"/>
      <c r="AK185" s="2"/>
      <c r="AL185" s="2"/>
      <c r="AM185" s="2"/>
      <c r="AT185" s="2"/>
      <c r="AU185" s="2"/>
      <c r="AV185" s="2"/>
      <c r="AW185" s="2"/>
      <c r="AX185" s="2"/>
      <c r="AY185" s="2"/>
      <c r="AZ185" s="2"/>
      <c r="BA185" s="2"/>
      <c r="BC185" s="2"/>
      <c r="BD185" s="2"/>
      <c r="BE185" s="2"/>
      <c r="BF185" s="2"/>
      <c r="BG185" s="2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</row>
    <row r="186" ht="14.25" customHeight="1">
      <c r="AA186" s="2"/>
      <c r="AB186" s="2"/>
      <c r="AF186" s="2"/>
      <c r="AG186" s="2"/>
      <c r="AH186" s="2"/>
      <c r="AI186" s="2"/>
      <c r="AJ186" s="2"/>
      <c r="AK186" s="2"/>
      <c r="AL186" s="2"/>
      <c r="AM186" s="2"/>
      <c r="AT186" s="2"/>
      <c r="AU186" s="2"/>
      <c r="AV186" s="2"/>
      <c r="AW186" s="2"/>
      <c r="AX186" s="2"/>
      <c r="AY186" s="2"/>
      <c r="AZ186" s="2"/>
      <c r="BA186" s="2"/>
      <c r="BC186" s="2"/>
      <c r="BD186" s="2"/>
      <c r="BE186" s="2"/>
      <c r="BF186" s="2"/>
      <c r="BG186" s="2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</row>
    <row r="187" ht="14.25" customHeight="1">
      <c r="AA187" s="2"/>
      <c r="AB187" s="2"/>
      <c r="AF187" s="2"/>
      <c r="AG187" s="2"/>
      <c r="AH187" s="2"/>
      <c r="AI187" s="2"/>
      <c r="AJ187" s="2"/>
      <c r="AK187" s="2"/>
      <c r="AL187" s="2"/>
      <c r="AM187" s="2"/>
      <c r="AT187" s="2"/>
      <c r="AU187" s="2"/>
      <c r="AV187" s="2"/>
      <c r="AW187" s="2"/>
      <c r="AX187" s="2"/>
      <c r="AY187" s="2"/>
      <c r="AZ187" s="2"/>
      <c r="BA187" s="2"/>
      <c r="BC187" s="2"/>
      <c r="BD187" s="2"/>
      <c r="BE187" s="2"/>
      <c r="BF187" s="2"/>
      <c r="BG187" s="2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</row>
    <row r="188" ht="14.25" customHeight="1">
      <c r="AA188" s="2"/>
      <c r="AB188" s="2"/>
      <c r="AF188" s="2"/>
      <c r="AG188" s="2"/>
      <c r="AH188" s="2"/>
      <c r="AI188" s="2"/>
      <c r="AJ188" s="2"/>
      <c r="AK188" s="2"/>
      <c r="AL188" s="2"/>
      <c r="AM188" s="2"/>
      <c r="AT188" s="2"/>
      <c r="AU188" s="2"/>
      <c r="AV188" s="2"/>
      <c r="AW188" s="2"/>
      <c r="AX188" s="2"/>
      <c r="AY188" s="2"/>
      <c r="AZ188" s="2"/>
      <c r="BA188" s="2"/>
      <c r="BC188" s="2"/>
      <c r="BD188" s="2"/>
      <c r="BE188" s="2"/>
      <c r="BF188" s="2"/>
      <c r="BG188" s="2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</row>
    <row r="189" ht="14.25" customHeight="1">
      <c r="AA189" s="2"/>
      <c r="AB189" s="2"/>
      <c r="AF189" s="2"/>
      <c r="AG189" s="2"/>
      <c r="AH189" s="2"/>
      <c r="AI189" s="2"/>
      <c r="AJ189" s="2"/>
      <c r="AK189" s="2"/>
      <c r="AL189" s="2"/>
      <c r="AM189" s="2"/>
      <c r="AT189" s="2"/>
      <c r="AU189" s="2"/>
      <c r="AV189" s="2"/>
      <c r="AW189" s="2"/>
      <c r="AX189" s="2"/>
      <c r="AY189" s="2"/>
      <c r="AZ189" s="2"/>
      <c r="BA189" s="2"/>
      <c r="BC189" s="2"/>
      <c r="BD189" s="2"/>
      <c r="BE189" s="2"/>
      <c r="BF189" s="2"/>
      <c r="BG189" s="2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</row>
    <row r="190" ht="14.25" customHeight="1">
      <c r="AA190" s="2"/>
      <c r="AB190" s="2"/>
      <c r="AF190" s="2"/>
      <c r="AG190" s="2"/>
      <c r="AH190" s="2"/>
      <c r="AI190" s="2"/>
      <c r="AJ190" s="2"/>
      <c r="AK190" s="2"/>
      <c r="AL190" s="2"/>
      <c r="AM190" s="2"/>
      <c r="AT190" s="2"/>
      <c r="AU190" s="2"/>
      <c r="AV190" s="2"/>
      <c r="AW190" s="2"/>
      <c r="AX190" s="2"/>
      <c r="AY190" s="2"/>
      <c r="AZ190" s="2"/>
      <c r="BA190" s="2"/>
      <c r="BC190" s="2"/>
      <c r="BD190" s="2"/>
      <c r="BE190" s="2"/>
      <c r="BF190" s="2"/>
      <c r="BG190" s="2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</row>
    <row r="191" ht="14.25" customHeight="1">
      <c r="AA191" s="2"/>
      <c r="AB191" s="2"/>
      <c r="AF191" s="2"/>
      <c r="AG191" s="2"/>
      <c r="AH191" s="2"/>
      <c r="AI191" s="2"/>
      <c r="AJ191" s="2"/>
      <c r="AK191" s="2"/>
      <c r="AL191" s="2"/>
      <c r="AM191" s="2"/>
      <c r="AT191" s="2"/>
      <c r="AU191" s="2"/>
      <c r="AV191" s="2"/>
      <c r="AW191" s="2"/>
      <c r="AX191" s="2"/>
      <c r="AY191" s="2"/>
      <c r="AZ191" s="2"/>
      <c r="BA191" s="2"/>
      <c r="BC191" s="2"/>
      <c r="BD191" s="2"/>
      <c r="BE191" s="2"/>
      <c r="BF191" s="2"/>
      <c r="BG191" s="2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</row>
    <row r="192" ht="14.25" customHeight="1">
      <c r="AA192" s="2"/>
      <c r="AB192" s="2"/>
      <c r="AF192" s="2"/>
      <c r="AG192" s="2"/>
      <c r="AH192" s="2"/>
      <c r="AI192" s="2"/>
      <c r="AJ192" s="2"/>
      <c r="AK192" s="2"/>
      <c r="AL192" s="2"/>
      <c r="AM192" s="2"/>
      <c r="AT192" s="2"/>
      <c r="AU192" s="2"/>
      <c r="AV192" s="2"/>
      <c r="AW192" s="2"/>
      <c r="AX192" s="2"/>
      <c r="AY192" s="2"/>
      <c r="AZ192" s="2"/>
      <c r="BA192" s="2"/>
      <c r="BC192" s="2"/>
      <c r="BD192" s="2"/>
      <c r="BE192" s="2"/>
      <c r="BF192" s="2"/>
      <c r="BG192" s="2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</row>
    <row r="193" ht="14.25" customHeight="1">
      <c r="AA193" s="2"/>
      <c r="AB193" s="2"/>
      <c r="AF193" s="2"/>
      <c r="AG193" s="2"/>
      <c r="AH193" s="2"/>
      <c r="AI193" s="2"/>
      <c r="AJ193" s="2"/>
      <c r="AK193" s="2"/>
      <c r="AL193" s="2"/>
      <c r="AM193" s="2"/>
      <c r="AT193" s="2"/>
      <c r="AU193" s="2"/>
      <c r="AV193" s="2"/>
      <c r="AW193" s="2"/>
      <c r="AX193" s="2"/>
      <c r="AY193" s="2"/>
      <c r="AZ193" s="2"/>
      <c r="BA193" s="2"/>
      <c r="BC193" s="2"/>
      <c r="BD193" s="2"/>
      <c r="BE193" s="2"/>
      <c r="BF193" s="2"/>
      <c r="BG193" s="2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</row>
    <row r="194" ht="14.25" customHeight="1">
      <c r="AA194" s="2"/>
      <c r="AB194" s="2"/>
      <c r="AF194" s="2"/>
      <c r="AG194" s="2"/>
      <c r="AH194" s="2"/>
      <c r="AI194" s="2"/>
      <c r="AJ194" s="2"/>
      <c r="AK194" s="2"/>
      <c r="AL194" s="2"/>
      <c r="AM194" s="2"/>
      <c r="AT194" s="2"/>
      <c r="AU194" s="2"/>
      <c r="AV194" s="2"/>
      <c r="AW194" s="2"/>
      <c r="AX194" s="2"/>
      <c r="AY194" s="2"/>
      <c r="AZ194" s="2"/>
      <c r="BA194" s="2"/>
      <c r="BC194" s="2"/>
      <c r="BD194" s="2"/>
      <c r="BE194" s="2"/>
      <c r="BF194" s="2"/>
      <c r="BG194" s="2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</row>
    <row r="195" ht="14.25" customHeight="1">
      <c r="AA195" s="2"/>
      <c r="AB195" s="2"/>
      <c r="AF195" s="2"/>
      <c r="AG195" s="2"/>
      <c r="AH195" s="2"/>
      <c r="AI195" s="2"/>
      <c r="AJ195" s="2"/>
      <c r="AK195" s="2"/>
      <c r="AL195" s="2"/>
      <c r="AM195" s="2"/>
      <c r="AT195" s="2"/>
      <c r="AU195" s="2"/>
      <c r="AV195" s="2"/>
      <c r="AW195" s="2"/>
      <c r="AX195" s="2"/>
      <c r="AY195" s="2"/>
      <c r="AZ195" s="2"/>
      <c r="BA195" s="2"/>
      <c r="BC195" s="2"/>
      <c r="BD195" s="2"/>
      <c r="BE195" s="2"/>
      <c r="BF195" s="2"/>
      <c r="BG195" s="2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</row>
    <row r="196" ht="14.25" customHeight="1">
      <c r="AA196" s="2"/>
      <c r="AB196" s="2"/>
      <c r="AF196" s="2"/>
      <c r="AG196" s="2"/>
      <c r="AH196" s="2"/>
      <c r="AI196" s="2"/>
      <c r="AJ196" s="2"/>
      <c r="AK196" s="2"/>
      <c r="AL196" s="2"/>
      <c r="AM196" s="2"/>
      <c r="AT196" s="2"/>
      <c r="AU196" s="2"/>
      <c r="AV196" s="2"/>
      <c r="AW196" s="2"/>
      <c r="AX196" s="2"/>
      <c r="AY196" s="2"/>
      <c r="AZ196" s="2"/>
      <c r="BA196" s="2"/>
      <c r="BC196" s="2"/>
      <c r="BD196" s="2"/>
      <c r="BE196" s="2"/>
      <c r="BF196" s="2"/>
      <c r="BG196" s="2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</row>
    <row r="197" ht="14.25" customHeight="1">
      <c r="AA197" s="2"/>
      <c r="AB197" s="2"/>
      <c r="AF197" s="2"/>
      <c r="AG197" s="2"/>
      <c r="AH197" s="2"/>
      <c r="AI197" s="2"/>
      <c r="AJ197" s="2"/>
      <c r="AK197" s="2"/>
      <c r="AL197" s="2"/>
      <c r="AM197" s="2"/>
      <c r="AT197" s="2"/>
      <c r="AU197" s="2"/>
      <c r="AV197" s="2"/>
      <c r="AW197" s="2"/>
      <c r="AX197" s="2"/>
      <c r="AY197" s="2"/>
      <c r="AZ197" s="2"/>
      <c r="BA197" s="2"/>
      <c r="BC197" s="2"/>
      <c r="BD197" s="2"/>
      <c r="BE197" s="2"/>
      <c r="BF197" s="2"/>
      <c r="BG197" s="2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</row>
    <row r="198" ht="14.25" customHeight="1">
      <c r="AA198" s="2"/>
      <c r="AB198" s="2"/>
      <c r="AF198" s="2"/>
      <c r="AG198" s="2"/>
      <c r="AH198" s="2"/>
      <c r="AI198" s="2"/>
      <c r="AJ198" s="2"/>
      <c r="AK198" s="2"/>
      <c r="AL198" s="2"/>
      <c r="AM198" s="2"/>
      <c r="AT198" s="2"/>
      <c r="AU198" s="2"/>
      <c r="AV198" s="2"/>
      <c r="AW198" s="2"/>
      <c r="AX198" s="2"/>
      <c r="AY198" s="2"/>
      <c r="AZ198" s="2"/>
      <c r="BA198" s="2"/>
      <c r="BC198" s="2"/>
      <c r="BD198" s="2"/>
      <c r="BE198" s="2"/>
      <c r="BF198" s="2"/>
      <c r="BG198" s="2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</row>
    <row r="199" ht="14.25" customHeight="1">
      <c r="AA199" s="2"/>
      <c r="AB199" s="2"/>
      <c r="AF199" s="2"/>
      <c r="AG199" s="2"/>
      <c r="AH199" s="2"/>
      <c r="AI199" s="2"/>
      <c r="AJ199" s="2"/>
      <c r="AK199" s="2"/>
      <c r="AL199" s="2"/>
      <c r="AM199" s="2"/>
      <c r="AT199" s="2"/>
      <c r="AU199" s="2"/>
      <c r="AV199" s="2"/>
      <c r="AW199" s="2"/>
      <c r="AX199" s="2"/>
      <c r="AY199" s="2"/>
      <c r="AZ199" s="2"/>
      <c r="BA199" s="2"/>
      <c r="BC199" s="2"/>
      <c r="BD199" s="2"/>
      <c r="BE199" s="2"/>
      <c r="BF199" s="2"/>
      <c r="BG199" s="2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</row>
    <row r="200" ht="14.25" customHeight="1">
      <c r="AA200" s="2"/>
      <c r="AB200" s="2"/>
      <c r="AF200" s="2"/>
      <c r="AG200" s="2"/>
      <c r="AH200" s="2"/>
      <c r="AI200" s="2"/>
      <c r="AJ200" s="2"/>
      <c r="AK200" s="2"/>
      <c r="AL200" s="2"/>
      <c r="AM200" s="2"/>
      <c r="AT200" s="2"/>
      <c r="AU200" s="2"/>
      <c r="AV200" s="2"/>
      <c r="AW200" s="2"/>
      <c r="AX200" s="2"/>
      <c r="AY200" s="2"/>
      <c r="AZ200" s="2"/>
      <c r="BA200" s="2"/>
      <c r="BC200" s="2"/>
      <c r="BD200" s="2"/>
      <c r="BE200" s="2"/>
      <c r="BF200" s="2"/>
      <c r="BG200" s="2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</row>
    <row r="201" ht="14.25" customHeight="1">
      <c r="AA201" s="2"/>
      <c r="AB201" s="2"/>
      <c r="AF201" s="2"/>
      <c r="AG201" s="2"/>
      <c r="AH201" s="2"/>
      <c r="AI201" s="2"/>
      <c r="AJ201" s="2"/>
      <c r="AK201" s="2"/>
      <c r="AL201" s="2"/>
      <c r="AM201" s="2"/>
      <c r="AT201" s="2"/>
      <c r="AU201" s="2"/>
      <c r="AV201" s="2"/>
      <c r="AW201" s="2"/>
      <c r="AX201" s="2"/>
      <c r="AY201" s="2"/>
      <c r="AZ201" s="2"/>
      <c r="BA201" s="2"/>
      <c r="BC201" s="2"/>
      <c r="BD201" s="2"/>
      <c r="BE201" s="2"/>
      <c r="BF201" s="2"/>
      <c r="BG201" s="2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</row>
    <row r="202" ht="14.25" customHeight="1">
      <c r="AA202" s="2"/>
      <c r="AB202" s="2"/>
      <c r="AF202" s="2"/>
      <c r="AG202" s="2"/>
      <c r="AH202" s="2"/>
      <c r="AI202" s="2"/>
      <c r="AJ202" s="2"/>
      <c r="AK202" s="2"/>
      <c r="AL202" s="2"/>
      <c r="AM202" s="2"/>
      <c r="AT202" s="2"/>
      <c r="AU202" s="2"/>
      <c r="AV202" s="2"/>
      <c r="AW202" s="2"/>
      <c r="AX202" s="2"/>
      <c r="AY202" s="2"/>
      <c r="AZ202" s="2"/>
      <c r="BA202" s="2"/>
      <c r="BC202" s="2"/>
      <c r="BD202" s="2"/>
      <c r="BE202" s="2"/>
      <c r="BF202" s="2"/>
      <c r="BG202" s="2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</row>
    <row r="203" ht="14.25" customHeight="1">
      <c r="AA203" s="2"/>
      <c r="AB203" s="2"/>
      <c r="AF203" s="2"/>
      <c r="AG203" s="2"/>
      <c r="AH203" s="2"/>
      <c r="AI203" s="2"/>
      <c r="AJ203" s="2"/>
      <c r="AK203" s="2"/>
      <c r="AL203" s="2"/>
      <c r="AM203" s="2"/>
      <c r="AT203" s="2"/>
      <c r="AU203" s="2"/>
      <c r="AV203" s="2"/>
      <c r="AW203" s="2"/>
      <c r="AX203" s="2"/>
      <c r="AY203" s="2"/>
      <c r="AZ203" s="2"/>
      <c r="BA203" s="2"/>
      <c r="BC203" s="2"/>
      <c r="BD203" s="2"/>
      <c r="BE203" s="2"/>
      <c r="BF203" s="2"/>
      <c r="BG203" s="2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</row>
    <row r="204" ht="14.25" customHeight="1">
      <c r="AA204" s="2"/>
      <c r="AB204" s="2"/>
      <c r="AF204" s="2"/>
      <c r="AG204" s="2"/>
      <c r="AH204" s="2"/>
      <c r="AI204" s="2"/>
      <c r="AJ204" s="2"/>
      <c r="AK204" s="2"/>
      <c r="AL204" s="2"/>
      <c r="AM204" s="2"/>
      <c r="AT204" s="2"/>
      <c r="AU204" s="2"/>
      <c r="AV204" s="2"/>
      <c r="AW204" s="2"/>
      <c r="AX204" s="2"/>
      <c r="AY204" s="2"/>
      <c r="AZ204" s="2"/>
      <c r="BA204" s="2"/>
      <c r="BC204" s="2"/>
      <c r="BD204" s="2"/>
      <c r="BE204" s="2"/>
      <c r="BF204" s="2"/>
      <c r="BG204" s="2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</row>
    <row r="205" ht="14.25" customHeight="1">
      <c r="AA205" s="2"/>
      <c r="AB205" s="2"/>
      <c r="AF205" s="2"/>
      <c r="AG205" s="2"/>
      <c r="AH205" s="2"/>
      <c r="AI205" s="2"/>
      <c r="AJ205" s="2"/>
      <c r="AK205" s="2"/>
      <c r="AL205" s="2"/>
      <c r="AM205" s="2"/>
      <c r="AT205" s="2"/>
      <c r="AU205" s="2"/>
      <c r="AV205" s="2"/>
      <c r="AW205" s="2"/>
      <c r="AX205" s="2"/>
      <c r="AY205" s="2"/>
      <c r="AZ205" s="2"/>
      <c r="BA205" s="2"/>
      <c r="BC205" s="2"/>
      <c r="BD205" s="2"/>
      <c r="BE205" s="2"/>
      <c r="BF205" s="2"/>
      <c r="BG205" s="2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</row>
    <row r="206" ht="14.25" customHeight="1">
      <c r="AA206" s="2"/>
      <c r="AB206" s="2"/>
      <c r="AF206" s="2"/>
      <c r="AG206" s="2"/>
      <c r="AH206" s="2"/>
      <c r="AI206" s="2"/>
      <c r="AJ206" s="2"/>
      <c r="AK206" s="2"/>
      <c r="AL206" s="2"/>
      <c r="AM206" s="2"/>
      <c r="AT206" s="2"/>
      <c r="AU206" s="2"/>
      <c r="AV206" s="2"/>
      <c r="AW206" s="2"/>
      <c r="AX206" s="2"/>
      <c r="AY206" s="2"/>
      <c r="AZ206" s="2"/>
      <c r="BA206" s="2"/>
      <c r="BC206" s="2"/>
      <c r="BD206" s="2"/>
      <c r="BE206" s="2"/>
      <c r="BF206" s="2"/>
      <c r="BG206" s="2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</row>
    <row r="207" ht="14.25" customHeight="1">
      <c r="AA207" s="2"/>
      <c r="AB207" s="2"/>
      <c r="AF207" s="2"/>
      <c r="AG207" s="2"/>
      <c r="AH207" s="2"/>
      <c r="AI207" s="2"/>
      <c r="AJ207" s="2"/>
      <c r="AK207" s="2"/>
      <c r="AL207" s="2"/>
      <c r="AM207" s="2"/>
      <c r="AT207" s="2"/>
      <c r="AU207" s="2"/>
      <c r="AV207" s="2"/>
      <c r="AW207" s="2"/>
      <c r="AX207" s="2"/>
      <c r="AY207" s="2"/>
      <c r="AZ207" s="2"/>
      <c r="BA207" s="2"/>
      <c r="BC207" s="2"/>
      <c r="BD207" s="2"/>
      <c r="BE207" s="2"/>
      <c r="BF207" s="2"/>
      <c r="BG207" s="2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</row>
    <row r="208" ht="14.25" customHeight="1">
      <c r="AA208" s="2"/>
      <c r="AB208" s="2"/>
      <c r="AF208" s="2"/>
      <c r="AG208" s="2"/>
      <c r="AH208" s="2"/>
      <c r="AI208" s="2"/>
      <c r="AJ208" s="2"/>
      <c r="AK208" s="2"/>
      <c r="AL208" s="2"/>
      <c r="AM208" s="2"/>
      <c r="AT208" s="2"/>
      <c r="AU208" s="2"/>
      <c r="AV208" s="2"/>
      <c r="AW208" s="2"/>
      <c r="AX208" s="2"/>
      <c r="AY208" s="2"/>
      <c r="AZ208" s="2"/>
      <c r="BA208" s="2"/>
      <c r="BC208" s="2"/>
      <c r="BD208" s="2"/>
      <c r="BE208" s="2"/>
      <c r="BF208" s="2"/>
      <c r="BG208" s="2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</row>
    <row r="209" ht="14.25" customHeight="1">
      <c r="AA209" s="2"/>
      <c r="AB209" s="2"/>
      <c r="AF209" s="2"/>
      <c r="AG209" s="2"/>
      <c r="AH209" s="2"/>
      <c r="AI209" s="2"/>
      <c r="AJ209" s="2"/>
      <c r="AK209" s="2"/>
      <c r="AL209" s="2"/>
      <c r="AM209" s="2"/>
      <c r="AT209" s="2"/>
      <c r="AU209" s="2"/>
      <c r="AV209" s="2"/>
      <c r="AW209" s="2"/>
      <c r="AX209" s="2"/>
      <c r="AY209" s="2"/>
      <c r="AZ209" s="2"/>
      <c r="BA209" s="2"/>
      <c r="BC209" s="2"/>
      <c r="BD209" s="2"/>
      <c r="BE209" s="2"/>
      <c r="BF209" s="2"/>
      <c r="BG209" s="2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</row>
    <row r="210" ht="14.25" customHeight="1">
      <c r="AA210" s="2"/>
      <c r="AB210" s="2"/>
      <c r="AF210" s="2"/>
      <c r="AG210" s="2"/>
      <c r="AH210" s="2"/>
      <c r="AI210" s="2"/>
      <c r="AJ210" s="2"/>
      <c r="AK210" s="2"/>
      <c r="AL210" s="2"/>
      <c r="AM210" s="2"/>
      <c r="AT210" s="2"/>
      <c r="AU210" s="2"/>
      <c r="AV210" s="2"/>
      <c r="AW210" s="2"/>
      <c r="AX210" s="2"/>
      <c r="AY210" s="2"/>
      <c r="AZ210" s="2"/>
      <c r="BA210" s="2"/>
      <c r="BC210" s="2"/>
      <c r="BD210" s="2"/>
      <c r="BE210" s="2"/>
      <c r="BF210" s="2"/>
      <c r="BG210" s="2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</row>
    <row r="211" ht="14.25" customHeight="1">
      <c r="AA211" s="2"/>
      <c r="AB211" s="2"/>
      <c r="AF211" s="2"/>
      <c r="AG211" s="2"/>
      <c r="AH211" s="2"/>
      <c r="AI211" s="2"/>
      <c r="AJ211" s="2"/>
      <c r="AK211" s="2"/>
      <c r="AL211" s="2"/>
      <c r="AM211" s="2"/>
      <c r="AT211" s="2"/>
      <c r="AU211" s="2"/>
      <c r="AV211" s="2"/>
      <c r="AW211" s="2"/>
      <c r="AX211" s="2"/>
      <c r="AY211" s="2"/>
      <c r="AZ211" s="2"/>
      <c r="BA211" s="2"/>
      <c r="BC211" s="2"/>
      <c r="BD211" s="2"/>
      <c r="BE211" s="2"/>
      <c r="BF211" s="2"/>
      <c r="BG211" s="2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</row>
    <row r="212" ht="14.25" customHeight="1">
      <c r="AA212" s="2"/>
      <c r="AB212" s="2"/>
      <c r="AF212" s="2"/>
      <c r="AG212" s="2"/>
      <c r="AH212" s="2"/>
      <c r="AI212" s="2"/>
      <c r="AJ212" s="2"/>
      <c r="AK212" s="2"/>
      <c r="AL212" s="2"/>
      <c r="AM212" s="2"/>
      <c r="AT212" s="2"/>
      <c r="AU212" s="2"/>
      <c r="AV212" s="2"/>
      <c r="AW212" s="2"/>
      <c r="AX212" s="2"/>
      <c r="AY212" s="2"/>
      <c r="AZ212" s="2"/>
      <c r="BA212" s="2"/>
      <c r="BC212" s="2"/>
      <c r="BD212" s="2"/>
      <c r="BE212" s="2"/>
      <c r="BF212" s="2"/>
      <c r="BG212" s="2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</row>
    <row r="213" ht="14.25" customHeight="1">
      <c r="AA213" s="2"/>
      <c r="AB213" s="2"/>
      <c r="AF213" s="2"/>
      <c r="AG213" s="2"/>
      <c r="AH213" s="2"/>
      <c r="AI213" s="2"/>
      <c r="AJ213" s="2"/>
      <c r="AK213" s="2"/>
      <c r="AL213" s="2"/>
      <c r="AM213" s="2"/>
      <c r="AT213" s="2"/>
      <c r="AU213" s="2"/>
      <c r="AV213" s="2"/>
      <c r="AW213" s="2"/>
      <c r="AX213" s="2"/>
      <c r="AY213" s="2"/>
      <c r="AZ213" s="2"/>
      <c r="BA213" s="2"/>
      <c r="BC213" s="2"/>
      <c r="BD213" s="2"/>
      <c r="BE213" s="2"/>
      <c r="BF213" s="2"/>
      <c r="BG213" s="2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</row>
    <row r="214" ht="14.25" customHeight="1">
      <c r="AA214" s="2"/>
      <c r="AB214" s="2"/>
      <c r="AF214" s="2"/>
      <c r="AG214" s="2"/>
      <c r="AH214" s="2"/>
      <c r="AI214" s="2"/>
      <c r="AJ214" s="2"/>
      <c r="AK214" s="2"/>
      <c r="AL214" s="2"/>
      <c r="AM214" s="2"/>
      <c r="AT214" s="2"/>
      <c r="AU214" s="2"/>
      <c r="AV214" s="2"/>
      <c r="AW214" s="2"/>
      <c r="AX214" s="2"/>
      <c r="AY214" s="2"/>
      <c r="AZ214" s="2"/>
      <c r="BA214" s="2"/>
      <c r="BC214" s="2"/>
      <c r="BD214" s="2"/>
      <c r="BE214" s="2"/>
      <c r="BF214" s="2"/>
      <c r="BG214" s="2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</row>
    <row r="215" ht="14.25" customHeight="1">
      <c r="AA215" s="2"/>
      <c r="AB215" s="2"/>
      <c r="AF215" s="2"/>
      <c r="AG215" s="2"/>
      <c r="AH215" s="2"/>
      <c r="AI215" s="2"/>
      <c r="AJ215" s="2"/>
      <c r="AK215" s="2"/>
      <c r="AL215" s="2"/>
      <c r="AM215" s="2"/>
      <c r="AT215" s="2"/>
      <c r="AU215" s="2"/>
      <c r="AV215" s="2"/>
      <c r="AW215" s="2"/>
      <c r="AX215" s="2"/>
      <c r="AY215" s="2"/>
      <c r="AZ215" s="2"/>
      <c r="BA215" s="2"/>
      <c r="BC215" s="2"/>
      <c r="BD215" s="2"/>
      <c r="BE215" s="2"/>
      <c r="BF215" s="2"/>
      <c r="BG215" s="2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</row>
    <row r="216" ht="14.25" customHeight="1">
      <c r="AA216" s="2"/>
      <c r="AB216" s="2"/>
      <c r="AF216" s="2"/>
      <c r="AG216" s="2"/>
      <c r="AH216" s="2"/>
      <c r="AI216" s="2"/>
      <c r="AJ216" s="2"/>
      <c r="AK216" s="2"/>
      <c r="AL216" s="2"/>
      <c r="AM216" s="2"/>
      <c r="AT216" s="2"/>
      <c r="AU216" s="2"/>
      <c r="AV216" s="2"/>
      <c r="AW216" s="2"/>
      <c r="AX216" s="2"/>
      <c r="AY216" s="2"/>
      <c r="AZ216" s="2"/>
      <c r="BA216" s="2"/>
      <c r="BC216" s="2"/>
      <c r="BD216" s="2"/>
      <c r="BE216" s="2"/>
      <c r="BF216" s="2"/>
      <c r="BG216" s="2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</row>
    <row r="217" ht="14.25" customHeight="1">
      <c r="AA217" s="2"/>
      <c r="AB217" s="2"/>
      <c r="AF217" s="2"/>
      <c r="AG217" s="2"/>
      <c r="AH217" s="2"/>
      <c r="AI217" s="2"/>
      <c r="AJ217" s="2"/>
      <c r="AK217" s="2"/>
      <c r="AL217" s="2"/>
      <c r="AM217" s="2"/>
      <c r="AT217" s="2"/>
      <c r="AU217" s="2"/>
      <c r="AV217" s="2"/>
      <c r="AW217" s="2"/>
      <c r="AX217" s="2"/>
      <c r="AY217" s="2"/>
      <c r="AZ217" s="2"/>
      <c r="BA217" s="2"/>
      <c r="BC217" s="2"/>
      <c r="BD217" s="2"/>
      <c r="BE217" s="2"/>
      <c r="BF217" s="2"/>
      <c r="BG217" s="2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</row>
    <row r="218" ht="14.25" customHeight="1">
      <c r="AA218" s="2"/>
      <c r="AB218" s="2"/>
      <c r="AF218" s="2"/>
      <c r="AG218" s="2"/>
      <c r="AH218" s="2"/>
      <c r="AI218" s="2"/>
      <c r="AJ218" s="2"/>
      <c r="AK218" s="2"/>
      <c r="AL218" s="2"/>
      <c r="AM218" s="2"/>
      <c r="AT218" s="2"/>
      <c r="AU218" s="2"/>
      <c r="AV218" s="2"/>
      <c r="AW218" s="2"/>
      <c r="AX218" s="2"/>
      <c r="AY218" s="2"/>
      <c r="AZ218" s="2"/>
      <c r="BA218" s="2"/>
      <c r="BC218" s="2"/>
      <c r="BD218" s="2"/>
      <c r="BE218" s="2"/>
      <c r="BF218" s="2"/>
      <c r="BG218" s="2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</row>
    <row r="219" ht="14.25" customHeight="1">
      <c r="AA219" s="2"/>
      <c r="AB219" s="2"/>
      <c r="AF219" s="2"/>
      <c r="AG219" s="2"/>
      <c r="AH219" s="2"/>
      <c r="AI219" s="2"/>
      <c r="AJ219" s="2"/>
      <c r="AK219" s="2"/>
      <c r="AL219" s="2"/>
      <c r="AM219" s="2"/>
      <c r="AT219" s="2"/>
      <c r="AU219" s="2"/>
      <c r="AV219" s="2"/>
      <c r="AW219" s="2"/>
      <c r="AX219" s="2"/>
      <c r="AY219" s="2"/>
      <c r="AZ219" s="2"/>
      <c r="BA219" s="2"/>
      <c r="BC219" s="2"/>
      <c r="BD219" s="2"/>
      <c r="BE219" s="2"/>
      <c r="BF219" s="2"/>
      <c r="BG219" s="2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</row>
    <row r="220" ht="14.25" customHeight="1">
      <c r="AA220" s="2"/>
      <c r="AB220" s="2"/>
      <c r="AF220" s="2"/>
      <c r="AG220" s="2"/>
      <c r="AH220" s="2"/>
      <c r="AI220" s="2"/>
      <c r="AJ220" s="2"/>
      <c r="AK220" s="2"/>
      <c r="AL220" s="2"/>
      <c r="AM220" s="2"/>
      <c r="AT220" s="2"/>
      <c r="AU220" s="2"/>
      <c r="AV220" s="2"/>
      <c r="AW220" s="2"/>
      <c r="AX220" s="2"/>
      <c r="AY220" s="2"/>
      <c r="AZ220" s="2"/>
      <c r="BA220" s="2"/>
      <c r="BC220" s="2"/>
      <c r="BD220" s="2"/>
      <c r="BE220" s="2"/>
      <c r="BF220" s="2"/>
      <c r="BG220" s="2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</row>
    <row r="221" ht="14.25" customHeight="1">
      <c r="AA221" s="2"/>
      <c r="AB221" s="2"/>
      <c r="AF221" s="2"/>
      <c r="AG221" s="2"/>
      <c r="AH221" s="2"/>
      <c r="AI221" s="2"/>
      <c r="AJ221" s="2"/>
      <c r="AK221" s="2"/>
      <c r="AL221" s="2"/>
      <c r="AM221" s="2"/>
      <c r="AT221" s="2"/>
      <c r="AU221" s="2"/>
      <c r="AV221" s="2"/>
      <c r="AW221" s="2"/>
      <c r="AX221" s="2"/>
      <c r="AY221" s="2"/>
      <c r="AZ221" s="2"/>
      <c r="BA221" s="2"/>
      <c r="BC221" s="2"/>
      <c r="BD221" s="2"/>
      <c r="BE221" s="2"/>
      <c r="BF221" s="2"/>
      <c r="BG221" s="2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</row>
    <row r="222" ht="14.25" customHeight="1">
      <c r="AA222" s="2"/>
      <c r="AB222" s="2"/>
      <c r="AF222" s="2"/>
      <c r="AG222" s="2"/>
      <c r="AH222" s="2"/>
      <c r="AI222" s="2"/>
      <c r="AJ222" s="2"/>
      <c r="AK222" s="2"/>
      <c r="AL222" s="2"/>
      <c r="AM222" s="2"/>
      <c r="AT222" s="2"/>
      <c r="AU222" s="2"/>
      <c r="AV222" s="2"/>
      <c r="AW222" s="2"/>
      <c r="AX222" s="2"/>
      <c r="AY222" s="2"/>
      <c r="AZ222" s="2"/>
      <c r="BA222" s="2"/>
      <c r="BC222" s="2"/>
      <c r="BD222" s="2"/>
      <c r="BE222" s="2"/>
      <c r="BF222" s="2"/>
      <c r="BG222" s="2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</row>
    <row r="223" ht="14.25" customHeight="1">
      <c r="AA223" s="2"/>
      <c r="AB223" s="2"/>
      <c r="AF223" s="2"/>
      <c r="AG223" s="2"/>
      <c r="AH223" s="2"/>
      <c r="AI223" s="2"/>
      <c r="AJ223" s="2"/>
      <c r="AK223" s="2"/>
      <c r="AL223" s="2"/>
      <c r="AM223" s="2"/>
      <c r="AT223" s="2"/>
      <c r="AU223" s="2"/>
      <c r="AV223" s="2"/>
      <c r="AW223" s="2"/>
      <c r="AX223" s="2"/>
      <c r="AY223" s="2"/>
      <c r="AZ223" s="2"/>
      <c r="BA223" s="2"/>
      <c r="BC223" s="2"/>
      <c r="BD223" s="2"/>
      <c r="BE223" s="2"/>
      <c r="BF223" s="2"/>
      <c r="BG223" s="2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</row>
    <row r="224" ht="14.25" customHeight="1">
      <c r="AA224" s="2"/>
      <c r="AB224" s="2"/>
      <c r="AF224" s="2"/>
      <c r="AG224" s="2"/>
      <c r="AH224" s="2"/>
      <c r="AI224" s="2"/>
      <c r="AJ224" s="2"/>
      <c r="AK224" s="2"/>
      <c r="AL224" s="2"/>
      <c r="AM224" s="2"/>
      <c r="AT224" s="2"/>
      <c r="AU224" s="2"/>
      <c r="AV224" s="2"/>
      <c r="AW224" s="2"/>
      <c r="AX224" s="2"/>
      <c r="AY224" s="2"/>
      <c r="AZ224" s="2"/>
      <c r="BA224" s="2"/>
      <c r="BC224" s="2"/>
      <c r="BD224" s="2"/>
      <c r="BE224" s="2"/>
      <c r="BF224" s="2"/>
      <c r="BG224" s="2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</row>
    <row r="225" ht="14.25" customHeight="1">
      <c r="AA225" s="2"/>
      <c r="AB225" s="2"/>
      <c r="AF225" s="2"/>
      <c r="AG225" s="2"/>
      <c r="AH225" s="2"/>
      <c r="AI225" s="2"/>
      <c r="AJ225" s="2"/>
      <c r="AK225" s="2"/>
      <c r="AL225" s="2"/>
      <c r="AM225" s="2"/>
      <c r="AT225" s="2"/>
      <c r="AU225" s="2"/>
      <c r="AV225" s="2"/>
      <c r="AW225" s="2"/>
      <c r="AX225" s="2"/>
      <c r="AY225" s="2"/>
      <c r="AZ225" s="2"/>
      <c r="BA225" s="2"/>
      <c r="BC225" s="2"/>
      <c r="BD225" s="2"/>
      <c r="BE225" s="2"/>
      <c r="BF225" s="2"/>
      <c r="BG225" s="2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</row>
    <row r="226" ht="14.25" customHeight="1">
      <c r="AA226" s="2"/>
      <c r="AB226" s="2"/>
      <c r="AF226" s="2"/>
      <c r="AG226" s="2"/>
      <c r="AH226" s="2"/>
      <c r="AI226" s="2"/>
      <c r="AJ226" s="2"/>
      <c r="AK226" s="2"/>
      <c r="AL226" s="2"/>
      <c r="AM226" s="2"/>
      <c r="AT226" s="2"/>
      <c r="AU226" s="2"/>
      <c r="AV226" s="2"/>
      <c r="AW226" s="2"/>
      <c r="AX226" s="2"/>
      <c r="AY226" s="2"/>
      <c r="AZ226" s="2"/>
      <c r="BA226" s="2"/>
      <c r="BC226" s="2"/>
      <c r="BD226" s="2"/>
      <c r="BE226" s="2"/>
      <c r="BF226" s="2"/>
      <c r="BG226" s="2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</row>
    <row r="227" ht="14.25" customHeight="1">
      <c r="AA227" s="2"/>
      <c r="AB227" s="2"/>
      <c r="AF227" s="2"/>
      <c r="AG227" s="2"/>
      <c r="AH227" s="2"/>
      <c r="AI227" s="2"/>
      <c r="AJ227" s="2"/>
      <c r="AK227" s="2"/>
      <c r="AL227" s="2"/>
      <c r="AM227" s="2"/>
      <c r="AT227" s="2"/>
      <c r="AU227" s="2"/>
      <c r="AV227" s="2"/>
      <c r="AW227" s="2"/>
      <c r="AX227" s="2"/>
      <c r="AY227" s="2"/>
      <c r="AZ227" s="2"/>
      <c r="BA227" s="2"/>
      <c r="BC227" s="2"/>
      <c r="BD227" s="2"/>
      <c r="BE227" s="2"/>
      <c r="BF227" s="2"/>
      <c r="BG227" s="2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</row>
    <row r="228" ht="14.25" customHeight="1">
      <c r="AA228" s="2"/>
      <c r="AB228" s="2"/>
      <c r="AF228" s="2"/>
      <c r="AG228" s="2"/>
      <c r="AH228" s="2"/>
      <c r="AI228" s="2"/>
      <c r="AJ228" s="2"/>
      <c r="AK228" s="2"/>
      <c r="AL228" s="2"/>
      <c r="AM228" s="2"/>
      <c r="AT228" s="2"/>
      <c r="AU228" s="2"/>
      <c r="AV228" s="2"/>
      <c r="AW228" s="2"/>
      <c r="AX228" s="2"/>
      <c r="AY228" s="2"/>
      <c r="AZ228" s="2"/>
      <c r="BA228" s="2"/>
      <c r="BC228" s="2"/>
      <c r="BD228" s="2"/>
      <c r="BE228" s="2"/>
      <c r="BF228" s="2"/>
      <c r="BG228" s="2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</row>
    <row r="229" ht="14.25" customHeight="1">
      <c r="AA229" s="2"/>
      <c r="AB229" s="2"/>
      <c r="AF229" s="2"/>
      <c r="AG229" s="2"/>
      <c r="AH229" s="2"/>
      <c r="AI229" s="2"/>
      <c r="AJ229" s="2"/>
      <c r="AK229" s="2"/>
      <c r="AL229" s="2"/>
      <c r="AM229" s="2"/>
      <c r="AT229" s="2"/>
      <c r="AU229" s="2"/>
      <c r="AV229" s="2"/>
      <c r="AW229" s="2"/>
      <c r="AX229" s="2"/>
      <c r="AY229" s="2"/>
      <c r="AZ229" s="2"/>
      <c r="BA229" s="2"/>
      <c r="BC229" s="2"/>
      <c r="BD229" s="2"/>
      <c r="BE229" s="2"/>
      <c r="BF229" s="2"/>
      <c r="BG229" s="2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</row>
    <row r="230" ht="14.25" customHeight="1">
      <c r="AA230" s="2"/>
      <c r="AB230" s="2"/>
      <c r="AF230" s="2"/>
      <c r="AG230" s="2"/>
      <c r="AH230" s="2"/>
      <c r="AI230" s="2"/>
      <c r="AJ230" s="2"/>
      <c r="AK230" s="2"/>
      <c r="AL230" s="2"/>
      <c r="AM230" s="2"/>
      <c r="AT230" s="2"/>
      <c r="AU230" s="2"/>
      <c r="AV230" s="2"/>
      <c r="AW230" s="2"/>
      <c r="AX230" s="2"/>
      <c r="AY230" s="2"/>
      <c r="AZ230" s="2"/>
      <c r="BA230" s="2"/>
      <c r="BC230" s="2"/>
      <c r="BD230" s="2"/>
      <c r="BE230" s="2"/>
      <c r="BF230" s="2"/>
      <c r="BG230" s="2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</row>
    <row r="231" ht="14.25" customHeight="1">
      <c r="AA231" s="2"/>
      <c r="AB231" s="2"/>
      <c r="AF231" s="2"/>
      <c r="AG231" s="2"/>
      <c r="AH231" s="2"/>
      <c r="AI231" s="2"/>
      <c r="AJ231" s="2"/>
      <c r="AK231" s="2"/>
      <c r="AL231" s="2"/>
      <c r="AM231" s="2"/>
      <c r="AT231" s="2"/>
      <c r="AU231" s="2"/>
      <c r="AV231" s="2"/>
      <c r="AW231" s="2"/>
      <c r="AX231" s="2"/>
      <c r="AY231" s="2"/>
      <c r="AZ231" s="2"/>
      <c r="BA231" s="2"/>
      <c r="BC231" s="2"/>
      <c r="BD231" s="2"/>
      <c r="BE231" s="2"/>
      <c r="BF231" s="2"/>
      <c r="BG231" s="2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</row>
    <row r="232" ht="14.25" customHeight="1">
      <c r="AA232" s="2"/>
      <c r="AB232" s="2"/>
      <c r="AF232" s="2"/>
      <c r="AG232" s="2"/>
      <c r="AH232" s="2"/>
      <c r="AI232" s="2"/>
      <c r="AJ232" s="2"/>
      <c r="AK232" s="2"/>
      <c r="AL232" s="2"/>
      <c r="AM232" s="2"/>
      <c r="AT232" s="2"/>
      <c r="AU232" s="2"/>
      <c r="AV232" s="2"/>
      <c r="AW232" s="2"/>
      <c r="AX232" s="2"/>
      <c r="AY232" s="2"/>
      <c r="AZ232" s="2"/>
      <c r="BA232" s="2"/>
      <c r="BC232" s="2"/>
      <c r="BD232" s="2"/>
      <c r="BE232" s="2"/>
      <c r="BF232" s="2"/>
      <c r="BG232" s="2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</row>
    <row r="233" ht="14.25" customHeight="1">
      <c r="AA233" s="2"/>
      <c r="AB233" s="2"/>
      <c r="AF233" s="2"/>
      <c r="AG233" s="2"/>
      <c r="AH233" s="2"/>
      <c r="AI233" s="2"/>
      <c r="AJ233" s="2"/>
      <c r="AK233" s="2"/>
      <c r="AL233" s="2"/>
      <c r="AM233" s="2"/>
      <c r="AT233" s="2"/>
      <c r="AU233" s="2"/>
      <c r="AV233" s="2"/>
      <c r="AW233" s="2"/>
      <c r="AX233" s="2"/>
      <c r="AY233" s="2"/>
      <c r="AZ233" s="2"/>
      <c r="BA233" s="2"/>
      <c r="BC233" s="2"/>
      <c r="BD233" s="2"/>
      <c r="BE233" s="2"/>
      <c r="BF233" s="2"/>
      <c r="BG233" s="2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</row>
    <row r="234" ht="14.25" customHeight="1">
      <c r="AA234" s="2"/>
      <c r="AB234" s="2"/>
      <c r="AF234" s="2"/>
      <c r="AG234" s="2"/>
      <c r="AH234" s="2"/>
      <c r="AI234" s="2"/>
      <c r="AJ234" s="2"/>
      <c r="AK234" s="2"/>
      <c r="AL234" s="2"/>
      <c r="AM234" s="2"/>
      <c r="AT234" s="2"/>
      <c r="AU234" s="2"/>
      <c r="AV234" s="2"/>
      <c r="AW234" s="2"/>
      <c r="AX234" s="2"/>
      <c r="AY234" s="2"/>
      <c r="AZ234" s="2"/>
      <c r="BA234" s="2"/>
      <c r="BC234" s="2"/>
      <c r="BD234" s="2"/>
      <c r="BE234" s="2"/>
      <c r="BF234" s="2"/>
      <c r="BG234" s="2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</row>
    <row r="235" ht="14.25" customHeight="1">
      <c r="AA235" s="2"/>
      <c r="AB235" s="2"/>
      <c r="AF235" s="2"/>
      <c r="AG235" s="2"/>
      <c r="AH235" s="2"/>
      <c r="AI235" s="2"/>
      <c r="AJ235" s="2"/>
      <c r="AK235" s="2"/>
      <c r="AL235" s="2"/>
      <c r="AM235" s="2"/>
      <c r="AT235" s="2"/>
      <c r="AU235" s="2"/>
      <c r="AV235" s="2"/>
      <c r="AW235" s="2"/>
      <c r="AX235" s="2"/>
      <c r="AY235" s="2"/>
      <c r="AZ235" s="2"/>
      <c r="BA235" s="2"/>
      <c r="BC235" s="2"/>
      <c r="BD235" s="2"/>
      <c r="BE235" s="2"/>
      <c r="BF235" s="2"/>
      <c r="BG235" s="2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</row>
    <row r="236" ht="14.25" customHeight="1">
      <c r="AA236" s="2"/>
      <c r="AB236" s="2"/>
      <c r="AF236" s="2"/>
      <c r="AG236" s="2"/>
      <c r="AH236" s="2"/>
      <c r="AI236" s="2"/>
      <c r="AJ236" s="2"/>
      <c r="AK236" s="2"/>
      <c r="AL236" s="2"/>
      <c r="AM236" s="2"/>
      <c r="AT236" s="2"/>
      <c r="AU236" s="2"/>
      <c r="AV236" s="2"/>
      <c r="AW236" s="2"/>
      <c r="AX236" s="2"/>
      <c r="AY236" s="2"/>
      <c r="AZ236" s="2"/>
      <c r="BA236" s="2"/>
      <c r="BC236" s="2"/>
      <c r="BD236" s="2"/>
      <c r="BE236" s="2"/>
      <c r="BF236" s="2"/>
      <c r="BG236" s="2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</row>
    <row r="237" ht="14.25" customHeight="1">
      <c r="AA237" s="2"/>
      <c r="AB237" s="2"/>
      <c r="AF237" s="2"/>
      <c r="AG237" s="2"/>
      <c r="AH237" s="2"/>
      <c r="AI237" s="2"/>
      <c r="AJ237" s="2"/>
      <c r="AK237" s="2"/>
      <c r="AL237" s="2"/>
      <c r="AM237" s="2"/>
      <c r="AT237" s="2"/>
      <c r="AU237" s="2"/>
      <c r="AV237" s="2"/>
      <c r="AW237" s="2"/>
      <c r="AX237" s="2"/>
      <c r="AY237" s="2"/>
      <c r="AZ237" s="2"/>
      <c r="BA237" s="2"/>
      <c r="BC237" s="2"/>
      <c r="BD237" s="2"/>
      <c r="BE237" s="2"/>
      <c r="BF237" s="2"/>
      <c r="BG237" s="2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</row>
    <row r="238" ht="14.25" customHeight="1">
      <c r="AA238" s="2"/>
      <c r="AB238" s="2"/>
      <c r="AF238" s="2"/>
      <c r="AG238" s="2"/>
      <c r="AH238" s="2"/>
      <c r="AI238" s="2"/>
      <c r="AJ238" s="2"/>
      <c r="AK238" s="2"/>
      <c r="AL238" s="2"/>
      <c r="AM238" s="2"/>
      <c r="AT238" s="2"/>
      <c r="AU238" s="2"/>
      <c r="AV238" s="2"/>
      <c r="AW238" s="2"/>
      <c r="AX238" s="2"/>
      <c r="AY238" s="2"/>
      <c r="AZ238" s="2"/>
      <c r="BA238" s="2"/>
      <c r="BC238" s="2"/>
      <c r="BD238" s="2"/>
      <c r="BE238" s="2"/>
      <c r="BF238" s="2"/>
      <c r="BG238" s="2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</row>
    <row r="239" ht="14.25" customHeight="1">
      <c r="AA239" s="2"/>
      <c r="AB239" s="2"/>
      <c r="AF239" s="2"/>
      <c r="AG239" s="2"/>
      <c r="AH239" s="2"/>
      <c r="AI239" s="2"/>
      <c r="AJ239" s="2"/>
      <c r="AK239" s="2"/>
      <c r="AL239" s="2"/>
      <c r="AM239" s="2"/>
      <c r="AT239" s="2"/>
      <c r="AU239" s="2"/>
      <c r="AV239" s="2"/>
      <c r="AW239" s="2"/>
      <c r="AX239" s="2"/>
      <c r="AY239" s="2"/>
      <c r="AZ239" s="2"/>
      <c r="BA239" s="2"/>
      <c r="BC239" s="2"/>
      <c r="BD239" s="2"/>
      <c r="BE239" s="2"/>
      <c r="BF239" s="2"/>
      <c r="BG239" s="2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</row>
    <row r="240" ht="14.25" customHeight="1">
      <c r="AA240" s="2"/>
      <c r="AB240" s="2"/>
      <c r="AF240" s="2"/>
      <c r="AG240" s="2"/>
      <c r="AH240" s="2"/>
      <c r="AI240" s="2"/>
      <c r="AJ240" s="2"/>
      <c r="AK240" s="2"/>
      <c r="AL240" s="2"/>
      <c r="AM240" s="2"/>
      <c r="AT240" s="2"/>
      <c r="AU240" s="2"/>
      <c r="AV240" s="2"/>
      <c r="AW240" s="2"/>
      <c r="AX240" s="2"/>
      <c r="AY240" s="2"/>
      <c r="AZ240" s="2"/>
      <c r="BA240" s="2"/>
      <c r="BC240" s="2"/>
      <c r="BD240" s="2"/>
      <c r="BE240" s="2"/>
      <c r="BF240" s="2"/>
      <c r="BG240" s="2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</row>
    <row r="241" ht="14.25" customHeight="1">
      <c r="AA241" s="2"/>
      <c r="AB241" s="2"/>
      <c r="AF241" s="2"/>
      <c r="AG241" s="2"/>
      <c r="AH241" s="2"/>
      <c r="AI241" s="2"/>
      <c r="AJ241" s="2"/>
      <c r="AK241" s="2"/>
      <c r="AL241" s="2"/>
      <c r="AM241" s="2"/>
      <c r="AT241" s="2"/>
      <c r="AU241" s="2"/>
      <c r="AV241" s="2"/>
      <c r="AW241" s="2"/>
      <c r="AX241" s="2"/>
      <c r="AY241" s="2"/>
      <c r="AZ241" s="2"/>
      <c r="BA241" s="2"/>
      <c r="BC241" s="2"/>
      <c r="BD241" s="2"/>
      <c r="BE241" s="2"/>
      <c r="BF241" s="2"/>
      <c r="BG241" s="2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</row>
    <row r="242" ht="14.25" customHeight="1">
      <c r="AA242" s="2"/>
      <c r="AB242" s="2"/>
      <c r="AF242" s="2"/>
      <c r="AG242" s="2"/>
      <c r="AH242" s="2"/>
      <c r="AI242" s="2"/>
      <c r="AJ242" s="2"/>
      <c r="AK242" s="2"/>
      <c r="AL242" s="2"/>
      <c r="AM242" s="2"/>
      <c r="AT242" s="2"/>
      <c r="AU242" s="2"/>
      <c r="AV242" s="2"/>
      <c r="AW242" s="2"/>
      <c r="AX242" s="2"/>
      <c r="AY242" s="2"/>
      <c r="AZ242" s="2"/>
      <c r="BA242" s="2"/>
      <c r="BC242" s="2"/>
      <c r="BD242" s="2"/>
      <c r="BE242" s="2"/>
      <c r="BF242" s="2"/>
      <c r="BG242" s="2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</row>
    <row r="243" ht="14.25" customHeight="1">
      <c r="AA243" s="2"/>
      <c r="AB243" s="2"/>
      <c r="AF243" s="2"/>
      <c r="AG243" s="2"/>
      <c r="AH243" s="2"/>
      <c r="AI243" s="2"/>
      <c r="AJ243" s="2"/>
      <c r="AK243" s="2"/>
      <c r="AL243" s="2"/>
      <c r="AM243" s="2"/>
      <c r="AT243" s="2"/>
      <c r="AU243" s="2"/>
      <c r="AV243" s="2"/>
      <c r="AW243" s="2"/>
      <c r="AX243" s="2"/>
      <c r="AY243" s="2"/>
      <c r="AZ243" s="2"/>
      <c r="BA243" s="2"/>
      <c r="BC243" s="2"/>
      <c r="BD243" s="2"/>
      <c r="BE243" s="2"/>
      <c r="BF243" s="2"/>
      <c r="BG243" s="2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</row>
    <row r="244" ht="14.25" customHeight="1">
      <c r="AA244" s="2"/>
      <c r="AB244" s="2"/>
      <c r="AF244" s="2"/>
      <c r="AG244" s="2"/>
      <c r="AH244" s="2"/>
      <c r="AI244" s="2"/>
      <c r="AJ244" s="2"/>
      <c r="AK244" s="2"/>
      <c r="AL244" s="2"/>
      <c r="AM244" s="2"/>
      <c r="AT244" s="2"/>
      <c r="AU244" s="2"/>
      <c r="AV244" s="2"/>
      <c r="AW244" s="2"/>
      <c r="AX244" s="2"/>
      <c r="AY244" s="2"/>
      <c r="AZ244" s="2"/>
      <c r="BA244" s="2"/>
      <c r="BC244" s="2"/>
      <c r="BD244" s="2"/>
      <c r="BE244" s="2"/>
      <c r="BF244" s="2"/>
      <c r="BG244" s="2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</row>
    <row r="245" ht="14.25" customHeight="1">
      <c r="AA245" s="2"/>
      <c r="AB245" s="2"/>
      <c r="AF245" s="2"/>
      <c r="AG245" s="2"/>
      <c r="AH245" s="2"/>
      <c r="AI245" s="2"/>
      <c r="AJ245" s="2"/>
      <c r="AK245" s="2"/>
      <c r="AL245" s="2"/>
      <c r="AM245" s="2"/>
      <c r="AT245" s="2"/>
      <c r="AU245" s="2"/>
      <c r="AV245" s="2"/>
      <c r="AW245" s="2"/>
      <c r="AX245" s="2"/>
      <c r="AY245" s="2"/>
      <c r="AZ245" s="2"/>
      <c r="BA245" s="2"/>
      <c r="BC245" s="2"/>
      <c r="BD245" s="2"/>
      <c r="BE245" s="2"/>
      <c r="BF245" s="2"/>
      <c r="BG245" s="2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</row>
    <row r="246" ht="14.25" customHeight="1">
      <c r="AA246" s="2"/>
      <c r="AB246" s="2"/>
      <c r="AF246" s="2"/>
      <c r="AG246" s="2"/>
      <c r="AH246" s="2"/>
      <c r="AI246" s="2"/>
      <c r="AJ246" s="2"/>
      <c r="AK246" s="2"/>
      <c r="AL246" s="2"/>
      <c r="AM246" s="2"/>
      <c r="AT246" s="2"/>
      <c r="AU246" s="2"/>
      <c r="AV246" s="2"/>
      <c r="AW246" s="2"/>
      <c r="AX246" s="2"/>
      <c r="AY246" s="2"/>
      <c r="AZ246" s="2"/>
      <c r="BA246" s="2"/>
      <c r="BC246" s="2"/>
      <c r="BD246" s="2"/>
      <c r="BE246" s="2"/>
      <c r="BF246" s="2"/>
      <c r="BG246" s="2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</row>
    <row r="247" ht="14.25" customHeight="1">
      <c r="AA247" s="2"/>
      <c r="AB247" s="2"/>
      <c r="AF247" s="2"/>
      <c r="AG247" s="2"/>
      <c r="AH247" s="2"/>
      <c r="AI247" s="2"/>
      <c r="AJ247" s="2"/>
      <c r="AK247" s="2"/>
      <c r="AL247" s="2"/>
      <c r="AM247" s="2"/>
      <c r="AT247" s="2"/>
      <c r="AU247" s="2"/>
      <c r="AV247" s="2"/>
      <c r="AW247" s="2"/>
      <c r="AX247" s="2"/>
      <c r="AY247" s="2"/>
      <c r="AZ247" s="2"/>
      <c r="BA247" s="2"/>
      <c r="BC247" s="2"/>
      <c r="BD247" s="2"/>
      <c r="BE247" s="2"/>
      <c r="BF247" s="2"/>
      <c r="BG247" s="2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</row>
    <row r="248" ht="14.25" customHeight="1">
      <c r="AA248" s="2"/>
      <c r="AB248" s="2"/>
      <c r="AF248" s="2"/>
      <c r="AG248" s="2"/>
      <c r="AH248" s="2"/>
      <c r="AI248" s="2"/>
      <c r="AJ248" s="2"/>
      <c r="AK248" s="2"/>
      <c r="AL248" s="2"/>
      <c r="AM248" s="2"/>
      <c r="AT248" s="2"/>
      <c r="AU248" s="2"/>
      <c r="AV248" s="2"/>
      <c r="AW248" s="2"/>
      <c r="AX248" s="2"/>
      <c r="AY248" s="2"/>
      <c r="AZ248" s="2"/>
      <c r="BA248" s="2"/>
      <c r="BC248" s="2"/>
      <c r="BD248" s="2"/>
      <c r="BE248" s="2"/>
      <c r="BF248" s="2"/>
      <c r="BG248" s="2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</row>
    <row r="249" ht="14.25" customHeight="1">
      <c r="AA249" s="2"/>
      <c r="AB249" s="2"/>
      <c r="AF249" s="2"/>
      <c r="AG249" s="2"/>
      <c r="AH249" s="2"/>
      <c r="AI249" s="2"/>
      <c r="AJ249" s="2"/>
      <c r="AK249" s="2"/>
      <c r="AL249" s="2"/>
      <c r="AM249" s="2"/>
      <c r="AT249" s="2"/>
      <c r="AU249" s="2"/>
      <c r="AV249" s="2"/>
      <c r="AW249" s="2"/>
      <c r="AX249" s="2"/>
      <c r="AY249" s="2"/>
      <c r="AZ249" s="2"/>
      <c r="BA249" s="2"/>
      <c r="BC249" s="2"/>
      <c r="BD249" s="2"/>
      <c r="BE249" s="2"/>
      <c r="BF249" s="2"/>
      <c r="BG249" s="2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</row>
    <row r="250" ht="14.25" customHeight="1">
      <c r="AA250" s="2"/>
      <c r="AB250" s="2"/>
      <c r="AF250" s="2"/>
      <c r="AG250" s="2"/>
      <c r="AH250" s="2"/>
      <c r="AI250" s="2"/>
      <c r="AJ250" s="2"/>
      <c r="AK250" s="2"/>
      <c r="AL250" s="2"/>
      <c r="AM250" s="2"/>
      <c r="AT250" s="2"/>
      <c r="AU250" s="2"/>
      <c r="AV250" s="2"/>
      <c r="AW250" s="2"/>
      <c r="AX250" s="2"/>
      <c r="AY250" s="2"/>
      <c r="AZ250" s="2"/>
      <c r="BA250" s="2"/>
      <c r="BC250" s="2"/>
      <c r="BD250" s="2"/>
      <c r="BE250" s="2"/>
      <c r="BF250" s="2"/>
      <c r="BG250" s="2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</row>
    <row r="251" ht="14.25" customHeight="1">
      <c r="AA251" s="2"/>
      <c r="AB251" s="2"/>
      <c r="AF251" s="2"/>
      <c r="AG251" s="2"/>
      <c r="AH251" s="2"/>
      <c r="AI251" s="2"/>
      <c r="AJ251" s="2"/>
      <c r="AK251" s="2"/>
      <c r="AL251" s="2"/>
      <c r="AM251" s="2"/>
      <c r="AT251" s="2"/>
      <c r="AU251" s="2"/>
      <c r="AV251" s="2"/>
      <c r="AW251" s="2"/>
      <c r="AX251" s="2"/>
      <c r="AY251" s="2"/>
      <c r="AZ251" s="2"/>
      <c r="BA251" s="2"/>
      <c r="BC251" s="2"/>
      <c r="BD251" s="2"/>
      <c r="BE251" s="2"/>
      <c r="BF251" s="2"/>
      <c r="BG251" s="2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</row>
    <row r="252" ht="14.25" customHeight="1">
      <c r="AA252" s="2"/>
      <c r="AB252" s="2"/>
      <c r="AF252" s="2"/>
      <c r="AG252" s="2"/>
      <c r="AH252" s="2"/>
      <c r="AI252" s="2"/>
      <c r="AJ252" s="2"/>
      <c r="AK252" s="2"/>
      <c r="AL252" s="2"/>
      <c r="AM252" s="2"/>
      <c r="AT252" s="2"/>
      <c r="AU252" s="2"/>
      <c r="AV252" s="2"/>
      <c r="AW252" s="2"/>
      <c r="AX252" s="2"/>
      <c r="AY252" s="2"/>
      <c r="AZ252" s="2"/>
      <c r="BA252" s="2"/>
      <c r="BC252" s="2"/>
      <c r="BD252" s="2"/>
      <c r="BE252" s="2"/>
      <c r="BF252" s="2"/>
      <c r="BG252" s="2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</row>
    <row r="253" ht="14.25" customHeight="1">
      <c r="AA253" s="2"/>
      <c r="AB253" s="2"/>
      <c r="AF253" s="2"/>
      <c r="AG253" s="2"/>
      <c r="AH253" s="2"/>
      <c r="AI253" s="2"/>
      <c r="AJ253" s="2"/>
      <c r="AK253" s="2"/>
      <c r="AL253" s="2"/>
      <c r="AM253" s="2"/>
      <c r="AT253" s="2"/>
      <c r="AU253" s="2"/>
      <c r="AV253" s="2"/>
      <c r="AW253" s="2"/>
      <c r="AX253" s="2"/>
      <c r="AY253" s="2"/>
      <c r="AZ253" s="2"/>
      <c r="BA253" s="2"/>
      <c r="BC253" s="2"/>
      <c r="BD253" s="2"/>
      <c r="BE253" s="2"/>
      <c r="BF253" s="2"/>
      <c r="BG253" s="2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</row>
    <row r="254" ht="14.25" customHeight="1">
      <c r="AA254" s="2"/>
      <c r="AB254" s="2"/>
      <c r="AF254" s="2"/>
      <c r="AG254" s="2"/>
      <c r="AH254" s="2"/>
      <c r="AI254" s="2"/>
      <c r="AJ254" s="2"/>
      <c r="AK254" s="2"/>
      <c r="AL254" s="2"/>
      <c r="AM254" s="2"/>
      <c r="AT254" s="2"/>
      <c r="AU254" s="2"/>
      <c r="AV254" s="2"/>
      <c r="AW254" s="2"/>
      <c r="AX254" s="2"/>
      <c r="AY254" s="2"/>
      <c r="AZ254" s="2"/>
      <c r="BA254" s="2"/>
      <c r="BC254" s="2"/>
      <c r="BD254" s="2"/>
      <c r="BE254" s="2"/>
      <c r="BF254" s="2"/>
      <c r="BG254" s="2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</row>
    <row r="255" ht="14.25" customHeight="1">
      <c r="AA255" s="2"/>
      <c r="AB255" s="2"/>
      <c r="AF255" s="2"/>
      <c r="AG255" s="2"/>
      <c r="AH255" s="2"/>
      <c r="AI255" s="2"/>
      <c r="AJ255" s="2"/>
      <c r="AK255" s="2"/>
      <c r="AL255" s="2"/>
      <c r="AM255" s="2"/>
      <c r="AT255" s="2"/>
      <c r="AU255" s="2"/>
      <c r="AV255" s="2"/>
      <c r="AW255" s="2"/>
      <c r="AX255" s="2"/>
      <c r="AY255" s="2"/>
      <c r="AZ255" s="2"/>
      <c r="BA255" s="2"/>
      <c r="BC255" s="2"/>
      <c r="BD255" s="2"/>
      <c r="BE255" s="2"/>
      <c r="BF255" s="2"/>
      <c r="BG255" s="2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</row>
    <row r="256" ht="14.25" customHeight="1">
      <c r="AA256" s="2"/>
      <c r="AB256" s="2"/>
      <c r="AF256" s="2"/>
      <c r="AG256" s="2"/>
      <c r="AH256" s="2"/>
      <c r="AI256" s="2"/>
      <c r="AJ256" s="2"/>
      <c r="AK256" s="2"/>
      <c r="AL256" s="2"/>
      <c r="AM256" s="2"/>
      <c r="AT256" s="2"/>
      <c r="AU256" s="2"/>
      <c r="AV256" s="2"/>
      <c r="AW256" s="2"/>
      <c r="AX256" s="2"/>
      <c r="AY256" s="2"/>
      <c r="AZ256" s="2"/>
      <c r="BA256" s="2"/>
      <c r="BC256" s="2"/>
      <c r="BD256" s="2"/>
      <c r="BE256" s="2"/>
      <c r="BF256" s="2"/>
      <c r="BG256" s="2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</row>
    <row r="257" ht="14.25" customHeight="1">
      <c r="AA257" s="2"/>
      <c r="AB257" s="2"/>
      <c r="AF257" s="2"/>
      <c r="AG257" s="2"/>
      <c r="AH257" s="2"/>
      <c r="AI257" s="2"/>
      <c r="AJ257" s="2"/>
      <c r="AK257" s="2"/>
      <c r="AL257" s="2"/>
      <c r="AM257" s="2"/>
      <c r="AT257" s="2"/>
      <c r="AU257" s="2"/>
      <c r="AV257" s="2"/>
      <c r="AW257" s="2"/>
      <c r="AX257" s="2"/>
      <c r="AY257" s="2"/>
      <c r="AZ257" s="2"/>
      <c r="BA257" s="2"/>
      <c r="BC257" s="2"/>
      <c r="BD257" s="2"/>
      <c r="BE257" s="2"/>
      <c r="BF257" s="2"/>
      <c r="BG257" s="2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</row>
    <row r="258" ht="14.25" customHeight="1">
      <c r="AA258" s="2"/>
      <c r="AB258" s="2"/>
      <c r="AF258" s="2"/>
      <c r="AG258" s="2"/>
      <c r="AH258" s="2"/>
      <c r="AI258" s="2"/>
      <c r="AJ258" s="2"/>
      <c r="AK258" s="2"/>
      <c r="AL258" s="2"/>
      <c r="AM258" s="2"/>
      <c r="AT258" s="2"/>
      <c r="AU258" s="2"/>
      <c r="AV258" s="2"/>
      <c r="AW258" s="2"/>
      <c r="AX258" s="2"/>
      <c r="AY258" s="2"/>
      <c r="AZ258" s="2"/>
      <c r="BA258" s="2"/>
      <c r="BC258" s="2"/>
      <c r="BD258" s="2"/>
      <c r="BE258" s="2"/>
      <c r="BF258" s="2"/>
      <c r="BG258" s="2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</row>
    <row r="259" ht="14.25" customHeight="1">
      <c r="AA259" s="2"/>
      <c r="AB259" s="2"/>
      <c r="AF259" s="2"/>
      <c r="AG259" s="2"/>
      <c r="AH259" s="2"/>
      <c r="AI259" s="2"/>
      <c r="AJ259" s="2"/>
      <c r="AK259" s="2"/>
      <c r="AL259" s="2"/>
      <c r="AM259" s="2"/>
      <c r="AT259" s="2"/>
      <c r="AU259" s="2"/>
      <c r="AV259" s="2"/>
      <c r="AW259" s="2"/>
      <c r="AX259" s="2"/>
      <c r="AY259" s="2"/>
      <c r="AZ259" s="2"/>
      <c r="BA259" s="2"/>
      <c r="BC259" s="2"/>
      <c r="BD259" s="2"/>
      <c r="BE259" s="2"/>
      <c r="BF259" s="2"/>
      <c r="BG259" s="2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</row>
    <row r="260" ht="14.25" customHeight="1">
      <c r="AA260" s="2"/>
      <c r="AB260" s="2"/>
      <c r="AF260" s="2"/>
      <c r="AG260" s="2"/>
      <c r="AH260" s="2"/>
      <c r="AI260" s="2"/>
      <c r="AJ260" s="2"/>
      <c r="AK260" s="2"/>
      <c r="AL260" s="2"/>
      <c r="AM260" s="2"/>
      <c r="AT260" s="2"/>
      <c r="AU260" s="2"/>
      <c r="AV260" s="2"/>
      <c r="AW260" s="2"/>
      <c r="AX260" s="2"/>
      <c r="AY260" s="2"/>
      <c r="AZ260" s="2"/>
      <c r="BA260" s="2"/>
      <c r="BC260" s="2"/>
      <c r="BD260" s="2"/>
      <c r="BE260" s="2"/>
      <c r="BF260" s="2"/>
      <c r="BG260" s="2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</row>
    <row r="261" ht="14.25" customHeight="1">
      <c r="AA261" s="2"/>
      <c r="AB261" s="2"/>
      <c r="AF261" s="2"/>
      <c r="AG261" s="2"/>
      <c r="AH261" s="2"/>
      <c r="AI261" s="2"/>
      <c r="AJ261" s="2"/>
      <c r="AK261" s="2"/>
      <c r="AL261" s="2"/>
      <c r="AM261" s="2"/>
      <c r="AT261" s="2"/>
      <c r="AU261" s="2"/>
      <c r="AV261" s="2"/>
      <c r="AW261" s="2"/>
      <c r="AX261" s="2"/>
      <c r="AY261" s="2"/>
      <c r="AZ261" s="2"/>
      <c r="BA261" s="2"/>
      <c r="BC261" s="2"/>
      <c r="BD261" s="2"/>
      <c r="BE261" s="2"/>
      <c r="BF261" s="2"/>
      <c r="BG261" s="2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</row>
    <row r="262" ht="14.25" customHeight="1">
      <c r="AA262" s="2"/>
      <c r="AB262" s="2"/>
      <c r="AF262" s="2"/>
      <c r="AG262" s="2"/>
      <c r="AH262" s="2"/>
      <c r="AI262" s="2"/>
      <c r="AJ262" s="2"/>
      <c r="AK262" s="2"/>
      <c r="AL262" s="2"/>
      <c r="AM262" s="2"/>
      <c r="AT262" s="2"/>
      <c r="AU262" s="2"/>
      <c r="AV262" s="2"/>
      <c r="AW262" s="2"/>
      <c r="AX262" s="2"/>
      <c r="AY262" s="2"/>
      <c r="AZ262" s="2"/>
      <c r="BA262" s="2"/>
      <c r="BC262" s="2"/>
      <c r="BD262" s="2"/>
      <c r="BE262" s="2"/>
      <c r="BF262" s="2"/>
      <c r="BG262" s="2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</row>
    <row r="263" ht="14.25" customHeight="1">
      <c r="AA263" s="2"/>
      <c r="AB263" s="2"/>
      <c r="AF263" s="2"/>
      <c r="AG263" s="2"/>
      <c r="AH263" s="2"/>
      <c r="AI263" s="2"/>
      <c r="AJ263" s="2"/>
      <c r="AK263" s="2"/>
      <c r="AL263" s="2"/>
      <c r="AM263" s="2"/>
      <c r="AT263" s="2"/>
      <c r="AU263" s="2"/>
      <c r="AV263" s="2"/>
      <c r="AW263" s="2"/>
      <c r="AX263" s="2"/>
      <c r="AY263" s="2"/>
      <c r="AZ263" s="2"/>
      <c r="BA263" s="2"/>
      <c r="BC263" s="2"/>
      <c r="BD263" s="2"/>
      <c r="BE263" s="2"/>
      <c r="BF263" s="2"/>
      <c r="BG263" s="2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</row>
    <row r="264" ht="14.25" customHeight="1">
      <c r="AA264" s="2"/>
      <c r="AB264" s="2"/>
      <c r="AF264" s="2"/>
      <c r="AG264" s="2"/>
      <c r="AH264" s="2"/>
      <c r="AI264" s="2"/>
      <c r="AJ264" s="2"/>
      <c r="AK264" s="2"/>
      <c r="AL264" s="2"/>
      <c r="AM264" s="2"/>
      <c r="AT264" s="2"/>
      <c r="AU264" s="2"/>
      <c r="AV264" s="2"/>
      <c r="AW264" s="2"/>
      <c r="AX264" s="2"/>
      <c r="AY264" s="2"/>
      <c r="AZ264" s="2"/>
      <c r="BA264" s="2"/>
      <c r="BC264" s="2"/>
      <c r="BD264" s="2"/>
      <c r="BE264" s="2"/>
      <c r="BF264" s="2"/>
      <c r="BG264" s="2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</row>
    <row r="265" ht="14.25" customHeight="1">
      <c r="AA265" s="2"/>
      <c r="AB265" s="2"/>
      <c r="AF265" s="2"/>
      <c r="AG265" s="2"/>
      <c r="AH265" s="2"/>
      <c r="AI265" s="2"/>
      <c r="AJ265" s="2"/>
      <c r="AK265" s="2"/>
      <c r="AL265" s="2"/>
      <c r="AM265" s="2"/>
      <c r="AT265" s="2"/>
      <c r="AU265" s="2"/>
      <c r="AV265" s="2"/>
      <c r="AW265" s="2"/>
      <c r="AX265" s="2"/>
      <c r="AY265" s="2"/>
      <c r="AZ265" s="2"/>
      <c r="BA265" s="2"/>
      <c r="BC265" s="2"/>
      <c r="BD265" s="2"/>
      <c r="BE265" s="2"/>
      <c r="BF265" s="2"/>
      <c r="BG265" s="2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</row>
    <row r="266" ht="14.25" customHeight="1">
      <c r="AA266" s="2"/>
      <c r="AB266" s="2"/>
      <c r="AF266" s="2"/>
      <c r="AG266" s="2"/>
      <c r="AH266" s="2"/>
      <c r="AI266" s="2"/>
      <c r="AJ266" s="2"/>
      <c r="AK266" s="2"/>
      <c r="AL266" s="2"/>
      <c r="AM266" s="2"/>
      <c r="AT266" s="2"/>
      <c r="AU266" s="2"/>
      <c r="AV266" s="2"/>
      <c r="AW266" s="2"/>
      <c r="AX266" s="2"/>
      <c r="AY266" s="2"/>
      <c r="AZ266" s="2"/>
      <c r="BA266" s="2"/>
      <c r="BC266" s="2"/>
      <c r="BD266" s="2"/>
      <c r="BE266" s="2"/>
      <c r="BF266" s="2"/>
      <c r="BG266" s="2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</row>
    <row r="267" ht="14.25" customHeight="1">
      <c r="AA267" s="2"/>
      <c r="AB267" s="2"/>
      <c r="AF267" s="2"/>
      <c r="AG267" s="2"/>
      <c r="AH267" s="2"/>
      <c r="AI267" s="2"/>
      <c r="AJ267" s="2"/>
      <c r="AK267" s="2"/>
      <c r="AL267" s="2"/>
      <c r="AM267" s="2"/>
      <c r="AT267" s="2"/>
      <c r="AU267" s="2"/>
      <c r="AV267" s="2"/>
      <c r="AW267" s="2"/>
      <c r="AX267" s="2"/>
      <c r="AY267" s="2"/>
      <c r="AZ267" s="2"/>
      <c r="BA267" s="2"/>
      <c r="BC267" s="2"/>
      <c r="BD267" s="2"/>
      <c r="BE267" s="2"/>
      <c r="BF267" s="2"/>
      <c r="BG267" s="2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</row>
    <row r="268" ht="14.25" customHeight="1">
      <c r="AA268" s="2"/>
      <c r="AB268" s="2"/>
      <c r="AF268" s="2"/>
      <c r="AG268" s="2"/>
      <c r="AH268" s="2"/>
      <c r="AI268" s="2"/>
      <c r="AJ268" s="2"/>
      <c r="AK268" s="2"/>
      <c r="AL268" s="2"/>
      <c r="AM268" s="2"/>
      <c r="AT268" s="2"/>
      <c r="AU268" s="2"/>
      <c r="AV268" s="2"/>
      <c r="AW268" s="2"/>
      <c r="AX268" s="2"/>
      <c r="AY268" s="2"/>
      <c r="AZ268" s="2"/>
      <c r="BA268" s="2"/>
      <c r="BC268" s="2"/>
      <c r="BD268" s="2"/>
      <c r="BE268" s="2"/>
      <c r="BF268" s="2"/>
      <c r="BG268" s="2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</row>
    <row r="269" ht="14.25" customHeight="1">
      <c r="AA269" s="2"/>
      <c r="AB269" s="2"/>
      <c r="AF269" s="2"/>
      <c r="AG269" s="2"/>
      <c r="AH269" s="2"/>
      <c r="AI269" s="2"/>
      <c r="AJ269" s="2"/>
      <c r="AK269" s="2"/>
      <c r="AL269" s="2"/>
      <c r="AM269" s="2"/>
      <c r="AT269" s="2"/>
      <c r="AU269" s="2"/>
      <c r="AV269" s="2"/>
      <c r="AW269" s="2"/>
      <c r="AX269" s="2"/>
      <c r="AY269" s="2"/>
      <c r="AZ269" s="2"/>
      <c r="BA269" s="2"/>
      <c r="BC269" s="2"/>
      <c r="BD269" s="2"/>
      <c r="BE269" s="2"/>
      <c r="BF269" s="2"/>
      <c r="BG269" s="2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</row>
    <row r="270" ht="14.25" customHeight="1">
      <c r="AA270" s="2"/>
      <c r="AB270" s="2"/>
      <c r="AF270" s="2"/>
      <c r="AG270" s="2"/>
      <c r="AH270" s="2"/>
      <c r="AI270" s="2"/>
      <c r="AJ270" s="2"/>
      <c r="AK270" s="2"/>
      <c r="AL270" s="2"/>
      <c r="AM270" s="2"/>
      <c r="AT270" s="2"/>
      <c r="AU270" s="2"/>
      <c r="AV270" s="2"/>
      <c r="AW270" s="2"/>
      <c r="AX270" s="2"/>
      <c r="AY270" s="2"/>
      <c r="AZ270" s="2"/>
      <c r="BA270" s="2"/>
      <c r="BC270" s="2"/>
      <c r="BD270" s="2"/>
      <c r="BE270" s="2"/>
      <c r="BF270" s="2"/>
      <c r="BG270" s="2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</row>
    <row r="271" ht="14.25" customHeight="1">
      <c r="AA271" s="2"/>
      <c r="AB271" s="2"/>
      <c r="AF271" s="2"/>
      <c r="AG271" s="2"/>
      <c r="AH271" s="2"/>
      <c r="AI271" s="2"/>
      <c r="AJ271" s="2"/>
      <c r="AK271" s="2"/>
      <c r="AL271" s="2"/>
      <c r="AM271" s="2"/>
      <c r="AT271" s="2"/>
      <c r="AU271" s="2"/>
      <c r="AV271" s="2"/>
      <c r="AW271" s="2"/>
      <c r="AX271" s="2"/>
      <c r="AY271" s="2"/>
      <c r="AZ271" s="2"/>
      <c r="BA271" s="2"/>
      <c r="BC271" s="2"/>
      <c r="BD271" s="2"/>
      <c r="BE271" s="2"/>
      <c r="BF271" s="2"/>
      <c r="BG271" s="2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</row>
    <row r="272" ht="14.25" customHeight="1">
      <c r="AA272" s="2"/>
      <c r="AB272" s="2"/>
      <c r="AF272" s="2"/>
      <c r="AG272" s="2"/>
      <c r="AH272" s="2"/>
      <c r="AI272" s="2"/>
      <c r="AJ272" s="2"/>
      <c r="AK272" s="2"/>
      <c r="AL272" s="2"/>
      <c r="AM272" s="2"/>
      <c r="AT272" s="2"/>
      <c r="AU272" s="2"/>
      <c r="AV272" s="2"/>
      <c r="AW272" s="2"/>
      <c r="AX272" s="2"/>
      <c r="AY272" s="2"/>
      <c r="AZ272" s="2"/>
      <c r="BA272" s="2"/>
      <c r="BC272" s="2"/>
      <c r="BD272" s="2"/>
      <c r="BE272" s="2"/>
      <c r="BF272" s="2"/>
      <c r="BG272" s="2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</row>
    <row r="273" ht="14.25" customHeight="1">
      <c r="AA273" s="2"/>
      <c r="AB273" s="2"/>
      <c r="AF273" s="2"/>
      <c r="AG273" s="2"/>
      <c r="AH273" s="2"/>
      <c r="AI273" s="2"/>
      <c r="AJ273" s="2"/>
      <c r="AK273" s="2"/>
      <c r="AL273" s="2"/>
      <c r="AM273" s="2"/>
      <c r="AT273" s="2"/>
      <c r="AU273" s="2"/>
      <c r="AV273" s="2"/>
      <c r="AW273" s="2"/>
      <c r="AX273" s="2"/>
      <c r="AY273" s="2"/>
      <c r="AZ273" s="2"/>
      <c r="BA273" s="2"/>
      <c r="BC273" s="2"/>
      <c r="BD273" s="2"/>
      <c r="BE273" s="2"/>
      <c r="BF273" s="2"/>
      <c r="BG273" s="2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</row>
    <row r="274" ht="14.25" customHeight="1">
      <c r="AA274" s="2"/>
      <c r="AB274" s="2"/>
      <c r="AF274" s="2"/>
      <c r="AG274" s="2"/>
      <c r="AH274" s="2"/>
      <c r="AI274" s="2"/>
      <c r="AJ274" s="2"/>
      <c r="AK274" s="2"/>
      <c r="AL274" s="2"/>
      <c r="AM274" s="2"/>
      <c r="AT274" s="2"/>
      <c r="AU274" s="2"/>
      <c r="AV274" s="2"/>
      <c r="AW274" s="2"/>
      <c r="AX274" s="2"/>
      <c r="AY274" s="2"/>
      <c r="AZ274" s="2"/>
      <c r="BA274" s="2"/>
      <c r="BC274" s="2"/>
      <c r="BD274" s="2"/>
      <c r="BE274" s="2"/>
      <c r="BF274" s="2"/>
      <c r="BG274" s="2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</row>
    <row r="275" ht="14.25" customHeight="1">
      <c r="AA275" s="2"/>
      <c r="AB275" s="2"/>
      <c r="AF275" s="2"/>
      <c r="AG275" s="2"/>
      <c r="AH275" s="2"/>
      <c r="AI275" s="2"/>
      <c r="AJ275" s="2"/>
      <c r="AK275" s="2"/>
      <c r="AL275" s="2"/>
      <c r="AM275" s="2"/>
      <c r="AT275" s="2"/>
      <c r="AU275" s="2"/>
      <c r="AV275" s="2"/>
      <c r="AW275" s="2"/>
      <c r="AX275" s="2"/>
      <c r="AY275" s="2"/>
      <c r="AZ275" s="2"/>
      <c r="BA275" s="2"/>
      <c r="BC275" s="2"/>
      <c r="BD275" s="2"/>
      <c r="BE275" s="2"/>
      <c r="BF275" s="2"/>
      <c r="BG275" s="2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</row>
    <row r="276" ht="14.25" customHeight="1">
      <c r="AA276" s="2"/>
      <c r="AB276" s="2"/>
      <c r="AF276" s="2"/>
      <c r="AG276" s="2"/>
      <c r="AH276" s="2"/>
      <c r="AI276" s="2"/>
      <c r="AJ276" s="2"/>
      <c r="AK276" s="2"/>
      <c r="AL276" s="2"/>
      <c r="AM276" s="2"/>
      <c r="AT276" s="2"/>
      <c r="AU276" s="2"/>
      <c r="AV276" s="2"/>
      <c r="AW276" s="2"/>
      <c r="AX276" s="2"/>
      <c r="AY276" s="2"/>
      <c r="AZ276" s="2"/>
      <c r="BA276" s="2"/>
      <c r="BC276" s="2"/>
      <c r="BD276" s="2"/>
      <c r="BE276" s="2"/>
      <c r="BF276" s="2"/>
      <c r="BG276" s="2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</row>
    <row r="277" ht="14.25" customHeight="1">
      <c r="AA277" s="2"/>
      <c r="AB277" s="2"/>
      <c r="AF277" s="2"/>
      <c r="AG277" s="2"/>
      <c r="AH277" s="2"/>
      <c r="AI277" s="2"/>
      <c r="AJ277" s="2"/>
      <c r="AK277" s="2"/>
      <c r="AL277" s="2"/>
      <c r="AM277" s="2"/>
      <c r="AT277" s="2"/>
      <c r="AU277" s="2"/>
      <c r="AV277" s="2"/>
      <c r="AW277" s="2"/>
      <c r="AX277" s="2"/>
      <c r="AY277" s="2"/>
      <c r="AZ277" s="2"/>
      <c r="BA277" s="2"/>
      <c r="BC277" s="2"/>
      <c r="BD277" s="2"/>
      <c r="BE277" s="2"/>
      <c r="BF277" s="2"/>
      <c r="BG277" s="2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</row>
    <row r="278" ht="14.25" customHeight="1">
      <c r="AA278" s="2"/>
      <c r="AB278" s="2"/>
      <c r="AF278" s="2"/>
      <c r="AG278" s="2"/>
      <c r="AH278" s="2"/>
      <c r="AI278" s="2"/>
      <c r="AJ278" s="2"/>
      <c r="AK278" s="2"/>
      <c r="AL278" s="2"/>
      <c r="AM278" s="2"/>
      <c r="AT278" s="2"/>
      <c r="AU278" s="2"/>
      <c r="AV278" s="2"/>
      <c r="AW278" s="2"/>
      <c r="AX278" s="2"/>
      <c r="AY278" s="2"/>
      <c r="AZ278" s="2"/>
      <c r="BA278" s="2"/>
      <c r="BC278" s="2"/>
      <c r="BD278" s="2"/>
      <c r="BE278" s="2"/>
      <c r="BF278" s="2"/>
      <c r="BG278" s="2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</row>
    <row r="279" ht="14.25" customHeight="1">
      <c r="AA279" s="2"/>
      <c r="AB279" s="2"/>
      <c r="AF279" s="2"/>
      <c r="AG279" s="2"/>
      <c r="AH279" s="2"/>
      <c r="AI279" s="2"/>
      <c r="AJ279" s="2"/>
      <c r="AK279" s="2"/>
      <c r="AL279" s="2"/>
      <c r="AM279" s="2"/>
      <c r="AT279" s="2"/>
      <c r="AU279" s="2"/>
      <c r="AV279" s="2"/>
      <c r="AW279" s="2"/>
      <c r="AX279" s="2"/>
      <c r="AY279" s="2"/>
      <c r="AZ279" s="2"/>
      <c r="BA279" s="2"/>
      <c r="BC279" s="2"/>
      <c r="BD279" s="2"/>
      <c r="BE279" s="2"/>
      <c r="BF279" s="2"/>
      <c r="BG279" s="2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</row>
    <row r="280" ht="14.25" customHeight="1">
      <c r="AA280" s="2"/>
      <c r="AB280" s="2"/>
      <c r="AF280" s="2"/>
      <c r="AG280" s="2"/>
      <c r="AH280" s="2"/>
      <c r="AI280" s="2"/>
      <c r="AJ280" s="2"/>
      <c r="AK280" s="2"/>
      <c r="AL280" s="2"/>
      <c r="AM280" s="2"/>
      <c r="AT280" s="2"/>
      <c r="AU280" s="2"/>
      <c r="AV280" s="2"/>
      <c r="AW280" s="2"/>
      <c r="AX280" s="2"/>
      <c r="AY280" s="2"/>
      <c r="AZ280" s="2"/>
      <c r="BA280" s="2"/>
      <c r="BC280" s="2"/>
      <c r="BD280" s="2"/>
      <c r="BE280" s="2"/>
      <c r="BF280" s="2"/>
      <c r="BG280" s="2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</row>
    <row r="281" ht="14.25" customHeight="1">
      <c r="AA281" s="2"/>
      <c r="AB281" s="2"/>
      <c r="AF281" s="2"/>
      <c r="AG281" s="2"/>
      <c r="AH281" s="2"/>
      <c r="AI281" s="2"/>
      <c r="AJ281" s="2"/>
      <c r="AK281" s="2"/>
      <c r="AL281" s="2"/>
      <c r="AM281" s="2"/>
      <c r="AT281" s="2"/>
      <c r="AU281" s="2"/>
      <c r="AV281" s="2"/>
      <c r="AW281" s="2"/>
      <c r="AX281" s="2"/>
      <c r="AY281" s="2"/>
      <c r="AZ281" s="2"/>
      <c r="BA281" s="2"/>
      <c r="BC281" s="2"/>
      <c r="BD281" s="2"/>
      <c r="BE281" s="2"/>
      <c r="BF281" s="2"/>
      <c r="BG281" s="2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</row>
    <row r="282" ht="14.25" customHeight="1">
      <c r="AA282" s="2"/>
      <c r="AB282" s="2"/>
      <c r="AF282" s="2"/>
      <c r="AG282" s="2"/>
      <c r="AH282" s="2"/>
      <c r="AI282" s="2"/>
      <c r="AJ282" s="2"/>
      <c r="AK282" s="2"/>
      <c r="AL282" s="2"/>
      <c r="AM282" s="2"/>
      <c r="AT282" s="2"/>
      <c r="AU282" s="2"/>
      <c r="AV282" s="2"/>
      <c r="AW282" s="2"/>
      <c r="AX282" s="2"/>
      <c r="AY282" s="2"/>
      <c r="AZ282" s="2"/>
      <c r="BA282" s="2"/>
      <c r="BC282" s="2"/>
      <c r="BD282" s="2"/>
      <c r="BE282" s="2"/>
      <c r="BF282" s="2"/>
      <c r="BG282" s="2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</row>
    <row r="283" ht="14.25" customHeight="1">
      <c r="AA283" s="2"/>
      <c r="AB283" s="2"/>
      <c r="AF283" s="2"/>
      <c r="AG283" s="2"/>
      <c r="AH283" s="2"/>
      <c r="AI283" s="2"/>
      <c r="AJ283" s="2"/>
      <c r="AK283" s="2"/>
      <c r="AL283" s="2"/>
      <c r="AM283" s="2"/>
      <c r="AT283" s="2"/>
      <c r="AU283" s="2"/>
      <c r="AV283" s="2"/>
      <c r="AW283" s="2"/>
      <c r="AX283" s="2"/>
      <c r="AY283" s="2"/>
      <c r="AZ283" s="2"/>
      <c r="BA283" s="2"/>
      <c r="BC283" s="2"/>
      <c r="BD283" s="2"/>
      <c r="BE283" s="2"/>
      <c r="BF283" s="2"/>
      <c r="BG283" s="2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</row>
    <row r="284" ht="14.25" customHeight="1">
      <c r="AA284" s="2"/>
      <c r="AB284" s="2"/>
      <c r="AF284" s="2"/>
      <c r="AG284" s="2"/>
      <c r="AH284" s="2"/>
      <c r="AI284" s="2"/>
      <c r="AJ284" s="2"/>
      <c r="AK284" s="2"/>
      <c r="AL284" s="2"/>
      <c r="AM284" s="2"/>
      <c r="AT284" s="2"/>
      <c r="AU284" s="2"/>
      <c r="AV284" s="2"/>
      <c r="AW284" s="2"/>
      <c r="AX284" s="2"/>
      <c r="AY284" s="2"/>
      <c r="AZ284" s="2"/>
      <c r="BA284" s="2"/>
      <c r="BC284" s="2"/>
      <c r="BD284" s="2"/>
      <c r="BE284" s="2"/>
      <c r="BF284" s="2"/>
      <c r="BG284" s="2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</row>
    <row r="285" ht="14.25" customHeight="1">
      <c r="AA285" s="2"/>
      <c r="AB285" s="2"/>
      <c r="AF285" s="2"/>
      <c r="AG285" s="2"/>
      <c r="AH285" s="2"/>
      <c r="AI285" s="2"/>
      <c r="AJ285" s="2"/>
      <c r="AK285" s="2"/>
      <c r="AL285" s="2"/>
      <c r="AM285" s="2"/>
      <c r="AT285" s="2"/>
      <c r="AU285" s="2"/>
      <c r="AV285" s="2"/>
      <c r="AW285" s="2"/>
      <c r="AX285" s="2"/>
      <c r="AY285" s="2"/>
      <c r="AZ285" s="2"/>
      <c r="BA285" s="2"/>
      <c r="BC285" s="2"/>
      <c r="BD285" s="2"/>
      <c r="BE285" s="2"/>
      <c r="BF285" s="2"/>
      <c r="BG285" s="2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</row>
    <row r="286" ht="14.25" customHeight="1">
      <c r="AA286" s="2"/>
      <c r="AB286" s="2"/>
      <c r="AF286" s="2"/>
      <c r="AG286" s="2"/>
      <c r="AH286" s="2"/>
      <c r="AI286" s="2"/>
      <c r="AJ286" s="2"/>
      <c r="AK286" s="2"/>
      <c r="AL286" s="2"/>
      <c r="AM286" s="2"/>
      <c r="AT286" s="2"/>
      <c r="AU286" s="2"/>
      <c r="AV286" s="2"/>
      <c r="AW286" s="2"/>
      <c r="AX286" s="2"/>
      <c r="AY286" s="2"/>
      <c r="AZ286" s="2"/>
      <c r="BA286" s="2"/>
      <c r="BC286" s="2"/>
      <c r="BD286" s="2"/>
      <c r="BE286" s="2"/>
      <c r="BF286" s="2"/>
      <c r="BG286" s="2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</row>
    <row r="287" ht="14.25" customHeight="1">
      <c r="AA287" s="2"/>
      <c r="AB287" s="2"/>
      <c r="AF287" s="2"/>
      <c r="AG287" s="2"/>
      <c r="AH287" s="2"/>
      <c r="AI287" s="2"/>
      <c r="AJ287" s="2"/>
      <c r="AK287" s="2"/>
      <c r="AL287" s="2"/>
      <c r="AM287" s="2"/>
      <c r="AT287" s="2"/>
      <c r="AU287" s="2"/>
      <c r="AV287" s="2"/>
      <c r="AW287" s="2"/>
      <c r="AX287" s="2"/>
      <c r="AY287" s="2"/>
      <c r="AZ287" s="2"/>
      <c r="BA287" s="2"/>
      <c r="BC287" s="2"/>
      <c r="BD287" s="2"/>
      <c r="BE287" s="2"/>
      <c r="BF287" s="2"/>
      <c r="BG287" s="2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</row>
    <row r="288" ht="14.25" customHeight="1">
      <c r="AA288" s="2"/>
      <c r="AB288" s="2"/>
      <c r="AF288" s="2"/>
      <c r="AG288" s="2"/>
      <c r="AH288" s="2"/>
      <c r="AI288" s="2"/>
      <c r="AJ288" s="2"/>
      <c r="AK288" s="2"/>
      <c r="AL288" s="2"/>
      <c r="AM288" s="2"/>
      <c r="AT288" s="2"/>
      <c r="AU288" s="2"/>
      <c r="AV288" s="2"/>
      <c r="AW288" s="2"/>
      <c r="AX288" s="2"/>
      <c r="AY288" s="2"/>
      <c r="AZ288" s="2"/>
      <c r="BA288" s="2"/>
      <c r="BC288" s="2"/>
      <c r="BD288" s="2"/>
      <c r="BE288" s="2"/>
      <c r="BF288" s="2"/>
      <c r="BG288" s="2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</row>
    <row r="289" ht="14.25" customHeight="1">
      <c r="AA289" s="2"/>
      <c r="AB289" s="2"/>
      <c r="AF289" s="2"/>
      <c r="AG289" s="2"/>
      <c r="AH289" s="2"/>
      <c r="AI289" s="2"/>
      <c r="AJ289" s="2"/>
      <c r="AK289" s="2"/>
      <c r="AL289" s="2"/>
      <c r="AM289" s="2"/>
      <c r="AT289" s="2"/>
      <c r="AU289" s="2"/>
      <c r="AV289" s="2"/>
      <c r="AW289" s="2"/>
      <c r="AX289" s="2"/>
      <c r="AY289" s="2"/>
      <c r="AZ289" s="2"/>
      <c r="BA289" s="2"/>
      <c r="BC289" s="2"/>
      <c r="BD289" s="2"/>
      <c r="BE289" s="2"/>
      <c r="BF289" s="2"/>
      <c r="BG289" s="2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</row>
    <row r="290" ht="14.25" customHeight="1">
      <c r="AA290" s="2"/>
      <c r="AB290" s="2"/>
      <c r="AF290" s="2"/>
      <c r="AG290" s="2"/>
      <c r="AH290" s="2"/>
      <c r="AI290" s="2"/>
      <c r="AJ290" s="2"/>
      <c r="AK290" s="2"/>
      <c r="AL290" s="2"/>
      <c r="AM290" s="2"/>
      <c r="AT290" s="2"/>
      <c r="AU290" s="2"/>
      <c r="AV290" s="2"/>
      <c r="AW290" s="2"/>
      <c r="AX290" s="2"/>
      <c r="AY290" s="2"/>
      <c r="AZ290" s="2"/>
      <c r="BA290" s="2"/>
      <c r="BC290" s="2"/>
      <c r="BD290" s="2"/>
      <c r="BE290" s="2"/>
      <c r="BF290" s="2"/>
      <c r="BG290" s="2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</row>
    <row r="291" ht="14.25" customHeight="1">
      <c r="AA291" s="2"/>
      <c r="AB291" s="2"/>
      <c r="AF291" s="2"/>
      <c r="AG291" s="2"/>
      <c r="AH291" s="2"/>
      <c r="AI291" s="2"/>
      <c r="AJ291" s="2"/>
      <c r="AK291" s="2"/>
      <c r="AL291" s="2"/>
      <c r="AM291" s="2"/>
      <c r="AT291" s="2"/>
      <c r="AU291" s="2"/>
      <c r="AV291" s="2"/>
      <c r="AW291" s="2"/>
      <c r="AX291" s="2"/>
      <c r="AY291" s="2"/>
      <c r="AZ291" s="2"/>
      <c r="BA291" s="2"/>
      <c r="BC291" s="2"/>
      <c r="BD291" s="2"/>
      <c r="BE291" s="2"/>
      <c r="BF291" s="2"/>
      <c r="BG291" s="2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</row>
    <row r="292" ht="14.25" customHeight="1">
      <c r="AA292" s="2"/>
      <c r="AB292" s="2"/>
      <c r="AF292" s="2"/>
      <c r="AG292" s="2"/>
      <c r="AH292" s="2"/>
      <c r="AI292" s="2"/>
      <c r="AJ292" s="2"/>
      <c r="AK292" s="2"/>
      <c r="AL292" s="2"/>
      <c r="AM292" s="2"/>
      <c r="AT292" s="2"/>
      <c r="AU292" s="2"/>
      <c r="AV292" s="2"/>
      <c r="AW292" s="2"/>
      <c r="AX292" s="2"/>
      <c r="AY292" s="2"/>
      <c r="AZ292" s="2"/>
      <c r="BA292" s="2"/>
      <c r="BC292" s="2"/>
      <c r="BD292" s="2"/>
      <c r="BE292" s="2"/>
      <c r="BF292" s="2"/>
      <c r="BG292" s="2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</row>
    <row r="293" ht="14.25" customHeight="1">
      <c r="AA293" s="2"/>
      <c r="AB293" s="2"/>
      <c r="AF293" s="2"/>
      <c r="AG293" s="2"/>
      <c r="AH293" s="2"/>
      <c r="AI293" s="2"/>
      <c r="AJ293" s="2"/>
      <c r="AK293" s="2"/>
      <c r="AL293" s="2"/>
      <c r="AM293" s="2"/>
      <c r="AT293" s="2"/>
      <c r="AU293" s="2"/>
      <c r="AV293" s="2"/>
      <c r="AW293" s="2"/>
      <c r="AX293" s="2"/>
      <c r="AY293" s="2"/>
      <c r="AZ293" s="2"/>
      <c r="BA293" s="2"/>
      <c r="BC293" s="2"/>
      <c r="BD293" s="2"/>
      <c r="BE293" s="2"/>
      <c r="BF293" s="2"/>
      <c r="BG293" s="2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</row>
    <row r="294" ht="14.25" customHeight="1">
      <c r="AA294" s="2"/>
      <c r="AB294" s="2"/>
      <c r="AF294" s="2"/>
      <c r="AG294" s="2"/>
      <c r="AH294" s="2"/>
      <c r="AI294" s="2"/>
      <c r="AJ294" s="2"/>
      <c r="AK294" s="2"/>
      <c r="AL294" s="2"/>
      <c r="AM294" s="2"/>
      <c r="AT294" s="2"/>
      <c r="AU294" s="2"/>
      <c r="AV294" s="2"/>
      <c r="AW294" s="2"/>
      <c r="AX294" s="2"/>
      <c r="AY294" s="2"/>
      <c r="AZ294" s="2"/>
      <c r="BA294" s="2"/>
      <c r="BC294" s="2"/>
      <c r="BD294" s="2"/>
      <c r="BE294" s="2"/>
      <c r="BF294" s="2"/>
      <c r="BG294" s="2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</row>
    <row r="295" ht="14.25" customHeight="1">
      <c r="AA295" s="2"/>
      <c r="AB295" s="2"/>
      <c r="AF295" s="2"/>
      <c r="AG295" s="2"/>
      <c r="AH295" s="2"/>
      <c r="AI295" s="2"/>
      <c r="AJ295" s="2"/>
      <c r="AK295" s="2"/>
      <c r="AL295" s="2"/>
      <c r="AM295" s="2"/>
      <c r="AT295" s="2"/>
      <c r="AU295" s="2"/>
      <c r="AV295" s="2"/>
      <c r="AW295" s="2"/>
      <c r="AX295" s="2"/>
      <c r="AY295" s="2"/>
      <c r="AZ295" s="2"/>
      <c r="BA295" s="2"/>
      <c r="BC295" s="2"/>
      <c r="BD295" s="2"/>
      <c r="BE295" s="2"/>
      <c r="BF295" s="2"/>
      <c r="BG295" s="2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</row>
    <row r="296" ht="14.25" customHeight="1">
      <c r="AA296" s="2"/>
      <c r="AB296" s="2"/>
      <c r="AF296" s="2"/>
      <c r="AG296" s="2"/>
      <c r="AH296" s="2"/>
      <c r="AI296" s="2"/>
      <c r="AJ296" s="2"/>
      <c r="AK296" s="2"/>
      <c r="AL296" s="2"/>
      <c r="AM296" s="2"/>
      <c r="AT296" s="2"/>
      <c r="AU296" s="2"/>
      <c r="AV296" s="2"/>
      <c r="AW296" s="2"/>
      <c r="AX296" s="2"/>
      <c r="AY296" s="2"/>
      <c r="AZ296" s="2"/>
      <c r="BA296" s="2"/>
      <c r="BC296" s="2"/>
      <c r="BD296" s="2"/>
      <c r="BE296" s="2"/>
      <c r="BF296" s="2"/>
      <c r="BG296" s="2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</row>
    <row r="297" ht="14.25" customHeight="1">
      <c r="AA297" s="2"/>
      <c r="AB297" s="2"/>
      <c r="AF297" s="2"/>
      <c r="AG297" s="2"/>
      <c r="AH297" s="2"/>
      <c r="AI297" s="2"/>
      <c r="AJ297" s="2"/>
      <c r="AK297" s="2"/>
      <c r="AL297" s="2"/>
      <c r="AM297" s="2"/>
      <c r="AT297" s="2"/>
      <c r="AU297" s="2"/>
      <c r="AV297" s="2"/>
      <c r="AW297" s="2"/>
      <c r="AX297" s="2"/>
      <c r="AY297" s="2"/>
      <c r="AZ297" s="2"/>
      <c r="BA297" s="2"/>
      <c r="BC297" s="2"/>
      <c r="BD297" s="2"/>
      <c r="BE297" s="2"/>
      <c r="BF297" s="2"/>
      <c r="BG297" s="2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</row>
    <row r="298" ht="14.25" customHeight="1">
      <c r="AA298" s="2"/>
      <c r="AB298" s="2"/>
      <c r="AF298" s="2"/>
      <c r="AG298" s="2"/>
      <c r="AH298" s="2"/>
      <c r="AI298" s="2"/>
      <c r="AJ298" s="2"/>
      <c r="AK298" s="2"/>
      <c r="AL298" s="2"/>
      <c r="AM298" s="2"/>
      <c r="AT298" s="2"/>
      <c r="AU298" s="2"/>
      <c r="AV298" s="2"/>
      <c r="AW298" s="2"/>
      <c r="AX298" s="2"/>
      <c r="AY298" s="2"/>
      <c r="AZ298" s="2"/>
      <c r="BA298" s="2"/>
      <c r="BC298" s="2"/>
      <c r="BD298" s="2"/>
      <c r="BE298" s="2"/>
      <c r="BF298" s="2"/>
      <c r="BG298" s="2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</row>
    <row r="299" ht="14.25" customHeight="1">
      <c r="AA299" s="2"/>
      <c r="AB299" s="2"/>
      <c r="AF299" s="2"/>
      <c r="AG299" s="2"/>
      <c r="AH299" s="2"/>
      <c r="AI299" s="2"/>
      <c r="AJ299" s="2"/>
      <c r="AK299" s="2"/>
      <c r="AL299" s="2"/>
      <c r="AM299" s="2"/>
      <c r="AT299" s="2"/>
      <c r="AU299" s="2"/>
      <c r="AV299" s="2"/>
      <c r="AW299" s="2"/>
      <c r="AX299" s="2"/>
      <c r="AY299" s="2"/>
      <c r="AZ299" s="2"/>
      <c r="BA299" s="2"/>
      <c r="BC299" s="2"/>
      <c r="BD299" s="2"/>
      <c r="BE299" s="2"/>
      <c r="BF299" s="2"/>
      <c r="BG299" s="2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</row>
    <row r="300" ht="14.25" customHeight="1">
      <c r="AA300" s="2"/>
      <c r="AB300" s="2"/>
      <c r="AF300" s="2"/>
      <c r="AG300" s="2"/>
      <c r="AH300" s="2"/>
      <c r="AI300" s="2"/>
      <c r="AJ300" s="2"/>
      <c r="AK300" s="2"/>
      <c r="AL300" s="2"/>
      <c r="AM300" s="2"/>
      <c r="AT300" s="2"/>
      <c r="AU300" s="2"/>
      <c r="AV300" s="2"/>
      <c r="AW300" s="2"/>
      <c r="AX300" s="2"/>
      <c r="AY300" s="2"/>
      <c r="AZ300" s="2"/>
      <c r="BA300" s="2"/>
      <c r="BC300" s="2"/>
      <c r="BD300" s="2"/>
      <c r="BE300" s="2"/>
      <c r="BF300" s="2"/>
      <c r="BG300" s="2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</row>
    <row r="301" ht="14.25" customHeight="1">
      <c r="AA301" s="2"/>
      <c r="AB301" s="2"/>
      <c r="AF301" s="2"/>
      <c r="AG301" s="2"/>
      <c r="AH301" s="2"/>
      <c r="AI301" s="2"/>
      <c r="AJ301" s="2"/>
      <c r="AK301" s="2"/>
      <c r="AL301" s="2"/>
      <c r="AM301" s="2"/>
      <c r="AT301" s="2"/>
      <c r="AU301" s="2"/>
      <c r="AV301" s="2"/>
      <c r="AW301" s="2"/>
      <c r="AX301" s="2"/>
      <c r="AY301" s="2"/>
      <c r="AZ301" s="2"/>
      <c r="BA301" s="2"/>
      <c r="BC301" s="2"/>
      <c r="BD301" s="2"/>
      <c r="BE301" s="2"/>
      <c r="BF301" s="2"/>
      <c r="BG301" s="2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</row>
    <row r="302" ht="14.25" customHeight="1">
      <c r="AA302" s="2"/>
      <c r="AB302" s="2"/>
      <c r="AF302" s="2"/>
      <c r="AG302" s="2"/>
      <c r="AH302" s="2"/>
      <c r="AI302" s="2"/>
      <c r="AJ302" s="2"/>
      <c r="AK302" s="2"/>
      <c r="AL302" s="2"/>
      <c r="AM302" s="2"/>
      <c r="AT302" s="2"/>
      <c r="AU302" s="2"/>
      <c r="AV302" s="2"/>
      <c r="AW302" s="2"/>
      <c r="AX302" s="2"/>
      <c r="AY302" s="2"/>
      <c r="AZ302" s="2"/>
      <c r="BA302" s="2"/>
      <c r="BC302" s="2"/>
      <c r="BD302" s="2"/>
      <c r="BE302" s="2"/>
      <c r="BF302" s="2"/>
      <c r="BG302" s="2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</row>
    <row r="303" ht="14.25" customHeight="1">
      <c r="AA303" s="2"/>
      <c r="AF303" s="2"/>
      <c r="AG303" s="2"/>
      <c r="AH303" s="2"/>
      <c r="AI303" s="2"/>
      <c r="AJ303" s="2"/>
      <c r="AK303" s="2"/>
      <c r="AL303" s="2"/>
      <c r="AM303" s="2"/>
      <c r="AT303" s="2"/>
      <c r="AU303" s="2"/>
      <c r="AV303" s="2"/>
      <c r="AW303" s="2"/>
      <c r="AX303" s="2"/>
      <c r="AY303" s="2"/>
      <c r="AZ303" s="2"/>
      <c r="BA303" s="2"/>
      <c r="BC303" s="2"/>
      <c r="BD303" s="2"/>
      <c r="BE303" s="2"/>
      <c r="BF303" s="2"/>
      <c r="BG303" s="2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</row>
    <row r="304" ht="14.25" customHeight="1">
      <c r="AA304" s="2"/>
      <c r="AF304" s="2"/>
      <c r="AG304" s="2"/>
      <c r="AH304" s="2"/>
      <c r="AI304" s="2"/>
      <c r="AJ304" s="2"/>
      <c r="AK304" s="2"/>
      <c r="AL304" s="2"/>
      <c r="AM304" s="2"/>
      <c r="AT304" s="2"/>
      <c r="AU304" s="2"/>
      <c r="AV304" s="2"/>
      <c r="AW304" s="2"/>
      <c r="AX304" s="2"/>
      <c r="AY304" s="2"/>
      <c r="AZ304" s="2"/>
      <c r="BA304" s="2"/>
      <c r="BC304" s="2"/>
      <c r="BD304" s="2"/>
      <c r="BE304" s="2"/>
      <c r="BF304" s="2"/>
      <c r="BG304" s="2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</row>
    <row r="305" ht="14.25" customHeight="1">
      <c r="AA305" s="2"/>
      <c r="AF305" s="2"/>
      <c r="AG305" s="2"/>
      <c r="AH305" s="2"/>
      <c r="AI305" s="2"/>
      <c r="AJ305" s="2"/>
      <c r="AK305" s="2"/>
      <c r="AL305" s="2"/>
      <c r="AM305" s="2"/>
      <c r="AT305" s="2"/>
      <c r="AU305" s="2"/>
      <c r="AV305" s="2"/>
      <c r="AW305" s="2"/>
      <c r="AX305" s="2"/>
      <c r="AY305" s="2"/>
      <c r="AZ305" s="2"/>
      <c r="BA305" s="2"/>
      <c r="BC305" s="2"/>
      <c r="BD305" s="2"/>
      <c r="BE305" s="2"/>
      <c r="BF305" s="2"/>
      <c r="BG305" s="2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</row>
    <row r="306" ht="14.25" customHeight="1">
      <c r="AA306" s="2"/>
      <c r="AF306" s="2"/>
      <c r="AG306" s="2"/>
      <c r="AH306" s="2"/>
      <c r="AI306" s="2"/>
      <c r="AJ306" s="2"/>
      <c r="AK306" s="2"/>
      <c r="AL306" s="2"/>
      <c r="AM306" s="2"/>
      <c r="AT306" s="2"/>
      <c r="AU306" s="2"/>
      <c r="AV306" s="2"/>
      <c r="AW306" s="2"/>
      <c r="AX306" s="2"/>
      <c r="AY306" s="2"/>
      <c r="AZ306" s="2"/>
      <c r="BA306" s="2"/>
      <c r="BC306" s="2"/>
      <c r="BD306" s="2"/>
      <c r="BE306" s="2"/>
      <c r="BF306" s="2"/>
      <c r="BG306" s="2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</row>
    <row r="307" ht="14.25" customHeight="1">
      <c r="AA307" s="2"/>
      <c r="AF307" s="2"/>
      <c r="AG307" s="2"/>
      <c r="AH307" s="2"/>
      <c r="AI307" s="2"/>
      <c r="AJ307" s="2"/>
      <c r="AK307" s="2"/>
      <c r="AL307" s="2"/>
      <c r="AM307" s="2"/>
      <c r="AT307" s="2"/>
      <c r="AU307" s="2"/>
      <c r="AV307" s="2"/>
      <c r="AW307" s="2"/>
      <c r="AX307" s="2"/>
      <c r="AY307" s="2"/>
      <c r="AZ307" s="2"/>
      <c r="BA307" s="2"/>
      <c r="BC307" s="2"/>
      <c r="BD307" s="2"/>
      <c r="BE307" s="2"/>
      <c r="BF307" s="2"/>
      <c r="BG307" s="2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</row>
    <row r="308" ht="14.25" customHeight="1">
      <c r="AA308" s="2"/>
      <c r="AF308" s="2"/>
      <c r="AG308" s="2"/>
      <c r="AH308" s="2"/>
      <c r="AI308" s="2"/>
      <c r="AJ308" s="2"/>
      <c r="AK308" s="2"/>
      <c r="AL308" s="2"/>
      <c r="AM308" s="2"/>
      <c r="AT308" s="2"/>
      <c r="AU308" s="2"/>
      <c r="AV308" s="2"/>
      <c r="AW308" s="2"/>
      <c r="AX308" s="2"/>
      <c r="AY308" s="2"/>
      <c r="AZ308" s="2"/>
      <c r="BA308" s="2"/>
      <c r="BC308" s="2"/>
      <c r="BD308" s="2"/>
      <c r="BE308" s="2"/>
      <c r="BF308" s="2"/>
      <c r="BG308" s="2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</row>
    <row r="309" ht="14.25" customHeight="1">
      <c r="AA309" s="2"/>
      <c r="AF309" s="2"/>
      <c r="AG309" s="2"/>
      <c r="AH309" s="2"/>
      <c r="AI309" s="2"/>
      <c r="AJ309" s="2"/>
      <c r="AK309" s="2"/>
      <c r="AL309" s="2"/>
      <c r="AM309" s="2"/>
      <c r="AT309" s="2"/>
      <c r="AU309" s="2"/>
      <c r="AV309" s="2"/>
      <c r="AW309" s="2"/>
      <c r="AX309" s="2"/>
      <c r="AY309" s="2"/>
      <c r="AZ309" s="2"/>
      <c r="BA309" s="2"/>
      <c r="BC309" s="2"/>
      <c r="BD309" s="2"/>
      <c r="BE309" s="2"/>
      <c r="BF309" s="2"/>
      <c r="BG309" s="2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</row>
    <row r="310" ht="14.25" customHeight="1">
      <c r="AA310" s="2"/>
      <c r="AF310" s="2"/>
      <c r="AG310" s="2"/>
      <c r="AH310" s="2"/>
      <c r="AI310" s="2"/>
      <c r="AJ310" s="2"/>
      <c r="AK310" s="2"/>
      <c r="AL310" s="2"/>
      <c r="AM310" s="2"/>
      <c r="AT310" s="2"/>
      <c r="AU310" s="2"/>
      <c r="AV310" s="2"/>
      <c r="AW310" s="2"/>
      <c r="AX310" s="2"/>
      <c r="AY310" s="2"/>
      <c r="AZ310" s="2"/>
      <c r="BA310" s="2"/>
      <c r="BC310" s="2"/>
      <c r="BD310" s="2"/>
      <c r="BE310" s="2"/>
      <c r="BF310" s="2"/>
      <c r="BG310" s="2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</row>
    <row r="311" ht="14.25" customHeight="1">
      <c r="AA311" s="2"/>
      <c r="AF311" s="2"/>
      <c r="AG311" s="2"/>
      <c r="AH311" s="2"/>
      <c r="AI311" s="2"/>
      <c r="AJ311" s="2"/>
      <c r="AK311" s="2"/>
      <c r="AL311" s="2"/>
      <c r="AM311" s="2"/>
      <c r="AT311" s="2"/>
      <c r="AU311" s="2"/>
      <c r="AV311" s="2"/>
      <c r="AW311" s="2"/>
      <c r="AX311" s="2"/>
      <c r="AY311" s="2"/>
      <c r="AZ311" s="2"/>
      <c r="BA311" s="2"/>
      <c r="BC311" s="2"/>
      <c r="BD311" s="2"/>
      <c r="BE311" s="2"/>
      <c r="BF311" s="2"/>
      <c r="BG311" s="2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</row>
    <row r="312" ht="14.25" customHeight="1">
      <c r="AA312" s="2"/>
      <c r="AF312" s="2"/>
      <c r="AG312" s="2"/>
      <c r="AH312" s="2"/>
      <c r="AI312" s="2"/>
      <c r="AJ312" s="2"/>
      <c r="AK312" s="2"/>
      <c r="AL312" s="2"/>
      <c r="AM312" s="2"/>
      <c r="AT312" s="2"/>
      <c r="AU312" s="2"/>
      <c r="AV312" s="2"/>
      <c r="AW312" s="2"/>
      <c r="AX312" s="2"/>
      <c r="AY312" s="2"/>
      <c r="AZ312" s="2"/>
      <c r="BA312" s="2"/>
      <c r="BC312" s="2"/>
      <c r="BD312" s="2"/>
      <c r="BE312" s="2"/>
      <c r="BF312" s="2"/>
      <c r="BG312" s="2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</row>
    <row r="313" ht="14.25" customHeight="1">
      <c r="AA313" s="2"/>
      <c r="AF313" s="2"/>
      <c r="AG313" s="2"/>
      <c r="AH313" s="2"/>
      <c r="AI313" s="2"/>
      <c r="AJ313" s="2"/>
      <c r="AK313" s="2"/>
      <c r="AL313" s="2"/>
      <c r="AM313" s="2"/>
      <c r="AT313" s="2"/>
      <c r="AU313" s="2"/>
      <c r="AV313" s="2"/>
      <c r="AW313" s="2"/>
      <c r="AX313" s="2"/>
      <c r="AY313" s="2"/>
      <c r="AZ313" s="2"/>
      <c r="BA313" s="2"/>
      <c r="BC313" s="2"/>
      <c r="BD313" s="2"/>
      <c r="BE313" s="2"/>
      <c r="BF313" s="2"/>
      <c r="BG313" s="2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</row>
    <row r="314" ht="14.25" customHeight="1">
      <c r="AA314" s="2"/>
      <c r="AF314" s="2"/>
      <c r="AG314" s="2"/>
      <c r="AH314" s="2"/>
      <c r="AI314" s="2"/>
      <c r="AJ314" s="2"/>
      <c r="AK314" s="2"/>
      <c r="AL314" s="2"/>
      <c r="AM314" s="2"/>
      <c r="AT314" s="2"/>
      <c r="AU314" s="2"/>
      <c r="AV314" s="2"/>
      <c r="AW314" s="2"/>
      <c r="AX314" s="2"/>
      <c r="AY314" s="2"/>
      <c r="AZ314" s="2"/>
      <c r="BA314" s="2"/>
      <c r="BC314" s="2"/>
      <c r="BD314" s="2"/>
      <c r="BE314" s="2"/>
      <c r="BF314" s="2"/>
      <c r="BG314" s="2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</row>
    <row r="315" ht="14.25" customHeight="1">
      <c r="AA315" s="2"/>
      <c r="AF315" s="2"/>
      <c r="AG315" s="2"/>
      <c r="AH315" s="2"/>
      <c r="AI315" s="2"/>
      <c r="AJ315" s="2"/>
      <c r="AK315" s="2"/>
      <c r="AL315" s="2"/>
      <c r="AM315" s="2"/>
      <c r="AT315" s="2"/>
      <c r="AU315" s="2"/>
      <c r="AV315" s="2"/>
      <c r="AW315" s="2"/>
      <c r="AX315" s="2"/>
      <c r="AY315" s="2"/>
      <c r="AZ315" s="2"/>
      <c r="BA315" s="2"/>
      <c r="BC315" s="2"/>
      <c r="BD315" s="2"/>
      <c r="BE315" s="2"/>
      <c r="BF315" s="2"/>
      <c r="BG315" s="2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</row>
    <row r="316" ht="14.25" customHeight="1">
      <c r="AA316" s="2"/>
      <c r="AF316" s="2"/>
      <c r="AG316" s="2"/>
      <c r="AH316" s="2"/>
      <c r="AI316" s="2"/>
      <c r="AJ316" s="2"/>
      <c r="AK316" s="2"/>
      <c r="AL316" s="2"/>
      <c r="AM316" s="2"/>
      <c r="AT316" s="2"/>
      <c r="AU316" s="2"/>
      <c r="AV316" s="2"/>
      <c r="AW316" s="2"/>
      <c r="AX316" s="2"/>
      <c r="AY316" s="2"/>
      <c r="AZ316" s="2"/>
      <c r="BA316" s="2"/>
      <c r="BC316" s="2"/>
      <c r="BD316" s="2"/>
      <c r="BE316" s="2"/>
      <c r="BF316" s="2"/>
      <c r="BG316" s="2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</row>
    <row r="317" ht="14.25" customHeight="1">
      <c r="AA317" s="2"/>
      <c r="AF317" s="2"/>
      <c r="AG317" s="2"/>
      <c r="AH317" s="2"/>
      <c r="AI317" s="2"/>
      <c r="AJ317" s="2"/>
      <c r="AK317" s="2"/>
      <c r="AL317" s="2"/>
      <c r="AM317" s="2"/>
      <c r="AT317" s="2"/>
      <c r="AU317" s="2"/>
      <c r="AV317" s="2"/>
      <c r="AW317" s="2"/>
      <c r="AX317" s="2"/>
      <c r="AY317" s="2"/>
      <c r="AZ317" s="2"/>
      <c r="BA317" s="2"/>
      <c r="BC317" s="2"/>
      <c r="BD317" s="2"/>
      <c r="BE317" s="2"/>
      <c r="BF317" s="2"/>
      <c r="BG317" s="2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</row>
    <row r="318" ht="14.25" customHeight="1">
      <c r="AA318" s="2"/>
      <c r="AF318" s="2"/>
      <c r="AG318" s="2"/>
      <c r="AH318" s="2"/>
      <c r="AI318" s="2"/>
      <c r="AJ318" s="2"/>
      <c r="AK318" s="2"/>
      <c r="AL318" s="2"/>
      <c r="AM318" s="2"/>
      <c r="AT318" s="2"/>
      <c r="AU318" s="2"/>
      <c r="AV318" s="2"/>
      <c r="AW318" s="2"/>
      <c r="AX318" s="2"/>
      <c r="AY318" s="2"/>
      <c r="AZ318" s="2"/>
      <c r="BA318" s="2"/>
      <c r="BC318" s="2"/>
      <c r="BD318" s="2"/>
      <c r="BE318" s="2"/>
      <c r="BF318" s="2"/>
      <c r="BG318" s="2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</row>
    <row r="319" ht="14.25" customHeight="1">
      <c r="AA319" s="2"/>
      <c r="AF319" s="2"/>
      <c r="AG319" s="2"/>
      <c r="AH319" s="2"/>
      <c r="AI319" s="2"/>
      <c r="AJ319" s="2"/>
      <c r="AK319" s="2"/>
      <c r="AL319" s="2"/>
      <c r="AM319" s="2"/>
      <c r="AT319" s="2"/>
      <c r="AU319" s="2"/>
      <c r="AV319" s="2"/>
      <c r="AW319" s="2"/>
      <c r="AX319" s="2"/>
      <c r="AY319" s="2"/>
      <c r="AZ319" s="2"/>
      <c r="BA319" s="2"/>
      <c r="BC319" s="2"/>
      <c r="BD319" s="2"/>
      <c r="BE319" s="2"/>
      <c r="BF319" s="2"/>
      <c r="BG319" s="2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</row>
    <row r="320" ht="14.25" customHeight="1">
      <c r="AA320" s="2"/>
      <c r="AF320" s="2"/>
      <c r="AG320" s="2"/>
      <c r="AH320" s="2"/>
      <c r="AI320" s="2"/>
      <c r="AJ320" s="2"/>
      <c r="AK320" s="2"/>
      <c r="AL320" s="2"/>
      <c r="AM320" s="2"/>
      <c r="AT320" s="2"/>
      <c r="AU320" s="2"/>
      <c r="AV320" s="2"/>
      <c r="AW320" s="2"/>
      <c r="AX320" s="2"/>
      <c r="AY320" s="2"/>
      <c r="AZ320" s="2"/>
      <c r="BA320" s="2"/>
      <c r="BC320" s="2"/>
      <c r="BD320" s="2"/>
      <c r="BE320" s="2"/>
      <c r="BF320" s="2"/>
      <c r="BG320" s="2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</row>
    <row r="321" ht="14.25" customHeight="1">
      <c r="AA321" s="2"/>
      <c r="AF321" s="2"/>
      <c r="AG321" s="2"/>
      <c r="AH321" s="2"/>
      <c r="AI321" s="2"/>
      <c r="AJ321" s="2"/>
      <c r="AK321" s="2"/>
      <c r="AL321" s="2"/>
      <c r="AM321" s="2"/>
      <c r="AT321" s="2"/>
      <c r="AU321" s="2"/>
      <c r="AV321" s="2"/>
      <c r="AW321" s="2"/>
      <c r="AX321" s="2"/>
      <c r="AY321" s="2"/>
      <c r="AZ321" s="2"/>
      <c r="BA321" s="2"/>
      <c r="BC321" s="2"/>
      <c r="BD321" s="2"/>
      <c r="BE321" s="2"/>
      <c r="BF321" s="2"/>
      <c r="BG321" s="2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</row>
    <row r="322" ht="14.25" customHeight="1">
      <c r="AA322" s="2"/>
      <c r="AF322" s="2"/>
      <c r="AG322" s="2"/>
      <c r="AH322" s="2"/>
      <c r="AI322" s="2"/>
      <c r="AJ322" s="2"/>
      <c r="AK322" s="2"/>
      <c r="AL322" s="2"/>
      <c r="AM322" s="2"/>
      <c r="AT322" s="2"/>
      <c r="AU322" s="2"/>
      <c r="AV322" s="2"/>
      <c r="AW322" s="2"/>
      <c r="AX322" s="2"/>
      <c r="AY322" s="2"/>
      <c r="AZ322" s="2"/>
      <c r="BA322" s="2"/>
      <c r="BC322" s="2"/>
      <c r="BD322" s="2"/>
      <c r="BE322" s="2"/>
      <c r="BF322" s="2"/>
      <c r="BG322" s="2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</row>
    <row r="323" ht="14.25" customHeight="1">
      <c r="AA323" s="2"/>
      <c r="AF323" s="2"/>
      <c r="AG323" s="2"/>
      <c r="AH323" s="2"/>
      <c r="AI323" s="2"/>
      <c r="AJ323" s="2"/>
      <c r="AK323" s="2"/>
      <c r="AL323" s="2"/>
      <c r="AM323" s="2"/>
      <c r="AT323" s="2"/>
      <c r="AU323" s="2"/>
      <c r="AV323" s="2"/>
      <c r="AW323" s="2"/>
      <c r="AX323" s="2"/>
      <c r="AY323" s="2"/>
      <c r="AZ323" s="2"/>
      <c r="BA323" s="2"/>
      <c r="BC323" s="2"/>
      <c r="BD323" s="2"/>
      <c r="BE323" s="2"/>
      <c r="BF323" s="2"/>
      <c r="BG323" s="2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</row>
    <row r="324" ht="14.25" customHeight="1">
      <c r="AA324" s="2"/>
      <c r="AF324" s="2"/>
      <c r="AG324" s="2"/>
      <c r="AH324" s="2"/>
      <c r="AI324" s="2"/>
      <c r="AJ324" s="2"/>
      <c r="AK324" s="2"/>
      <c r="AL324" s="2"/>
      <c r="AM324" s="2"/>
      <c r="AT324" s="2"/>
      <c r="AU324" s="2"/>
      <c r="AV324" s="2"/>
      <c r="AW324" s="2"/>
      <c r="AX324" s="2"/>
      <c r="AY324" s="2"/>
      <c r="AZ324" s="2"/>
      <c r="BA324" s="2"/>
      <c r="BC324" s="2"/>
      <c r="BD324" s="2"/>
      <c r="BE324" s="2"/>
      <c r="BF324" s="2"/>
      <c r="BG324" s="2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</row>
    <row r="325" ht="14.25" customHeight="1">
      <c r="AA325" s="2"/>
      <c r="AF325" s="2"/>
      <c r="AG325" s="2"/>
      <c r="AH325" s="2"/>
      <c r="AI325" s="2"/>
      <c r="AJ325" s="2"/>
      <c r="AK325" s="2"/>
      <c r="AL325" s="2"/>
      <c r="AM325" s="2"/>
      <c r="AT325" s="2"/>
      <c r="AU325" s="2"/>
      <c r="AV325" s="2"/>
      <c r="AW325" s="2"/>
      <c r="AX325" s="2"/>
      <c r="AY325" s="2"/>
      <c r="AZ325" s="2"/>
      <c r="BA325" s="2"/>
      <c r="BC325" s="2"/>
      <c r="BD325" s="2"/>
      <c r="BE325" s="2"/>
      <c r="BF325" s="2"/>
      <c r="BG325" s="2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</row>
    <row r="326" ht="14.25" customHeight="1">
      <c r="AA326" s="2"/>
      <c r="AF326" s="2"/>
      <c r="AG326" s="2"/>
      <c r="AH326" s="2"/>
      <c r="AI326" s="2"/>
      <c r="AJ326" s="2"/>
      <c r="AK326" s="2"/>
      <c r="AL326" s="2"/>
      <c r="AM326" s="2"/>
      <c r="AT326" s="2"/>
      <c r="AU326" s="2"/>
      <c r="AV326" s="2"/>
      <c r="AW326" s="2"/>
      <c r="AX326" s="2"/>
      <c r="AY326" s="2"/>
      <c r="AZ326" s="2"/>
      <c r="BA326" s="2"/>
      <c r="BC326" s="2"/>
      <c r="BD326" s="2"/>
      <c r="BE326" s="2"/>
      <c r="BF326" s="2"/>
      <c r="BG326" s="2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</row>
    <row r="327" ht="14.25" customHeight="1">
      <c r="AA327" s="2"/>
      <c r="AF327" s="2"/>
      <c r="AG327" s="2"/>
      <c r="AH327" s="2"/>
      <c r="AI327" s="2"/>
      <c r="AJ327" s="2"/>
      <c r="AK327" s="2"/>
      <c r="AL327" s="2"/>
      <c r="AM327" s="2"/>
      <c r="AT327" s="2"/>
      <c r="AU327" s="2"/>
      <c r="AV327" s="2"/>
      <c r="AW327" s="2"/>
      <c r="AX327" s="2"/>
      <c r="AY327" s="2"/>
      <c r="AZ327" s="2"/>
      <c r="BA327" s="2"/>
      <c r="BC327" s="2"/>
      <c r="BD327" s="2"/>
      <c r="BE327" s="2"/>
      <c r="BF327" s="2"/>
      <c r="BG327" s="2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</row>
    <row r="328" ht="14.25" customHeight="1">
      <c r="AA328" s="2"/>
      <c r="AF328" s="2"/>
      <c r="AG328" s="2"/>
      <c r="AH328" s="2"/>
      <c r="AI328" s="2"/>
      <c r="AJ328" s="2"/>
      <c r="AK328" s="2"/>
      <c r="AL328" s="2"/>
      <c r="AM328" s="2"/>
      <c r="AT328" s="2"/>
      <c r="AU328" s="2"/>
      <c r="AV328" s="2"/>
      <c r="AW328" s="2"/>
      <c r="AX328" s="2"/>
      <c r="AY328" s="2"/>
      <c r="AZ328" s="2"/>
      <c r="BA328" s="2"/>
      <c r="BC328" s="2"/>
      <c r="BD328" s="2"/>
      <c r="BE328" s="2"/>
      <c r="BF328" s="2"/>
      <c r="BG328" s="2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</row>
    <row r="329" ht="14.25" customHeight="1">
      <c r="AA329" s="2"/>
      <c r="AF329" s="2"/>
      <c r="AG329" s="2"/>
      <c r="AH329" s="2"/>
      <c r="AI329" s="2"/>
      <c r="AJ329" s="2"/>
      <c r="AK329" s="2"/>
      <c r="AL329" s="2"/>
      <c r="AM329" s="2"/>
      <c r="AT329" s="2"/>
      <c r="AU329" s="2"/>
      <c r="AV329" s="2"/>
      <c r="AW329" s="2"/>
      <c r="AX329" s="2"/>
      <c r="AY329" s="2"/>
      <c r="AZ329" s="2"/>
      <c r="BA329" s="2"/>
      <c r="BC329" s="2"/>
      <c r="BD329" s="2"/>
      <c r="BE329" s="2"/>
      <c r="BF329" s="2"/>
      <c r="BG329" s="2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</row>
    <row r="330" ht="14.25" customHeight="1">
      <c r="AA330" s="2"/>
      <c r="AF330" s="2"/>
      <c r="AG330" s="2"/>
      <c r="AH330" s="2"/>
      <c r="AI330" s="2"/>
      <c r="AJ330" s="2"/>
      <c r="AK330" s="2"/>
      <c r="AL330" s="2"/>
      <c r="AM330" s="2"/>
      <c r="AT330" s="2"/>
      <c r="AU330" s="2"/>
      <c r="AV330" s="2"/>
      <c r="AW330" s="2"/>
      <c r="AX330" s="2"/>
      <c r="AY330" s="2"/>
      <c r="AZ330" s="2"/>
      <c r="BA330" s="2"/>
      <c r="BC330" s="2"/>
      <c r="BD330" s="2"/>
      <c r="BE330" s="2"/>
      <c r="BF330" s="2"/>
      <c r="BG330" s="2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</row>
    <row r="331" ht="14.25" customHeight="1">
      <c r="AA331" s="2"/>
      <c r="AF331" s="2"/>
      <c r="AG331" s="2"/>
      <c r="AH331" s="2"/>
      <c r="AI331" s="2"/>
      <c r="AJ331" s="2"/>
      <c r="AK331" s="2"/>
      <c r="AL331" s="2"/>
      <c r="AM331" s="2"/>
      <c r="AT331" s="2"/>
      <c r="AU331" s="2"/>
      <c r="AV331" s="2"/>
      <c r="AW331" s="2"/>
      <c r="AX331" s="2"/>
      <c r="AY331" s="2"/>
      <c r="AZ331" s="2"/>
      <c r="BA331" s="2"/>
      <c r="BC331" s="2"/>
      <c r="BD331" s="2"/>
      <c r="BE331" s="2"/>
      <c r="BF331" s="2"/>
      <c r="BG331" s="2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</row>
    <row r="332" ht="14.25" customHeight="1">
      <c r="AA332" s="2"/>
      <c r="AF332" s="2"/>
      <c r="AG332" s="2"/>
      <c r="AH332" s="2"/>
      <c r="AI332" s="2"/>
      <c r="AJ332" s="2"/>
      <c r="AK332" s="2"/>
      <c r="AL332" s="2"/>
      <c r="AM332" s="2"/>
      <c r="AT332" s="2"/>
      <c r="AU332" s="2"/>
      <c r="AV332" s="2"/>
      <c r="AW332" s="2"/>
      <c r="AX332" s="2"/>
      <c r="AY332" s="2"/>
      <c r="AZ332" s="2"/>
      <c r="BA332" s="2"/>
      <c r="BC332" s="2"/>
      <c r="BD332" s="2"/>
      <c r="BE332" s="2"/>
      <c r="BF332" s="2"/>
      <c r="BG332" s="2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</row>
    <row r="333" ht="14.25" customHeight="1">
      <c r="AA333" s="2"/>
      <c r="AF333" s="2"/>
      <c r="AG333" s="2"/>
      <c r="AH333" s="2"/>
      <c r="AI333" s="2"/>
      <c r="AJ333" s="2"/>
      <c r="AK333" s="2"/>
      <c r="AL333" s="2"/>
      <c r="AM333" s="2"/>
      <c r="AT333" s="2"/>
      <c r="AU333" s="2"/>
      <c r="AV333" s="2"/>
      <c r="AW333" s="2"/>
      <c r="AX333" s="2"/>
      <c r="AY333" s="2"/>
      <c r="AZ333" s="2"/>
      <c r="BA333" s="2"/>
      <c r="BC333" s="2"/>
      <c r="BD333" s="2"/>
      <c r="BE333" s="2"/>
      <c r="BF333" s="2"/>
      <c r="BG333" s="2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</row>
    <row r="334" ht="14.25" customHeight="1">
      <c r="AA334" s="2"/>
      <c r="AF334" s="2"/>
      <c r="AG334" s="2"/>
      <c r="AH334" s="2"/>
      <c r="AI334" s="2"/>
      <c r="AJ334" s="2"/>
      <c r="AK334" s="2"/>
      <c r="AL334" s="2"/>
      <c r="AM334" s="2"/>
      <c r="AT334" s="2"/>
      <c r="AU334" s="2"/>
      <c r="AV334" s="2"/>
      <c r="AW334" s="2"/>
      <c r="AX334" s="2"/>
      <c r="AY334" s="2"/>
      <c r="AZ334" s="2"/>
      <c r="BA334" s="2"/>
      <c r="BC334" s="2"/>
      <c r="BD334" s="2"/>
      <c r="BE334" s="2"/>
      <c r="BF334" s="2"/>
      <c r="BG334" s="2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</row>
    <row r="335" ht="14.25" customHeight="1">
      <c r="AA335" s="2"/>
      <c r="AF335" s="2"/>
      <c r="AG335" s="2"/>
      <c r="AH335" s="2"/>
      <c r="AI335" s="2"/>
      <c r="AJ335" s="2"/>
      <c r="AK335" s="2"/>
      <c r="AL335" s="2"/>
      <c r="AM335" s="2"/>
      <c r="AT335" s="2"/>
      <c r="AU335" s="2"/>
      <c r="AV335" s="2"/>
      <c r="AW335" s="2"/>
      <c r="AX335" s="2"/>
      <c r="AY335" s="2"/>
      <c r="AZ335" s="2"/>
      <c r="BA335" s="2"/>
      <c r="BC335" s="2"/>
      <c r="BD335" s="2"/>
      <c r="BE335" s="2"/>
      <c r="BF335" s="2"/>
      <c r="BG335" s="2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</row>
    <row r="336" ht="14.25" customHeight="1">
      <c r="AA336" s="2"/>
      <c r="AF336" s="2"/>
      <c r="AG336" s="2"/>
      <c r="AH336" s="2"/>
      <c r="AI336" s="2"/>
      <c r="AJ336" s="2"/>
      <c r="AK336" s="2"/>
      <c r="AL336" s="2"/>
      <c r="AM336" s="2"/>
      <c r="AT336" s="2"/>
      <c r="AU336" s="2"/>
      <c r="AV336" s="2"/>
      <c r="AW336" s="2"/>
      <c r="AX336" s="2"/>
      <c r="AY336" s="2"/>
      <c r="AZ336" s="2"/>
      <c r="BA336" s="2"/>
      <c r="BC336" s="2"/>
      <c r="BD336" s="2"/>
      <c r="BE336" s="2"/>
      <c r="BF336" s="2"/>
      <c r="BG336" s="2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</row>
    <row r="337" ht="14.25" customHeight="1">
      <c r="AA337" s="2"/>
      <c r="AF337" s="2"/>
      <c r="AG337" s="2"/>
      <c r="AH337" s="2"/>
      <c r="AI337" s="2"/>
      <c r="AJ337" s="2"/>
      <c r="AK337" s="2"/>
      <c r="AL337" s="2"/>
      <c r="AM337" s="2"/>
      <c r="AT337" s="2"/>
      <c r="AU337" s="2"/>
      <c r="AV337" s="2"/>
      <c r="AW337" s="2"/>
      <c r="AX337" s="2"/>
      <c r="AY337" s="2"/>
      <c r="AZ337" s="2"/>
      <c r="BA337" s="2"/>
      <c r="BC337" s="2"/>
      <c r="BD337" s="2"/>
      <c r="BE337" s="2"/>
      <c r="BF337" s="2"/>
      <c r="BG337" s="2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</row>
    <row r="338" ht="14.25" customHeight="1">
      <c r="AA338" s="2"/>
      <c r="AF338" s="2"/>
      <c r="AG338" s="2"/>
      <c r="AH338" s="2"/>
      <c r="AI338" s="2"/>
      <c r="AJ338" s="2"/>
      <c r="AK338" s="2"/>
      <c r="AL338" s="2"/>
      <c r="AM338" s="2"/>
      <c r="AT338" s="2"/>
      <c r="AU338" s="2"/>
      <c r="AV338" s="2"/>
      <c r="AW338" s="2"/>
      <c r="AX338" s="2"/>
      <c r="AY338" s="2"/>
      <c r="AZ338" s="2"/>
      <c r="BA338" s="2"/>
      <c r="BC338" s="2"/>
      <c r="BD338" s="2"/>
      <c r="BE338" s="2"/>
      <c r="BF338" s="2"/>
      <c r="BG338" s="2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</row>
    <row r="339" ht="14.25" customHeight="1">
      <c r="AA339" s="2"/>
      <c r="AF339" s="2"/>
      <c r="AG339" s="2"/>
      <c r="AH339" s="2"/>
      <c r="AI339" s="2"/>
      <c r="AJ339" s="2"/>
      <c r="AK339" s="2"/>
      <c r="AL339" s="2"/>
      <c r="AM339" s="2"/>
      <c r="AT339" s="2"/>
      <c r="AU339" s="2"/>
      <c r="AV339" s="2"/>
      <c r="AW339" s="2"/>
      <c r="AX339" s="2"/>
      <c r="AY339" s="2"/>
      <c r="AZ339" s="2"/>
      <c r="BA339" s="2"/>
      <c r="BC339" s="2"/>
      <c r="BD339" s="2"/>
      <c r="BE339" s="2"/>
      <c r="BF339" s="2"/>
      <c r="BG339" s="2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</row>
    <row r="340" ht="14.25" customHeight="1">
      <c r="AA340" s="2"/>
      <c r="AF340" s="2"/>
      <c r="AG340" s="2"/>
      <c r="AH340" s="2"/>
      <c r="AI340" s="2"/>
      <c r="AJ340" s="2"/>
      <c r="AK340" s="2"/>
      <c r="AL340" s="2"/>
      <c r="AM340" s="2"/>
      <c r="AT340" s="2"/>
      <c r="AU340" s="2"/>
      <c r="AV340" s="2"/>
      <c r="AW340" s="2"/>
      <c r="AX340" s="2"/>
      <c r="AY340" s="2"/>
      <c r="AZ340" s="2"/>
      <c r="BA340" s="2"/>
      <c r="BC340" s="2"/>
      <c r="BD340" s="2"/>
      <c r="BE340" s="2"/>
      <c r="BF340" s="2"/>
      <c r="BG340" s="2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</row>
    <row r="341" ht="14.25" customHeight="1">
      <c r="AA341" s="2"/>
      <c r="AF341" s="2"/>
      <c r="AG341" s="2"/>
      <c r="AH341" s="2"/>
      <c r="AI341" s="2"/>
      <c r="AJ341" s="2"/>
      <c r="AK341" s="2"/>
      <c r="AL341" s="2"/>
      <c r="AM341" s="2"/>
      <c r="AT341" s="2"/>
      <c r="AU341" s="2"/>
      <c r="AV341" s="2"/>
      <c r="AW341" s="2"/>
      <c r="AX341" s="2"/>
      <c r="AY341" s="2"/>
      <c r="AZ341" s="2"/>
      <c r="BA341" s="2"/>
      <c r="BC341" s="2"/>
      <c r="BD341" s="2"/>
      <c r="BE341" s="2"/>
      <c r="BF341" s="2"/>
      <c r="BG341" s="2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</row>
    <row r="342" ht="14.25" customHeight="1">
      <c r="AA342" s="2"/>
      <c r="AF342" s="2"/>
      <c r="AG342" s="2"/>
      <c r="AH342" s="2"/>
      <c r="AI342" s="2"/>
      <c r="AJ342" s="2"/>
      <c r="AK342" s="2"/>
      <c r="AL342" s="2"/>
      <c r="AM342" s="2"/>
      <c r="AT342" s="2"/>
      <c r="AU342" s="2"/>
      <c r="AV342" s="2"/>
      <c r="AW342" s="2"/>
      <c r="AX342" s="2"/>
      <c r="AY342" s="2"/>
      <c r="AZ342" s="2"/>
      <c r="BA342" s="2"/>
      <c r="BC342" s="2"/>
      <c r="BD342" s="2"/>
      <c r="BE342" s="2"/>
      <c r="BF342" s="2"/>
      <c r="BG342" s="2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</row>
    <row r="343" ht="14.25" customHeight="1">
      <c r="AA343" s="2"/>
      <c r="AF343" s="2"/>
      <c r="AG343" s="2"/>
      <c r="AH343" s="2"/>
      <c r="AI343" s="2"/>
      <c r="AJ343" s="2"/>
      <c r="AK343" s="2"/>
      <c r="AL343" s="2"/>
      <c r="AM343" s="2"/>
      <c r="AT343" s="2"/>
      <c r="AU343" s="2"/>
      <c r="AV343" s="2"/>
      <c r="AW343" s="2"/>
      <c r="AX343" s="2"/>
      <c r="AY343" s="2"/>
      <c r="AZ343" s="2"/>
      <c r="BA343" s="2"/>
      <c r="BC343" s="2"/>
      <c r="BD343" s="2"/>
      <c r="BE343" s="2"/>
      <c r="BF343" s="2"/>
      <c r="BG343" s="2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</row>
    <row r="344" ht="14.25" customHeight="1">
      <c r="AA344" s="2"/>
      <c r="AF344" s="2"/>
      <c r="AG344" s="2"/>
      <c r="AH344" s="2"/>
      <c r="AI344" s="2"/>
      <c r="AJ344" s="2"/>
      <c r="AK344" s="2"/>
      <c r="AL344" s="2"/>
      <c r="AM344" s="2"/>
      <c r="AT344" s="2"/>
      <c r="AU344" s="2"/>
      <c r="AV344" s="2"/>
      <c r="AW344" s="2"/>
      <c r="AX344" s="2"/>
      <c r="AY344" s="2"/>
      <c r="AZ344" s="2"/>
      <c r="BA344" s="2"/>
      <c r="BC344" s="2"/>
      <c r="BD344" s="2"/>
      <c r="BE344" s="2"/>
      <c r="BF344" s="2"/>
      <c r="BG344" s="2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</row>
    <row r="345" ht="14.25" customHeight="1">
      <c r="AA345" s="2"/>
      <c r="AF345" s="2"/>
      <c r="AG345" s="2"/>
      <c r="AH345" s="2"/>
      <c r="AI345" s="2"/>
      <c r="AJ345" s="2"/>
      <c r="AK345" s="2"/>
      <c r="AL345" s="2"/>
      <c r="AM345" s="2"/>
      <c r="AT345" s="2"/>
      <c r="AU345" s="2"/>
      <c r="AV345" s="2"/>
      <c r="AW345" s="2"/>
      <c r="AX345" s="2"/>
      <c r="AY345" s="2"/>
      <c r="AZ345" s="2"/>
      <c r="BA345" s="2"/>
      <c r="BC345" s="2"/>
      <c r="BD345" s="2"/>
      <c r="BE345" s="2"/>
      <c r="BF345" s="2"/>
      <c r="BG345" s="2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</row>
    <row r="346" ht="14.25" customHeight="1">
      <c r="AA346" s="2"/>
      <c r="AF346" s="2"/>
      <c r="AG346" s="2"/>
      <c r="AH346" s="2"/>
      <c r="AI346" s="2"/>
      <c r="AJ346" s="2"/>
      <c r="AK346" s="2"/>
      <c r="AL346" s="2"/>
      <c r="AM346" s="2"/>
      <c r="AT346" s="2"/>
      <c r="AU346" s="2"/>
      <c r="AV346" s="2"/>
      <c r="AW346" s="2"/>
      <c r="AX346" s="2"/>
      <c r="AY346" s="2"/>
      <c r="AZ346" s="2"/>
      <c r="BA346" s="2"/>
      <c r="BC346" s="2"/>
      <c r="BD346" s="2"/>
      <c r="BE346" s="2"/>
      <c r="BF346" s="2"/>
      <c r="BG346" s="2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</row>
    <row r="347" ht="14.25" customHeight="1">
      <c r="AA347" s="2"/>
      <c r="AF347" s="2"/>
      <c r="AG347" s="2"/>
      <c r="AH347" s="2"/>
      <c r="AI347" s="2"/>
      <c r="AJ347" s="2"/>
      <c r="AK347" s="2"/>
      <c r="AL347" s="2"/>
      <c r="AM347" s="2"/>
      <c r="AT347" s="2"/>
      <c r="AU347" s="2"/>
      <c r="AV347" s="2"/>
      <c r="AW347" s="2"/>
      <c r="AX347" s="2"/>
      <c r="AY347" s="2"/>
      <c r="AZ347" s="2"/>
      <c r="BA347" s="2"/>
      <c r="BC347" s="2"/>
      <c r="BD347" s="2"/>
      <c r="BE347" s="2"/>
      <c r="BF347" s="2"/>
      <c r="BG347" s="2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</row>
    <row r="348" ht="14.25" customHeight="1">
      <c r="AA348" s="2"/>
      <c r="AF348" s="2"/>
      <c r="AG348" s="2"/>
      <c r="AH348" s="2"/>
      <c r="AI348" s="2"/>
      <c r="AJ348" s="2"/>
      <c r="AK348" s="2"/>
      <c r="AL348" s="2"/>
      <c r="AM348" s="2"/>
      <c r="AT348" s="2"/>
      <c r="AU348" s="2"/>
      <c r="AV348" s="2"/>
      <c r="AW348" s="2"/>
      <c r="AX348" s="2"/>
      <c r="AY348" s="2"/>
      <c r="AZ348" s="2"/>
      <c r="BA348" s="2"/>
      <c r="BC348" s="2"/>
      <c r="BD348" s="2"/>
      <c r="BE348" s="2"/>
      <c r="BF348" s="2"/>
      <c r="BG348" s="2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</row>
    <row r="349" ht="14.25" customHeight="1">
      <c r="AA349" s="2"/>
      <c r="AF349" s="2"/>
      <c r="AG349" s="2"/>
      <c r="AH349" s="2"/>
      <c r="AI349" s="2"/>
      <c r="AJ349" s="2"/>
      <c r="AK349" s="2"/>
      <c r="AL349" s="2"/>
      <c r="AM349" s="2"/>
      <c r="AT349" s="2"/>
      <c r="AU349" s="2"/>
      <c r="AV349" s="2"/>
      <c r="AW349" s="2"/>
      <c r="AX349" s="2"/>
      <c r="AY349" s="2"/>
      <c r="AZ349" s="2"/>
      <c r="BA349" s="2"/>
      <c r="BC349" s="2"/>
      <c r="BD349" s="2"/>
      <c r="BE349" s="2"/>
      <c r="BF349" s="2"/>
      <c r="BG349" s="2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</row>
    <row r="350" ht="14.25" customHeight="1">
      <c r="AA350" s="2"/>
      <c r="AF350" s="2"/>
      <c r="AG350" s="2"/>
      <c r="AH350" s="2"/>
      <c r="AI350" s="2"/>
      <c r="AJ350" s="2"/>
      <c r="AK350" s="2"/>
      <c r="AL350" s="2"/>
      <c r="AM350" s="2"/>
      <c r="AT350" s="2"/>
      <c r="AU350" s="2"/>
      <c r="AV350" s="2"/>
      <c r="AW350" s="2"/>
      <c r="AX350" s="2"/>
      <c r="AY350" s="2"/>
      <c r="AZ350" s="2"/>
      <c r="BA350" s="2"/>
      <c r="BC350" s="2"/>
      <c r="BD350" s="2"/>
      <c r="BE350" s="2"/>
      <c r="BF350" s="2"/>
      <c r="BG350" s="2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</row>
    <row r="351" ht="14.25" customHeight="1">
      <c r="AA351" s="2"/>
      <c r="AF351" s="2"/>
      <c r="AG351" s="2"/>
      <c r="AH351" s="2"/>
      <c r="AI351" s="2"/>
      <c r="AJ351" s="2"/>
      <c r="AK351" s="2"/>
      <c r="AL351" s="2"/>
      <c r="AM351" s="2"/>
      <c r="AT351" s="2"/>
      <c r="AU351" s="2"/>
      <c r="AV351" s="2"/>
      <c r="AW351" s="2"/>
      <c r="AX351" s="2"/>
      <c r="AY351" s="2"/>
      <c r="AZ351" s="2"/>
      <c r="BA351" s="2"/>
      <c r="BC351" s="2"/>
      <c r="BD351" s="2"/>
      <c r="BE351" s="2"/>
      <c r="BF351" s="2"/>
      <c r="BG351" s="2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</row>
    <row r="352" ht="14.25" customHeight="1">
      <c r="AA352" s="2"/>
      <c r="AF352" s="2"/>
      <c r="AG352" s="2"/>
      <c r="AH352" s="2"/>
      <c r="AI352" s="2"/>
      <c r="AJ352" s="2"/>
      <c r="AK352" s="2"/>
      <c r="AL352" s="2"/>
      <c r="AM352" s="2"/>
      <c r="AT352" s="2"/>
      <c r="AU352" s="2"/>
      <c r="AV352" s="2"/>
      <c r="AW352" s="2"/>
      <c r="AX352" s="2"/>
      <c r="AY352" s="2"/>
      <c r="AZ352" s="2"/>
      <c r="BA352" s="2"/>
      <c r="BC352" s="2"/>
      <c r="BD352" s="2"/>
      <c r="BE352" s="2"/>
      <c r="BF352" s="2"/>
      <c r="BG352" s="2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</row>
    <row r="353" ht="14.25" customHeight="1">
      <c r="AA353" s="2"/>
      <c r="AF353" s="2"/>
      <c r="AG353" s="2"/>
      <c r="AH353" s="2"/>
      <c r="AI353" s="2"/>
      <c r="AJ353" s="2"/>
      <c r="AK353" s="2"/>
      <c r="AL353" s="2"/>
      <c r="AM353" s="2"/>
      <c r="AT353" s="2"/>
      <c r="AU353" s="2"/>
      <c r="AV353" s="2"/>
      <c r="AW353" s="2"/>
      <c r="AX353" s="2"/>
      <c r="AY353" s="2"/>
      <c r="AZ353" s="2"/>
      <c r="BA353" s="2"/>
      <c r="BC353" s="2"/>
      <c r="BD353" s="2"/>
      <c r="BE353" s="2"/>
      <c r="BF353" s="2"/>
      <c r="BG353" s="2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</row>
    <row r="354" ht="14.25" customHeight="1">
      <c r="AA354" s="2"/>
      <c r="AF354" s="2"/>
      <c r="AG354" s="2"/>
      <c r="AH354" s="2"/>
      <c r="AI354" s="2"/>
      <c r="AJ354" s="2"/>
      <c r="AK354" s="2"/>
      <c r="AL354" s="2"/>
      <c r="AM354" s="2"/>
      <c r="AT354" s="2"/>
      <c r="AU354" s="2"/>
      <c r="AV354" s="2"/>
      <c r="AW354" s="2"/>
      <c r="AX354" s="2"/>
      <c r="AY354" s="2"/>
      <c r="AZ354" s="2"/>
      <c r="BA354" s="2"/>
      <c r="BC354" s="2"/>
      <c r="BD354" s="2"/>
      <c r="BE354" s="2"/>
      <c r="BF354" s="2"/>
      <c r="BG354" s="2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</row>
    <row r="355" ht="14.25" customHeight="1">
      <c r="AA355" s="2"/>
      <c r="AF355" s="2"/>
      <c r="AG355" s="2"/>
      <c r="AH355" s="2"/>
      <c r="AI355" s="2"/>
      <c r="AJ355" s="2"/>
      <c r="AK355" s="2"/>
      <c r="AL355" s="2"/>
      <c r="AM355" s="2"/>
      <c r="AT355" s="2"/>
      <c r="AU355" s="2"/>
      <c r="AV355" s="2"/>
      <c r="AW355" s="2"/>
      <c r="AX355" s="2"/>
      <c r="AY355" s="2"/>
      <c r="AZ355" s="2"/>
      <c r="BA355" s="2"/>
      <c r="BC355" s="2"/>
      <c r="BD355" s="2"/>
      <c r="BE355" s="2"/>
      <c r="BF355" s="2"/>
      <c r="BG355" s="2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</row>
    <row r="356" ht="14.25" customHeight="1">
      <c r="AA356" s="2"/>
      <c r="AF356" s="2"/>
      <c r="AG356" s="2"/>
      <c r="AH356" s="2"/>
      <c r="AI356" s="2"/>
      <c r="AJ356" s="2"/>
      <c r="AK356" s="2"/>
      <c r="AL356" s="2"/>
      <c r="AM356" s="2"/>
      <c r="AT356" s="2"/>
      <c r="AU356" s="2"/>
      <c r="AV356" s="2"/>
      <c r="AW356" s="2"/>
      <c r="AX356" s="2"/>
      <c r="AY356" s="2"/>
      <c r="AZ356" s="2"/>
      <c r="BA356" s="2"/>
      <c r="BC356" s="2"/>
      <c r="BD356" s="2"/>
      <c r="BE356" s="2"/>
      <c r="BF356" s="2"/>
      <c r="BG356" s="2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</row>
    <row r="357" ht="14.25" customHeight="1">
      <c r="AA357" s="2"/>
      <c r="AF357" s="2"/>
      <c r="AG357" s="2"/>
      <c r="AH357" s="2"/>
      <c r="AI357" s="2"/>
      <c r="AJ357" s="2"/>
      <c r="AK357" s="2"/>
      <c r="AL357" s="2"/>
      <c r="AM357" s="2"/>
      <c r="AT357" s="2"/>
      <c r="AU357" s="2"/>
      <c r="AV357" s="2"/>
      <c r="AW357" s="2"/>
      <c r="AX357" s="2"/>
      <c r="AY357" s="2"/>
      <c r="AZ357" s="2"/>
      <c r="BA357" s="2"/>
      <c r="BC357" s="2"/>
      <c r="BD357" s="2"/>
      <c r="BE357" s="2"/>
      <c r="BF357" s="2"/>
      <c r="BG357" s="2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</row>
    <row r="358" ht="14.25" customHeight="1">
      <c r="AA358" s="2"/>
      <c r="AF358" s="2"/>
      <c r="AG358" s="2"/>
      <c r="AH358" s="2"/>
      <c r="AI358" s="2"/>
      <c r="AJ358" s="2"/>
      <c r="AK358" s="2"/>
      <c r="AL358" s="2"/>
      <c r="AM358" s="2"/>
      <c r="AT358" s="2"/>
      <c r="AU358" s="2"/>
      <c r="AV358" s="2"/>
      <c r="AW358" s="2"/>
      <c r="AX358" s="2"/>
      <c r="AY358" s="2"/>
      <c r="AZ358" s="2"/>
      <c r="BA358" s="2"/>
      <c r="BC358" s="2"/>
      <c r="BD358" s="2"/>
      <c r="BE358" s="2"/>
      <c r="BF358" s="2"/>
      <c r="BG358" s="2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</row>
    <row r="359" ht="14.25" customHeight="1">
      <c r="AA359" s="2"/>
      <c r="AF359" s="2"/>
      <c r="AG359" s="2"/>
      <c r="AH359" s="2"/>
      <c r="AI359" s="2"/>
      <c r="AJ359" s="2"/>
      <c r="AK359" s="2"/>
      <c r="AL359" s="2"/>
      <c r="AM359" s="2"/>
      <c r="AT359" s="2"/>
      <c r="AU359" s="2"/>
      <c r="AV359" s="2"/>
      <c r="AW359" s="2"/>
      <c r="AX359" s="2"/>
      <c r="AY359" s="2"/>
      <c r="AZ359" s="2"/>
      <c r="BA359" s="2"/>
      <c r="BC359" s="2"/>
      <c r="BD359" s="2"/>
      <c r="BE359" s="2"/>
      <c r="BF359" s="2"/>
      <c r="BG359" s="2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</row>
    <row r="360" ht="14.25" customHeight="1">
      <c r="AA360" s="2"/>
      <c r="AF360" s="2"/>
      <c r="AG360" s="2"/>
      <c r="AH360" s="2"/>
      <c r="AI360" s="2"/>
      <c r="AJ360" s="2"/>
      <c r="AK360" s="2"/>
      <c r="AL360" s="2"/>
      <c r="AM360" s="2"/>
      <c r="AT360" s="2"/>
      <c r="AU360" s="2"/>
      <c r="AV360" s="2"/>
      <c r="AW360" s="2"/>
      <c r="AX360" s="2"/>
      <c r="AY360" s="2"/>
      <c r="AZ360" s="2"/>
      <c r="BA360" s="2"/>
      <c r="BC360" s="2"/>
      <c r="BD360" s="2"/>
      <c r="BE360" s="2"/>
      <c r="BF360" s="2"/>
      <c r="BG360" s="2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</row>
    <row r="361" ht="14.25" customHeight="1">
      <c r="AA361" s="2"/>
      <c r="AF361" s="2"/>
      <c r="AG361" s="2"/>
      <c r="AH361" s="2"/>
      <c r="AI361" s="2"/>
      <c r="AJ361" s="2"/>
      <c r="AK361" s="2"/>
      <c r="AL361" s="2"/>
      <c r="AM361" s="2"/>
      <c r="AT361" s="2"/>
      <c r="AU361" s="2"/>
      <c r="AV361" s="2"/>
      <c r="AW361" s="2"/>
      <c r="AX361" s="2"/>
      <c r="AY361" s="2"/>
      <c r="AZ361" s="2"/>
      <c r="BA361" s="2"/>
      <c r="BC361" s="2"/>
      <c r="BD361" s="2"/>
      <c r="BE361" s="2"/>
      <c r="BF361" s="2"/>
      <c r="BG361" s="2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</row>
    <row r="362" ht="14.25" customHeight="1">
      <c r="AA362" s="2"/>
      <c r="AF362" s="2"/>
      <c r="AG362" s="2"/>
      <c r="AH362" s="2"/>
      <c r="AI362" s="2"/>
      <c r="AJ362" s="2"/>
      <c r="AK362" s="2"/>
      <c r="AL362" s="2"/>
      <c r="AM362" s="2"/>
      <c r="AT362" s="2"/>
      <c r="AU362" s="2"/>
      <c r="AV362" s="2"/>
      <c r="AW362" s="2"/>
      <c r="AX362" s="2"/>
      <c r="AY362" s="2"/>
      <c r="AZ362" s="2"/>
      <c r="BA362" s="2"/>
      <c r="BC362" s="2"/>
      <c r="BD362" s="2"/>
      <c r="BE362" s="2"/>
      <c r="BF362" s="2"/>
      <c r="BG362" s="2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</row>
    <row r="363" ht="14.25" customHeight="1">
      <c r="AA363" s="2"/>
      <c r="AF363" s="2"/>
      <c r="AG363" s="2"/>
      <c r="AH363" s="2"/>
      <c r="AI363" s="2"/>
      <c r="AJ363" s="2"/>
      <c r="AK363" s="2"/>
      <c r="AL363" s="2"/>
      <c r="AM363" s="2"/>
      <c r="AT363" s="2"/>
      <c r="AU363" s="2"/>
      <c r="AV363" s="2"/>
      <c r="AW363" s="2"/>
      <c r="AX363" s="2"/>
      <c r="AY363" s="2"/>
      <c r="AZ363" s="2"/>
      <c r="BA363" s="2"/>
      <c r="BC363" s="2"/>
      <c r="BD363" s="2"/>
      <c r="BE363" s="2"/>
      <c r="BF363" s="2"/>
      <c r="BG363" s="2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</row>
    <row r="364" ht="14.25" customHeight="1">
      <c r="AA364" s="2"/>
      <c r="AF364" s="2"/>
      <c r="AG364" s="2"/>
      <c r="AH364" s="2"/>
      <c r="AI364" s="2"/>
      <c r="AJ364" s="2"/>
      <c r="AK364" s="2"/>
      <c r="AL364" s="2"/>
      <c r="AM364" s="2"/>
      <c r="AT364" s="2"/>
      <c r="AU364" s="2"/>
      <c r="AV364" s="2"/>
      <c r="AW364" s="2"/>
      <c r="AX364" s="2"/>
      <c r="AY364" s="2"/>
      <c r="AZ364" s="2"/>
      <c r="BA364" s="2"/>
      <c r="BC364" s="2"/>
      <c r="BD364" s="2"/>
      <c r="BE364" s="2"/>
      <c r="BF364" s="2"/>
      <c r="BG364" s="2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</row>
    <row r="365" ht="14.25" customHeight="1">
      <c r="AA365" s="2"/>
      <c r="AF365" s="2"/>
      <c r="AG365" s="2"/>
      <c r="AH365" s="2"/>
      <c r="AI365" s="2"/>
      <c r="AJ365" s="2"/>
      <c r="AK365" s="2"/>
      <c r="AL365" s="2"/>
      <c r="AM365" s="2"/>
      <c r="AT365" s="2"/>
      <c r="AU365" s="2"/>
      <c r="AV365" s="2"/>
      <c r="AW365" s="2"/>
      <c r="AX365" s="2"/>
      <c r="AY365" s="2"/>
      <c r="AZ365" s="2"/>
      <c r="BA365" s="2"/>
      <c r="BC365" s="2"/>
      <c r="BD365" s="2"/>
      <c r="BE365" s="2"/>
      <c r="BF365" s="2"/>
      <c r="BG365" s="2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</row>
    <row r="366" ht="14.25" customHeight="1">
      <c r="AA366" s="2"/>
      <c r="AF366" s="2"/>
      <c r="AG366" s="2"/>
      <c r="AH366" s="2"/>
      <c r="AI366" s="2"/>
      <c r="AJ366" s="2"/>
      <c r="AK366" s="2"/>
      <c r="AL366" s="2"/>
      <c r="AM366" s="2"/>
      <c r="AT366" s="2"/>
      <c r="AU366" s="2"/>
      <c r="AV366" s="2"/>
      <c r="AW366" s="2"/>
      <c r="AX366" s="2"/>
      <c r="AY366" s="2"/>
      <c r="AZ366" s="2"/>
      <c r="BA366" s="2"/>
      <c r="BC366" s="2"/>
      <c r="BD366" s="2"/>
      <c r="BE366" s="2"/>
      <c r="BF366" s="2"/>
      <c r="BG366" s="2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</row>
    <row r="367" ht="14.25" customHeight="1">
      <c r="AA367" s="2"/>
      <c r="AF367" s="2"/>
      <c r="AG367" s="2"/>
      <c r="AH367" s="2"/>
      <c r="AI367" s="2"/>
      <c r="AJ367" s="2"/>
      <c r="AK367" s="2"/>
      <c r="AL367" s="2"/>
      <c r="AM367" s="2"/>
      <c r="AT367" s="2"/>
      <c r="AU367" s="2"/>
      <c r="AV367" s="2"/>
      <c r="AW367" s="2"/>
      <c r="AX367" s="2"/>
      <c r="AY367" s="2"/>
      <c r="AZ367" s="2"/>
      <c r="BA367" s="2"/>
      <c r="BC367" s="2"/>
      <c r="BD367" s="2"/>
      <c r="BE367" s="2"/>
      <c r="BF367" s="2"/>
      <c r="BG367" s="2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</row>
    <row r="368" ht="14.25" customHeight="1">
      <c r="AA368" s="2"/>
      <c r="AF368" s="2"/>
      <c r="AG368" s="2"/>
      <c r="AH368" s="2"/>
      <c r="AI368" s="2"/>
      <c r="AJ368" s="2"/>
      <c r="AK368" s="2"/>
      <c r="AL368" s="2"/>
      <c r="AM368" s="2"/>
      <c r="AT368" s="2"/>
      <c r="AU368" s="2"/>
      <c r="AV368" s="2"/>
      <c r="AW368" s="2"/>
      <c r="AX368" s="2"/>
      <c r="AY368" s="2"/>
      <c r="AZ368" s="2"/>
      <c r="BA368" s="2"/>
      <c r="BC368" s="2"/>
      <c r="BD368" s="2"/>
      <c r="BE368" s="2"/>
      <c r="BF368" s="2"/>
      <c r="BG368" s="2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</row>
    <row r="369" ht="14.25" customHeight="1">
      <c r="AA369" s="2"/>
      <c r="AF369" s="2"/>
      <c r="AG369" s="2"/>
      <c r="AH369" s="2"/>
      <c r="AI369" s="2"/>
      <c r="AJ369" s="2"/>
      <c r="AK369" s="2"/>
      <c r="AL369" s="2"/>
      <c r="AM369" s="2"/>
      <c r="AT369" s="2"/>
      <c r="AU369" s="2"/>
      <c r="AV369" s="2"/>
      <c r="AW369" s="2"/>
      <c r="AX369" s="2"/>
      <c r="AY369" s="2"/>
      <c r="AZ369" s="2"/>
      <c r="BA369" s="2"/>
      <c r="BC369" s="2"/>
      <c r="BD369" s="2"/>
      <c r="BE369" s="2"/>
      <c r="BF369" s="2"/>
      <c r="BG369" s="2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</row>
    <row r="370" ht="14.25" customHeight="1">
      <c r="AA370" s="2"/>
      <c r="AF370" s="2"/>
      <c r="AG370" s="2"/>
      <c r="AH370" s="2"/>
      <c r="AI370" s="2"/>
      <c r="AJ370" s="2"/>
      <c r="AK370" s="2"/>
      <c r="AL370" s="2"/>
      <c r="AM370" s="2"/>
      <c r="AT370" s="2"/>
      <c r="AU370" s="2"/>
      <c r="AV370" s="2"/>
      <c r="AW370" s="2"/>
      <c r="AX370" s="2"/>
      <c r="AY370" s="2"/>
      <c r="AZ370" s="2"/>
      <c r="BA370" s="2"/>
      <c r="BC370" s="2"/>
      <c r="BD370" s="2"/>
      <c r="BE370" s="2"/>
      <c r="BF370" s="2"/>
      <c r="BG370" s="2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</row>
    <row r="371" ht="14.25" customHeight="1">
      <c r="AA371" s="2"/>
      <c r="AF371" s="2"/>
      <c r="AG371" s="2"/>
      <c r="AH371" s="2"/>
      <c r="AI371" s="2"/>
      <c r="AJ371" s="2"/>
      <c r="AK371" s="2"/>
      <c r="AL371" s="2"/>
      <c r="AM371" s="2"/>
      <c r="AT371" s="2"/>
      <c r="AU371" s="2"/>
      <c r="AV371" s="2"/>
      <c r="AW371" s="2"/>
      <c r="AX371" s="2"/>
      <c r="AY371" s="2"/>
      <c r="AZ371" s="2"/>
      <c r="BA371" s="2"/>
      <c r="BC371" s="2"/>
      <c r="BD371" s="2"/>
      <c r="BE371" s="2"/>
      <c r="BF371" s="2"/>
      <c r="BG371" s="2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</row>
    <row r="372" ht="14.25" customHeight="1">
      <c r="AA372" s="2"/>
      <c r="AF372" s="2"/>
      <c r="AG372" s="2"/>
      <c r="AH372" s="2"/>
      <c r="AI372" s="2"/>
      <c r="AJ372" s="2"/>
      <c r="AK372" s="2"/>
      <c r="AL372" s="2"/>
      <c r="AM372" s="2"/>
      <c r="AT372" s="2"/>
      <c r="AU372" s="2"/>
      <c r="AV372" s="2"/>
      <c r="AW372" s="2"/>
      <c r="AX372" s="2"/>
      <c r="AY372" s="2"/>
      <c r="AZ372" s="2"/>
      <c r="BA372" s="2"/>
      <c r="BC372" s="2"/>
      <c r="BD372" s="2"/>
      <c r="BE372" s="2"/>
      <c r="BF372" s="2"/>
      <c r="BG372" s="2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</row>
    <row r="373" ht="14.25" customHeight="1">
      <c r="AA373" s="2"/>
      <c r="AF373" s="2"/>
      <c r="AG373" s="2"/>
      <c r="AH373" s="2"/>
      <c r="AI373" s="2"/>
      <c r="AJ373" s="2"/>
      <c r="AK373" s="2"/>
      <c r="AL373" s="2"/>
      <c r="AM373" s="2"/>
      <c r="AT373" s="2"/>
      <c r="AU373" s="2"/>
      <c r="AV373" s="2"/>
      <c r="AW373" s="2"/>
      <c r="AX373" s="2"/>
      <c r="AY373" s="2"/>
      <c r="AZ373" s="2"/>
      <c r="BA373" s="2"/>
      <c r="BC373" s="2"/>
      <c r="BD373" s="2"/>
      <c r="BE373" s="2"/>
      <c r="BF373" s="2"/>
      <c r="BG373" s="2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</row>
    <row r="374" ht="14.25" customHeight="1">
      <c r="AA374" s="2"/>
      <c r="AF374" s="2"/>
      <c r="AG374" s="2"/>
      <c r="AH374" s="2"/>
      <c r="AI374" s="2"/>
      <c r="AJ374" s="2"/>
      <c r="AK374" s="2"/>
      <c r="AL374" s="2"/>
      <c r="AM374" s="2"/>
      <c r="AT374" s="2"/>
      <c r="AU374" s="2"/>
      <c r="AV374" s="2"/>
      <c r="AW374" s="2"/>
      <c r="AX374" s="2"/>
      <c r="AY374" s="2"/>
      <c r="AZ374" s="2"/>
      <c r="BA374" s="2"/>
      <c r="BC374" s="2"/>
      <c r="BD374" s="2"/>
      <c r="BE374" s="2"/>
      <c r="BF374" s="2"/>
      <c r="BG374" s="2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</row>
    <row r="375" ht="14.25" customHeight="1">
      <c r="AA375" s="2"/>
      <c r="AF375" s="2"/>
      <c r="AG375" s="2"/>
      <c r="AH375" s="2"/>
      <c r="AI375" s="2"/>
      <c r="AJ375" s="2"/>
      <c r="AK375" s="2"/>
      <c r="AL375" s="2"/>
      <c r="AM375" s="2"/>
      <c r="AT375" s="2"/>
      <c r="AU375" s="2"/>
      <c r="AV375" s="2"/>
      <c r="AW375" s="2"/>
      <c r="AX375" s="2"/>
      <c r="AY375" s="2"/>
      <c r="AZ375" s="2"/>
      <c r="BA375" s="2"/>
      <c r="BC375" s="2"/>
      <c r="BD375" s="2"/>
      <c r="BE375" s="2"/>
      <c r="BF375" s="2"/>
      <c r="BG375" s="2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</row>
    <row r="376" ht="14.25" customHeight="1">
      <c r="AA376" s="2"/>
      <c r="AF376" s="2"/>
      <c r="AG376" s="2"/>
      <c r="AH376" s="2"/>
      <c r="AI376" s="2"/>
      <c r="AJ376" s="2"/>
      <c r="AK376" s="2"/>
      <c r="AL376" s="2"/>
      <c r="AM376" s="2"/>
      <c r="AT376" s="2"/>
      <c r="AU376" s="2"/>
      <c r="AV376" s="2"/>
      <c r="AW376" s="2"/>
      <c r="AX376" s="2"/>
      <c r="AY376" s="2"/>
      <c r="AZ376" s="2"/>
      <c r="BA376" s="2"/>
      <c r="BC376" s="2"/>
      <c r="BD376" s="2"/>
      <c r="BE376" s="2"/>
      <c r="BF376" s="2"/>
      <c r="BG376" s="2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</row>
    <row r="377" ht="14.25" customHeight="1">
      <c r="AA377" s="2"/>
      <c r="AF377" s="2"/>
      <c r="AG377" s="2"/>
      <c r="AH377" s="2"/>
      <c r="AI377" s="2"/>
      <c r="AJ377" s="2"/>
      <c r="AK377" s="2"/>
      <c r="AL377" s="2"/>
      <c r="AM377" s="2"/>
      <c r="AT377" s="2"/>
      <c r="AU377" s="2"/>
      <c r="AV377" s="2"/>
      <c r="AW377" s="2"/>
      <c r="AX377" s="2"/>
      <c r="AY377" s="2"/>
      <c r="AZ377" s="2"/>
      <c r="BA377" s="2"/>
      <c r="BC377" s="2"/>
      <c r="BD377" s="2"/>
      <c r="BE377" s="2"/>
      <c r="BF377" s="2"/>
      <c r="BG377" s="2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</row>
    <row r="378" ht="14.25" customHeight="1">
      <c r="AA378" s="2"/>
      <c r="AF378" s="2"/>
      <c r="AG378" s="2"/>
      <c r="AH378" s="2"/>
      <c r="AI378" s="2"/>
      <c r="AJ378" s="2"/>
      <c r="AK378" s="2"/>
      <c r="AL378" s="2"/>
      <c r="AM378" s="2"/>
      <c r="AT378" s="2"/>
      <c r="AU378" s="2"/>
      <c r="AV378" s="2"/>
      <c r="AW378" s="2"/>
      <c r="AX378" s="2"/>
      <c r="AY378" s="2"/>
      <c r="AZ378" s="2"/>
      <c r="BA378" s="2"/>
      <c r="BC378" s="2"/>
      <c r="BD378" s="2"/>
      <c r="BE378" s="2"/>
      <c r="BF378" s="2"/>
      <c r="BG378" s="2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</row>
    <row r="379" ht="14.25" customHeight="1">
      <c r="AA379" s="2"/>
      <c r="AF379" s="2"/>
      <c r="AG379" s="2"/>
      <c r="AH379" s="2"/>
      <c r="AI379" s="2"/>
      <c r="AJ379" s="2"/>
      <c r="AK379" s="2"/>
      <c r="AL379" s="2"/>
      <c r="AM379" s="2"/>
      <c r="AT379" s="2"/>
      <c r="AU379" s="2"/>
      <c r="AV379" s="2"/>
      <c r="AW379" s="2"/>
      <c r="AX379" s="2"/>
      <c r="AY379" s="2"/>
      <c r="AZ379" s="2"/>
      <c r="BA379" s="2"/>
      <c r="BC379" s="2"/>
      <c r="BD379" s="2"/>
      <c r="BE379" s="2"/>
      <c r="BF379" s="2"/>
      <c r="BG379" s="2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</row>
    <row r="380" ht="14.25" customHeight="1">
      <c r="AA380" s="2"/>
      <c r="AF380" s="2"/>
      <c r="AG380" s="2"/>
      <c r="AH380" s="2"/>
      <c r="AI380" s="2"/>
      <c r="AJ380" s="2"/>
      <c r="AK380" s="2"/>
      <c r="AL380" s="2"/>
      <c r="AM380" s="2"/>
      <c r="AT380" s="2"/>
      <c r="AU380" s="2"/>
      <c r="AV380" s="2"/>
      <c r="AW380" s="2"/>
      <c r="AX380" s="2"/>
      <c r="AY380" s="2"/>
      <c r="AZ380" s="2"/>
      <c r="BA380" s="2"/>
      <c r="BC380" s="2"/>
      <c r="BD380" s="2"/>
      <c r="BE380" s="2"/>
      <c r="BF380" s="2"/>
      <c r="BG380" s="2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</row>
    <row r="381" ht="14.25" customHeight="1">
      <c r="AA381" s="2"/>
      <c r="AF381" s="2"/>
      <c r="AG381" s="2"/>
      <c r="AH381" s="2"/>
      <c r="AI381" s="2"/>
      <c r="AJ381" s="2"/>
      <c r="AK381" s="2"/>
      <c r="AL381" s="2"/>
      <c r="AM381" s="2"/>
      <c r="AT381" s="2"/>
      <c r="AU381" s="2"/>
      <c r="AV381" s="2"/>
      <c r="AW381" s="2"/>
      <c r="AX381" s="2"/>
      <c r="AY381" s="2"/>
      <c r="AZ381" s="2"/>
      <c r="BA381" s="2"/>
      <c r="BC381" s="2"/>
      <c r="BD381" s="2"/>
      <c r="BE381" s="2"/>
      <c r="BF381" s="2"/>
      <c r="BG381" s="2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</row>
    <row r="382" ht="14.25" customHeight="1">
      <c r="AA382" s="2"/>
      <c r="AF382" s="2"/>
      <c r="AG382" s="2"/>
      <c r="AH382" s="2"/>
      <c r="AI382" s="2"/>
      <c r="AJ382" s="2"/>
      <c r="AK382" s="2"/>
      <c r="AL382" s="2"/>
      <c r="AM382" s="2"/>
      <c r="AT382" s="2"/>
      <c r="AU382" s="2"/>
      <c r="AV382" s="2"/>
      <c r="AW382" s="2"/>
      <c r="AX382" s="2"/>
      <c r="AY382" s="2"/>
      <c r="AZ382" s="2"/>
      <c r="BA382" s="2"/>
      <c r="BC382" s="2"/>
      <c r="BD382" s="2"/>
      <c r="BE382" s="2"/>
      <c r="BF382" s="2"/>
      <c r="BG382" s="2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</row>
    <row r="383" ht="14.25" customHeight="1">
      <c r="AA383" s="2"/>
      <c r="AF383" s="2"/>
      <c r="AG383" s="2"/>
      <c r="AH383" s="2"/>
      <c r="AI383" s="2"/>
      <c r="AJ383" s="2"/>
      <c r="AK383" s="2"/>
      <c r="AL383" s="2"/>
      <c r="AM383" s="2"/>
      <c r="AT383" s="2"/>
      <c r="AU383" s="2"/>
      <c r="AV383" s="2"/>
      <c r="AW383" s="2"/>
      <c r="AX383" s="2"/>
      <c r="AY383" s="2"/>
      <c r="AZ383" s="2"/>
      <c r="BA383" s="2"/>
      <c r="BC383" s="2"/>
      <c r="BD383" s="2"/>
      <c r="BE383" s="2"/>
      <c r="BF383" s="2"/>
      <c r="BG383" s="2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</row>
    <row r="384" ht="14.25" customHeight="1">
      <c r="AA384" s="2"/>
      <c r="AF384" s="2"/>
      <c r="AG384" s="2"/>
      <c r="AH384" s="2"/>
      <c r="AI384" s="2"/>
      <c r="AJ384" s="2"/>
      <c r="AK384" s="2"/>
      <c r="AL384" s="2"/>
      <c r="AM384" s="2"/>
      <c r="AT384" s="2"/>
      <c r="AU384" s="2"/>
      <c r="AV384" s="2"/>
      <c r="AW384" s="2"/>
      <c r="AX384" s="2"/>
      <c r="AY384" s="2"/>
      <c r="AZ384" s="2"/>
      <c r="BA384" s="2"/>
      <c r="BC384" s="2"/>
      <c r="BD384" s="2"/>
      <c r="BE384" s="2"/>
      <c r="BF384" s="2"/>
      <c r="BG384" s="2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</row>
    <row r="385" ht="14.25" customHeight="1">
      <c r="AA385" s="2"/>
      <c r="AF385" s="2"/>
      <c r="AG385" s="2"/>
      <c r="AH385" s="2"/>
      <c r="AI385" s="2"/>
      <c r="AJ385" s="2"/>
      <c r="AK385" s="2"/>
      <c r="AL385" s="2"/>
      <c r="AM385" s="2"/>
      <c r="AT385" s="2"/>
      <c r="AU385" s="2"/>
      <c r="AV385" s="2"/>
      <c r="AW385" s="2"/>
      <c r="AX385" s="2"/>
      <c r="AY385" s="2"/>
      <c r="AZ385" s="2"/>
      <c r="BA385" s="2"/>
      <c r="BC385" s="2"/>
      <c r="BD385" s="2"/>
      <c r="BE385" s="2"/>
      <c r="BF385" s="2"/>
      <c r="BG385" s="2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</row>
    <row r="386" ht="14.25" customHeight="1">
      <c r="AA386" s="2"/>
      <c r="AF386" s="2"/>
      <c r="AG386" s="2"/>
      <c r="AH386" s="2"/>
      <c r="AI386" s="2"/>
      <c r="AJ386" s="2"/>
      <c r="AK386" s="2"/>
      <c r="AL386" s="2"/>
      <c r="AM386" s="2"/>
      <c r="AT386" s="2"/>
      <c r="AU386" s="2"/>
      <c r="AV386" s="2"/>
      <c r="AW386" s="2"/>
      <c r="AX386" s="2"/>
      <c r="AY386" s="2"/>
      <c r="AZ386" s="2"/>
      <c r="BA386" s="2"/>
      <c r="BC386" s="2"/>
      <c r="BD386" s="2"/>
      <c r="BE386" s="2"/>
      <c r="BF386" s="2"/>
      <c r="BG386" s="2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</row>
    <row r="387" ht="14.25" customHeight="1">
      <c r="AA387" s="2"/>
      <c r="AF387" s="2"/>
      <c r="AG387" s="2"/>
      <c r="AH387" s="2"/>
      <c r="AI387" s="2"/>
      <c r="AJ387" s="2"/>
      <c r="AK387" s="2"/>
      <c r="AL387" s="2"/>
      <c r="AM387" s="2"/>
      <c r="AT387" s="2"/>
      <c r="AU387" s="2"/>
      <c r="AV387" s="2"/>
      <c r="AW387" s="2"/>
      <c r="AX387" s="2"/>
      <c r="AY387" s="2"/>
      <c r="AZ387" s="2"/>
      <c r="BA387" s="2"/>
      <c r="BC387" s="2"/>
      <c r="BD387" s="2"/>
      <c r="BE387" s="2"/>
      <c r="BF387" s="2"/>
      <c r="BG387" s="2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</row>
    <row r="388" ht="14.25" customHeight="1">
      <c r="AA388" s="2"/>
      <c r="AF388" s="2"/>
      <c r="AG388" s="2"/>
      <c r="AH388" s="2"/>
      <c r="AI388" s="2"/>
      <c r="AJ388" s="2"/>
      <c r="AK388" s="2"/>
      <c r="AL388" s="2"/>
      <c r="AM388" s="2"/>
      <c r="AT388" s="2"/>
      <c r="AU388" s="2"/>
      <c r="AV388" s="2"/>
      <c r="AW388" s="2"/>
      <c r="AX388" s="2"/>
      <c r="AY388" s="2"/>
      <c r="AZ388" s="2"/>
      <c r="BA388" s="2"/>
      <c r="BC388" s="2"/>
      <c r="BD388" s="2"/>
      <c r="BE388" s="2"/>
      <c r="BF388" s="2"/>
      <c r="BG388" s="2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</row>
    <row r="389" ht="14.25" customHeight="1">
      <c r="AA389" s="2"/>
      <c r="AF389" s="2"/>
      <c r="AG389" s="2"/>
      <c r="AH389" s="2"/>
      <c r="AI389" s="2"/>
      <c r="AJ389" s="2"/>
      <c r="AK389" s="2"/>
      <c r="AL389" s="2"/>
      <c r="AM389" s="2"/>
      <c r="AT389" s="2"/>
      <c r="AU389" s="2"/>
      <c r="AV389" s="2"/>
      <c r="AW389" s="2"/>
      <c r="AX389" s="2"/>
      <c r="AY389" s="2"/>
      <c r="AZ389" s="2"/>
      <c r="BA389" s="2"/>
      <c r="BC389" s="2"/>
      <c r="BD389" s="2"/>
      <c r="BE389" s="2"/>
      <c r="BF389" s="2"/>
      <c r="BG389" s="2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</row>
    <row r="390" ht="14.25" customHeight="1">
      <c r="AA390" s="2"/>
      <c r="AF390" s="2"/>
      <c r="AG390" s="2"/>
      <c r="AH390" s="2"/>
      <c r="AI390" s="2"/>
      <c r="AJ390" s="2"/>
      <c r="AK390" s="2"/>
      <c r="AL390" s="2"/>
      <c r="AM390" s="2"/>
      <c r="AT390" s="2"/>
      <c r="AU390" s="2"/>
      <c r="AV390" s="2"/>
      <c r="AW390" s="2"/>
      <c r="AX390" s="2"/>
      <c r="AY390" s="2"/>
      <c r="AZ390" s="2"/>
      <c r="BA390" s="2"/>
      <c r="BC390" s="2"/>
      <c r="BD390" s="2"/>
      <c r="BE390" s="2"/>
      <c r="BF390" s="2"/>
      <c r="BG390" s="2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</row>
    <row r="391" ht="14.25" customHeight="1">
      <c r="AA391" s="2"/>
      <c r="AF391" s="2"/>
      <c r="AG391" s="2"/>
      <c r="AH391" s="2"/>
      <c r="AI391" s="2"/>
      <c r="AJ391" s="2"/>
      <c r="AK391" s="2"/>
      <c r="AL391" s="2"/>
      <c r="AM391" s="2"/>
      <c r="AT391" s="2"/>
      <c r="AU391" s="2"/>
      <c r="AV391" s="2"/>
      <c r="AW391" s="2"/>
      <c r="AX391" s="2"/>
      <c r="AY391" s="2"/>
      <c r="AZ391" s="2"/>
      <c r="BA391" s="2"/>
      <c r="BC391" s="2"/>
      <c r="BD391" s="2"/>
      <c r="BE391" s="2"/>
      <c r="BF391" s="2"/>
      <c r="BG391" s="2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</row>
    <row r="392" ht="14.25" customHeight="1">
      <c r="AA392" s="2"/>
      <c r="AF392" s="2"/>
      <c r="AG392" s="2"/>
      <c r="AH392" s="2"/>
      <c r="AI392" s="2"/>
      <c r="AJ392" s="2"/>
      <c r="AK392" s="2"/>
      <c r="AL392" s="2"/>
      <c r="AM392" s="2"/>
      <c r="AT392" s="2"/>
      <c r="AU392" s="2"/>
      <c r="AV392" s="2"/>
      <c r="AW392" s="2"/>
      <c r="AX392" s="2"/>
      <c r="AY392" s="2"/>
      <c r="AZ392" s="2"/>
      <c r="BA392" s="2"/>
      <c r="BC392" s="2"/>
      <c r="BD392" s="2"/>
      <c r="BE392" s="2"/>
      <c r="BF392" s="2"/>
      <c r="BG392" s="2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</row>
    <row r="393" ht="14.25" customHeight="1">
      <c r="AA393" s="2"/>
      <c r="AF393" s="2"/>
      <c r="AG393" s="2"/>
      <c r="AH393" s="2"/>
      <c r="AI393" s="2"/>
      <c r="AJ393" s="2"/>
      <c r="AK393" s="2"/>
      <c r="AL393" s="2"/>
      <c r="AM393" s="2"/>
      <c r="AT393" s="2"/>
      <c r="AU393" s="2"/>
      <c r="AV393" s="2"/>
      <c r="AW393" s="2"/>
      <c r="AX393" s="2"/>
      <c r="AY393" s="2"/>
      <c r="AZ393" s="2"/>
      <c r="BA393" s="2"/>
      <c r="BC393" s="2"/>
      <c r="BD393" s="2"/>
      <c r="BE393" s="2"/>
      <c r="BF393" s="2"/>
      <c r="BG393" s="2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</row>
    <row r="394" ht="14.25" customHeight="1">
      <c r="AA394" s="2"/>
      <c r="AF394" s="2"/>
      <c r="AG394" s="2"/>
      <c r="AH394" s="2"/>
      <c r="AI394" s="2"/>
      <c r="AJ394" s="2"/>
      <c r="AK394" s="2"/>
      <c r="AL394" s="2"/>
      <c r="AM394" s="2"/>
      <c r="AT394" s="2"/>
      <c r="AU394" s="2"/>
      <c r="AV394" s="2"/>
      <c r="AW394" s="2"/>
      <c r="AX394" s="2"/>
      <c r="AY394" s="2"/>
      <c r="AZ394" s="2"/>
      <c r="BA394" s="2"/>
      <c r="BC394" s="2"/>
      <c r="BD394" s="2"/>
      <c r="BE394" s="2"/>
      <c r="BF394" s="2"/>
      <c r="BG394" s="2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</row>
    <row r="395" ht="14.25" customHeight="1">
      <c r="AA395" s="2"/>
      <c r="AF395" s="2"/>
      <c r="AG395" s="2"/>
      <c r="AH395" s="2"/>
      <c r="AI395" s="2"/>
      <c r="AJ395" s="2"/>
      <c r="AK395" s="2"/>
      <c r="AL395" s="2"/>
      <c r="AM395" s="2"/>
      <c r="AT395" s="2"/>
      <c r="AU395" s="2"/>
      <c r="AV395" s="2"/>
      <c r="AW395" s="2"/>
      <c r="AX395" s="2"/>
      <c r="AY395" s="2"/>
      <c r="AZ395" s="2"/>
      <c r="BA395" s="2"/>
      <c r="BC395" s="2"/>
      <c r="BD395" s="2"/>
      <c r="BE395" s="2"/>
      <c r="BF395" s="2"/>
      <c r="BG395" s="2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</row>
    <row r="396" ht="14.25" customHeight="1">
      <c r="AA396" s="2"/>
      <c r="AF396" s="2"/>
      <c r="AG396" s="2"/>
      <c r="AH396" s="2"/>
      <c r="AI396" s="2"/>
      <c r="AJ396" s="2"/>
      <c r="AK396" s="2"/>
      <c r="AL396" s="2"/>
      <c r="AM396" s="2"/>
      <c r="AT396" s="2"/>
      <c r="AU396" s="2"/>
      <c r="AV396" s="2"/>
      <c r="AW396" s="2"/>
      <c r="AX396" s="2"/>
      <c r="AY396" s="2"/>
      <c r="AZ396" s="2"/>
      <c r="BA396" s="2"/>
      <c r="BC396" s="2"/>
      <c r="BD396" s="2"/>
      <c r="BE396" s="2"/>
      <c r="BF396" s="2"/>
      <c r="BG396" s="2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</row>
    <row r="397" ht="14.25" customHeight="1">
      <c r="AA397" s="2"/>
      <c r="AF397" s="2"/>
      <c r="AG397" s="2"/>
      <c r="AH397" s="2"/>
      <c r="AI397" s="2"/>
      <c r="AJ397" s="2"/>
      <c r="AK397" s="2"/>
      <c r="AL397" s="2"/>
      <c r="AM397" s="2"/>
      <c r="AT397" s="2"/>
      <c r="AU397" s="2"/>
      <c r="AV397" s="2"/>
      <c r="AW397" s="2"/>
      <c r="AX397" s="2"/>
      <c r="AY397" s="2"/>
      <c r="AZ397" s="2"/>
      <c r="BA397" s="2"/>
      <c r="BC397" s="2"/>
      <c r="BD397" s="2"/>
      <c r="BE397" s="2"/>
      <c r="BF397" s="2"/>
      <c r="BG397" s="2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</row>
    <row r="398" ht="14.25" customHeight="1">
      <c r="AA398" s="2"/>
      <c r="AF398" s="2"/>
      <c r="AG398" s="2"/>
      <c r="AH398" s="2"/>
      <c r="AI398" s="2"/>
      <c r="AJ398" s="2"/>
      <c r="AK398" s="2"/>
      <c r="AL398" s="2"/>
      <c r="AM398" s="2"/>
      <c r="AT398" s="2"/>
      <c r="AU398" s="2"/>
      <c r="AV398" s="2"/>
      <c r="AW398" s="2"/>
      <c r="AX398" s="2"/>
      <c r="AY398" s="2"/>
      <c r="AZ398" s="2"/>
      <c r="BA398" s="2"/>
      <c r="BC398" s="2"/>
      <c r="BD398" s="2"/>
      <c r="BE398" s="2"/>
      <c r="BF398" s="2"/>
      <c r="BG398" s="2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</row>
    <row r="399" ht="14.25" customHeight="1">
      <c r="AA399" s="2"/>
      <c r="AF399" s="2"/>
      <c r="AG399" s="2"/>
      <c r="AH399" s="2"/>
      <c r="AI399" s="2"/>
      <c r="AJ399" s="2"/>
      <c r="AK399" s="2"/>
      <c r="AL399" s="2"/>
      <c r="AM399" s="2"/>
      <c r="AT399" s="2"/>
      <c r="AU399" s="2"/>
      <c r="AV399" s="2"/>
      <c r="AW399" s="2"/>
      <c r="AX399" s="2"/>
      <c r="AY399" s="2"/>
      <c r="AZ399" s="2"/>
      <c r="BA399" s="2"/>
      <c r="BC399" s="2"/>
      <c r="BD399" s="2"/>
      <c r="BE399" s="2"/>
      <c r="BF399" s="2"/>
      <c r="BG399" s="2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</row>
    <row r="400" ht="14.25" customHeight="1">
      <c r="AA400" s="2"/>
      <c r="AF400" s="2"/>
      <c r="AG400" s="2"/>
      <c r="AH400" s="2"/>
      <c r="AI400" s="2"/>
      <c r="AJ400" s="2"/>
      <c r="AK400" s="2"/>
      <c r="AL400" s="2"/>
      <c r="AM400" s="2"/>
      <c r="AT400" s="2"/>
      <c r="AU400" s="2"/>
      <c r="AV400" s="2"/>
      <c r="AW400" s="2"/>
      <c r="AX400" s="2"/>
      <c r="AY400" s="2"/>
      <c r="AZ400" s="2"/>
      <c r="BA400" s="2"/>
      <c r="BC400" s="2"/>
      <c r="BD400" s="2"/>
      <c r="BE400" s="2"/>
      <c r="BF400" s="2"/>
      <c r="BG400" s="2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</row>
    <row r="401" ht="14.25" customHeight="1">
      <c r="AA401" s="2"/>
      <c r="AF401" s="2"/>
      <c r="AG401" s="2"/>
      <c r="AH401" s="2"/>
      <c r="AI401" s="2"/>
      <c r="AJ401" s="2"/>
      <c r="AK401" s="2"/>
      <c r="AL401" s="2"/>
      <c r="AM401" s="2"/>
      <c r="AT401" s="2"/>
      <c r="AU401" s="2"/>
      <c r="AV401" s="2"/>
      <c r="AW401" s="2"/>
      <c r="AX401" s="2"/>
      <c r="AY401" s="2"/>
      <c r="AZ401" s="2"/>
      <c r="BA401" s="2"/>
      <c r="BC401" s="2"/>
      <c r="BD401" s="2"/>
      <c r="BE401" s="2"/>
      <c r="BF401" s="2"/>
      <c r="BG401" s="2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</row>
    <row r="402" ht="14.25" customHeight="1">
      <c r="AA402" s="2"/>
      <c r="AF402" s="2"/>
      <c r="AG402" s="2"/>
      <c r="AH402" s="2"/>
      <c r="AI402" s="2"/>
      <c r="AJ402" s="2"/>
      <c r="AK402" s="2"/>
      <c r="AL402" s="2"/>
      <c r="AM402" s="2"/>
      <c r="AT402" s="2"/>
      <c r="AU402" s="2"/>
      <c r="AV402" s="2"/>
      <c r="AW402" s="2"/>
      <c r="AX402" s="2"/>
      <c r="AY402" s="2"/>
      <c r="AZ402" s="2"/>
      <c r="BA402" s="2"/>
      <c r="BC402" s="2"/>
      <c r="BD402" s="2"/>
      <c r="BE402" s="2"/>
      <c r="BF402" s="2"/>
      <c r="BG402" s="2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</row>
    <row r="403" ht="14.25" customHeight="1">
      <c r="AA403" s="2"/>
      <c r="AF403" s="2"/>
      <c r="AG403" s="2"/>
      <c r="AH403" s="2"/>
      <c r="AI403" s="2"/>
      <c r="AJ403" s="2"/>
      <c r="AK403" s="2"/>
      <c r="AL403" s="2"/>
      <c r="AM403" s="2"/>
      <c r="AT403" s="2"/>
      <c r="AU403" s="2"/>
      <c r="AV403" s="2"/>
      <c r="AW403" s="2"/>
      <c r="AX403" s="2"/>
      <c r="AY403" s="2"/>
      <c r="AZ403" s="2"/>
      <c r="BA403" s="2"/>
      <c r="BC403" s="2"/>
      <c r="BD403" s="2"/>
      <c r="BE403" s="2"/>
      <c r="BF403" s="2"/>
      <c r="BG403" s="2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</row>
    <row r="404" ht="14.25" customHeight="1">
      <c r="AA404" s="2"/>
      <c r="AF404" s="2"/>
      <c r="AG404" s="2"/>
      <c r="AH404" s="2"/>
      <c r="AI404" s="2"/>
      <c r="AJ404" s="2"/>
      <c r="AK404" s="2"/>
      <c r="AL404" s="2"/>
      <c r="AM404" s="2"/>
      <c r="AT404" s="2"/>
      <c r="AU404" s="2"/>
      <c r="AV404" s="2"/>
      <c r="AW404" s="2"/>
      <c r="AX404" s="2"/>
      <c r="AY404" s="2"/>
      <c r="AZ404" s="2"/>
      <c r="BA404" s="2"/>
      <c r="BC404" s="2"/>
      <c r="BD404" s="2"/>
      <c r="BE404" s="2"/>
      <c r="BF404" s="2"/>
      <c r="BG404" s="2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</row>
    <row r="405" ht="14.25" customHeight="1">
      <c r="AA405" s="2"/>
      <c r="AF405" s="2"/>
      <c r="AG405" s="2"/>
      <c r="AH405" s="2"/>
      <c r="AI405" s="2"/>
      <c r="AJ405" s="2"/>
      <c r="AK405" s="2"/>
      <c r="AL405" s="2"/>
      <c r="AM405" s="2"/>
      <c r="AT405" s="2"/>
      <c r="AU405" s="2"/>
      <c r="AV405" s="2"/>
      <c r="AW405" s="2"/>
      <c r="AX405" s="2"/>
      <c r="AY405" s="2"/>
      <c r="AZ405" s="2"/>
      <c r="BA405" s="2"/>
      <c r="BC405" s="2"/>
      <c r="BD405" s="2"/>
      <c r="BE405" s="2"/>
      <c r="BF405" s="2"/>
      <c r="BG405" s="2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</row>
    <row r="406" ht="14.25" customHeight="1">
      <c r="AA406" s="2"/>
      <c r="AF406" s="2"/>
      <c r="AG406" s="2"/>
      <c r="AH406" s="2"/>
      <c r="AI406" s="2"/>
      <c r="AJ406" s="2"/>
      <c r="AK406" s="2"/>
      <c r="AL406" s="2"/>
      <c r="AM406" s="2"/>
      <c r="AT406" s="2"/>
      <c r="AU406" s="2"/>
      <c r="AV406" s="2"/>
      <c r="AW406" s="2"/>
      <c r="AX406" s="2"/>
      <c r="AY406" s="2"/>
      <c r="AZ406" s="2"/>
      <c r="BA406" s="2"/>
      <c r="BC406" s="2"/>
      <c r="BD406" s="2"/>
      <c r="BE406" s="2"/>
      <c r="BF406" s="2"/>
      <c r="BG406" s="2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</row>
    <row r="407" ht="14.25" customHeight="1">
      <c r="AA407" s="2"/>
      <c r="AF407" s="2"/>
      <c r="AG407" s="2"/>
      <c r="AH407" s="2"/>
      <c r="AI407" s="2"/>
      <c r="AJ407" s="2"/>
      <c r="AK407" s="2"/>
      <c r="AL407" s="2"/>
      <c r="AM407" s="2"/>
      <c r="AT407" s="2"/>
      <c r="AU407" s="2"/>
      <c r="AV407" s="2"/>
      <c r="AW407" s="2"/>
      <c r="AX407" s="2"/>
      <c r="AY407" s="2"/>
      <c r="AZ407" s="2"/>
      <c r="BA407" s="2"/>
      <c r="BC407" s="2"/>
      <c r="BD407" s="2"/>
      <c r="BE407" s="2"/>
      <c r="BF407" s="2"/>
      <c r="BG407" s="2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</row>
    <row r="408" ht="14.25" customHeight="1">
      <c r="AA408" s="2"/>
      <c r="AF408" s="2"/>
      <c r="AG408" s="2"/>
      <c r="AH408" s="2"/>
      <c r="AI408" s="2"/>
      <c r="AJ408" s="2"/>
      <c r="AK408" s="2"/>
      <c r="AL408" s="2"/>
      <c r="AM408" s="2"/>
      <c r="AT408" s="2"/>
      <c r="AU408" s="2"/>
      <c r="AV408" s="2"/>
      <c r="AW408" s="2"/>
      <c r="AX408" s="2"/>
      <c r="AY408" s="2"/>
      <c r="AZ408" s="2"/>
      <c r="BA408" s="2"/>
      <c r="BC408" s="2"/>
      <c r="BD408" s="2"/>
      <c r="BE408" s="2"/>
      <c r="BF408" s="2"/>
      <c r="BG408" s="2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</row>
    <row r="409" ht="14.25" customHeight="1">
      <c r="AA409" s="2"/>
      <c r="AF409" s="2"/>
      <c r="AG409" s="2"/>
      <c r="AH409" s="2"/>
      <c r="AI409" s="2"/>
      <c r="AJ409" s="2"/>
      <c r="AK409" s="2"/>
      <c r="AL409" s="2"/>
      <c r="AM409" s="2"/>
      <c r="AT409" s="2"/>
      <c r="AU409" s="2"/>
      <c r="AV409" s="2"/>
      <c r="AW409" s="2"/>
      <c r="AX409" s="2"/>
      <c r="AY409" s="2"/>
      <c r="AZ409" s="2"/>
      <c r="BA409" s="2"/>
      <c r="BC409" s="2"/>
      <c r="BD409" s="2"/>
      <c r="BE409" s="2"/>
      <c r="BF409" s="2"/>
      <c r="BG409" s="2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</row>
    <row r="410" ht="14.25" customHeight="1">
      <c r="AA410" s="2"/>
      <c r="AF410" s="2"/>
      <c r="AG410" s="2"/>
      <c r="AH410" s="2"/>
      <c r="AI410" s="2"/>
      <c r="AJ410" s="2"/>
      <c r="AK410" s="2"/>
      <c r="AL410" s="2"/>
      <c r="AM410" s="2"/>
      <c r="AT410" s="2"/>
      <c r="AU410" s="2"/>
      <c r="AV410" s="2"/>
      <c r="AW410" s="2"/>
      <c r="AX410" s="2"/>
      <c r="AY410" s="2"/>
      <c r="AZ410" s="2"/>
      <c r="BA410" s="2"/>
      <c r="BC410" s="2"/>
      <c r="BD410" s="2"/>
      <c r="BE410" s="2"/>
      <c r="BF410" s="2"/>
      <c r="BG410" s="2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</row>
    <row r="411" ht="14.25" customHeight="1">
      <c r="AA411" s="2"/>
      <c r="AF411" s="2"/>
      <c r="AG411" s="2"/>
      <c r="AH411" s="2"/>
      <c r="AI411" s="2"/>
      <c r="AJ411" s="2"/>
      <c r="AK411" s="2"/>
      <c r="AL411" s="2"/>
      <c r="AM411" s="2"/>
      <c r="AT411" s="2"/>
      <c r="AU411" s="2"/>
      <c r="AV411" s="2"/>
      <c r="AW411" s="2"/>
      <c r="AX411" s="2"/>
      <c r="AY411" s="2"/>
      <c r="AZ411" s="2"/>
      <c r="BA411" s="2"/>
      <c r="BC411" s="2"/>
      <c r="BD411" s="2"/>
      <c r="BE411" s="2"/>
      <c r="BF411" s="2"/>
      <c r="BG411" s="2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</row>
    <row r="412" ht="14.25" customHeight="1">
      <c r="AA412" s="2"/>
      <c r="AF412" s="2"/>
      <c r="AG412" s="2"/>
      <c r="AH412" s="2"/>
      <c r="AI412" s="2"/>
      <c r="AJ412" s="2"/>
      <c r="AK412" s="2"/>
      <c r="AL412" s="2"/>
      <c r="AM412" s="2"/>
      <c r="AT412" s="2"/>
      <c r="AU412" s="2"/>
      <c r="AV412" s="2"/>
      <c r="AW412" s="2"/>
      <c r="AX412" s="2"/>
      <c r="AY412" s="2"/>
      <c r="AZ412" s="2"/>
      <c r="BA412" s="2"/>
      <c r="BC412" s="2"/>
      <c r="BD412" s="2"/>
      <c r="BE412" s="2"/>
      <c r="BF412" s="2"/>
      <c r="BG412" s="2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</row>
    <row r="413" ht="14.25" customHeight="1">
      <c r="AA413" s="2"/>
      <c r="AF413" s="2"/>
      <c r="AG413" s="2"/>
      <c r="AH413" s="2"/>
      <c r="AI413" s="2"/>
      <c r="AJ413" s="2"/>
      <c r="AK413" s="2"/>
      <c r="AL413" s="2"/>
      <c r="AM413" s="2"/>
      <c r="AT413" s="2"/>
      <c r="AU413" s="2"/>
      <c r="AV413" s="2"/>
      <c r="AW413" s="2"/>
      <c r="AX413" s="2"/>
      <c r="AY413" s="2"/>
      <c r="AZ413" s="2"/>
      <c r="BA413" s="2"/>
      <c r="BC413" s="2"/>
      <c r="BD413" s="2"/>
      <c r="BE413" s="2"/>
      <c r="BF413" s="2"/>
      <c r="BG413" s="2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</row>
    <row r="414" ht="14.25" customHeight="1">
      <c r="AA414" s="2"/>
      <c r="AF414" s="2"/>
      <c r="AG414" s="2"/>
      <c r="AH414" s="2"/>
      <c r="AI414" s="2"/>
      <c r="AJ414" s="2"/>
      <c r="AK414" s="2"/>
      <c r="AL414" s="2"/>
      <c r="AM414" s="2"/>
      <c r="AT414" s="2"/>
      <c r="AU414" s="2"/>
      <c r="AV414" s="2"/>
      <c r="AW414" s="2"/>
      <c r="AX414" s="2"/>
      <c r="AY414" s="2"/>
      <c r="AZ414" s="2"/>
      <c r="BA414" s="2"/>
      <c r="BC414" s="2"/>
      <c r="BD414" s="2"/>
      <c r="BE414" s="2"/>
      <c r="BF414" s="2"/>
      <c r="BG414" s="2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</row>
    <row r="415" ht="14.25" customHeight="1">
      <c r="AA415" s="2"/>
      <c r="AF415" s="2"/>
      <c r="AG415" s="2"/>
      <c r="AH415" s="2"/>
      <c r="AI415" s="2"/>
      <c r="AJ415" s="2"/>
      <c r="AK415" s="2"/>
      <c r="AL415" s="2"/>
      <c r="AM415" s="2"/>
      <c r="AT415" s="2"/>
      <c r="AU415" s="2"/>
      <c r="AV415" s="2"/>
      <c r="AW415" s="2"/>
      <c r="AX415" s="2"/>
      <c r="AY415" s="2"/>
      <c r="AZ415" s="2"/>
      <c r="BA415" s="2"/>
      <c r="BC415" s="2"/>
      <c r="BD415" s="2"/>
      <c r="BE415" s="2"/>
      <c r="BF415" s="2"/>
      <c r="BG415" s="2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</row>
    <row r="416" ht="14.25" customHeight="1">
      <c r="AA416" s="2"/>
      <c r="AF416" s="2"/>
      <c r="AG416" s="2"/>
      <c r="AH416" s="2"/>
      <c r="AI416" s="2"/>
      <c r="AJ416" s="2"/>
      <c r="AK416" s="2"/>
      <c r="AL416" s="2"/>
      <c r="AM416" s="2"/>
      <c r="AT416" s="2"/>
      <c r="AU416" s="2"/>
      <c r="AV416" s="2"/>
      <c r="AW416" s="2"/>
      <c r="AX416" s="2"/>
      <c r="AY416" s="2"/>
      <c r="AZ416" s="2"/>
      <c r="BA416" s="2"/>
      <c r="BC416" s="2"/>
      <c r="BD416" s="2"/>
      <c r="BE416" s="2"/>
      <c r="BF416" s="2"/>
      <c r="BG416" s="2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</row>
    <row r="417" ht="14.25" customHeight="1">
      <c r="AA417" s="2"/>
      <c r="AF417" s="2"/>
      <c r="AG417" s="2"/>
      <c r="AH417" s="2"/>
      <c r="AI417" s="2"/>
      <c r="AJ417" s="2"/>
      <c r="AK417" s="2"/>
      <c r="AL417" s="2"/>
      <c r="AM417" s="2"/>
      <c r="AT417" s="2"/>
      <c r="AU417" s="2"/>
      <c r="AV417" s="2"/>
      <c r="AW417" s="2"/>
      <c r="AX417" s="2"/>
      <c r="AY417" s="2"/>
      <c r="AZ417" s="2"/>
      <c r="BA417" s="2"/>
      <c r="BC417" s="2"/>
      <c r="BD417" s="2"/>
      <c r="BE417" s="2"/>
      <c r="BF417" s="2"/>
      <c r="BG417" s="2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</row>
    <row r="418" ht="14.25" customHeight="1">
      <c r="AA418" s="2"/>
      <c r="AF418" s="2"/>
      <c r="AG418" s="2"/>
      <c r="AH418" s="2"/>
      <c r="AI418" s="2"/>
      <c r="AJ418" s="2"/>
      <c r="AK418" s="2"/>
      <c r="AL418" s="2"/>
      <c r="AM418" s="2"/>
      <c r="AT418" s="2"/>
      <c r="AU418" s="2"/>
      <c r="AV418" s="2"/>
      <c r="AW418" s="2"/>
      <c r="AX418" s="2"/>
      <c r="AY418" s="2"/>
      <c r="AZ418" s="2"/>
      <c r="BA418" s="2"/>
      <c r="BC418" s="2"/>
      <c r="BD418" s="2"/>
      <c r="BE418" s="2"/>
      <c r="BF418" s="2"/>
      <c r="BG418" s="2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</row>
    <row r="419" ht="14.25" customHeight="1">
      <c r="AA419" s="2"/>
      <c r="AF419" s="2"/>
      <c r="AG419" s="2"/>
      <c r="AH419" s="2"/>
      <c r="AI419" s="2"/>
      <c r="AJ419" s="2"/>
      <c r="AK419" s="2"/>
      <c r="AL419" s="2"/>
      <c r="AM419" s="2"/>
      <c r="AT419" s="2"/>
      <c r="AU419" s="2"/>
      <c r="AV419" s="2"/>
      <c r="AW419" s="2"/>
      <c r="AX419" s="2"/>
      <c r="AY419" s="2"/>
      <c r="AZ419" s="2"/>
      <c r="BA419" s="2"/>
      <c r="BC419" s="2"/>
      <c r="BD419" s="2"/>
      <c r="BE419" s="2"/>
      <c r="BF419" s="2"/>
      <c r="BG419" s="2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</row>
    <row r="420" ht="14.25" customHeight="1">
      <c r="AA420" s="2"/>
      <c r="AF420" s="2"/>
      <c r="AG420" s="2"/>
      <c r="AH420" s="2"/>
      <c r="AI420" s="2"/>
      <c r="AJ420" s="2"/>
      <c r="AK420" s="2"/>
      <c r="AL420" s="2"/>
      <c r="AM420" s="2"/>
      <c r="AT420" s="2"/>
      <c r="AU420" s="2"/>
      <c r="AV420" s="2"/>
      <c r="AW420" s="2"/>
      <c r="AX420" s="2"/>
      <c r="AY420" s="2"/>
      <c r="AZ420" s="2"/>
      <c r="BA420" s="2"/>
      <c r="BC420" s="2"/>
      <c r="BD420" s="2"/>
      <c r="BE420" s="2"/>
      <c r="BF420" s="2"/>
      <c r="BG420" s="2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</row>
    <row r="421" ht="14.25" customHeight="1">
      <c r="AA421" s="2"/>
      <c r="AF421" s="2"/>
      <c r="AG421" s="2"/>
      <c r="AH421" s="2"/>
      <c r="AI421" s="2"/>
      <c r="AJ421" s="2"/>
      <c r="AK421" s="2"/>
      <c r="AL421" s="2"/>
      <c r="AM421" s="2"/>
      <c r="AT421" s="2"/>
      <c r="AU421" s="2"/>
      <c r="AV421" s="2"/>
      <c r="AW421" s="2"/>
      <c r="AX421" s="2"/>
      <c r="AY421" s="2"/>
      <c r="AZ421" s="2"/>
      <c r="BA421" s="2"/>
      <c r="BC421" s="2"/>
      <c r="BD421" s="2"/>
      <c r="BE421" s="2"/>
      <c r="BF421" s="2"/>
      <c r="BG421" s="2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</row>
    <row r="422" ht="14.25" customHeight="1">
      <c r="AA422" s="2"/>
      <c r="AF422" s="2"/>
      <c r="AG422" s="2"/>
      <c r="AH422" s="2"/>
      <c r="AI422" s="2"/>
      <c r="AJ422" s="2"/>
      <c r="AK422" s="2"/>
      <c r="AL422" s="2"/>
      <c r="AM422" s="2"/>
      <c r="AT422" s="2"/>
      <c r="AU422" s="2"/>
      <c r="AV422" s="2"/>
      <c r="AW422" s="2"/>
      <c r="AX422" s="2"/>
      <c r="AY422" s="2"/>
      <c r="AZ422" s="2"/>
      <c r="BA422" s="2"/>
      <c r="BC422" s="2"/>
      <c r="BD422" s="2"/>
      <c r="BE422" s="2"/>
      <c r="BF422" s="2"/>
      <c r="BG422" s="2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</row>
    <row r="423" ht="14.25" customHeight="1">
      <c r="AA423" s="2"/>
      <c r="AF423" s="2"/>
      <c r="AG423" s="2"/>
      <c r="AH423" s="2"/>
      <c r="AI423" s="2"/>
      <c r="AJ423" s="2"/>
      <c r="AK423" s="2"/>
      <c r="AL423" s="2"/>
      <c r="AM423" s="2"/>
      <c r="AT423" s="2"/>
      <c r="AU423" s="2"/>
      <c r="AV423" s="2"/>
      <c r="AW423" s="2"/>
      <c r="AX423" s="2"/>
      <c r="AY423" s="2"/>
      <c r="AZ423" s="2"/>
      <c r="BA423" s="2"/>
      <c r="BC423" s="2"/>
      <c r="BD423" s="2"/>
      <c r="BE423" s="2"/>
      <c r="BF423" s="2"/>
      <c r="BG423" s="2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</row>
    <row r="424" ht="14.25" customHeight="1">
      <c r="AA424" s="2"/>
      <c r="AF424" s="2"/>
      <c r="AG424" s="2"/>
      <c r="AH424" s="2"/>
      <c r="AI424" s="2"/>
      <c r="AJ424" s="2"/>
      <c r="AK424" s="2"/>
      <c r="AL424" s="2"/>
      <c r="AM424" s="2"/>
      <c r="AT424" s="2"/>
      <c r="AU424" s="2"/>
      <c r="AV424" s="2"/>
      <c r="AW424" s="2"/>
      <c r="AX424" s="2"/>
      <c r="AY424" s="2"/>
      <c r="AZ424" s="2"/>
      <c r="BA424" s="2"/>
      <c r="BC424" s="2"/>
      <c r="BD424" s="2"/>
      <c r="BE424" s="2"/>
      <c r="BF424" s="2"/>
      <c r="BG424" s="2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</row>
    <row r="425" ht="14.25" customHeight="1">
      <c r="AA425" s="2"/>
      <c r="AF425" s="2"/>
      <c r="AG425" s="2"/>
      <c r="AH425" s="2"/>
      <c r="AI425" s="2"/>
      <c r="AJ425" s="2"/>
      <c r="AK425" s="2"/>
      <c r="AL425" s="2"/>
      <c r="AM425" s="2"/>
      <c r="AT425" s="2"/>
      <c r="AU425" s="2"/>
      <c r="AV425" s="2"/>
      <c r="AW425" s="2"/>
      <c r="AX425" s="2"/>
      <c r="AY425" s="2"/>
      <c r="AZ425" s="2"/>
      <c r="BA425" s="2"/>
      <c r="BC425" s="2"/>
      <c r="BD425" s="2"/>
      <c r="BE425" s="2"/>
      <c r="BF425" s="2"/>
      <c r="BG425" s="2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</row>
    <row r="426" ht="14.25" customHeight="1">
      <c r="AA426" s="2"/>
      <c r="AF426" s="2"/>
      <c r="AG426" s="2"/>
      <c r="AH426" s="2"/>
      <c r="AI426" s="2"/>
      <c r="AJ426" s="2"/>
      <c r="AK426" s="2"/>
      <c r="AL426" s="2"/>
      <c r="AM426" s="2"/>
      <c r="AT426" s="2"/>
      <c r="AU426" s="2"/>
      <c r="AV426" s="2"/>
      <c r="AW426" s="2"/>
      <c r="AX426" s="2"/>
      <c r="AY426" s="2"/>
      <c r="AZ426" s="2"/>
      <c r="BA426" s="2"/>
      <c r="BC426" s="2"/>
      <c r="BD426" s="2"/>
      <c r="BE426" s="2"/>
      <c r="BF426" s="2"/>
      <c r="BG426" s="2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</row>
    <row r="427" ht="14.25" customHeight="1">
      <c r="AA427" s="2"/>
      <c r="AF427" s="2"/>
      <c r="AG427" s="2"/>
      <c r="AH427" s="2"/>
      <c r="AI427" s="2"/>
      <c r="AJ427" s="2"/>
      <c r="AK427" s="2"/>
      <c r="AL427" s="2"/>
      <c r="AM427" s="2"/>
      <c r="AT427" s="2"/>
      <c r="AU427" s="2"/>
      <c r="AV427" s="2"/>
      <c r="AW427" s="2"/>
      <c r="AX427" s="2"/>
      <c r="AY427" s="2"/>
      <c r="AZ427" s="2"/>
      <c r="BA427" s="2"/>
      <c r="BC427" s="2"/>
      <c r="BD427" s="2"/>
      <c r="BE427" s="2"/>
      <c r="BF427" s="2"/>
      <c r="BG427" s="2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</row>
    <row r="428" ht="14.25" customHeight="1">
      <c r="AA428" s="2"/>
      <c r="AF428" s="2"/>
      <c r="AG428" s="2"/>
      <c r="AH428" s="2"/>
      <c r="AI428" s="2"/>
      <c r="AJ428" s="2"/>
      <c r="AK428" s="2"/>
      <c r="AL428" s="2"/>
      <c r="AM428" s="2"/>
      <c r="AT428" s="2"/>
      <c r="AU428" s="2"/>
      <c r="AV428" s="2"/>
      <c r="AW428" s="2"/>
      <c r="AX428" s="2"/>
      <c r="AY428" s="2"/>
      <c r="AZ428" s="2"/>
      <c r="BA428" s="2"/>
      <c r="BC428" s="2"/>
      <c r="BD428" s="2"/>
      <c r="BE428" s="2"/>
      <c r="BF428" s="2"/>
      <c r="BG428" s="2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</row>
    <row r="429" ht="14.25" customHeight="1">
      <c r="AA429" s="2"/>
      <c r="AF429" s="2"/>
      <c r="AG429" s="2"/>
      <c r="AH429" s="2"/>
      <c r="AI429" s="2"/>
      <c r="AJ429" s="2"/>
      <c r="AK429" s="2"/>
      <c r="AL429" s="2"/>
      <c r="AM429" s="2"/>
      <c r="AT429" s="2"/>
      <c r="AU429" s="2"/>
      <c r="AV429" s="2"/>
      <c r="AW429" s="2"/>
      <c r="AX429" s="2"/>
      <c r="AY429" s="2"/>
      <c r="AZ429" s="2"/>
      <c r="BA429" s="2"/>
      <c r="BC429" s="2"/>
      <c r="BD429" s="2"/>
      <c r="BE429" s="2"/>
      <c r="BF429" s="2"/>
      <c r="BG429" s="2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</row>
    <row r="430" ht="14.25" customHeight="1">
      <c r="AA430" s="2"/>
      <c r="AF430" s="2"/>
      <c r="AG430" s="2"/>
      <c r="AH430" s="2"/>
      <c r="AI430" s="2"/>
      <c r="AJ430" s="2"/>
      <c r="AK430" s="2"/>
      <c r="AL430" s="2"/>
      <c r="AM430" s="2"/>
      <c r="AT430" s="2"/>
      <c r="AU430" s="2"/>
      <c r="AV430" s="2"/>
      <c r="AW430" s="2"/>
      <c r="AX430" s="2"/>
      <c r="AY430" s="2"/>
      <c r="AZ430" s="2"/>
      <c r="BA430" s="2"/>
      <c r="BC430" s="2"/>
      <c r="BD430" s="2"/>
      <c r="BE430" s="2"/>
      <c r="BF430" s="2"/>
      <c r="BG430" s="2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</row>
    <row r="431" ht="14.25" customHeight="1">
      <c r="AA431" s="2"/>
      <c r="AF431" s="2"/>
      <c r="AG431" s="2"/>
      <c r="AH431" s="2"/>
      <c r="AI431" s="2"/>
      <c r="AJ431" s="2"/>
      <c r="AK431" s="2"/>
      <c r="AL431" s="2"/>
      <c r="AM431" s="2"/>
      <c r="AT431" s="2"/>
      <c r="AU431" s="2"/>
      <c r="AV431" s="2"/>
      <c r="AW431" s="2"/>
      <c r="AX431" s="2"/>
      <c r="AY431" s="2"/>
      <c r="AZ431" s="2"/>
      <c r="BA431" s="2"/>
      <c r="BC431" s="2"/>
      <c r="BD431" s="2"/>
      <c r="BE431" s="2"/>
      <c r="BF431" s="2"/>
      <c r="BG431" s="2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</row>
    <row r="432" ht="14.25" customHeight="1">
      <c r="AA432" s="2"/>
      <c r="AF432" s="2"/>
      <c r="AG432" s="2"/>
      <c r="AH432" s="2"/>
      <c r="AI432" s="2"/>
      <c r="AJ432" s="2"/>
      <c r="AK432" s="2"/>
      <c r="AL432" s="2"/>
      <c r="AM432" s="2"/>
      <c r="AT432" s="2"/>
      <c r="AU432" s="2"/>
      <c r="AV432" s="2"/>
      <c r="AW432" s="2"/>
      <c r="AX432" s="2"/>
      <c r="AY432" s="2"/>
      <c r="AZ432" s="2"/>
      <c r="BA432" s="2"/>
      <c r="BC432" s="2"/>
      <c r="BD432" s="2"/>
      <c r="BE432" s="2"/>
      <c r="BF432" s="2"/>
      <c r="BG432" s="2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</row>
    <row r="433" ht="14.25" customHeight="1">
      <c r="AA433" s="2"/>
      <c r="AF433" s="2"/>
      <c r="AG433" s="2"/>
      <c r="AH433" s="2"/>
      <c r="AI433" s="2"/>
      <c r="AJ433" s="2"/>
      <c r="AK433" s="2"/>
      <c r="AL433" s="2"/>
      <c r="AM433" s="2"/>
      <c r="AT433" s="2"/>
      <c r="AU433" s="2"/>
      <c r="AV433" s="2"/>
      <c r="AW433" s="2"/>
      <c r="AX433" s="2"/>
      <c r="AY433" s="2"/>
      <c r="AZ433" s="2"/>
      <c r="BA433" s="2"/>
      <c r="BC433" s="2"/>
      <c r="BD433" s="2"/>
      <c r="BE433" s="2"/>
      <c r="BF433" s="2"/>
      <c r="BG433" s="2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</row>
    <row r="434" ht="14.25" customHeight="1">
      <c r="AA434" s="2"/>
      <c r="AF434" s="2"/>
      <c r="AG434" s="2"/>
      <c r="AH434" s="2"/>
      <c r="AI434" s="2"/>
      <c r="AJ434" s="2"/>
      <c r="AK434" s="2"/>
      <c r="AL434" s="2"/>
      <c r="AM434" s="2"/>
      <c r="AT434" s="2"/>
      <c r="AU434" s="2"/>
      <c r="AV434" s="2"/>
      <c r="AW434" s="2"/>
      <c r="AX434" s="2"/>
      <c r="AY434" s="2"/>
      <c r="AZ434" s="2"/>
      <c r="BA434" s="2"/>
      <c r="BC434" s="2"/>
      <c r="BD434" s="2"/>
      <c r="BE434" s="2"/>
      <c r="BF434" s="2"/>
      <c r="BG434" s="2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</row>
    <row r="435" ht="14.25" customHeight="1">
      <c r="AA435" s="2"/>
      <c r="AF435" s="2"/>
      <c r="AG435" s="2"/>
      <c r="AH435" s="2"/>
      <c r="AI435" s="2"/>
      <c r="AJ435" s="2"/>
      <c r="AK435" s="2"/>
      <c r="AL435" s="2"/>
      <c r="AM435" s="2"/>
      <c r="AT435" s="2"/>
      <c r="AU435" s="2"/>
      <c r="AV435" s="2"/>
      <c r="AW435" s="2"/>
      <c r="AX435" s="2"/>
      <c r="AY435" s="2"/>
      <c r="AZ435" s="2"/>
      <c r="BA435" s="2"/>
      <c r="BC435" s="2"/>
      <c r="BD435" s="2"/>
      <c r="BE435" s="2"/>
      <c r="BF435" s="2"/>
      <c r="BG435" s="2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</row>
    <row r="436" ht="14.25" customHeight="1">
      <c r="AA436" s="2"/>
      <c r="AF436" s="2"/>
      <c r="AG436" s="2"/>
      <c r="AH436" s="2"/>
      <c r="AI436" s="2"/>
      <c r="AJ436" s="2"/>
      <c r="AK436" s="2"/>
      <c r="AL436" s="2"/>
      <c r="AM436" s="2"/>
      <c r="AT436" s="2"/>
      <c r="AU436" s="2"/>
      <c r="AV436" s="2"/>
      <c r="AW436" s="2"/>
      <c r="AX436" s="2"/>
      <c r="AY436" s="2"/>
      <c r="AZ436" s="2"/>
      <c r="BA436" s="2"/>
      <c r="BC436" s="2"/>
      <c r="BD436" s="2"/>
      <c r="BE436" s="2"/>
      <c r="BF436" s="2"/>
      <c r="BG436" s="2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</row>
    <row r="437" ht="14.25" customHeight="1">
      <c r="AA437" s="2"/>
      <c r="AF437" s="2"/>
      <c r="AG437" s="2"/>
      <c r="AH437" s="2"/>
      <c r="AI437" s="2"/>
      <c r="AJ437" s="2"/>
      <c r="AK437" s="2"/>
      <c r="AL437" s="2"/>
      <c r="AM437" s="2"/>
      <c r="AT437" s="2"/>
      <c r="AU437" s="2"/>
      <c r="AV437" s="2"/>
      <c r="AW437" s="2"/>
      <c r="AX437" s="2"/>
      <c r="AY437" s="2"/>
      <c r="AZ437" s="2"/>
      <c r="BA437" s="2"/>
      <c r="BC437" s="2"/>
      <c r="BD437" s="2"/>
      <c r="BE437" s="2"/>
      <c r="BF437" s="2"/>
      <c r="BG437" s="2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</row>
    <row r="438" ht="14.25" customHeight="1">
      <c r="AA438" s="2"/>
      <c r="AF438" s="2"/>
      <c r="AG438" s="2"/>
      <c r="AH438" s="2"/>
      <c r="AI438" s="2"/>
      <c r="AJ438" s="2"/>
      <c r="AK438" s="2"/>
      <c r="AL438" s="2"/>
      <c r="AM438" s="2"/>
      <c r="AT438" s="2"/>
      <c r="AU438" s="2"/>
      <c r="AV438" s="2"/>
      <c r="AW438" s="2"/>
      <c r="AX438" s="2"/>
      <c r="AY438" s="2"/>
      <c r="AZ438" s="2"/>
      <c r="BA438" s="2"/>
      <c r="BC438" s="2"/>
      <c r="BD438" s="2"/>
      <c r="BE438" s="2"/>
      <c r="BF438" s="2"/>
      <c r="BG438" s="2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</row>
    <row r="439" ht="14.25" customHeight="1">
      <c r="AA439" s="2"/>
      <c r="AF439" s="2"/>
      <c r="AG439" s="2"/>
      <c r="AH439" s="2"/>
      <c r="AI439" s="2"/>
      <c r="AJ439" s="2"/>
      <c r="AK439" s="2"/>
      <c r="AL439" s="2"/>
      <c r="AM439" s="2"/>
      <c r="AT439" s="2"/>
      <c r="AU439" s="2"/>
      <c r="AV439" s="2"/>
      <c r="AW439" s="2"/>
      <c r="AX439" s="2"/>
      <c r="AY439" s="2"/>
      <c r="AZ439" s="2"/>
      <c r="BA439" s="2"/>
      <c r="BC439" s="2"/>
      <c r="BD439" s="2"/>
      <c r="BE439" s="2"/>
      <c r="BF439" s="2"/>
      <c r="BG439" s="2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</row>
    <row r="440" ht="14.25" customHeight="1">
      <c r="AA440" s="2"/>
      <c r="AF440" s="2"/>
      <c r="AG440" s="2"/>
      <c r="AH440" s="2"/>
      <c r="AI440" s="2"/>
      <c r="AJ440" s="2"/>
      <c r="AK440" s="2"/>
      <c r="AL440" s="2"/>
      <c r="AM440" s="2"/>
      <c r="AT440" s="2"/>
      <c r="AU440" s="2"/>
      <c r="AV440" s="2"/>
      <c r="AW440" s="2"/>
      <c r="AX440" s="2"/>
      <c r="AY440" s="2"/>
      <c r="AZ440" s="2"/>
      <c r="BA440" s="2"/>
      <c r="BC440" s="2"/>
      <c r="BD440" s="2"/>
      <c r="BE440" s="2"/>
      <c r="BF440" s="2"/>
      <c r="BG440" s="2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</row>
    <row r="441" ht="14.25" customHeight="1">
      <c r="AA441" s="2"/>
      <c r="AF441" s="2"/>
      <c r="AG441" s="2"/>
      <c r="AH441" s="2"/>
      <c r="AI441" s="2"/>
      <c r="AJ441" s="2"/>
      <c r="AK441" s="2"/>
      <c r="AL441" s="2"/>
      <c r="AM441" s="2"/>
      <c r="AT441" s="2"/>
      <c r="AU441" s="2"/>
      <c r="AV441" s="2"/>
      <c r="AW441" s="2"/>
      <c r="AX441" s="2"/>
      <c r="AY441" s="2"/>
      <c r="AZ441" s="2"/>
      <c r="BA441" s="2"/>
      <c r="BC441" s="2"/>
      <c r="BD441" s="2"/>
      <c r="BE441" s="2"/>
      <c r="BF441" s="2"/>
      <c r="BG441" s="2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</row>
    <row r="442" ht="14.25" customHeight="1">
      <c r="AA442" s="2"/>
      <c r="AF442" s="2"/>
      <c r="AG442" s="2"/>
      <c r="AH442" s="2"/>
      <c r="AI442" s="2"/>
      <c r="AJ442" s="2"/>
      <c r="AK442" s="2"/>
      <c r="AL442" s="2"/>
      <c r="AM442" s="2"/>
      <c r="AT442" s="2"/>
      <c r="AU442" s="2"/>
      <c r="AV442" s="2"/>
      <c r="AW442" s="2"/>
      <c r="AX442" s="2"/>
      <c r="AY442" s="2"/>
      <c r="AZ442" s="2"/>
      <c r="BA442" s="2"/>
      <c r="BC442" s="2"/>
      <c r="BD442" s="2"/>
      <c r="BE442" s="2"/>
      <c r="BF442" s="2"/>
      <c r="BG442" s="2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</row>
    <row r="443" ht="14.25" customHeight="1">
      <c r="AA443" s="2"/>
      <c r="AF443" s="2"/>
      <c r="AG443" s="2"/>
      <c r="AH443" s="2"/>
      <c r="AI443" s="2"/>
      <c r="AJ443" s="2"/>
      <c r="AK443" s="2"/>
      <c r="AL443" s="2"/>
      <c r="AM443" s="2"/>
      <c r="AT443" s="2"/>
      <c r="AU443" s="2"/>
      <c r="AV443" s="2"/>
      <c r="AW443" s="2"/>
      <c r="AX443" s="2"/>
      <c r="AY443" s="2"/>
      <c r="AZ443" s="2"/>
      <c r="BA443" s="2"/>
      <c r="BC443" s="2"/>
      <c r="BD443" s="2"/>
      <c r="BE443" s="2"/>
      <c r="BF443" s="2"/>
      <c r="BG443" s="2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</row>
    <row r="444" ht="14.25" customHeight="1">
      <c r="AA444" s="2"/>
      <c r="AF444" s="2"/>
      <c r="AG444" s="2"/>
      <c r="AH444" s="2"/>
      <c r="AI444" s="2"/>
      <c r="AJ444" s="2"/>
      <c r="AK444" s="2"/>
      <c r="AL444" s="2"/>
      <c r="AM444" s="2"/>
      <c r="AT444" s="2"/>
      <c r="AU444" s="2"/>
      <c r="AV444" s="2"/>
      <c r="AW444" s="2"/>
      <c r="AX444" s="2"/>
      <c r="AY444" s="2"/>
      <c r="AZ444" s="2"/>
      <c r="BA444" s="2"/>
      <c r="BC444" s="2"/>
      <c r="BD444" s="2"/>
      <c r="BE444" s="2"/>
      <c r="BF444" s="2"/>
      <c r="BG444" s="2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</row>
    <row r="445" ht="14.25" customHeight="1">
      <c r="AA445" s="2"/>
      <c r="AF445" s="2"/>
      <c r="AG445" s="2"/>
      <c r="AH445" s="2"/>
      <c r="AI445" s="2"/>
      <c r="AJ445" s="2"/>
      <c r="AK445" s="2"/>
      <c r="AL445" s="2"/>
      <c r="AM445" s="2"/>
      <c r="AT445" s="2"/>
      <c r="AU445" s="2"/>
      <c r="AV445" s="2"/>
      <c r="AW445" s="2"/>
      <c r="AX445" s="2"/>
      <c r="AY445" s="2"/>
      <c r="AZ445" s="2"/>
      <c r="BA445" s="2"/>
      <c r="BC445" s="2"/>
      <c r="BD445" s="2"/>
      <c r="BE445" s="2"/>
      <c r="BF445" s="2"/>
      <c r="BG445" s="2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</row>
    <row r="446" ht="14.25" customHeight="1">
      <c r="AA446" s="2"/>
      <c r="AF446" s="2"/>
      <c r="AG446" s="2"/>
      <c r="AH446" s="2"/>
      <c r="AI446" s="2"/>
      <c r="AJ446" s="2"/>
      <c r="AK446" s="2"/>
      <c r="AL446" s="2"/>
      <c r="AM446" s="2"/>
      <c r="AT446" s="2"/>
      <c r="AU446" s="2"/>
      <c r="AV446" s="2"/>
      <c r="AW446" s="2"/>
      <c r="AX446" s="2"/>
      <c r="AY446" s="2"/>
      <c r="AZ446" s="2"/>
      <c r="BA446" s="2"/>
      <c r="BC446" s="2"/>
      <c r="BD446" s="2"/>
      <c r="BE446" s="2"/>
      <c r="BF446" s="2"/>
      <c r="BG446" s="2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</row>
    <row r="447" ht="14.25" customHeight="1">
      <c r="AA447" s="2"/>
      <c r="AF447" s="2"/>
      <c r="AG447" s="2"/>
      <c r="AH447" s="2"/>
      <c r="AI447" s="2"/>
      <c r="AJ447" s="2"/>
      <c r="AK447" s="2"/>
      <c r="AL447" s="2"/>
      <c r="AM447" s="2"/>
      <c r="AT447" s="2"/>
      <c r="AU447" s="2"/>
      <c r="AV447" s="2"/>
      <c r="AW447" s="2"/>
      <c r="AX447" s="2"/>
      <c r="AY447" s="2"/>
      <c r="AZ447" s="2"/>
      <c r="BA447" s="2"/>
      <c r="BC447" s="2"/>
      <c r="BD447" s="2"/>
      <c r="BE447" s="2"/>
      <c r="BF447" s="2"/>
      <c r="BG447" s="2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</row>
    <row r="448" ht="14.25" customHeight="1">
      <c r="AA448" s="2"/>
      <c r="AF448" s="2"/>
      <c r="AG448" s="2"/>
      <c r="AH448" s="2"/>
      <c r="AI448" s="2"/>
      <c r="AJ448" s="2"/>
      <c r="AK448" s="2"/>
      <c r="AL448" s="2"/>
      <c r="AM448" s="2"/>
      <c r="AT448" s="2"/>
      <c r="AU448" s="2"/>
      <c r="AV448" s="2"/>
      <c r="AW448" s="2"/>
      <c r="AX448" s="2"/>
      <c r="AY448" s="2"/>
      <c r="AZ448" s="2"/>
      <c r="BA448" s="2"/>
      <c r="BC448" s="2"/>
      <c r="BD448" s="2"/>
      <c r="BE448" s="2"/>
      <c r="BF448" s="2"/>
      <c r="BG448" s="2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</row>
    <row r="449" ht="14.25" customHeight="1">
      <c r="AA449" s="2"/>
      <c r="AF449" s="2"/>
      <c r="AG449" s="2"/>
      <c r="AH449" s="2"/>
      <c r="AI449" s="2"/>
      <c r="AJ449" s="2"/>
      <c r="AK449" s="2"/>
      <c r="AL449" s="2"/>
      <c r="AM449" s="2"/>
      <c r="AT449" s="2"/>
      <c r="AU449" s="2"/>
      <c r="AV449" s="2"/>
      <c r="AW449" s="2"/>
      <c r="AX449" s="2"/>
      <c r="AY449" s="2"/>
      <c r="AZ449" s="2"/>
      <c r="BA449" s="2"/>
      <c r="BC449" s="2"/>
      <c r="BD449" s="2"/>
      <c r="BE449" s="2"/>
      <c r="BF449" s="2"/>
      <c r="BG449" s="2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</row>
    <row r="450" ht="14.25" customHeight="1">
      <c r="AA450" s="2"/>
      <c r="AF450" s="2"/>
      <c r="AG450" s="2"/>
      <c r="AH450" s="2"/>
      <c r="AI450" s="2"/>
      <c r="AJ450" s="2"/>
      <c r="AK450" s="2"/>
      <c r="AL450" s="2"/>
      <c r="AM450" s="2"/>
      <c r="AT450" s="2"/>
      <c r="AU450" s="2"/>
      <c r="AV450" s="2"/>
      <c r="AW450" s="2"/>
      <c r="AX450" s="2"/>
      <c r="AY450" s="2"/>
      <c r="AZ450" s="2"/>
      <c r="BA450" s="2"/>
      <c r="BC450" s="2"/>
      <c r="BD450" s="2"/>
      <c r="BE450" s="2"/>
      <c r="BF450" s="2"/>
      <c r="BG450" s="2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</row>
    <row r="451" ht="14.25" customHeight="1">
      <c r="AA451" s="2"/>
      <c r="AF451" s="2"/>
      <c r="AG451" s="2"/>
      <c r="AH451" s="2"/>
      <c r="AI451" s="2"/>
      <c r="AJ451" s="2"/>
      <c r="AK451" s="2"/>
      <c r="AL451" s="2"/>
      <c r="AM451" s="2"/>
      <c r="AT451" s="2"/>
      <c r="AU451" s="2"/>
      <c r="AV451" s="2"/>
      <c r="AW451" s="2"/>
      <c r="AX451" s="2"/>
      <c r="AY451" s="2"/>
      <c r="AZ451" s="2"/>
      <c r="BA451" s="2"/>
      <c r="BC451" s="2"/>
      <c r="BD451" s="2"/>
      <c r="BE451" s="2"/>
      <c r="BF451" s="2"/>
      <c r="BG451" s="2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</row>
    <row r="452" ht="14.25" customHeight="1">
      <c r="AA452" s="2"/>
      <c r="AF452" s="2"/>
      <c r="AG452" s="2"/>
      <c r="AH452" s="2"/>
      <c r="AI452" s="2"/>
      <c r="AJ452" s="2"/>
      <c r="AK452" s="2"/>
      <c r="AL452" s="2"/>
      <c r="AM452" s="2"/>
      <c r="AT452" s="2"/>
      <c r="AU452" s="2"/>
      <c r="AV452" s="2"/>
      <c r="AW452" s="2"/>
      <c r="AX452" s="2"/>
      <c r="AY452" s="2"/>
      <c r="AZ452" s="2"/>
      <c r="BA452" s="2"/>
      <c r="BC452" s="2"/>
      <c r="BD452" s="2"/>
      <c r="BE452" s="2"/>
      <c r="BF452" s="2"/>
      <c r="BG452" s="2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</row>
    <row r="453" ht="14.25" customHeight="1">
      <c r="AA453" s="2"/>
      <c r="AF453" s="2"/>
      <c r="AG453" s="2"/>
      <c r="AH453" s="2"/>
      <c r="AI453" s="2"/>
      <c r="AJ453" s="2"/>
      <c r="AK453" s="2"/>
      <c r="AL453" s="2"/>
      <c r="AM453" s="2"/>
      <c r="AT453" s="2"/>
      <c r="AU453" s="2"/>
      <c r="AV453" s="2"/>
      <c r="AW453" s="2"/>
      <c r="AX453" s="2"/>
      <c r="AY453" s="2"/>
      <c r="AZ453" s="2"/>
      <c r="BA453" s="2"/>
      <c r="BC453" s="2"/>
      <c r="BD453" s="2"/>
      <c r="BE453" s="2"/>
      <c r="BF453" s="2"/>
      <c r="BG453" s="2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</row>
    <row r="454" ht="14.25" customHeight="1">
      <c r="AA454" s="2"/>
      <c r="AF454" s="2"/>
      <c r="AG454" s="2"/>
      <c r="AH454" s="2"/>
      <c r="AI454" s="2"/>
      <c r="AJ454" s="2"/>
      <c r="AK454" s="2"/>
      <c r="AL454" s="2"/>
      <c r="AM454" s="2"/>
      <c r="AT454" s="2"/>
      <c r="AU454" s="2"/>
      <c r="AV454" s="2"/>
      <c r="AW454" s="2"/>
      <c r="AX454" s="2"/>
      <c r="AY454" s="2"/>
      <c r="AZ454" s="2"/>
      <c r="BA454" s="2"/>
      <c r="BC454" s="2"/>
      <c r="BD454" s="2"/>
      <c r="BE454" s="2"/>
      <c r="BF454" s="2"/>
      <c r="BG454" s="2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</row>
    <row r="455" ht="14.25" customHeight="1">
      <c r="AA455" s="2"/>
      <c r="AF455" s="2"/>
      <c r="AG455" s="2"/>
      <c r="AH455" s="2"/>
      <c r="AI455" s="2"/>
      <c r="AJ455" s="2"/>
      <c r="AK455" s="2"/>
      <c r="AL455" s="2"/>
      <c r="AM455" s="2"/>
      <c r="AT455" s="2"/>
      <c r="AU455" s="2"/>
      <c r="AV455" s="2"/>
      <c r="AW455" s="2"/>
      <c r="AX455" s="2"/>
      <c r="AY455" s="2"/>
      <c r="AZ455" s="2"/>
      <c r="BA455" s="2"/>
      <c r="BC455" s="2"/>
      <c r="BD455" s="2"/>
      <c r="BE455" s="2"/>
      <c r="BF455" s="2"/>
      <c r="BG455" s="2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</row>
    <row r="456" ht="14.25" customHeight="1">
      <c r="AA456" s="2"/>
      <c r="AF456" s="2"/>
      <c r="AG456" s="2"/>
      <c r="AH456" s="2"/>
      <c r="AI456" s="2"/>
      <c r="AJ456" s="2"/>
      <c r="AK456" s="2"/>
      <c r="AL456" s="2"/>
      <c r="AM456" s="2"/>
      <c r="AT456" s="2"/>
      <c r="AU456" s="2"/>
      <c r="AV456" s="2"/>
      <c r="AW456" s="2"/>
      <c r="AX456" s="2"/>
      <c r="AY456" s="2"/>
      <c r="AZ456" s="2"/>
      <c r="BA456" s="2"/>
      <c r="BC456" s="2"/>
      <c r="BD456" s="2"/>
      <c r="BE456" s="2"/>
      <c r="BF456" s="2"/>
      <c r="BG456" s="2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</row>
    <row r="457" ht="14.25" customHeight="1">
      <c r="AA457" s="2"/>
      <c r="AF457" s="2"/>
      <c r="AG457" s="2"/>
      <c r="AH457" s="2"/>
      <c r="AI457" s="2"/>
      <c r="AJ457" s="2"/>
      <c r="AK457" s="2"/>
      <c r="AL457" s="2"/>
      <c r="AM457" s="2"/>
      <c r="AT457" s="2"/>
      <c r="AU457" s="2"/>
      <c r="AV457" s="2"/>
      <c r="AW457" s="2"/>
      <c r="AX457" s="2"/>
      <c r="AY457" s="2"/>
      <c r="AZ457" s="2"/>
      <c r="BA457" s="2"/>
      <c r="BC457" s="2"/>
      <c r="BD457" s="2"/>
      <c r="BE457" s="2"/>
      <c r="BF457" s="2"/>
      <c r="BG457" s="2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</row>
    <row r="458" ht="14.25" customHeight="1">
      <c r="AA458" s="2"/>
      <c r="AF458" s="2"/>
      <c r="AG458" s="2"/>
      <c r="AH458" s="2"/>
      <c r="AI458" s="2"/>
      <c r="AJ458" s="2"/>
      <c r="AK458" s="2"/>
      <c r="AL458" s="2"/>
      <c r="AM458" s="2"/>
      <c r="AT458" s="2"/>
      <c r="AU458" s="2"/>
      <c r="AV458" s="2"/>
      <c r="AW458" s="2"/>
      <c r="AX458" s="2"/>
      <c r="AY458" s="2"/>
      <c r="AZ458" s="2"/>
      <c r="BA458" s="2"/>
      <c r="BC458" s="2"/>
      <c r="BD458" s="2"/>
      <c r="BE458" s="2"/>
      <c r="BF458" s="2"/>
      <c r="BG458" s="2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</row>
    <row r="459" ht="14.25" customHeight="1">
      <c r="AA459" s="2"/>
      <c r="AF459" s="2"/>
      <c r="AG459" s="2"/>
      <c r="AH459" s="2"/>
      <c r="AI459" s="2"/>
      <c r="AJ459" s="2"/>
      <c r="AK459" s="2"/>
      <c r="AL459" s="2"/>
      <c r="AM459" s="2"/>
      <c r="AT459" s="2"/>
      <c r="AU459" s="2"/>
      <c r="AV459" s="2"/>
      <c r="AW459" s="2"/>
      <c r="AX459" s="2"/>
      <c r="AY459" s="2"/>
      <c r="AZ459" s="2"/>
      <c r="BA459" s="2"/>
      <c r="BC459" s="2"/>
      <c r="BD459" s="2"/>
      <c r="BE459" s="2"/>
      <c r="BF459" s="2"/>
      <c r="BG459" s="2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</row>
    <row r="460" ht="14.25" customHeight="1">
      <c r="AA460" s="2"/>
      <c r="AF460" s="2"/>
      <c r="AG460" s="2"/>
      <c r="AH460" s="2"/>
      <c r="AI460" s="2"/>
      <c r="AJ460" s="2"/>
      <c r="AK460" s="2"/>
      <c r="AL460" s="2"/>
      <c r="AM460" s="2"/>
      <c r="AT460" s="2"/>
      <c r="AU460" s="2"/>
      <c r="AV460" s="2"/>
      <c r="AW460" s="2"/>
      <c r="AX460" s="2"/>
      <c r="AY460" s="2"/>
      <c r="AZ460" s="2"/>
      <c r="BA460" s="2"/>
      <c r="BC460" s="2"/>
      <c r="BD460" s="2"/>
      <c r="BE460" s="2"/>
      <c r="BF460" s="2"/>
      <c r="BG460" s="2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</row>
    <row r="461" ht="14.25" customHeight="1">
      <c r="AA461" s="2"/>
      <c r="AF461" s="2"/>
      <c r="AG461" s="2"/>
      <c r="AH461" s="2"/>
      <c r="AI461" s="2"/>
      <c r="AJ461" s="2"/>
      <c r="AK461" s="2"/>
      <c r="AL461" s="2"/>
      <c r="AM461" s="2"/>
      <c r="AT461" s="2"/>
      <c r="AU461" s="2"/>
      <c r="AV461" s="2"/>
      <c r="AW461" s="2"/>
      <c r="AX461" s="2"/>
      <c r="AY461" s="2"/>
      <c r="AZ461" s="2"/>
      <c r="BA461" s="2"/>
      <c r="BC461" s="2"/>
      <c r="BD461" s="2"/>
      <c r="BE461" s="2"/>
      <c r="BF461" s="2"/>
      <c r="BG461" s="2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</row>
    <row r="462" ht="14.25" customHeight="1">
      <c r="AA462" s="2"/>
      <c r="AF462" s="2"/>
      <c r="AG462" s="2"/>
      <c r="AH462" s="2"/>
      <c r="AI462" s="2"/>
      <c r="AJ462" s="2"/>
      <c r="AK462" s="2"/>
      <c r="AL462" s="2"/>
      <c r="AM462" s="2"/>
      <c r="AT462" s="2"/>
      <c r="AU462" s="2"/>
      <c r="AV462" s="2"/>
      <c r="AW462" s="2"/>
      <c r="AX462" s="2"/>
      <c r="AY462" s="2"/>
      <c r="AZ462" s="2"/>
      <c r="BA462" s="2"/>
      <c r="BC462" s="2"/>
      <c r="BD462" s="2"/>
      <c r="BE462" s="2"/>
      <c r="BF462" s="2"/>
      <c r="BG462" s="2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</row>
    <row r="463" ht="14.25" customHeight="1">
      <c r="AA463" s="2"/>
      <c r="AF463" s="2"/>
      <c r="AG463" s="2"/>
      <c r="AH463" s="2"/>
      <c r="AI463" s="2"/>
      <c r="AJ463" s="2"/>
      <c r="AK463" s="2"/>
      <c r="AL463" s="2"/>
      <c r="AM463" s="2"/>
      <c r="AT463" s="2"/>
      <c r="AU463" s="2"/>
      <c r="AV463" s="2"/>
      <c r="AW463" s="2"/>
      <c r="AX463" s="2"/>
      <c r="AY463" s="2"/>
      <c r="AZ463" s="2"/>
      <c r="BA463" s="2"/>
      <c r="BC463" s="2"/>
      <c r="BD463" s="2"/>
      <c r="BE463" s="2"/>
      <c r="BF463" s="2"/>
      <c r="BG463" s="2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</row>
    <row r="464" ht="14.25" customHeight="1">
      <c r="AA464" s="2"/>
      <c r="AF464" s="2"/>
      <c r="AG464" s="2"/>
      <c r="AH464" s="2"/>
      <c r="AI464" s="2"/>
      <c r="AJ464" s="2"/>
      <c r="AK464" s="2"/>
      <c r="AL464" s="2"/>
      <c r="AM464" s="2"/>
      <c r="AT464" s="2"/>
      <c r="AU464" s="2"/>
      <c r="AV464" s="2"/>
      <c r="AW464" s="2"/>
      <c r="AX464" s="2"/>
      <c r="AY464" s="2"/>
      <c r="AZ464" s="2"/>
      <c r="BA464" s="2"/>
      <c r="BC464" s="2"/>
      <c r="BD464" s="2"/>
      <c r="BE464" s="2"/>
      <c r="BF464" s="2"/>
      <c r="BG464" s="2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</row>
    <row r="465" ht="14.25" customHeight="1">
      <c r="AA465" s="2"/>
      <c r="AF465" s="2"/>
      <c r="AG465" s="2"/>
      <c r="AH465" s="2"/>
      <c r="AI465" s="2"/>
      <c r="AJ465" s="2"/>
      <c r="AK465" s="2"/>
      <c r="AL465" s="2"/>
      <c r="AM465" s="2"/>
      <c r="AT465" s="2"/>
      <c r="AU465" s="2"/>
      <c r="AV465" s="2"/>
      <c r="AW465" s="2"/>
      <c r="AX465" s="2"/>
      <c r="AY465" s="2"/>
      <c r="AZ465" s="2"/>
      <c r="BA465" s="2"/>
      <c r="BC465" s="2"/>
      <c r="BD465" s="2"/>
      <c r="BE465" s="2"/>
      <c r="BF465" s="2"/>
      <c r="BG465" s="2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</row>
    <row r="466" ht="14.25" customHeight="1">
      <c r="AA466" s="2"/>
      <c r="AF466" s="2"/>
      <c r="AG466" s="2"/>
      <c r="AH466" s="2"/>
      <c r="AI466" s="2"/>
      <c r="AJ466" s="2"/>
      <c r="AK466" s="2"/>
      <c r="AL466" s="2"/>
      <c r="AM466" s="2"/>
      <c r="AT466" s="2"/>
      <c r="AU466" s="2"/>
      <c r="AV466" s="2"/>
      <c r="AW466" s="2"/>
      <c r="AX466" s="2"/>
      <c r="AY466" s="2"/>
      <c r="AZ466" s="2"/>
      <c r="BA466" s="2"/>
      <c r="BC466" s="2"/>
      <c r="BD466" s="2"/>
      <c r="BE466" s="2"/>
      <c r="BF466" s="2"/>
      <c r="BG466" s="2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</row>
    <row r="467" ht="14.25" customHeight="1">
      <c r="AA467" s="2"/>
      <c r="AF467" s="2"/>
      <c r="AG467" s="2"/>
      <c r="AH467" s="2"/>
      <c r="AI467" s="2"/>
      <c r="AJ467" s="2"/>
      <c r="AK467" s="2"/>
      <c r="AL467" s="2"/>
      <c r="AM467" s="2"/>
      <c r="AT467" s="2"/>
      <c r="AU467" s="2"/>
      <c r="AV467" s="2"/>
      <c r="AW467" s="2"/>
      <c r="AX467" s="2"/>
      <c r="AY467" s="2"/>
      <c r="AZ467" s="2"/>
      <c r="BA467" s="2"/>
      <c r="BC467" s="2"/>
      <c r="BD467" s="2"/>
      <c r="BE467" s="2"/>
      <c r="BF467" s="2"/>
      <c r="BG467" s="2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</row>
    <row r="468" ht="14.25" customHeight="1">
      <c r="AA468" s="2"/>
      <c r="AF468" s="2"/>
      <c r="AG468" s="2"/>
      <c r="AH468" s="2"/>
      <c r="AI468" s="2"/>
      <c r="AJ468" s="2"/>
      <c r="AK468" s="2"/>
      <c r="AL468" s="2"/>
      <c r="AM468" s="2"/>
      <c r="AT468" s="2"/>
      <c r="AU468" s="2"/>
      <c r="AV468" s="2"/>
      <c r="AW468" s="2"/>
      <c r="AX468" s="2"/>
      <c r="AY468" s="2"/>
      <c r="AZ468" s="2"/>
      <c r="BA468" s="2"/>
      <c r="BC468" s="2"/>
      <c r="BD468" s="2"/>
      <c r="BE468" s="2"/>
      <c r="BF468" s="2"/>
      <c r="BG468" s="2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</row>
    <row r="469" ht="14.25" customHeight="1">
      <c r="AA469" s="2"/>
      <c r="AF469" s="2"/>
      <c r="AG469" s="2"/>
      <c r="AH469" s="2"/>
      <c r="AI469" s="2"/>
      <c r="AJ469" s="2"/>
      <c r="AK469" s="2"/>
      <c r="AL469" s="2"/>
      <c r="AM469" s="2"/>
      <c r="AT469" s="2"/>
      <c r="AU469" s="2"/>
      <c r="AV469" s="2"/>
      <c r="AW469" s="2"/>
      <c r="AX469" s="2"/>
      <c r="AY469" s="2"/>
      <c r="AZ469" s="2"/>
      <c r="BA469" s="2"/>
      <c r="BC469" s="2"/>
      <c r="BD469" s="2"/>
      <c r="BE469" s="2"/>
      <c r="BF469" s="2"/>
      <c r="BG469" s="2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</row>
    <row r="470" ht="14.25" customHeight="1">
      <c r="AA470" s="2"/>
      <c r="AF470" s="2"/>
      <c r="AG470" s="2"/>
      <c r="AH470" s="2"/>
      <c r="AI470" s="2"/>
      <c r="AJ470" s="2"/>
      <c r="AK470" s="2"/>
      <c r="AL470" s="2"/>
      <c r="AM470" s="2"/>
      <c r="AT470" s="2"/>
      <c r="AU470" s="2"/>
      <c r="AV470" s="2"/>
      <c r="AW470" s="2"/>
      <c r="AX470" s="2"/>
      <c r="AY470" s="2"/>
      <c r="AZ470" s="2"/>
      <c r="BA470" s="2"/>
      <c r="BC470" s="2"/>
      <c r="BD470" s="2"/>
      <c r="BE470" s="2"/>
      <c r="BF470" s="2"/>
      <c r="BG470" s="2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</row>
    <row r="471" ht="14.25" customHeight="1">
      <c r="AA471" s="2"/>
      <c r="AF471" s="2"/>
      <c r="AG471" s="2"/>
      <c r="AH471" s="2"/>
      <c r="AI471" s="2"/>
      <c r="AJ471" s="2"/>
      <c r="AK471" s="2"/>
      <c r="AL471" s="2"/>
      <c r="AM471" s="2"/>
      <c r="AT471" s="2"/>
      <c r="AU471" s="2"/>
      <c r="AV471" s="2"/>
      <c r="AW471" s="2"/>
      <c r="AX471" s="2"/>
      <c r="AY471" s="2"/>
      <c r="AZ471" s="2"/>
      <c r="BA471" s="2"/>
      <c r="BC471" s="2"/>
      <c r="BD471" s="2"/>
      <c r="BE471" s="2"/>
      <c r="BF471" s="2"/>
      <c r="BG471" s="2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</row>
    <row r="472" ht="14.25" customHeight="1">
      <c r="AA472" s="2"/>
      <c r="AF472" s="2"/>
      <c r="AG472" s="2"/>
      <c r="AH472" s="2"/>
      <c r="AI472" s="2"/>
      <c r="AJ472" s="2"/>
      <c r="AK472" s="2"/>
      <c r="AL472" s="2"/>
      <c r="AM472" s="2"/>
      <c r="AT472" s="2"/>
      <c r="AU472" s="2"/>
      <c r="AV472" s="2"/>
      <c r="AW472" s="2"/>
      <c r="AX472" s="2"/>
      <c r="AY472" s="2"/>
      <c r="AZ472" s="2"/>
      <c r="BA472" s="2"/>
      <c r="BC472" s="2"/>
      <c r="BD472" s="2"/>
      <c r="BE472" s="2"/>
      <c r="BF472" s="2"/>
      <c r="BG472" s="2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</row>
    <row r="473" ht="14.25" customHeight="1">
      <c r="AA473" s="2"/>
      <c r="AF473" s="2"/>
      <c r="AG473" s="2"/>
      <c r="AH473" s="2"/>
      <c r="AI473" s="2"/>
      <c r="AJ473" s="2"/>
      <c r="AK473" s="2"/>
      <c r="AL473" s="2"/>
      <c r="AM473" s="2"/>
      <c r="AT473" s="2"/>
      <c r="AU473" s="2"/>
      <c r="AV473" s="2"/>
      <c r="AW473" s="2"/>
      <c r="AX473" s="2"/>
      <c r="AY473" s="2"/>
      <c r="AZ473" s="2"/>
      <c r="BA473" s="2"/>
      <c r="BC473" s="2"/>
      <c r="BD473" s="2"/>
      <c r="BE473" s="2"/>
      <c r="BF473" s="2"/>
      <c r="BG473" s="2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</row>
    <row r="474" ht="14.25" customHeight="1">
      <c r="AA474" s="2"/>
      <c r="AF474" s="2"/>
      <c r="AG474" s="2"/>
      <c r="AH474" s="2"/>
      <c r="AI474" s="2"/>
      <c r="AJ474" s="2"/>
      <c r="AK474" s="2"/>
      <c r="AL474" s="2"/>
      <c r="AM474" s="2"/>
      <c r="AT474" s="2"/>
      <c r="AU474" s="2"/>
      <c r="AV474" s="2"/>
      <c r="AW474" s="2"/>
      <c r="AX474" s="2"/>
      <c r="AY474" s="2"/>
      <c r="AZ474" s="2"/>
      <c r="BA474" s="2"/>
      <c r="BC474" s="2"/>
      <c r="BD474" s="2"/>
      <c r="BE474" s="2"/>
      <c r="BF474" s="2"/>
      <c r="BG474" s="2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</row>
    <row r="475" ht="14.25" customHeight="1">
      <c r="AA475" s="2"/>
      <c r="AF475" s="2"/>
      <c r="AG475" s="2"/>
      <c r="AH475" s="2"/>
      <c r="AI475" s="2"/>
      <c r="AJ475" s="2"/>
      <c r="AK475" s="2"/>
      <c r="AL475" s="2"/>
      <c r="AM475" s="2"/>
      <c r="AT475" s="2"/>
      <c r="AU475" s="2"/>
      <c r="AV475" s="2"/>
      <c r="AW475" s="2"/>
      <c r="AX475" s="2"/>
      <c r="AY475" s="2"/>
      <c r="AZ475" s="2"/>
      <c r="BA475" s="2"/>
      <c r="BC475" s="2"/>
      <c r="BD475" s="2"/>
      <c r="BE475" s="2"/>
      <c r="BF475" s="2"/>
      <c r="BG475" s="2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</row>
    <row r="476" ht="14.25" customHeight="1">
      <c r="AA476" s="2"/>
      <c r="AF476" s="2"/>
      <c r="AG476" s="2"/>
      <c r="AH476" s="2"/>
      <c r="AI476" s="2"/>
      <c r="AJ476" s="2"/>
      <c r="AK476" s="2"/>
      <c r="AL476" s="2"/>
      <c r="AM476" s="2"/>
      <c r="AT476" s="2"/>
      <c r="AU476" s="2"/>
      <c r="AV476" s="2"/>
      <c r="AW476" s="2"/>
      <c r="AX476" s="2"/>
      <c r="AY476" s="2"/>
      <c r="AZ476" s="2"/>
      <c r="BA476" s="2"/>
      <c r="BC476" s="2"/>
      <c r="BD476" s="2"/>
      <c r="BE476" s="2"/>
      <c r="BF476" s="2"/>
      <c r="BG476" s="2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</row>
    <row r="477" ht="14.25" customHeight="1">
      <c r="AA477" s="2"/>
      <c r="AF477" s="2"/>
      <c r="AG477" s="2"/>
      <c r="AH477" s="2"/>
      <c r="AI477" s="2"/>
      <c r="AJ477" s="2"/>
      <c r="AK477" s="2"/>
      <c r="AL477" s="2"/>
      <c r="AM477" s="2"/>
      <c r="AT477" s="2"/>
      <c r="AU477" s="2"/>
      <c r="AV477" s="2"/>
      <c r="AW477" s="2"/>
      <c r="AX477" s="2"/>
      <c r="AY477" s="2"/>
      <c r="AZ477" s="2"/>
      <c r="BA477" s="2"/>
      <c r="BC477" s="2"/>
      <c r="BD477" s="2"/>
      <c r="BE477" s="2"/>
      <c r="BF477" s="2"/>
      <c r="BG477" s="2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</row>
    <row r="478" ht="14.25" customHeight="1">
      <c r="AA478" s="2"/>
      <c r="AF478" s="2"/>
      <c r="AG478" s="2"/>
      <c r="AH478" s="2"/>
      <c r="AI478" s="2"/>
      <c r="AJ478" s="2"/>
      <c r="AK478" s="2"/>
      <c r="AL478" s="2"/>
      <c r="AM478" s="2"/>
      <c r="AT478" s="2"/>
      <c r="AU478" s="2"/>
      <c r="AV478" s="2"/>
      <c r="AW478" s="2"/>
      <c r="AX478" s="2"/>
      <c r="AY478" s="2"/>
      <c r="AZ478" s="2"/>
      <c r="BA478" s="2"/>
      <c r="BC478" s="2"/>
      <c r="BD478" s="2"/>
      <c r="BE478" s="2"/>
      <c r="BF478" s="2"/>
      <c r="BG478" s="2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</row>
    <row r="479" ht="14.25" customHeight="1">
      <c r="AA479" s="2"/>
      <c r="AF479" s="2"/>
      <c r="AG479" s="2"/>
      <c r="AH479" s="2"/>
      <c r="AI479" s="2"/>
      <c r="AJ479" s="2"/>
      <c r="AK479" s="2"/>
      <c r="AL479" s="2"/>
      <c r="AM479" s="2"/>
      <c r="AT479" s="2"/>
      <c r="AU479" s="2"/>
      <c r="AV479" s="2"/>
      <c r="AW479" s="2"/>
      <c r="AX479" s="2"/>
      <c r="AY479" s="2"/>
      <c r="AZ479" s="2"/>
      <c r="BA479" s="2"/>
      <c r="BC479" s="2"/>
      <c r="BD479" s="2"/>
      <c r="BE479" s="2"/>
      <c r="BF479" s="2"/>
      <c r="BG479" s="2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</row>
    <row r="480" ht="14.25" customHeight="1">
      <c r="AA480" s="2"/>
      <c r="AF480" s="2"/>
      <c r="AG480" s="2"/>
      <c r="AH480" s="2"/>
      <c r="AI480" s="2"/>
      <c r="AJ480" s="2"/>
      <c r="AK480" s="2"/>
      <c r="AL480" s="2"/>
      <c r="AM480" s="2"/>
      <c r="AT480" s="2"/>
      <c r="AU480" s="2"/>
      <c r="AV480" s="2"/>
      <c r="AW480" s="2"/>
      <c r="AX480" s="2"/>
      <c r="AY480" s="2"/>
      <c r="AZ480" s="2"/>
      <c r="BA480" s="2"/>
      <c r="BC480" s="2"/>
      <c r="BD480" s="2"/>
      <c r="BE480" s="2"/>
      <c r="BF480" s="2"/>
      <c r="BG480" s="2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</row>
    <row r="481" ht="14.25" customHeight="1">
      <c r="AA481" s="2"/>
      <c r="AF481" s="2"/>
      <c r="AG481" s="2"/>
      <c r="AH481" s="2"/>
      <c r="AI481" s="2"/>
      <c r="AJ481" s="2"/>
      <c r="AK481" s="2"/>
      <c r="AL481" s="2"/>
      <c r="AM481" s="2"/>
      <c r="AT481" s="2"/>
      <c r="AU481" s="2"/>
      <c r="AV481" s="2"/>
      <c r="AW481" s="2"/>
      <c r="AX481" s="2"/>
      <c r="AY481" s="2"/>
      <c r="AZ481" s="2"/>
      <c r="BA481" s="2"/>
      <c r="BC481" s="2"/>
      <c r="BD481" s="2"/>
      <c r="BE481" s="2"/>
      <c r="BF481" s="2"/>
      <c r="BG481" s="2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</row>
    <row r="482" ht="14.25" customHeight="1">
      <c r="AA482" s="2"/>
      <c r="AF482" s="2"/>
      <c r="AG482" s="2"/>
      <c r="AH482" s="2"/>
      <c r="AI482" s="2"/>
      <c r="AJ482" s="2"/>
      <c r="AK482" s="2"/>
      <c r="AL482" s="2"/>
      <c r="AM482" s="2"/>
      <c r="AT482" s="2"/>
      <c r="AU482" s="2"/>
      <c r="AV482" s="2"/>
      <c r="AW482" s="2"/>
      <c r="AX482" s="2"/>
      <c r="AY482" s="2"/>
      <c r="AZ482" s="2"/>
      <c r="BA482" s="2"/>
      <c r="BC482" s="2"/>
      <c r="BD482" s="2"/>
      <c r="BE482" s="2"/>
      <c r="BF482" s="2"/>
      <c r="BG482" s="2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</row>
    <row r="483" ht="14.25" customHeight="1">
      <c r="AA483" s="2"/>
      <c r="AF483" s="2"/>
      <c r="AG483" s="2"/>
      <c r="AH483" s="2"/>
      <c r="AI483" s="2"/>
      <c r="AJ483" s="2"/>
      <c r="AK483" s="2"/>
      <c r="AL483" s="2"/>
      <c r="AM483" s="2"/>
      <c r="AT483" s="2"/>
      <c r="AU483" s="2"/>
      <c r="AV483" s="2"/>
      <c r="AW483" s="2"/>
      <c r="AX483" s="2"/>
      <c r="AY483" s="2"/>
      <c r="AZ483" s="2"/>
      <c r="BA483" s="2"/>
      <c r="BC483" s="2"/>
      <c r="BD483" s="2"/>
      <c r="BE483" s="2"/>
      <c r="BF483" s="2"/>
      <c r="BG483" s="2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</row>
    <row r="484" ht="14.25" customHeight="1">
      <c r="AA484" s="2"/>
      <c r="AF484" s="2"/>
      <c r="AG484" s="2"/>
      <c r="AH484" s="2"/>
      <c r="AI484" s="2"/>
      <c r="AJ484" s="2"/>
      <c r="AK484" s="2"/>
      <c r="AL484" s="2"/>
      <c r="AM484" s="2"/>
      <c r="AT484" s="2"/>
      <c r="AU484" s="2"/>
      <c r="AV484" s="2"/>
      <c r="AW484" s="2"/>
      <c r="AX484" s="2"/>
      <c r="AY484" s="2"/>
      <c r="AZ484" s="2"/>
      <c r="BA484" s="2"/>
      <c r="BC484" s="2"/>
      <c r="BD484" s="2"/>
      <c r="BE484" s="2"/>
      <c r="BF484" s="2"/>
      <c r="BG484" s="2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</row>
    <row r="485" ht="14.25" customHeight="1">
      <c r="AA485" s="2"/>
      <c r="AF485" s="2"/>
      <c r="AG485" s="2"/>
      <c r="AH485" s="2"/>
      <c r="AI485" s="2"/>
      <c r="AJ485" s="2"/>
      <c r="AK485" s="2"/>
      <c r="AL485" s="2"/>
      <c r="AM485" s="2"/>
      <c r="AT485" s="2"/>
      <c r="AU485" s="2"/>
      <c r="AV485" s="2"/>
      <c r="AW485" s="2"/>
      <c r="AX485" s="2"/>
      <c r="AY485" s="2"/>
      <c r="AZ485" s="2"/>
      <c r="BA485" s="2"/>
      <c r="BC485" s="2"/>
      <c r="BD485" s="2"/>
      <c r="BE485" s="2"/>
      <c r="BF485" s="2"/>
      <c r="BG485" s="2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</row>
    <row r="486" ht="14.25" customHeight="1">
      <c r="AA486" s="2"/>
      <c r="AF486" s="2"/>
      <c r="AG486" s="2"/>
      <c r="AH486" s="2"/>
      <c r="AI486" s="2"/>
      <c r="AJ486" s="2"/>
      <c r="AK486" s="2"/>
      <c r="AL486" s="2"/>
      <c r="AM486" s="2"/>
      <c r="AT486" s="2"/>
      <c r="AU486" s="2"/>
      <c r="AV486" s="2"/>
      <c r="AW486" s="2"/>
      <c r="AX486" s="2"/>
      <c r="AY486" s="2"/>
      <c r="AZ486" s="2"/>
      <c r="BA486" s="2"/>
      <c r="BC486" s="2"/>
      <c r="BD486" s="2"/>
      <c r="BE486" s="2"/>
      <c r="BF486" s="2"/>
      <c r="BG486" s="2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</row>
    <row r="487" ht="14.25" customHeight="1">
      <c r="AA487" s="2"/>
      <c r="AF487" s="2"/>
      <c r="AG487" s="2"/>
      <c r="AH487" s="2"/>
      <c r="AI487" s="2"/>
      <c r="AJ487" s="2"/>
      <c r="AK487" s="2"/>
      <c r="AL487" s="2"/>
      <c r="AM487" s="2"/>
      <c r="AT487" s="2"/>
      <c r="AU487" s="2"/>
      <c r="AV487" s="2"/>
      <c r="AW487" s="2"/>
      <c r="AX487" s="2"/>
      <c r="AY487" s="2"/>
      <c r="AZ487" s="2"/>
      <c r="BA487" s="2"/>
      <c r="BC487" s="2"/>
      <c r="BD487" s="2"/>
      <c r="BE487" s="2"/>
      <c r="BF487" s="2"/>
      <c r="BG487" s="2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</row>
    <row r="488" ht="14.25" customHeight="1">
      <c r="AA488" s="2"/>
      <c r="AF488" s="2"/>
      <c r="AG488" s="2"/>
      <c r="AH488" s="2"/>
      <c r="AI488" s="2"/>
      <c r="AJ488" s="2"/>
      <c r="AK488" s="2"/>
      <c r="AL488" s="2"/>
      <c r="AM488" s="2"/>
      <c r="AT488" s="2"/>
      <c r="AU488" s="2"/>
      <c r="AV488" s="2"/>
      <c r="AW488" s="2"/>
      <c r="AX488" s="2"/>
      <c r="AY488" s="2"/>
      <c r="AZ488" s="2"/>
      <c r="BA488" s="2"/>
      <c r="BC488" s="2"/>
      <c r="BD488" s="2"/>
      <c r="BE488" s="2"/>
      <c r="BF488" s="2"/>
      <c r="BG488" s="2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</row>
    <row r="489" ht="14.25" customHeight="1">
      <c r="AA489" s="2"/>
      <c r="AF489" s="2"/>
      <c r="AG489" s="2"/>
      <c r="AH489" s="2"/>
      <c r="AI489" s="2"/>
      <c r="AJ489" s="2"/>
      <c r="AK489" s="2"/>
      <c r="AL489" s="2"/>
      <c r="AM489" s="2"/>
      <c r="AT489" s="2"/>
      <c r="AU489" s="2"/>
      <c r="AV489" s="2"/>
      <c r="AW489" s="2"/>
      <c r="AX489" s="2"/>
      <c r="AY489" s="2"/>
      <c r="AZ489" s="2"/>
      <c r="BA489" s="2"/>
      <c r="BC489" s="2"/>
      <c r="BD489" s="2"/>
      <c r="BE489" s="2"/>
      <c r="BF489" s="2"/>
      <c r="BG489" s="2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</row>
    <row r="490" ht="14.25" customHeight="1">
      <c r="AA490" s="2"/>
      <c r="AF490" s="2"/>
      <c r="AG490" s="2"/>
      <c r="AH490" s="2"/>
      <c r="AI490" s="2"/>
      <c r="AJ490" s="2"/>
      <c r="AK490" s="2"/>
      <c r="AL490" s="2"/>
      <c r="AM490" s="2"/>
      <c r="AT490" s="2"/>
      <c r="AU490" s="2"/>
      <c r="AV490" s="2"/>
      <c r="AW490" s="2"/>
      <c r="AX490" s="2"/>
      <c r="AY490" s="2"/>
      <c r="AZ490" s="2"/>
      <c r="BA490" s="2"/>
      <c r="BC490" s="2"/>
      <c r="BD490" s="2"/>
      <c r="BE490" s="2"/>
      <c r="BF490" s="2"/>
      <c r="BG490" s="2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</row>
    <row r="491" ht="14.25" customHeight="1">
      <c r="AA491" s="2"/>
      <c r="AF491" s="2"/>
      <c r="AG491" s="2"/>
      <c r="AH491" s="2"/>
      <c r="AI491" s="2"/>
      <c r="AJ491" s="2"/>
      <c r="AK491" s="2"/>
      <c r="AL491" s="2"/>
      <c r="AM491" s="2"/>
      <c r="AT491" s="2"/>
      <c r="AU491" s="2"/>
      <c r="AV491" s="2"/>
      <c r="AW491" s="2"/>
      <c r="AX491" s="2"/>
      <c r="AY491" s="2"/>
      <c r="AZ491" s="2"/>
      <c r="BA491" s="2"/>
      <c r="BC491" s="2"/>
      <c r="BD491" s="2"/>
      <c r="BE491" s="2"/>
      <c r="BF491" s="2"/>
      <c r="BG491" s="2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</row>
    <row r="492" ht="14.25" customHeight="1">
      <c r="AA492" s="2"/>
      <c r="AF492" s="2"/>
      <c r="AG492" s="2"/>
      <c r="AH492" s="2"/>
      <c r="AI492" s="2"/>
      <c r="AJ492" s="2"/>
      <c r="AK492" s="2"/>
      <c r="AL492" s="2"/>
      <c r="AM492" s="2"/>
      <c r="AT492" s="2"/>
      <c r="AU492" s="2"/>
      <c r="AV492" s="2"/>
      <c r="AW492" s="2"/>
      <c r="AX492" s="2"/>
      <c r="AY492" s="2"/>
      <c r="AZ492" s="2"/>
      <c r="BA492" s="2"/>
      <c r="BC492" s="2"/>
      <c r="BD492" s="2"/>
      <c r="BE492" s="2"/>
      <c r="BF492" s="2"/>
      <c r="BG492" s="2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</row>
    <row r="493" ht="14.25" customHeight="1">
      <c r="AA493" s="2"/>
      <c r="AF493" s="2"/>
      <c r="AG493" s="2"/>
      <c r="AH493" s="2"/>
      <c r="AI493" s="2"/>
      <c r="AJ493" s="2"/>
      <c r="AK493" s="2"/>
      <c r="AL493" s="2"/>
      <c r="AM493" s="2"/>
      <c r="AT493" s="2"/>
      <c r="AU493" s="2"/>
      <c r="AV493" s="2"/>
      <c r="AW493" s="2"/>
      <c r="AX493" s="2"/>
      <c r="AY493" s="2"/>
      <c r="AZ493" s="2"/>
      <c r="BA493" s="2"/>
      <c r="BC493" s="2"/>
      <c r="BD493" s="2"/>
      <c r="BE493" s="2"/>
      <c r="BF493" s="2"/>
      <c r="BG493" s="2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</row>
    <row r="494" ht="14.25" customHeight="1">
      <c r="AA494" s="2"/>
      <c r="AF494" s="2"/>
      <c r="AG494" s="2"/>
      <c r="AH494" s="2"/>
      <c r="AI494" s="2"/>
      <c r="AJ494" s="2"/>
      <c r="AK494" s="2"/>
      <c r="AL494" s="2"/>
      <c r="AM494" s="2"/>
      <c r="AT494" s="2"/>
      <c r="AU494" s="2"/>
      <c r="AV494" s="2"/>
      <c r="AW494" s="2"/>
      <c r="AX494" s="2"/>
      <c r="AY494" s="2"/>
      <c r="AZ494" s="2"/>
      <c r="BA494" s="2"/>
      <c r="BC494" s="2"/>
      <c r="BD494" s="2"/>
      <c r="BE494" s="2"/>
      <c r="BF494" s="2"/>
      <c r="BG494" s="2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</row>
    <row r="495" ht="14.25" customHeight="1">
      <c r="AA495" s="2"/>
      <c r="AF495" s="2"/>
      <c r="AG495" s="2"/>
      <c r="AH495" s="2"/>
      <c r="AI495" s="2"/>
      <c r="AJ495" s="2"/>
      <c r="AK495" s="2"/>
      <c r="AL495" s="2"/>
      <c r="AM495" s="2"/>
      <c r="AT495" s="2"/>
      <c r="AU495" s="2"/>
      <c r="AV495" s="2"/>
      <c r="AW495" s="2"/>
      <c r="AX495" s="2"/>
      <c r="AY495" s="2"/>
      <c r="AZ495" s="2"/>
      <c r="BA495" s="2"/>
      <c r="BC495" s="2"/>
      <c r="BD495" s="2"/>
      <c r="BE495" s="2"/>
      <c r="BF495" s="2"/>
      <c r="BG495" s="2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</row>
    <row r="496" ht="14.25" customHeight="1">
      <c r="AA496" s="2"/>
      <c r="AF496" s="2"/>
      <c r="AG496" s="2"/>
      <c r="AH496" s="2"/>
      <c r="AI496" s="2"/>
      <c r="AJ496" s="2"/>
      <c r="AK496" s="2"/>
      <c r="AL496" s="2"/>
      <c r="AM496" s="2"/>
      <c r="AT496" s="2"/>
      <c r="AU496" s="2"/>
      <c r="AV496" s="2"/>
      <c r="AW496" s="2"/>
      <c r="AX496" s="2"/>
      <c r="AY496" s="2"/>
      <c r="AZ496" s="2"/>
      <c r="BA496" s="2"/>
      <c r="BC496" s="2"/>
      <c r="BD496" s="2"/>
      <c r="BE496" s="2"/>
      <c r="BF496" s="2"/>
      <c r="BG496" s="2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</row>
    <row r="497" ht="14.25" customHeight="1">
      <c r="AA497" s="2"/>
      <c r="AF497" s="2"/>
      <c r="AG497" s="2"/>
      <c r="AH497" s="2"/>
      <c r="AI497" s="2"/>
      <c r="AJ497" s="2"/>
      <c r="AK497" s="2"/>
      <c r="AL497" s="2"/>
      <c r="AM497" s="2"/>
      <c r="AT497" s="2"/>
      <c r="AU497" s="2"/>
      <c r="AV497" s="2"/>
      <c r="AW497" s="2"/>
      <c r="AX497" s="2"/>
      <c r="AY497" s="2"/>
      <c r="AZ497" s="2"/>
      <c r="BA497" s="2"/>
      <c r="BC497" s="2"/>
      <c r="BD497" s="2"/>
      <c r="BE497" s="2"/>
      <c r="BF497" s="2"/>
      <c r="BG497" s="2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</row>
    <row r="498" ht="14.25" customHeight="1">
      <c r="AA498" s="2"/>
      <c r="AF498" s="2"/>
      <c r="AG498" s="2"/>
      <c r="AH498" s="2"/>
      <c r="AI498" s="2"/>
      <c r="AJ498" s="2"/>
      <c r="AK498" s="2"/>
      <c r="AL498" s="2"/>
      <c r="AM498" s="2"/>
      <c r="AT498" s="2"/>
      <c r="AU498" s="2"/>
      <c r="AV498" s="2"/>
      <c r="AW498" s="2"/>
      <c r="AX498" s="2"/>
      <c r="AY498" s="2"/>
      <c r="AZ498" s="2"/>
      <c r="BA498" s="2"/>
      <c r="BC498" s="2"/>
      <c r="BD498" s="2"/>
      <c r="BE498" s="2"/>
      <c r="BF498" s="2"/>
      <c r="BG498" s="2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</row>
    <row r="499" ht="14.25" customHeight="1">
      <c r="AA499" s="2"/>
      <c r="AF499" s="2"/>
      <c r="AG499" s="2"/>
      <c r="AH499" s="2"/>
      <c r="AI499" s="2"/>
      <c r="AJ499" s="2"/>
      <c r="AK499" s="2"/>
      <c r="AL499" s="2"/>
      <c r="AM499" s="2"/>
      <c r="AT499" s="2"/>
      <c r="AU499" s="2"/>
      <c r="AV499" s="2"/>
      <c r="AW499" s="2"/>
      <c r="AX499" s="2"/>
      <c r="AY499" s="2"/>
      <c r="AZ499" s="2"/>
      <c r="BA499" s="2"/>
      <c r="BC499" s="2"/>
      <c r="BD499" s="2"/>
      <c r="BE499" s="2"/>
      <c r="BF499" s="2"/>
      <c r="BG499" s="2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</row>
    <row r="500" ht="14.25" customHeight="1">
      <c r="AA500" s="2"/>
      <c r="AF500" s="2"/>
      <c r="AG500" s="2"/>
      <c r="AH500" s="2"/>
      <c r="AI500" s="2"/>
      <c r="AJ500" s="2"/>
      <c r="AK500" s="2"/>
      <c r="AL500" s="2"/>
      <c r="AM500" s="2"/>
      <c r="AT500" s="2"/>
      <c r="AU500" s="2"/>
      <c r="AV500" s="2"/>
      <c r="AW500" s="2"/>
      <c r="AX500" s="2"/>
      <c r="AY500" s="2"/>
      <c r="AZ500" s="2"/>
      <c r="BA500" s="2"/>
      <c r="BC500" s="2"/>
      <c r="BD500" s="2"/>
      <c r="BE500" s="2"/>
      <c r="BF500" s="2"/>
      <c r="BG500" s="2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</row>
    <row r="501" ht="14.25" customHeight="1">
      <c r="AA501" s="2"/>
      <c r="AF501" s="2"/>
      <c r="AG501" s="2"/>
      <c r="AH501" s="2"/>
      <c r="AI501" s="2"/>
      <c r="AJ501" s="2"/>
      <c r="AK501" s="2"/>
      <c r="AL501" s="2"/>
      <c r="AM501" s="2"/>
      <c r="AT501" s="2"/>
      <c r="AU501" s="2"/>
      <c r="AV501" s="2"/>
      <c r="AW501" s="2"/>
      <c r="AX501" s="2"/>
      <c r="AY501" s="2"/>
      <c r="AZ501" s="2"/>
      <c r="BA501" s="2"/>
      <c r="BC501" s="2"/>
      <c r="BD501" s="2"/>
      <c r="BE501" s="2"/>
      <c r="BF501" s="2"/>
      <c r="BG501" s="2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</row>
    <row r="502" ht="14.25" customHeight="1">
      <c r="AA502" s="2"/>
      <c r="AF502" s="2"/>
      <c r="AG502" s="2"/>
      <c r="AH502" s="2"/>
      <c r="AI502" s="2"/>
      <c r="AJ502" s="2"/>
      <c r="AK502" s="2"/>
      <c r="AL502" s="2"/>
      <c r="AM502" s="2"/>
      <c r="AT502" s="2"/>
      <c r="AU502" s="2"/>
      <c r="AV502" s="2"/>
      <c r="AW502" s="2"/>
      <c r="AX502" s="2"/>
      <c r="AY502" s="2"/>
      <c r="AZ502" s="2"/>
      <c r="BA502" s="2"/>
      <c r="BC502" s="2"/>
      <c r="BD502" s="2"/>
      <c r="BE502" s="2"/>
      <c r="BF502" s="2"/>
      <c r="BG502" s="2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</row>
    <row r="503" ht="14.25" customHeight="1">
      <c r="AA503" s="2"/>
      <c r="AF503" s="2"/>
      <c r="AG503" s="2"/>
      <c r="AH503" s="2"/>
      <c r="AI503" s="2"/>
      <c r="AJ503" s="2"/>
      <c r="AK503" s="2"/>
      <c r="AL503" s="2"/>
      <c r="AM503" s="2"/>
      <c r="AT503" s="2"/>
      <c r="AU503" s="2"/>
      <c r="AV503" s="2"/>
      <c r="AW503" s="2"/>
      <c r="AX503" s="2"/>
      <c r="AY503" s="2"/>
      <c r="AZ503" s="2"/>
      <c r="BA503" s="2"/>
      <c r="BC503" s="2"/>
      <c r="BD503" s="2"/>
      <c r="BE503" s="2"/>
      <c r="BF503" s="2"/>
      <c r="BG503" s="2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</row>
    <row r="504" ht="14.25" customHeight="1">
      <c r="AA504" s="2"/>
      <c r="AF504" s="2"/>
      <c r="AG504" s="2"/>
      <c r="AH504" s="2"/>
      <c r="AI504" s="2"/>
      <c r="AJ504" s="2"/>
      <c r="AK504" s="2"/>
      <c r="AL504" s="2"/>
      <c r="AM504" s="2"/>
      <c r="AT504" s="2"/>
      <c r="AU504" s="2"/>
      <c r="AV504" s="2"/>
      <c r="AW504" s="2"/>
      <c r="AX504" s="2"/>
      <c r="AY504" s="2"/>
      <c r="AZ504" s="2"/>
      <c r="BA504" s="2"/>
      <c r="BC504" s="2"/>
      <c r="BD504" s="2"/>
      <c r="BE504" s="2"/>
      <c r="BF504" s="2"/>
      <c r="BG504" s="2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</row>
    <row r="505" ht="14.25" customHeight="1">
      <c r="AA505" s="2"/>
      <c r="AF505" s="2"/>
      <c r="AG505" s="2"/>
      <c r="AH505" s="2"/>
      <c r="AI505" s="2"/>
      <c r="AJ505" s="2"/>
      <c r="AK505" s="2"/>
      <c r="AL505" s="2"/>
      <c r="AM505" s="2"/>
      <c r="AT505" s="2"/>
      <c r="AU505" s="2"/>
      <c r="AV505" s="2"/>
      <c r="AW505" s="2"/>
      <c r="AX505" s="2"/>
      <c r="AY505" s="2"/>
      <c r="AZ505" s="2"/>
      <c r="BA505" s="2"/>
      <c r="BC505" s="2"/>
      <c r="BD505" s="2"/>
      <c r="BE505" s="2"/>
      <c r="BF505" s="2"/>
      <c r="BG505" s="2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</row>
    <row r="506" ht="14.25" customHeight="1">
      <c r="AA506" s="2"/>
      <c r="AF506" s="2"/>
      <c r="AG506" s="2"/>
      <c r="AH506" s="2"/>
      <c r="AI506" s="2"/>
      <c r="AJ506" s="2"/>
      <c r="AK506" s="2"/>
      <c r="AL506" s="2"/>
      <c r="AM506" s="2"/>
      <c r="AT506" s="2"/>
      <c r="AU506" s="2"/>
      <c r="AV506" s="2"/>
      <c r="AW506" s="2"/>
      <c r="AX506" s="2"/>
      <c r="AY506" s="2"/>
      <c r="AZ506" s="2"/>
      <c r="BA506" s="2"/>
      <c r="BC506" s="2"/>
      <c r="BD506" s="2"/>
      <c r="BE506" s="2"/>
      <c r="BF506" s="2"/>
      <c r="BG506" s="2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</row>
    <row r="507" ht="14.25" customHeight="1">
      <c r="AA507" s="2"/>
      <c r="AF507" s="2"/>
      <c r="AG507" s="2"/>
      <c r="AH507" s="2"/>
      <c r="AI507" s="2"/>
      <c r="AJ507" s="2"/>
      <c r="AK507" s="2"/>
      <c r="AL507" s="2"/>
      <c r="AM507" s="2"/>
      <c r="AT507" s="2"/>
      <c r="AU507" s="2"/>
      <c r="AV507" s="2"/>
      <c r="AW507" s="2"/>
      <c r="AX507" s="2"/>
      <c r="AY507" s="2"/>
      <c r="AZ507" s="2"/>
      <c r="BA507" s="2"/>
      <c r="BC507" s="2"/>
      <c r="BD507" s="2"/>
      <c r="BE507" s="2"/>
      <c r="BF507" s="2"/>
      <c r="BG507" s="2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</row>
    <row r="508" ht="14.25" customHeight="1">
      <c r="AA508" s="2"/>
      <c r="AF508" s="2"/>
      <c r="AG508" s="2"/>
      <c r="AH508" s="2"/>
      <c r="AI508" s="2"/>
      <c r="AJ508" s="2"/>
      <c r="AK508" s="2"/>
      <c r="AL508" s="2"/>
      <c r="AM508" s="2"/>
      <c r="AT508" s="2"/>
      <c r="AU508" s="2"/>
      <c r="AV508" s="2"/>
      <c r="AW508" s="2"/>
      <c r="AX508" s="2"/>
      <c r="AY508" s="2"/>
      <c r="AZ508" s="2"/>
      <c r="BA508" s="2"/>
      <c r="BC508" s="2"/>
      <c r="BD508" s="2"/>
      <c r="BE508" s="2"/>
      <c r="BF508" s="2"/>
      <c r="BG508" s="2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</row>
    <row r="509" ht="14.25" customHeight="1">
      <c r="AA509" s="2"/>
      <c r="AF509" s="2"/>
      <c r="AG509" s="2"/>
      <c r="AH509" s="2"/>
      <c r="AI509" s="2"/>
      <c r="AJ509" s="2"/>
      <c r="AK509" s="2"/>
      <c r="AL509" s="2"/>
      <c r="AM509" s="2"/>
      <c r="AT509" s="2"/>
      <c r="AU509" s="2"/>
      <c r="AV509" s="2"/>
      <c r="AW509" s="2"/>
      <c r="AX509" s="2"/>
      <c r="AY509" s="2"/>
      <c r="AZ509" s="2"/>
      <c r="BA509" s="2"/>
      <c r="BC509" s="2"/>
      <c r="BD509" s="2"/>
      <c r="BE509" s="2"/>
      <c r="BF509" s="2"/>
      <c r="BG509" s="2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</row>
    <row r="510" ht="14.25" customHeight="1">
      <c r="AA510" s="2"/>
      <c r="AF510" s="2"/>
      <c r="AG510" s="2"/>
      <c r="AH510" s="2"/>
      <c r="AI510" s="2"/>
      <c r="AJ510" s="2"/>
      <c r="AK510" s="2"/>
      <c r="AL510" s="2"/>
      <c r="AM510" s="2"/>
      <c r="AT510" s="2"/>
      <c r="AU510" s="2"/>
      <c r="AV510" s="2"/>
      <c r="AW510" s="2"/>
      <c r="AX510" s="2"/>
      <c r="AY510" s="2"/>
      <c r="AZ510" s="2"/>
      <c r="BA510" s="2"/>
      <c r="BC510" s="2"/>
      <c r="BD510" s="2"/>
      <c r="BE510" s="2"/>
      <c r="BF510" s="2"/>
      <c r="BG510" s="2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</row>
    <row r="511" ht="14.25" customHeight="1">
      <c r="AA511" s="2"/>
      <c r="AF511" s="2"/>
      <c r="AG511" s="2"/>
      <c r="AH511" s="2"/>
      <c r="AI511" s="2"/>
      <c r="AJ511" s="2"/>
      <c r="AK511" s="2"/>
      <c r="AL511" s="2"/>
      <c r="AM511" s="2"/>
      <c r="AT511" s="2"/>
      <c r="AU511" s="2"/>
      <c r="AV511" s="2"/>
      <c r="AW511" s="2"/>
      <c r="AX511" s="2"/>
      <c r="AY511" s="2"/>
      <c r="AZ511" s="2"/>
      <c r="BA511" s="2"/>
      <c r="BC511" s="2"/>
      <c r="BD511" s="2"/>
      <c r="BE511" s="2"/>
      <c r="BF511" s="2"/>
      <c r="BG511" s="2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</row>
    <row r="512" ht="14.25" customHeight="1">
      <c r="AA512" s="2"/>
      <c r="AF512" s="2"/>
      <c r="AG512" s="2"/>
      <c r="AH512" s="2"/>
      <c r="AI512" s="2"/>
      <c r="AJ512" s="2"/>
      <c r="AK512" s="2"/>
      <c r="AL512" s="2"/>
      <c r="AM512" s="2"/>
      <c r="AT512" s="2"/>
      <c r="AU512" s="2"/>
      <c r="AV512" s="2"/>
      <c r="AW512" s="2"/>
      <c r="AX512" s="2"/>
      <c r="AY512" s="2"/>
      <c r="AZ512" s="2"/>
      <c r="BA512" s="2"/>
      <c r="BC512" s="2"/>
      <c r="BD512" s="2"/>
      <c r="BE512" s="2"/>
      <c r="BF512" s="2"/>
      <c r="BG512" s="2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</row>
    <row r="513" ht="14.25" customHeight="1">
      <c r="AA513" s="2"/>
      <c r="AF513" s="2"/>
      <c r="AG513" s="2"/>
      <c r="AH513" s="2"/>
      <c r="AI513" s="2"/>
      <c r="AJ513" s="2"/>
      <c r="AK513" s="2"/>
      <c r="AL513" s="2"/>
      <c r="AM513" s="2"/>
      <c r="AT513" s="2"/>
      <c r="AU513" s="2"/>
      <c r="AV513" s="2"/>
      <c r="AW513" s="2"/>
      <c r="AX513" s="2"/>
      <c r="AY513" s="2"/>
      <c r="AZ513" s="2"/>
      <c r="BA513" s="2"/>
      <c r="BC513" s="2"/>
      <c r="BD513" s="2"/>
      <c r="BE513" s="2"/>
      <c r="BF513" s="2"/>
      <c r="BG513" s="2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</row>
    <row r="514" ht="14.25" customHeight="1">
      <c r="AA514" s="2"/>
      <c r="AF514" s="2"/>
      <c r="AG514" s="2"/>
      <c r="AH514" s="2"/>
      <c r="AI514" s="2"/>
      <c r="AJ514" s="2"/>
      <c r="AK514" s="2"/>
      <c r="AL514" s="2"/>
      <c r="AM514" s="2"/>
      <c r="AT514" s="2"/>
      <c r="AU514" s="2"/>
      <c r="AV514" s="2"/>
      <c r="AW514" s="2"/>
      <c r="AX514" s="2"/>
      <c r="AY514" s="2"/>
      <c r="AZ514" s="2"/>
      <c r="BA514" s="2"/>
      <c r="BC514" s="2"/>
      <c r="BD514" s="2"/>
      <c r="BE514" s="2"/>
      <c r="BF514" s="2"/>
      <c r="BG514" s="2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</row>
    <row r="515" ht="14.25" customHeight="1">
      <c r="AA515" s="2"/>
      <c r="AF515" s="2"/>
      <c r="AG515" s="2"/>
      <c r="AH515" s="2"/>
      <c r="AI515" s="2"/>
      <c r="AJ515" s="2"/>
      <c r="AK515" s="2"/>
      <c r="AL515" s="2"/>
      <c r="AM515" s="2"/>
      <c r="AT515" s="2"/>
      <c r="AU515" s="2"/>
      <c r="AV515" s="2"/>
      <c r="AW515" s="2"/>
      <c r="AX515" s="2"/>
      <c r="AY515" s="2"/>
      <c r="AZ515" s="2"/>
      <c r="BA515" s="2"/>
      <c r="BC515" s="2"/>
      <c r="BD515" s="2"/>
      <c r="BE515" s="2"/>
      <c r="BF515" s="2"/>
      <c r="BG515" s="2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</row>
    <row r="516" ht="14.25" customHeight="1">
      <c r="AA516" s="2"/>
      <c r="AF516" s="2"/>
      <c r="AG516" s="2"/>
      <c r="AH516" s="2"/>
      <c r="AI516" s="2"/>
      <c r="AJ516" s="2"/>
      <c r="AK516" s="2"/>
      <c r="AL516" s="2"/>
      <c r="AM516" s="2"/>
      <c r="AT516" s="2"/>
      <c r="AU516" s="2"/>
      <c r="AV516" s="2"/>
      <c r="AW516" s="2"/>
      <c r="AX516" s="2"/>
      <c r="AY516" s="2"/>
      <c r="AZ516" s="2"/>
      <c r="BA516" s="2"/>
      <c r="BC516" s="2"/>
      <c r="BD516" s="2"/>
      <c r="BE516" s="2"/>
      <c r="BF516" s="2"/>
      <c r="BG516" s="2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</row>
    <row r="517" ht="14.25" customHeight="1">
      <c r="AA517" s="2"/>
      <c r="AF517" s="2"/>
      <c r="AG517" s="2"/>
      <c r="AH517" s="2"/>
      <c r="AI517" s="2"/>
      <c r="AJ517" s="2"/>
      <c r="AK517" s="2"/>
      <c r="AL517" s="2"/>
      <c r="AM517" s="2"/>
      <c r="AT517" s="2"/>
      <c r="AU517" s="2"/>
      <c r="AV517" s="2"/>
      <c r="AW517" s="2"/>
      <c r="AX517" s="2"/>
      <c r="AY517" s="2"/>
      <c r="AZ517" s="2"/>
      <c r="BA517" s="2"/>
      <c r="BC517" s="2"/>
      <c r="BD517" s="2"/>
      <c r="BE517" s="2"/>
      <c r="BF517" s="2"/>
      <c r="BG517" s="2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</row>
    <row r="518" ht="14.25" customHeight="1">
      <c r="AA518" s="2"/>
      <c r="AF518" s="2"/>
      <c r="AG518" s="2"/>
      <c r="AH518" s="2"/>
      <c r="AI518" s="2"/>
      <c r="AJ518" s="2"/>
      <c r="AK518" s="2"/>
      <c r="AL518" s="2"/>
      <c r="AM518" s="2"/>
      <c r="AT518" s="2"/>
      <c r="AU518" s="2"/>
      <c r="AV518" s="2"/>
      <c r="AW518" s="2"/>
      <c r="AX518" s="2"/>
      <c r="AY518" s="2"/>
      <c r="AZ518" s="2"/>
      <c r="BA518" s="2"/>
      <c r="BC518" s="2"/>
      <c r="BD518" s="2"/>
      <c r="BE518" s="2"/>
      <c r="BF518" s="2"/>
      <c r="BG518" s="2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</row>
    <row r="519" ht="14.25" customHeight="1">
      <c r="AA519" s="2"/>
      <c r="AF519" s="2"/>
      <c r="AG519" s="2"/>
      <c r="AH519" s="2"/>
      <c r="AI519" s="2"/>
      <c r="AJ519" s="2"/>
      <c r="AK519" s="2"/>
      <c r="AL519" s="2"/>
      <c r="AM519" s="2"/>
      <c r="AT519" s="2"/>
      <c r="AU519" s="2"/>
      <c r="AV519" s="2"/>
      <c r="AW519" s="2"/>
      <c r="AX519" s="2"/>
      <c r="AY519" s="2"/>
      <c r="AZ519" s="2"/>
      <c r="BA519" s="2"/>
      <c r="BC519" s="2"/>
      <c r="BD519" s="2"/>
      <c r="BE519" s="2"/>
      <c r="BF519" s="2"/>
      <c r="BG519" s="2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</row>
    <row r="520" ht="14.25" customHeight="1">
      <c r="AA520" s="2"/>
      <c r="AF520" s="2"/>
      <c r="AG520" s="2"/>
      <c r="AH520" s="2"/>
      <c r="AI520" s="2"/>
      <c r="AJ520" s="2"/>
      <c r="AK520" s="2"/>
      <c r="AL520" s="2"/>
      <c r="AM520" s="2"/>
      <c r="AT520" s="2"/>
      <c r="AU520" s="2"/>
      <c r="AV520" s="2"/>
      <c r="AW520" s="2"/>
      <c r="AX520" s="2"/>
      <c r="AY520" s="2"/>
      <c r="AZ520" s="2"/>
      <c r="BA520" s="2"/>
      <c r="BC520" s="2"/>
      <c r="BD520" s="2"/>
      <c r="BE520" s="2"/>
      <c r="BF520" s="2"/>
      <c r="BG520" s="2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</row>
    <row r="521" ht="14.25" customHeight="1">
      <c r="AA521" s="2"/>
      <c r="AF521" s="2"/>
      <c r="AG521" s="2"/>
      <c r="AH521" s="2"/>
      <c r="AI521" s="2"/>
      <c r="AJ521" s="2"/>
      <c r="AK521" s="2"/>
      <c r="AL521" s="2"/>
      <c r="AM521" s="2"/>
      <c r="AT521" s="2"/>
      <c r="AU521" s="2"/>
      <c r="AV521" s="2"/>
      <c r="AW521" s="2"/>
      <c r="AX521" s="2"/>
      <c r="AY521" s="2"/>
      <c r="AZ521" s="2"/>
      <c r="BA521" s="2"/>
      <c r="BC521" s="2"/>
      <c r="BD521" s="2"/>
      <c r="BE521" s="2"/>
      <c r="BF521" s="2"/>
      <c r="BG521" s="2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</row>
    <row r="522" ht="14.25" customHeight="1">
      <c r="AA522" s="2"/>
      <c r="AF522" s="2"/>
      <c r="AG522" s="2"/>
      <c r="AH522" s="2"/>
      <c r="AI522" s="2"/>
      <c r="AJ522" s="2"/>
      <c r="AK522" s="2"/>
      <c r="AL522" s="2"/>
      <c r="AM522" s="2"/>
      <c r="AT522" s="2"/>
      <c r="AU522" s="2"/>
      <c r="AV522" s="2"/>
      <c r="AW522" s="2"/>
      <c r="AX522" s="2"/>
      <c r="AY522" s="2"/>
      <c r="AZ522" s="2"/>
      <c r="BA522" s="2"/>
      <c r="BC522" s="2"/>
      <c r="BD522" s="2"/>
      <c r="BE522" s="2"/>
      <c r="BF522" s="2"/>
      <c r="BG522" s="2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</row>
    <row r="523" ht="14.25" customHeight="1">
      <c r="AA523" s="2"/>
      <c r="AF523" s="2"/>
      <c r="AG523" s="2"/>
      <c r="AH523" s="2"/>
      <c r="AI523" s="2"/>
      <c r="AJ523" s="2"/>
      <c r="AK523" s="2"/>
      <c r="AL523" s="2"/>
      <c r="AM523" s="2"/>
      <c r="AT523" s="2"/>
      <c r="AU523" s="2"/>
      <c r="AV523" s="2"/>
      <c r="AW523" s="2"/>
      <c r="AX523" s="2"/>
      <c r="AY523" s="2"/>
      <c r="AZ523" s="2"/>
      <c r="BA523" s="2"/>
      <c r="BC523" s="2"/>
      <c r="BD523" s="2"/>
      <c r="BE523" s="2"/>
      <c r="BF523" s="2"/>
      <c r="BG523" s="2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</row>
    <row r="524" ht="14.25" customHeight="1">
      <c r="AA524" s="2"/>
      <c r="AF524" s="2"/>
      <c r="AG524" s="2"/>
      <c r="AH524" s="2"/>
      <c r="AI524" s="2"/>
      <c r="AJ524" s="2"/>
      <c r="AK524" s="2"/>
      <c r="AL524" s="2"/>
      <c r="AM524" s="2"/>
      <c r="AT524" s="2"/>
      <c r="AU524" s="2"/>
      <c r="AV524" s="2"/>
      <c r="AW524" s="2"/>
      <c r="AX524" s="2"/>
      <c r="AY524" s="2"/>
      <c r="AZ524" s="2"/>
      <c r="BA524" s="2"/>
      <c r="BC524" s="2"/>
      <c r="BD524" s="2"/>
      <c r="BE524" s="2"/>
      <c r="BF524" s="2"/>
      <c r="BG524" s="2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</row>
    <row r="525" ht="14.25" customHeight="1">
      <c r="AA525" s="2"/>
      <c r="AF525" s="2"/>
      <c r="AG525" s="2"/>
      <c r="AH525" s="2"/>
      <c r="AI525" s="2"/>
      <c r="AJ525" s="2"/>
      <c r="AK525" s="2"/>
      <c r="AL525" s="2"/>
      <c r="AM525" s="2"/>
      <c r="AT525" s="2"/>
      <c r="AU525" s="2"/>
      <c r="AV525" s="2"/>
      <c r="AW525" s="2"/>
      <c r="AX525" s="2"/>
      <c r="AY525" s="2"/>
      <c r="AZ525" s="2"/>
      <c r="BA525" s="2"/>
      <c r="BC525" s="2"/>
      <c r="BD525" s="2"/>
      <c r="BE525" s="2"/>
      <c r="BF525" s="2"/>
      <c r="BG525" s="2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</row>
    <row r="526" ht="14.25" customHeight="1">
      <c r="AA526" s="2"/>
      <c r="AF526" s="2"/>
      <c r="AG526" s="2"/>
      <c r="AH526" s="2"/>
      <c r="AI526" s="2"/>
      <c r="AJ526" s="2"/>
      <c r="AK526" s="2"/>
      <c r="AL526" s="2"/>
      <c r="AM526" s="2"/>
      <c r="AT526" s="2"/>
      <c r="AU526" s="2"/>
      <c r="AV526" s="2"/>
      <c r="AW526" s="2"/>
      <c r="AX526" s="2"/>
      <c r="AY526" s="2"/>
      <c r="AZ526" s="2"/>
      <c r="BA526" s="2"/>
      <c r="BC526" s="2"/>
      <c r="BD526" s="2"/>
      <c r="BE526" s="2"/>
      <c r="BF526" s="2"/>
      <c r="BG526" s="2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</row>
    <row r="527" ht="14.25" customHeight="1">
      <c r="AA527" s="2"/>
      <c r="AF527" s="2"/>
      <c r="AG527" s="2"/>
      <c r="AH527" s="2"/>
      <c r="AI527" s="2"/>
      <c r="AJ527" s="2"/>
      <c r="AK527" s="2"/>
      <c r="AL527" s="2"/>
      <c r="AM527" s="2"/>
      <c r="AT527" s="2"/>
      <c r="AU527" s="2"/>
      <c r="AV527" s="2"/>
      <c r="AW527" s="2"/>
      <c r="AX527" s="2"/>
      <c r="AY527" s="2"/>
      <c r="AZ527" s="2"/>
      <c r="BA527" s="2"/>
      <c r="BC527" s="2"/>
      <c r="BD527" s="2"/>
      <c r="BE527" s="2"/>
      <c r="BF527" s="2"/>
      <c r="BG527" s="2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</row>
    <row r="528" ht="14.25" customHeight="1">
      <c r="AA528" s="2"/>
      <c r="AF528" s="2"/>
      <c r="AG528" s="2"/>
      <c r="AH528" s="2"/>
      <c r="AI528" s="2"/>
      <c r="AJ528" s="2"/>
      <c r="AK528" s="2"/>
      <c r="AL528" s="2"/>
      <c r="AM528" s="2"/>
      <c r="AT528" s="2"/>
      <c r="AU528" s="2"/>
      <c r="AV528" s="2"/>
      <c r="AW528" s="2"/>
      <c r="AX528" s="2"/>
      <c r="AY528" s="2"/>
      <c r="AZ528" s="2"/>
      <c r="BA528" s="2"/>
      <c r="BC528" s="2"/>
      <c r="BD528" s="2"/>
      <c r="BE528" s="2"/>
      <c r="BF528" s="2"/>
      <c r="BG528" s="2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</row>
    <row r="529" ht="14.25" customHeight="1">
      <c r="AA529" s="2"/>
      <c r="AF529" s="2"/>
      <c r="AG529" s="2"/>
      <c r="AH529" s="2"/>
      <c r="AI529" s="2"/>
      <c r="AJ529" s="2"/>
      <c r="AK529" s="2"/>
      <c r="AL529" s="2"/>
      <c r="AM529" s="2"/>
      <c r="AT529" s="2"/>
      <c r="AU529" s="2"/>
      <c r="AV529" s="2"/>
      <c r="AW529" s="2"/>
      <c r="AX529" s="2"/>
      <c r="AY529" s="2"/>
      <c r="AZ529" s="2"/>
      <c r="BA529" s="2"/>
      <c r="BC529" s="2"/>
      <c r="BD529" s="2"/>
      <c r="BE529" s="2"/>
      <c r="BF529" s="2"/>
      <c r="BG529" s="2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</row>
    <row r="530" ht="14.25" customHeight="1">
      <c r="AA530" s="2"/>
      <c r="AF530" s="2"/>
      <c r="AG530" s="2"/>
      <c r="AH530" s="2"/>
      <c r="AI530" s="2"/>
      <c r="AJ530" s="2"/>
      <c r="AK530" s="2"/>
      <c r="AL530" s="2"/>
      <c r="AM530" s="2"/>
      <c r="AT530" s="2"/>
      <c r="AU530" s="2"/>
      <c r="AV530" s="2"/>
      <c r="AW530" s="2"/>
      <c r="AX530" s="2"/>
      <c r="AY530" s="2"/>
      <c r="AZ530" s="2"/>
      <c r="BA530" s="2"/>
      <c r="BC530" s="2"/>
      <c r="BD530" s="2"/>
      <c r="BE530" s="2"/>
      <c r="BF530" s="2"/>
      <c r="BG530" s="2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</row>
    <row r="531" ht="14.25" customHeight="1">
      <c r="AA531" s="2"/>
      <c r="AF531" s="2"/>
      <c r="AG531" s="2"/>
      <c r="AH531" s="2"/>
      <c r="AI531" s="2"/>
      <c r="AJ531" s="2"/>
      <c r="AK531" s="2"/>
      <c r="AL531" s="2"/>
      <c r="AM531" s="2"/>
      <c r="AT531" s="2"/>
      <c r="AU531" s="2"/>
      <c r="AV531" s="2"/>
      <c r="AW531" s="2"/>
      <c r="AX531" s="2"/>
      <c r="AY531" s="2"/>
      <c r="AZ531" s="2"/>
      <c r="BA531" s="2"/>
      <c r="BC531" s="2"/>
      <c r="BD531" s="2"/>
      <c r="BE531" s="2"/>
      <c r="BF531" s="2"/>
      <c r="BG531" s="2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</row>
    <row r="532" ht="14.25" customHeight="1">
      <c r="AA532" s="2"/>
      <c r="AF532" s="2"/>
      <c r="AG532" s="2"/>
      <c r="AH532" s="2"/>
      <c r="AI532" s="2"/>
      <c r="AJ532" s="2"/>
      <c r="AK532" s="2"/>
      <c r="AL532" s="2"/>
      <c r="AM532" s="2"/>
      <c r="AT532" s="2"/>
      <c r="AU532" s="2"/>
      <c r="AV532" s="2"/>
      <c r="AW532" s="2"/>
      <c r="AX532" s="2"/>
      <c r="AY532" s="2"/>
      <c r="AZ532" s="2"/>
      <c r="BA532" s="2"/>
      <c r="BC532" s="2"/>
      <c r="BD532" s="2"/>
      <c r="BE532" s="2"/>
      <c r="BF532" s="2"/>
      <c r="BG532" s="2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</row>
    <row r="533" ht="14.25" customHeight="1">
      <c r="AA533" s="2"/>
      <c r="AF533" s="2"/>
      <c r="AG533" s="2"/>
      <c r="AH533" s="2"/>
      <c r="AI533" s="2"/>
      <c r="AJ533" s="2"/>
      <c r="AK533" s="2"/>
      <c r="AL533" s="2"/>
      <c r="AM533" s="2"/>
      <c r="AT533" s="2"/>
      <c r="AU533" s="2"/>
      <c r="AV533" s="2"/>
      <c r="AW533" s="2"/>
      <c r="AX533" s="2"/>
      <c r="AY533" s="2"/>
      <c r="AZ533" s="2"/>
      <c r="BA533" s="2"/>
      <c r="BC533" s="2"/>
      <c r="BD533" s="2"/>
      <c r="BE533" s="2"/>
      <c r="BF533" s="2"/>
      <c r="BG533" s="2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</row>
    <row r="534" ht="14.25" customHeight="1">
      <c r="AA534" s="2"/>
      <c r="AF534" s="2"/>
      <c r="AG534" s="2"/>
      <c r="AH534" s="2"/>
      <c r="AI534" s="2"/>
      <c r="AJ534" s="2"/>
      <c r="AK534" s="2"/>
      <c r="AL534" s="2"/>
      <c r="AM534" s="2"/>
      <c r="AT534" s="2"/>
      <c r="AU534" s="2"/>
      <c r="AV534" s="2"/>
      <c r="AW534" s="2"/>
      <c r="AX534" s="2"/>
      <c r="AY534" s="2"/>
      <c r="AZ534" s="2"/>
      <c r="BA534" s="2"/>
      <c r="BC534" s="2"/>
      <c r="BD534" s="2"/>
      <c r="BE534" s="2"/>
      <c r="BF534" s="2"/>
      <c r="BG534" s="2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</row>
    <row r="535" ht="14.25" customHeight="1">
      <c r="AA535" s="2"/>
      <c r="AF535" s="2"/>
      <c r="AG535" s="2"/>
      <c r="AH535" s="2"/>
      <c r="AI535" s="2"/>
      <c r="AJ535" s="2"/>
      <c r="AK535" s="2"/>
      <c r="AL535" s="2"/>
      <c r="AM535" s="2"/>
      <c r="AT535" s="2"/>
      <c r="AU535" s="2"/>
      <c r="AV535" s="2"/>
      <c r="AW535" s="2"/>
      <c r="AX535" s="2"/>
      <c r="AY535" s="2"/>
      <c r="AZ535" s="2"/>
      <c r="BA535" s="2"/>
      <c r="BC535" s="2"/>
      <c r="BD535" s="2"/>
      <c r="BE535" s="2"/>
      <c r="BF535" s="2"/>
      <c r="BG535" s="2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</row>
    <row r="536" ht="14.25" customHeight="1">
      <c r="AA536" s="2"/>
      <c r="AF536" s="2"/>
      <c r="AG536" s="2"/>
      <c r="AH536" s="2"/>
      <c r="AI536" s="2"/>
      <c r="AJ536" s="2"/>
      <c r="AK536" s="2"/>
      <c r="AL536" s="2"/>
      <c r="AM536" s="2"/>
      <c r="AT536" s="2"/>
      <c r="AU536" s="2"/>
      <c r="AV536" s="2"/>
      <c r="AW536" s="2"/>
      <c r="AX536" s="2"/>
      <c r="AY536" s="2"/>
      <c r="AZ536" s="2"/>
      <c r="BA536" s="2"/>
      <c r="BC536" s="2"/>
      <c r="BD536" s="2"/>
      <c r="BE536" s="2"/>
      <c r="BF536" s="2"/>
      <c r="BG536" s="2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</row>
    <row r="537" ht="14.25" customHeight="1">
      <c r="AA537" s="2"/>
      <c r="AF537" s="2"/>
      <c r="AG537" s="2"/>
      <c r="AH537" s="2"/>
      <c r="AI537" s="2"/>
      <c r="AJ537" s="2"/>
      <c r="AK537" s="2"/>
      <c r="AL537" s="2"/>
      <c r="AM537" s="2"/>
      <c r="AT537" s="2"/>
      <c r="AU537" s="2"/>
      <c r="AV537" s="2"/>
      <c r="AW537" s="2"/>
      <c r="AX537" s="2"/>
      <c r="AY537" s="2"/>
      <c r="AZ537" s="2"/>
      <c r="BA537" s="2"/>
      <c r="BC537" s="2"/>
      <c r="BD537" s="2"/>
      <c r="BE537" s="2"/>
      <c r="BF537" s="2"/>
      <c r="BG537" s="2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</row>
    <row r="538" ht="14.25" customHeight="1">
      <c r="AA538" s="2"/>
      <c r="AF538" s="2"/>
      <c r="AG538" s="2"/>
      <c r="AH538" s="2"/>
      <c r="AI538" s="2"/>
      <c r="AJ538" s="2"/>
      <c r="AK538" s="2"/>
      <c r="AL538" s="2"/>
      <c r="AM538" s="2"/>
      <c r="AT538" s="2"/>
      <c r="AU538" s="2"/>
      <c r="AV538" s="2"/>
      <c r="AW538" s="2"/>
      <c r="AX538" s="2"/>
      <c r="AY538" s="2"/>
      <c r="AZ538" s="2"/>
      <c r="BA538" s="2"/>
      <c r="BC538" s="2"/>
      <c r="BD538" s="2"/>
      <c r="BE538" s="2"/>
      <c r="BF538" s="2"/>
      <c r="BG538" s="2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</row>
    <row r="539" ht="14.25" customHeight="1">
      <c r="AA539" s="2"/>
      <c r="AF539" s="2"/>
      <c r="AG539" s="2"/>
      <c r="AH539" s="2"/>
      <c r="AI539" s="2"/>
      <c r="AJ539" s="2"/>
      <c r="AK539" s="2"/>
      <c r="AL539" s="2"/>
      <c r="AM539" s="2"/>
      <c r="AT539" s="2"/>
      <c r="AU539" s="2"/>
      <c r="AV539" s="2"/>
      <c r="AW539" s="2"/>
      <c r="AX539" s="2"/>
      <c r="AY539" s="2"/>
      <c r="AZ539" s="2"/>
      <c r="BA539" s="2"/>
      <c r="BC539" s="2"/>
      <c r="BD539" s="2"/>
      <c r="BE539" s="2"/>
      <c r="BF539" s="2"/>
      <c r="BG539" s="2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</row>
    <row r="540" ht="14.25" customHeight="1">
      <c r="AA540" s="2"/>
      <c r="AF540" s="2"/>
      <c r="AG540" s="2"/>
      <c r="AH540" s="2"/>
      <c r="AI540" s="2"/>
      <c r="AJ540" s="2"/>
      <c r="AK540" s="2"/>
      <c r="AL540" s="2"/>
      <c r="AM540" s="2"/>
      <c r="AT540" s="2"/>
      <c r="AU540" s="2"/>
      <c r="AV540" s="2"/>
      <c r="AW540" s="2"/>
      <c r="AX540" s="2"/>
      <c r="AY540" s="2"/>
      <c r="AZ540" s="2"/>
      <c r="BA540" s="2"/>
      <c r="BC540" s="2"/>
      <c r="BD540" s="2"/>
      <c r="BE540" s="2"/>
      <c r="BF540" s="2"/>
      <c r="BG540" s="2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</row>
    <row r="541" ht="14.25" customHeight="1">
      <c r="AA541" s="2"/>
      <c r="AF541" s="2"/>
      <c r="AG541" s="2"/>
      <c r="AH541" s="2"/>
      <c r="AI541" s="2"/>
      <c r="AJ541" s="2"/>
      <c r="AK541" s="2"/>
      <c r="AL541" s="2"/>
      <c r="AM541" s="2"/>
      <c r="AT541" s="2"/>
      <c r="AU541" s="2"/>
      <c r="AV541" s="2"/>
      <c r="AW541" s="2"/>
      <c r="AX541" s="2"/>
      <c r="AY541" s="2"/>
      <c r="AZ541" s="2"/>
      <c r="BA541" s="2"/>
      <c r="BC541" s="2"/>
      <c r="BD541" s="2"/>
      <c r="BE541" s="2"/>
      <c r="BF541" s="2"/>
      <c r="BG541" s="2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</row>
    <row r="542" ht="14.25" customHeight="1">
      <c r="AA542" s="2"/>
      <c r="AF542" s="2"/>
      <c r="AG542" s="2"/>
      <c r="AH542" s="2"/>
      <c r="AI542" s="2"/>
      <c r="AJ542" s="2"/>
      <c r="AK542" s="2"/>
      <c r="AL542" s="2"/>
      <c r="AM542" s="2"/>
      <c r="AT542" s="2"/>
      <c r="AU542" s="2"/>
      <c r="AV542" s="2"/>
      <c r="AW542" s="2"/>
      <c r="AX542" s="2"/>
      <c r="AY542" s="2"/>
      <c r="AZ542" s="2"/>
      <c r="BA542" s="2"/>
      <c r="BC542" s="2"/>
      <c r="BD542" s="2"/>
      <c r="BE542" s="2"/>
      <c r="BF542" s="2"/>
      <c r="BG542" s="2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</row>
    <row r="543" ht="14.25" customHeight="1">
      <c r="AA543" s="2"/>
      <c r="AF543" s="2"/>
      <c r="AG543" s="2"/>
      <c r="AH543" s="2"/>
      <c r="AI543" s="2"/>
      <c r="AJ543" s="2"/>
      <c r="AK543" s="2"/>
      <c r="AL543" s="2"/>
      <c r="AM543" s="2"/>
      <c r="AT543" s="2"/>
      <c r="AU543" s="2"/>
      <c r="AV543" s="2"/>
      <c r="AW543" s="2"/>
      <c r="AX543" s="2"/>
      <c r="AY543" s="2"/>
      <c r="AZ543" s="2"/>
      <c r="BA543" s="2"/>
      <c r="BC543" s="2"/>
      <c r="BD543" s="2"/>
      <c r="BE543" s="2"/>
      <c r="BF543" s="2"/>
      <c r="BG543" s="2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</row>
    <row r="544" ht="14.25" customHeight="1">
      <c r="AA544" s="2"/>
      <c r="AF544" s="2"/>
      <c r="AG544" s="2"/>
      <c r="AH544" s="2"/>
      <c r="AI544" s="2"/>
      <c r="AJ544" s="2"/>
      <c r="AK544" s="2"/>
      <c r="AL544" s="2"/>
      <c r="AM544" s="2"/>
      <c r="AT544" s="2"/>
      <c r="AU544" s="2"/>
      <c r="AV544" s="2"/>
      <c r="AW544" s="2"/>
      <c r="AX544" s="2"/>
      <c r="AY544" s="2"/>
      <c r="AZ544" s="2"/>
      <c r="BA544" s="2"/>
      <c r="BC544" s="2"/>
      <c r="BD544" s="2"/>
      <c r="BE544" s="2"/>
      <c r="BF544" s="2"/>
      <c r="BG544" s="2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</row>
    <row r="545" ht="14.25" customHeight="1">
      <c r="AA545" s="2"/>
      <c r="AF545" s="2"/>
      <c r="AG545" s="2"/>
      <c r="AH545" s="2"/>
      <c r="AI545" s="2"/>
      <c r="AJ545" s="2"/>
      <c r="AK545" s="2"/>
      <c r="AL545" s="2"/>
      <c r="AM545" s="2"/>
      <c r="AT545" s="2"/>
      <c r="AU545" s="2"/>
      <c r="AV545" s="2"/>
      <c r="AW545" s="2"/>
      <c r="AX545" s="2"/>
      <c r="AY545" s="2"/>
      <c r="AZ545" s="2"/>
      <c r="BA545" s="2"/>
      <c r="BC545" s="2"/>
      <c r="BD545" s="2"/>
      <c r="BE545" s="2"/>
      <c r="BF545" s="2"/>
      <c r="BG545" s="2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</row>
    <row r="546" ht="14.25" customHeight="1">
      <c r="AA546" s="2"/>
      <c r="AF546" s="2"/>
      <c r="AG546" s="2"/>
      <c r="AH546" s="2"/>
      <c r="AI546" s="2"/>
      <c r="AJ546" s="2"/>
      <c r="AK546" s="2"/>
      <c r="AL546" s="2"/>
      <c r="AM546" s="2"/>
      <c r="AT546" s="2"/>
      <c r="AU546" s="2"/>
      <c r="AV546" s="2"/>
      <c r="AW546" s="2"/>
      <c r="AX546" s="2"/>
      <c r="AY546" s="2"/>
      <c r="AZ546" s="2"/>
      <c r="BA546" s="2"/>
      <c r="BC546" s="2"/>
      <c r="BD546" s="2"/>
      <c r="BE546" s="2"/>
      <c r="BF546" s="2"/>
      <c r="BG546" s="2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</row>
    <row r="547" ht="14.25" customHeight="1">
      <c r="AA547" s="2"/>
      <c r="AF547" s="2"/>
      <c r="AG547" s="2"/>
      <c r="AH547" s="2"/>
      <c r="AI547" s="2"/>
      <c r="AJ547" s="2"/>
      <c r="AK547" s="2"/>
      <c r="AL547" s="2"/>
      <c r="AM547" s="2"/>
      <c r="AT547" s="2"/>
      <c r="AU547" s="2"/>
      <c r="AV547" s="2"/>
      <c r="AW547" s="2"/>
      <c r="AX547" s="2"/>
      <c r="AY547" s="2"/>
      <c r="AZ547" s="2"/>
      <c r="BA547" s="2"/>
      <c r="BC547" s="2"/>
      <c r="BD547" s="2"/>
      <c r="BE547" s="2"/>
      <c r="BF547" s="2"/>
      <c r="BG547" s="2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</row>
    <row r="548" ht="14.25" customHeight="1">
      <c r="AA548" s="2"/>
      <c r="AF548" s="2"/>
      <c r="AG548" s="2"/>
      <c r="AH548" s="2"/>
      <c r="AI548" s="2"/>
      <c r="AJ548" s="2"/>
      <c r="AK548" s="2"/>
      <c r="AL548" s="2"/>
      <c r="AM548" s="2"/>
      <c r="AT548" s="2"/>
      <c r="AU548" s="2"/>
      <c r="AV548" s="2"/>
      <c r="AW548" s="2"/>
      <c r="AX548" s="2"/>
      <c r="AY548" s="2"/>
      <c r="AZ548" s="2"/>
      <c r="BA548" s="2"/>
      <c r="BC548" s="2"/>
      <c r="BD548" s="2"/>
      <c r="BE548" s="2"/>
      <c r="BF548" s="2"/>
      <c r="BG548" s="2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</row>
    <row r="549" ht="14.25" customHeight="1">
      <c r="AA549" s="2"/>
      <c r="AF549" s="2"/>
      <c r="AG549" s="2"/>
      <c r="AH549" s="2"/>
      <c r="AI549" s="2"/>
      <c r="AJ549" s="2"/>
      <c r="AK549" s="2"/>
      <c r="AL549" s="2"/>
      <c r="AM549" s="2"/>
      <c r="AT549" s="2"/>
      <c r="AU549" s="2"/>
      <c r="AV549" s="2"/>
      <c r="AW549" s="2"/>
      <c r="AX549" s="2"/>
      <c r="AY549" s="2"/>
      <c r="AZ549" s="2"/>
      <c r="BA549" s="2"/>
      <c r="BC549" s="2"/>
      <c r="BD549" s="2"/>
      <c r="BE549" s="2"/>
      <c r="BF549" s="2"/>
      <c r="BG549" s="2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</row>
    <row r="550" ht="14.25" customHeight="1">
      <c r="AA550" s="2"/>
      <c r="AF550" s="2"/>
      <c r="AG550" s="2"/>
      <c r="AH550" s="2"/>
      <c r="AI550" s="2"/>
      <c r="AJ550" s="2"/>
      <c r="AK550" s="2"/>
      <c r="AL550" s="2"/>
      <c r="AM550" s="2"/>
      <c r="AT550" s="2"/>
      <c r="AU550" s="2"/>
      <c r="AV550" s="2"/>
      <c r="AW550" s="2"/>
      <c r="AX550" s="2"/>
      <c r="AY550" s="2"/>
      <c r="AZ550" s="2"/>
      <c r="BA550" s="2"/>
      <c r="BC550" s="2"/>
      <c r="BD550" s="2"/>
      <c r="BE550" s="2"/>
      <c r="BF550" s="2"/>
      <c r="BG550" s="2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</row>
    <row r="551" ht="14.25" customHeight="1">
      <c r="AA551" s="2"/>
      <c r="AF551" s="2"/>
      <c r="AG551" s="2"/>
      <c r="AH551" s="2"/>
      <c r="AI551" s="2"/>
      <c r="AJ551" s="2"/>
      <c r="AK551" s="2"/>
      <c r="AL551" s="2"/>
      <c r="AM551" s="2"/>
      <c r="AT551" s="2"/>
      <c r="AU551" s="2"/>
      <c r="AV551" s="2"/>
      <c r="AW551" s="2"/>
      <c r="AX551" s="2"/>
      <c r="AY551" s="2"/>
      <c r="AZ551" s="2"/>
      <c r="BA551" s="2"/>
      <c r="BC551" s="2"/>
      <c r="BD551" s="2"/>
      <c r="BE551" s="2"/>
      <c r="BF551" s="2"/>
      <c r="BG551" s="2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</row>
    <row r="552" ht="14.25" customHeight="1">
      <c r="AA552" s="2"/>
      <c r="AF552" s="2"/>
      <c r="AG552" s="2"/>
      <c r="AH552" s="2"/>
      <c r="AI552" s="2"/>
      <c r="AJ552" s="2"/>
      <c r="AK552" s="2"/>
      <c r="AL552" s="2"/>
      <c r="AM552" s="2"/>
      <c r="AT552" s="2"/>
      <c r="AU552" s="2"/>
      <c r="AV552" s="2"/>
      <c r="AW552" s="2"/>
      <c r="AX552" s="2"/>
      <c r="AY552" s="2"/>
      <c r="AZ552" s="2"/>
      <c r="BA552" s="2"/>
      <c r="BC552" s="2"/>
      <c r="BD552" s="2"/>
      <c r="BE552" s="2"/>
      <c r="BF552" s="2"/>
      <c r="BG552" s="2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</row>
    <row r="553" ht="14.25" customHeight="1">
      <c r="AA553" s="2"/>
      <c r="AF553" s="2"/>
      <c r="AG553" s="2"/>
      <c r="AH553" s="2"/>
      <c r="AI553" s="2"/>
      <c r="AJ553" s="2"/>
      <c r="AK553" s="2"/>
      <c r="AL553" s="2"/>
      <c r="AM553" s="2"/>
      <c r="AT553" s="2"/>
      <c r="AU553" s="2"/>
      <c r="AV553" s="2"/>
      <c r="AW553" s="2"/>
      <c r="AX553" s="2"/>
      <c r="AY553" s="2"/>
      <c r="AZ553" s="2"/>
      <c r="BA553" s="2"/>
      <c r="BC553" s="2"/>
      <c r="BD553" s="2"/>
      <c r="BE553" s="2"/>
      <c r="BF553" s="2"/>
      <c r="BG553" s="2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</row>
    <row r="554" ht="14.25" customHeight="1">
      <c r="AA554" s="2"/>
      <c r="AF554" s="2"/>
      <c r="AG554" s="2"/>
      <c r="AH554" s="2"/>
      <c r="AI554" s="2"/>
      <c r="AJ554" s="2"/>
      <c r="AK554" s="2"/>
      <c r="AL554" s="2"/>
      <c r="AM554" s="2"/>
      <c r="AT554" s="2"/>
      <c r="AU554" s="2"/>
      <c r="AV554" s="2"/>
      <c r="AW554" s="2"/>
      <c r="AX554" s="2"/>
      <c r="AY554" s="2"/>
      <c r="AZ554" s="2"/>
      <c r="BA554" s="2"/>
      <c r="BC554" s="2"/>
      <c r="BD554" s="2"/>
      <c r="BE554" s="2"/>
      <c r="BF554" s="2"/>
      <c r="BG554" s="2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</row>
    <row r="555" ht="14.25" customHeight="1">
      <c r="AA555" s="2"/>
      <c r="AF555" s="2"/>
      <c r="AG555" s="2"/>
      <c r="AH555" s="2"/>
      <c r="AI555" s="2"/>
      <c r="AJ555" s="2"/>
      <c r="AK555" s="2"/>
      <c r="AL555" s="2"/>
      <c r="AM555" s="2"/>
      <c r="AT555" s="2"/>
      <c r="AU555" s="2"/>
      <c r="AV555" s="2"/>
      <c r="AW555" s="2"/>
      <c r="AX555" s="2"/>
      <c r="AY555" s="2"/>
      <c r="AZ555" s="2"/>
      <c r="BA555" s="2"/>
      <c r="BC555" s="2"/>
      <c r="BD555" s="2"/>
      <c r="BE555" s="2"/>
      <c r="BF555" s="2"/>
      <c r="BG555" s="2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</row>
    <row r="556" ht="14.25" customHeight="1">
      <c r="AA556" s="2"/>
      <c r="AF556" s="2"/>
      <c r="AG556" s="2"/>
      <c r="AH556" s="2"/>
      <c r="AI556" s="2"/>
      <c r="AJ556" s="2"/>
      <c r="AK556" s="2"/>
      <c r="AL556" s="2"/>
      <c r="AM556" s="2"/>
      <c r="AT556" s="2"/>
      <c r="AU556" s="2"/>
      <c r="AV556" s="2"/>
      <c r="AW556" s="2"/>
      <c r="AX556" s="2"/>
      <c r="AY556" s="2"/>
      <c r="AZ556" s="2"/>
      <c r="BA556" s="2"/>
      <c r="BC556" s="2"/>
      <c r="BD556" s="2"/>
      <c r="BE556" s="2"/>
      <c r="BF556" s="2"/>
      <c r="BG556" s="2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</row>
    <row r="557" ht="14.25" customHeight="1">
      <c r="AA557" s="2"/>
      <c r="AF557" s="2"/>
      <c r="AG557" s="2"/>
      <c r="AH557" s="2"/>
      <c r="AI557" s="2"/>
      <c r="AJ557" s="2"/>
      <c r="AK557" s="2"/>
      <c r="AL557" s="2"/>
      <c r="AM557" s="2"/>
      <c r="AT557" s="2"/>
      <c r="AU557" s="2"/>
      <c r="AV557" s="2"/>
      <c r="AW557" s="2"/>
      <c r="AX557" s="2"/>
      <c r="AY557" s="2"/>
      <c r="AZ557" s="2"/>
      <c r="BA557" s="2"/>
      <c r="BC557" s="2"/>
      <c r="BD557" s="2"/>
      <c r="BE557" s="2"/>
      <c r="BF557" s="2"/>
      <c r="BG557" s="2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</row>
    <row r="558" ht="14.25" customHeight="1">
      <c r="AA558" s="2"/>
      <c r="AF558" s="2"/>
      <c r="AG558" s="2"/>
      <c r="AH558" s="2"/>
      <c r="AI558" s="2"/>
      <c r="AJ558" s="2"/>
      <c r="AK558" s="2"/>
      <c r="AL558" s="2"/>
      <c r="AM558" s="2"/>
      <c r="AT558" s="2"/>
      <c r="AU558" s="2"/>
      <c r="AV558" s="2"/>
      <c r="AW558" s="2"/>
      <c r="AX558" s="2"/>
      <c r="AY558" s="2"/>
      <c r="AZ558" s="2"/>
      <c r="BA558" s="2"/>
      <c r="BC558" s="2"/>
      <c r="BD558" s="2"/>
      <c r="BE558" s="2"/>
      <c r="BF558" s="2"/>
      <c r="BG558" s="2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</row>
    <row r="559" ht="14.25" customHeight="1">
      <c r="AA559" s="2"/>
      <c r="AF559" s="2"/>
      <c r="AG559" s="2"/>
      <c r="AH559" s="2"/>
      <c r="AI559" s="2"/>
      <c r="AJ559" s="2"/>
      <c r="AK559" s="2"/>
      <c r="AL559" s="2"/>
      <c r="AM559" s="2"/>
      <c r="AT559" s="2"/>
      <c r="AU559" s="2"/>
      <c r="AV559" s="2"/>
      <c r="AW559" s="2"/>
      <c r="AX559" s="2"/>
      <c r="AY559" s="2"/>
      <c r="AZ559" s="2"/>
      <c r="BA559" s="2"/>
      <c r="BC559" s="2"/>
      <c r="BD559" s="2"/>
      <c r="BE559" s="2"/>
      <c r="BF559" s="2"/>
      <c r="BG559" s="2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</row>
    <row r="560" ht="14.25" customHeight="1">
      <c r="AA560" s="2"/>
      <c r="AF560" s="2"/>
      <c r="AG560" s="2"/>
      <c r="AH560" s="2"/>
      <c r="AI560" s="2"/>
      <c r="AJ560" s="2"/>
      <c r="AK560" s="2"/>
      <c r="AL560" s="2"/>
      <c r="AM560" s="2"/>
      <c r="AT560" s="2"/>
      <c r="AU560" s="2"/>
      <c r="AV560" s="2"/>
      <c r="AW560" s="2"/>
      <c r="AX560" s="2"/>
      <c r="AY560" s="2"/>
      <c r="AZ560" s="2"/>
      <c r="BA560" s="2"/>
      <c r="BC560" s="2"/>
      <c r="BD560" s="2"/>
      <c r="BE560" s="2"/>
      <c r="BF560" s="2"/>
      <c r="BG560" s="2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</row>
    <row r="561" ht="14.25" customHeight="1">
      <c r="AA561" s="2"/>
      <c r="AF561" s="2"/>
      <c r="AG561" s="2"/>
      <c r="AH561" s="2"/>
      <c r="AI561" s="2"/>
      <c r="AJ561" s="2"/>
      <c r="AK561" s="2"/>
      <c r="AL561" s="2"/>
      <c r="AM561" s="2"/>
      <c r="AT561" s="2"/>
      <c r="AU561" s="2"/>
      <c r="AV561" s="2"/>
      <c r="AW561" s="2"/>
      <c r="AX561" s="2"/>
      <c r="AY561" s="2"/>
      <c r="AZ561" s="2"/>
      <c r="BA561" s="2"/>
      <c r="BC561" s="2"/>
      <c r="BD561" s="2"/>
      <c r="BE561" s="2"/>
      <c r="BF561" s="2"/>
      <c r="BG561" s="2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</row>
    <row r="562" ht="14.25" customHeight="1">
      <c r="AA562" s="2"/>
      <c r="AF562" s="2"/>
      <c r="AG562" s="2"/>
      <c r="AH562" s="2"/>
      <c r="AI562" s="2"/>
      <c r="AJ562" s="2"/>
      <c r="AK562" s="2"/>
      <c r="AL562" s="2"/>
      <c r="AM562" s="2"/>
      <c r="AT562" s="2"/>
      <c r="AU562" s="2"/>
      <c r="AV562" s="2"/>
      <c r="AW562" s="2"/>
      <c r="AX562" s="2"/>
      <c r="AY562" s="2"/>
      <c r="AZ562" s="2"/>
      <c r="BA562" s="2"/>
      <c r="BC562" s="2"/>
      <c r="BD562" s="2"/>
      <c r="BE562" s="2"/>
      <c r="BF562" s="2"/>
      <c r="BG562" s="2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</row>
    <row r="563" ht="14.25" customHeight="1">
      <c r="AA563" s="2"/>
      <c r="AF563" s="2"/>
      <c r="AG563" s="2"/>
      <c r="AH563" s="2"/>
      <c r="AI563" s="2"/>
      <c r="AJ563" s="2"/>
      <c r="AK563" s="2"/>
      <c r="AL563" s="2"/>
      <c r="AM563" s="2"/>
      <c r="AT563" s="2"/>
      <c r="AU563" s="2"/>
      <c r="AV563" s="2"/>
      <c r="AW563" s="2"/>
      <c r="AX563" s="2"/>
      <c r="AY563" s="2"/>
      <c r="AZ563" s="2"/>
      <c r="BA563" s="2"/>
      <c r="BC563" s="2"/>
      <c r="BD563" s="2"/>
      <c r="BE563" s="2"/>
      <c r="BF563" s="2"/>
      <c r="BG563" s="2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</row>
    <row r="564" ht="14.25" customHeight="1">
      <c r="AA564" s="2"/>
      <c r="AF564" s="2"/>
      <c r="AG564" s="2"/>
      <c r="AH564" s="2"/>
      <c r="AI564" s="2"/>
      <c r="AJ564" s="2"/>
      <c r="AK564" s="2"/>
      <c r="AL564" s="2"/>
      <c r="AM564" s="2"/>
      <c r="AT564" s="2"/>
      <c r="AU564" s="2"/>
      <c r="AV564" s="2"/>
      <c r="AW564" s="2"/>
      <c r="AX564" s="2"/>
      <c r="AY564" s="2"/>
      <c r="AZ564" s="2"/>
      <c r="BA564" s="2"/>
      <c r="BC564" s="2"/>
      <c r="BD564" s="2"/>
      <c r="BE564" s="2"/>
      <c r="BF564" s="2"/>
      <c r="BG564" s="2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</row>
    <row r="565" ht="14.25" customHeight="1">
      <c r="AA565" s="2"/>
      <c r="AF565" s="2"/>
      <c r="AG565" s="2"/>
      <c r="AH565" s="2"/>
      <c r="AI565" s="2"/>
      <c r="AJ565" s="2"/>
      <c r="AK565" s="2"/>
      <c r="AL565" s="2"/>
      <c r="AM565" s="2"/>
      <c r="AT565" s="2"/>
      <c r="AU565" s="2"/>
      <c r="AV565" s="2"/>
      <c r="AW565" s="2"/>
      <c r="AX565" s="2"/>
      <c r="AY565" s="2"/>
      <c r="AZ565" s="2"/>
      <c r="BA565" s="2"/>
      <c r="BC565" s="2"/>
      <c r="BD565" s="2"/>
      <c r="BE565" s="2"/>
      <c r="BF565" s="2"/>
      <c r="BG565" s="2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</row>
    <row r="566" ht="14.25" customHeight="1">
      <c r="AA566" s="2"/>
      <c r="AF566" s="2"/>
      <c r="AG566" s="2"/>
      <c r="AH566" s="2"/>
      <c r="AI566" s="2"/>
      <c r="AJ566" s="2"/>
      <c r="AK566" s="2"/>
      <c r="AL566" s="2"/>
      <c r="AM566" s="2"/>
      <c r="AT566" s="2"/>
      <c r="AU566" s="2"/>
      <c r="AV566" s="2"/>
      <c r="AW566" s="2"/>
      <c r="AX566" s="2"/>
      <c r="AY566" s="2"/>
      <c r="AZ566" s="2"/>
      <c r="BA566" s="2"/>
      <c r="BC566" s="2"/>
      <c r="BD566" s="2"/>
      <c r="BE566" s="2"/>
      <c r="BF566" s="2"/>
      <c r="BG566" s="2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</row>
    <row r="567" ht="14.25" customHeight="1">
      <c r="AA567" s="2"/>
      <c r="AF567" s="2"/>
      <c r="AG567" s="2"/>
      <c r="AH567" s="2"/>
      <c r="AI567" s="2"/>
      <c r="AJ567" s="2"/>
      <c r="AK567" s="2"/>
      <c r="AL567" s="2"/>
      <c r="AM567" s="2"/>
      <c r="AT567" s="2"/>
      <c r="AU567" s="2"/>
      <c r="AV567" s="2"/>
      <c r="AW567" s="2"/>
      <c r="AX567" s="2"/>
      <c r="AY567" s="2"/>
      <c r="AZ567" s="2"/>
      <c r="BA567" s="2"/>
      <c r="BC567" s="2"/>
      <c r="BD567" s="2"/>
      <c r="BE567" s="2"/>
      <c r="BF567" s="2"/>
      <c r="BG567" s="2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</row>
    <row r="568" ht="14.25" customHeight="1">
      <c r="AA568" s="2"/>
      <c r="AF568" s="2"/>
      <c r="AG568" s="2"/>
      <c r="AH568" s="2"/>
      <c r="AI568" s="2"/>
      <c r="AJ568" s="2"/>
      <c r="AK568" s="2"/>
      <c r="AL568" s="2"/>
      <c r="AM568" s="2"/>
      <c r="AT568" s="2"/>
      <c r="AU568" s="2"/>
      <c r="AV568" s="2"/>
      <c r="AW568" s="2"/>
      <c r="AX568" s="2"/>
      <c r="AY568" s="2"/>
      <c r="AZ568" s="2"/>
      <c r="BA568" s="2"/>
      <c r="BC568" s="2"/>
      <c r="BD568" s="2"/>
      <c r="BE568" s="2"/>
      <c r="BF568" s="2"/>
      <c r="BG568" s="2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</row>
    <row r="569" ht="14.25" customHeight="1">
      <c r="AA569" s="2"/>
      <c r="AF569" s="2"/>
      <c r="AG569" s="2"/>
      <c r="AH569" s="2"/>
      <c r="AI569" s="2"/>
      <c r="AJ569" s="2"/>
      <c r="AK569" s="2"/>
      <c r="AL569" s="2"/>
      <c r="AM569" s="2"/>
      <c r="AT569" s="2"/>
      <c r="AU569" s="2"/>
      <c r="AV569" s="2"/>
      <c r="AW569" s="2"/>
      <c r="AX569" s="2"/>
      <c r="AY569" s="2"/>
      <c r="AZ569" s="2"/>
      <c r="BA569" s="2"/>
      <c r="BC569" s="2"/>
      <c r="BD569" s="2"/>
      <c r="BE569" s="2"/>
      <c r="BF569" s="2"/>
      <c r="BG569" s="2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</row>
    <row r="570" ht="14.25" customHeight="1">
      <c r="AA570" s="2"/>
      <c r="AF570" s="2"/>
      <c r="AG570" s="2"/>
      <c r="AH570" s="2"/>
      <c r="AI570" s="2"/>
      <c r="AJ570" s="2"/>
      <c r="AK570" s="2"/>
      <c r="AL570" s="2"/>
      <c r="AM570" s="2"/>
      <c r="AT570" s="2"/>
      <c r="AU570" s="2"/>
      <c r="AV570" s="2"/>
      <c r="AW570" s="2"/>
      <c r="AX570" s="2"/>
      <c r="AY570" s="2"/>
      <c r="AZ570" s="2"/>
      <c r="BA570" s="2"/>
      <c r="BC570" s="2"/>
      <c r="BD570" s="2"/>
      <c r="BE570" s="2"/>
      <c r="BF570" s="2"/>
      <c r="BG570" s="2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</row>
    <row r="571" ht="14.25" customHeight="1">
      <c r="AA571" s="2"/>
      <c r="AF571" s="2"/>
      <c r="AG571" s="2"/>
      <c r="AH571" s="2"/>
      <c r="AI571" s="2"/>
      <c r="AJ571" s="2"/>
      <c r="AK571" s="2"/>
      <c r="AL571" s="2"/>
      <c r="AM571" s="2"/>
      <c r="AT571" s="2"/>
      <c r="AU571" s="2"/>
      <c r="AV571" s="2"/>
      <c r="AW571" s="2"/>
      <c r="AX571" s="2"/>
      <c r="AY571" s="2"/>
      <c r="AZ571" s="2"/>
      <c r="BA571" s="2"/>
      <c r="BC571" s="2"/>
      <c r="BD571" s="2"/>
      <c r="BE571" s="2"/>
      <c r="BF571" s="2"/>
      <c r="BG571" s="2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</row>
    <row r="572" ht="14.25" customHeight="1">
      <c r="AA572" s="2"/>
      <c r="AF572" s="2"/>
      <c r="AG572" s="2"/>
      <c r="AH572" s="2"/>
      <c r="AI572" s="2"/>
      <c r="AJ572" s="2"/>
      <c r="AK572" s="2"/>
      <c r="AL572" s="2"/>
      <c r="AM572" s="2"/>
      <c r="AT572" s="2"/>
      <c r="AU572" s="2"/>
      <c r="AV572" s="2"/>
      <c r="AW572" s="2"/>
      <c r="AX572" s="2"/>
      <c r="AY572" s="2"/>
      <c r="AZ572" s="2"/>
      <c r="BA572" s="2"/>
      <c r="BC572" s="2"/>
      <c r="BD572" s="2"/>
      <c r="BE572" s="2"/>
      <c r="BF572" s="2"/>
      <c r="BG572" s="2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</row>
    <row r="573" ht="14.25" customHeight="1">
      <c r="AA573" s="2"/>
      <c r="AF573" s="2"/>
      <c r="AG573" s="2"/>
      <c r="AH573" s="2"/>
      <c r="AI573" s="2"/>
      <c r="AJ573" s="2"/>
      <c r="AK573" s="2"/>
      <c r="AL573" s="2"/>
      <c r="AM573" s="2"/>
      <c r="AT573" s="2"/>
      <c r="AU573" s="2"/>
      <c r="AV573" s="2"/>
      <c r="AW573" s="2"/>
      <c r="AX573" s="2"/>
      <c r="AY573" s="2"/>
      <c r="AZ573" s="2"/>
      <c r="BA573" s="2"/>
      <c r="BC573" s="2"/>
      <c r="BD573" s="2"/>
      <c r="BE573" s="2"/>
      <c r="BF573" s="2"/>
      <c r="BG573" s="2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</row>
    <row r="574" ht="14.25" customHeight="1">
      <c r="AA574" s="2"/>
      <c r="AF574" s="2"/>
      <c r="AG574" s="2"/>
      <c r="AH574" s="2"/>
      <c r="AI574" s="2"/>
      <c r="AJ574" s="2"/>
      <c r="AK574" s="2"/>
      <c r="AL574" s="2"/>
      <c r="AM574" s="2"/>
      <c r="AT574" s="2"/>
      <c r="AU574" s="2"/>
      <c r="AV574" s="2"/>
      <c r="AW574" s="2"/>
      <c r="AX574" s="2"/>
      <c r="AY574" s="2"/>
      <c r="AZ574" s="2"/>
      <c r="BA574" s="2"/>
      <c r="BC574" s="2"/>
      <c r="BD574" s="2"/>
      <c r="BE574" s="2"/>
      <c r="BF574" s="2"/>
      <c r="BG574" s="2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</row>
    <row r="575" ht="14.25" customHeight="1">
      <c r="AA575" s="2"/>
      <c r="AF575" s="2"/>
      <c r="AG575" s="2"/>
      <c r="AH575" s="2"/>
      <c r="AI575" s="2"/>
      <c r="AJ575" s="2"/>
      <c r="AK575" s="2"/>
      <c r="AL575" s="2"/>
      <c r="AM575" s="2"/>
      <c r="AT575" s="2"/>
      <c r="AU575" s="2"/>
      <c r="AV575" s="2"/>
      <c r="AW575" s="2"/>
      <c r="AX575" s="2"/>
      <c r="AY575" s="2"/>
      <c r="AZ575" s="2"/>
      <c r="BA575" s="2"/>
      <c r="BC575" s="2"/>
      <c r="BD575" s="2"/>
      <c r="BE575" s="2"/>
      <c r="BF575" s="2"/>
      <c r="BG575" s="2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</row>
    <row r="576" ht="14.25" customHeight="1">
      <c r="AA576" s="2"/>
      <c r="AF576" s="2"/>
      <c r="AG576" s="2"/>
      <c r="AH576" s="2"/>
      <c r="AI576" s="2"/>
      <c r="AJ576" s="2"/>
      <c r="AK576" s="2"/>
      <c r="AL576" s="2"/>
      <c r="AM576" s="2"/>
      <c r="AT576" s="2"/>
      <c r="AU576" s="2"/>
      <c r="AV576" s="2"/>
      <c r="AW576" s="2"/>
      <c r="AX576" s="2"/>
      <c r="AY576" s="2"/>
      <c r="AZ576" s="2"/>
      <c r="BA576" s="2"/>
      <c r="BC576" s="2"/>
      <c r="BD576" s="2"/>
      <c r="BE576" s="2"/>
      <c r="BF576" s="2"/>
      <c r="BG576" s="2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</row>
    <row r="577" ht="14.25" customHeight="1">
      <c r="AA577" s="2"/>
      <c r="AF577" s="2"/>
      <c r="AG577" s="2"/>
      <c r="AH577" s="2"/>
      <c r="AI577" s="2"/>
      <c r="AJ577" s="2"/>
      <c r="AK577" s="2"/>
      <c r="AL577" s="2"/>
      <c r="AM577" s="2"/>
      <c r="AT577" s="2"/>
      <c r="AU577" s="2"/>
      <c r="AV577" s="2"/>
      <c r="AW577" s="2"/>
      <c r="AX577" s="2"/>
      <c r="AY577" s="2"/>
      <c r="AZ577" s="2"/>
      <c r="BA577" s="2"/>
      <c r="BC577" s="2"/>
      <c r="BD577" s="2"/>
      <c r="BE577" s="2"/>
      <c r="BF577" s="2"/>
      <c r="BG577" s="2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</row>
    <row r="578" ht="14.25" customHeight="1">
      <c r="AA578" s="2"/>
      <c r="AF578" s="2"/>
      <c r="AG578" s="2"/>
      <c r="AH578" s="2"/>
      <c r="AI578" s="2"/>
      <c r="AJ578" s="2"/>
      <c r="AK578" s="2"/>
      <c r="AL578" s="2"/>
      <c r="AM578" s="2"/>
      <c r="AT578" s="2"/>
      <c r="AU578" s="2"/>
      <c r="AV578" s="2"/>
      <c r="AW578" s="2"/>
      <c r="AX578" s="2"/>
      <c r="AY578" s="2"/>
      <c r="AZ578" s="2"/>
      <c r="BA578" s="2"/>
      <c r="BC578" s="2"/>
      <c r="BD578" s="2"/>
      <c r="BE578" s="2"/>
      <c r="BF578" s="2"/>
      <c r="BG578" s="2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</row>
    <row r="579" ht="14.25" customHeight="1">
      <c r="AA579" s="2"/>
      <c r="AF579" s="2"/>
      <c r="AG579" s="2"/>
      <c r="AH579" s="2"/>
      <c r="AI579" s="2"/>
      <c r="AJ579" s="2"/>
      <c r="AK579" s="2"/>
      <c r="AL579" s="2"/>
      <c r="AM579" s="2"/>
      <c r="AT579" s="2"/>
      <c r="AU579" s="2"/>
      <c r="AV579" s="2"/>
      <c r="AW579" s="2"/>
      <c r="AX579" s="2"/>
      <c r="AY579" s="2"/>
      <c r="AZ579" s="2"/>
      <c r="BA579" s="2"/>
      <c r="BC579" s="2"/>
      <c r="BD579" s="2"/>
      <c r="BE579" s="2"/>
      <c r="BF579" s="2"/>
      <c r="BG579" s="2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</row>
    <row r="580" ht="14.25" customHeight="1">
      <c r="AA580" s="2"/>
      <c r="AF580" s="2"/>
      <c r="AG580" s="2"/>
      <c r="AH580" s="2"/>
      <c r="AI580" s="2"/>
      <c r="AJ580" s="2"/>
      <c r="AK580" s="2"/>
      <c r="AL580" s="2"/>
      <c r="AM580" s="2"/>
      <c r="AT580" s="2"/>
      <c r="AU580" s="2"/>
      <c r="AV580" s="2"/>
      <c r="AW580" s="2"/>
      <c r="AX580" s="2"/>
      <c r="AY580" s="2"/>
      <c r="AZ580" s="2"/>
      <c r="BA580" s="2"/>
      <c r="BC580" s="2"/>
      <c r="BD580" s="2"/>
      <c r="BE580" s="2"/>
      <c r="BF580" s="2"/>
      <c r="BG580" s="2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</row>
    <row r="581" ht="14.25" customHeight="1">
      <c r="AA581" s="2"/>
      <c r="AF581" s="2"/>
      <c r="AG581" s="2"/>
      <c r="AH581" s="2"/>
      <c r="AI581" s="2"/>
      <c r="AJ581" s="2"/>
      <c r="AK581" s="2"/>
      <c r="AL581" s="2"/>
      <c r="AM581" s="2"/>
      <c r="AT581" s="2"/>
      <c r="AU581" s="2"/>
      <c r="AV581" s="2"/>
      <c r="AW581" s="2"/>
      <c r="AX581" s="2"/>
      <c r="AY581" s="2"/>
      <c r="AZ581" s="2"/>
      <c r="BA581" s="2"/>
      <c r="BC581" s="2"/>
      <c r="BD581" s="2"/>
      <c r="BE581" s="2"/>
      <c r="BF581" s="2"/>
      <c r="BG581" s="2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</row>
    <row r="582" ht="14.25" customHeight="1">
      <c r="AA582" s="2"/>
      <c r="AF582" s="2"/>
      <c r="AG582" s="2"/>
      <c r="AH582" s="2"/>
      <c r="AI582" s="2"/>
      <c r="AJ582" s="2"/>
      <c r="AK582" s="2"/>
      <c r="AL582" s="2"/>
      <c r="AM582" s="2"/>
      <c r="AT582" s="2"/>
      <c r="AU582" s="2"/>
      <c r="AV582" s="2"/>
      <c r="AW582" s="2"/>
      <c r="AX582" s="2"/>
      <c r="AY582" s="2"/>
      <c r="AZ582" s="2"/>
      <c r="BA582" s="2"/>
      <c r="BC582" s="2"/>
      <c r="BD582" s="2"/>
      <c r="BE582" s="2"/>
      <c r="BF582" s="2"/>
      <c r="BG582" s="2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</row>
    <row r="583" ht="14.25" customHeight="1">
      <c r="AA583" s="2"/>
      <c r="AF583" s="2"/>
      <c r="AG583" s="2"/>
      <c r="AH583" s="2"/>
      <c r="AI583" s="2"/>
      <c r="AJ583" s="2"/>
      <c r="AK583" s="2"/>
      <c r="AL583" s="2"/>
      <c r="AM583" s="2"/>
      <c r="AT583" s="2"/>
      <c r="AU583" s="2"/>
      <c r="AV583" s="2"/>
      <c r="AW583" s="2"/>
      <c r="AX583" s="2"/>
      <c r="AY583" s="2"/>
      <c r="AZ583" s="2"/>
      <c r="BA583" s="2"/>
      <c r="BC583" s="2"/>
      <c r="BD583" s="2"/>
      <c r="BE583" s="2"/>
      <c r="BF583" s="2"/>
      <c r="BG583" s="2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</row>
    <row r="584" ht="14.25" customHeight="1">
      <c r="AA584" s="2"/>
      <c r="AF584" s="2"/>
      <c r="AG584" s="2"/>
      <c r="AH584" s="2"/>
      <c r="AI584" s="2"/>
      <c r="AJ584" s="2"/>
      <c r="AK584" s="2"/>
      <c r="AL584" s="2"/>
      <c r="AM584" s="2"/>
      <c r="AT584" s="2"/>
      <c r="AU584" s="2"/>
      <c r="AV584" s="2"/>
      <c r="AW584" s="2"/>
      <c r="AX584" s="2"/>
      <c r="AY584" s="2"/>
      <c r="AZ584" s="2"/>
      <c r="BA584" s="2"/>
      <c r="BC584" s="2"/>
      <c r="BD584" s="2"/>
      <c r="BE584" s="2"/>
      <c r="BF584" s="2"/>
      <c r="BG584" s="2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</row>
    <row r="585" ht="14.25" customHeight="1">
      <c r="AA585" s="2"/>
      <c r="AF585" s="2"/>
      <c r="AG585" s="2"/>
      <c r="AH585" s="2"/>
      <c r="AI585" s="2"/>
      <c r="AJ585" s="2"/>
      <c r="AK585" s="2"/>
      <c r="AL585" s="2"/>
      <c r="AM585" s="2"/>
      <c r="AT585" s="2"/>
      <c r="AU585" s="2"/>
      <c r="AV585" s="2"/>
      <c r="AW585" s="2"/>
      <c r="AX585" s="2"/>
      <c r="AY585" s="2"/>
      <c r="AZ585" s="2"/>
      <c r="BA585" s="2"/>
      <c r="BC585" s="2"/>
      <c r="BD585" s="2"/>
      <c r="BE585" s="2"/>
      <c r="BF585" s="2"/>
      <c r="BG585" s="2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</row>
    <row r="586" ht="14.25" customHeight="1">
      <c r="AA586" s="2"/>
      <c r="AF586" s="2"/>
      <c r="AG586" s="2"/>
      <c r="AH586" s="2"/>
      <c r="AI586" s="2"/>
      <c r="AJ586" s="2"/>
      <c r="AK586" s="2"/>
      <c r="AL586" s="2"/>
      <c r="AM586" s="2"/>
      <c r="AT586" s="2"/>
      <c r="AU586" s="2"/>
      <c r="AV586" s="2"/>
      <c r="AW586" s="2"/>
      <c r="AX586" s="2"/>
      <c r="AY586" s="2"/>
      <c r="AZ586" s="2"/>
      <c r="BA586" s="2"/>
      <c r="BC586" s="2"/>
      <c r="BD586" s="2"/>
      <c r="BE586" s="2"/>
      <c r="BF586" s="2"/>
      <c r="BG586" s="2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</row>
    <row r="587" ht="14.25" customHeight="1">
      <c r="AA587" s="2"/>
      <c r="AF587" s="2"/>
      <c r="AG587" s="2"/>
      <c r="AH587" s="2"/>
      <c r="AI587" s="2"/>
      <c r="AJ587" s="2"/>
      <c r="AK587" s="2"/>
      <c r="AL587" s="2"/>
      <c r="AM587" s="2"/>
      <c r="AT587" s="2"/>
      <c r="AU587" s="2"/>
      <c r="AV587" s="2"/>
      <c r="AW587" s="2"/>
      <c r="AX587" s="2"/>
      <c r="AY587" s="2"/>
      <c r="AZ587" s="2"/>
      <c r="BA587" s="2"/>
      <c r="BC587" s="2"/>
      <c r="BD587" s="2"/>
      <c r="BE587" s="2"/>
      <c r="BF587" s="2"/>
      <c r="BG587" s="2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</row>
    <row r="588" ht="14.25" customHeight="1">
      <c r="AA588" s="2"/>
      <c r="AF588" s="2"/>
      <c r="AG588" s="2"/>
      <c r="AH588" s="2"/>
      <c r="AI588" s="2"/>
      <c r="AJ588" s="2"/>
      <c r="AK588" s="2"/>
      <c r="AL588" s="2"/>
      <c r="AM588" s="2"/>
      <c r="AT588" s="2"/>
      <c r="AU588" s="2"/>
      <c r="AV588" s="2"/>
      <c r="AW588" s="2"/>
      <c r="AX588" s="2"/>
      <c r="AY588" s="2"/>
      <c r="AZ588" s="2"/>
      <c r="BA588" s="2"/>
      <c r="BC588" s="2"/>
      <c r="BD588" s="2"/>
      <c r="BE588" s="2"/>
      <c r="BF588" s="2"/>
      <c r="BG588" s="2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</row>
    <row r="589" ht="14.25" customHeight="1">
      <c r="AA589" s="2"/>
      <c r="AF589" s="2"/>
      <c r="AG589" s="2"/>
      <c r="AH589" s="2"/>
      <c r="AI589" s="2"/>
      <c r="AJ589" s="2"/>
      <c r="AK589" s="2"/>
      <c r="AL589" s="2"/>
      <c r="AM589" s="2"/>
      <c r="AT589" s="2"/>
      <c r="AU589" s="2"/>
      <c r="AV589" s="2"/>
      <c r="AW589" s="2"/>
      <c r="AX589" s="2"/>
      <c r="AY589" s="2"/>
      <c r="AZ589" s="2"/>
      <c r="BA589" s="2"/>
      <c r="BC589" s="2"/>
      <c r="BD589" s="2"/>
      <c r="BE589" s="2"/>
      <c r="BF589" s="2"/>
      <c r="BG589" s="2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</row>
    <row r="590" ht="14.25" customHeight="1">
      <c r="AA590" s="2"/>
      <c r="AF590" s="2"/>
      <c r="AG590" s="2"/>
      <c r="AH590" s="2"/>
      <c r="AI590" s="2"/>
      <c r="AJ590" s="2"/>
      <c r="AK590" s="2"/>
      <c r="AL590" s="2"/>
      <c r="AM590" s="2"/>
      <c r="AT590" s="2"/>
      <c r="AU590" s="2"/>
      <c r="AV590" s="2"/>
      <c r="AW590" s="2"/>
      <c r="AX590" s="2"/>
      <c r="AY590" s="2"/>
      <c r="AZ590" s="2"/>
      <c r="BA590" s="2"/>
      <c r="BC590" s="2"/>
      <c r="BD590" s="2"/>
      <c r="BE590" s="2"/>
      <c r="BF590" s="2"/>
      <c r="BG590" s="2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</row>
    <row r="591" ht="14.25" customHeight="1">
      <c r="AA591" s="2"/>
      <c r="AF591" s="2"/>
      <c r="AG591" s="2"/>
      <c r="AH591" s="2"/>
      <c r="AI591" s="2"/>
      <c r="AJ591" s="2"/>
      <c r="AK591" s="2"/>
      <c r="AL591" s="2"/>
      <c r="AM591" s="2"/>
      <c r="AT591" s="2"/>
      <c r="AU591" s="2"/>
      <c r="AV591" s="2"/>
      <c r="AW591" s="2"/>
      <c r="AX591" s="2"/>
      <c r="AY591" s="2"/>
      <c r="AZ591" s="2"/>
      <c r="BA591" s="2"/>
      <c r="BC591" s="2"/>
      <c r="BD591" s="2"/>
      <c r="BE591" s="2"/>
      <c r="BF591" s="2"/>
      <c r="BG591" s="2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</row>
    <row r="592" ht="14.25" customHeight="1">
      <c r="AA592" s="2"/>
      <c r="AF592" s="2"/>
      <c r="AG592" s="2"/>
      <c r="AH592" s="2"/>
      <c r="AI592" s="2"/>
      <c r="AJ592" s="2"/>
      <c r="AK592" s="2"/>
      <c r="AL592" s="2"/>
      <c r="AM592" s="2"/>
      <c r="AT592" s="2"/>
      <c r="AU592" s="2"/>
      <c r="AV592" s="2"/>
      <c r="AW592" s="2"/>
      <c r="AX592" s="2"/>
      <c r="AY592" s="2"/>
      <c r="AZ592" s="2"/>
      <c r="BA592" s="2"/>
      <c r="BC592" s="2"/>
      <c r="BD592" s="2"/>
      <c r="BE592" s="2"/>
      <c r="BF592" s="2"/>
      <c r="BG592" s="2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</row>
    <row r="593" ht="14.25" customHeight="1">
      <c r="AA593" s="2"/>
      <c r="AF593" s="2"/>
      <c r="AG593" s="2"/>
      <c r="AH593" s="2"/>
      <c r="AI593" s="2"/>
      <c r="AJ593" s="2"/>
      <c r="AK593" s="2"/>
      <c r="AL593" s="2"/>
      <c r="AM593" s="2"/>
      <c r="AT593" s="2"/>
      <c r="AU593" s="2"/>
      <c r="AV593" s="2"/>
      <c r="AW593" s="2"/>
      <c r="AX593" s="2"/>
      <c r="AY593" s="2"/>
      <c r="AZ593" s="2"/>
      <c r="BA593" s="2"/>
      <c r="BC593" s="2"/>
      <c r="BD593" s="2"/>
      <c r="BE593" s="2"/>
      <c r="BF593" s="2"/>
      <c r="BG593" s="2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</row>
    <row r="594" ht="14.25" customHeight="1">
      <c r="AA594" s="2"/>
      <c r="AF594" s="2"/>
      <c r="AG594" s="2"/>
      <c r="AH594" s="2"/>
      <c r="AI594" s="2"/>
      <c r="AJ594" s="2"/>
      <c r="AK594" s="2"/>
      <c r="AL594" s="2"/>
      <c r="AM594" s="2"/>
      <c r="AT594" s="2"/>
      <c r="AU594" s="2"/>
      <c r="AV594" s="2"/>
      <c r="AW594" s="2"/>
      <c r="AX594" s="2"/>
      <c r="AY594" s="2"/>
      <c r="AZ594" s="2"/>
      <c r="BA594" s="2"/>
      <c r="BC594" s="2"/>
      <c r="BD594" s="2"/>
      <c r="BE594" s="2"/>
      <c r="BF594" s="2"/>
      <c r="BG594" s="2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</row>
    <row r="595" ht="14.25" customHeight="1">
      <c r="AA595" s="2"/>
      <c r="AF595" s="2"/>
      <c r="AG595" s="2"/>
      <c r="AH595" s="2"/>
      <c r="AI595" s="2"/>
      <c r="AJ595" s="2"/>
      <c r="AK595" s="2"/>
      <c r="AL595" s="2"/>
      <c r="AM595" s="2"/>
      <c r="AT595" s="2"/>
      <c r="AU595" s="2"/>
      <c r="AV595" s="2"/>
      <c r="AW595" s="2"/>
      <c r="AX595" s="2"/>
      <c r="AY595" s="2"/>
      <c r="AZ595" s="2"/>
      <c r="BA595" s="2"/>
      <c r="BC595" s="2"/>
      <c r="BD595" s="2"/>
      <c r="BE595" s="2"/>
      <c r="BF595" s="2"/>
      <c r="BG595" s="2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</row>
    <row r="596" ht="14.25" customHeight="1">
      <c r="AA596" s="2"/>
      <c r="AF596" s="2"/>
      <c r="AG596" s="2"/>
      <c r="AH596" s="2"/>
      <c r="AI596" s="2"/>
      <c r="AJ596" s="2"/>
      <c r="AK596" s="2"/>
      <c r="AL596" s="2"/>
      <c r="AM596" s="2"/>
      <c r="AT596" s="2"/>
      <c r="AU596" s="2"/>
      <c r="AV596" s="2"/>
      <c r="AW596" s="2"/>
      <c r="AX596" s="2"/>
      <c r="AY596" s="2"/>
      <c r="AZ596" s="2"/>
      <c r="BA596" s="2"/>
      <c r="BC596" s="2"/>
      <c r="BD596" s="2"/>
      <c r="BE596" s="2"/>
      <c r="BF596" s="2"/>
      <c r="BG596" s="2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</row>
    <row r="597" ht="14.25" customHeight="1">
      <c r="AA597" s="2"/>
      <c r="AF597" s="2"/>
      <c r="AG597" s="2"/>
      <c r="AH597" s="2"/>
      <c r="AI597" s="2"/>
      <c r="AJ597" s="2"/>
      <c r="AK597" s="2"/>
      <c r="AL597" s="2"/>
      <c r="AM597" s="2"/>
      <c r="AT597" s="2"/>
      <c r="AU597" s="2"/>
      <c r="AV597" s="2"/>
      <c r="AW597" s="2"/>
      <c r="AX597" s="2"/>
      <c r="AY597" s="2"/>
      <c r="AZ597" s="2"/>
      <c r="BA597" s="2"/>
      <c r="BC597" s="2"/>
      <c r="BD597" s="2"/>
      <c r="BE597" s="2"/>
      <c r="BF597" s="2"/>
      <c r="BG597" s="2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</row>
    <row r="598" ht="14.25" customHeight="1">
      <c r="AA598" s="2"/>
      <c r="AF598" s="2"/>
      <c r="AG598" s="2"/>
      <c r="AH598" s="2"/>
      <c r="AI598" s="2"/>
      <c r="AJ598" s="2"/>
      <c r="AK598" s="2"/>
      <c r="AL598" s="2"/>
      <c r="AM598" s="2"/>
      <c r="AT598" s="2"/>
      <c r="AU598" s="2"/>
      <c r="AV598" s="2"/>
      <c r="AW598" s="2"/>
      <c r="AX598" s="2"/>
      <c r="AY598" s="2"/>
      <c r="AZ598" s="2"/>
      <c r="BA598" s="2"/>
      <c r="BC598" s="2"/>
      <c r="BD598" s="2"/>
      <c r="BE598" s="2"/>
      <c r="BF598" s="2"/>
      <c r="BG598" s="2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</row>
    <row r="599" ht="14.25" customHeight="1">
      <c r="AA599" s="2"/>
      <c r="AF599" s="2"/>
      <c r="AG599" s="2"/>
      <c r="AH599" s="2"/>
      <c r="AI599" s="2"/>
      <c r="AJ599" s="2"/>
      <c r="AK599" s="2"/>
      <c r="AL599" s="2"/>
      <c r="AM599" s="2"/>
      <c r="AT599" s="2"/>
      <c r="AU599" s="2"/>
      <c r="AV599" s="2"/>
      <c r="AW599" s="2"/>
      <c r="AX599" s="2"/>
      <c r="AY599" s="2"/>
      <c r="AZ599" s="2"/>
      <c r="BA599" s="2"/>
      <c r="BC599" s="2"/>
      <c r="BD599" s="2"/>
      <c r="BE599" s="2"/>
      <c r="BF599" s="2"/>
      <c r="BG599" s="2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</row>
    <row r="600" ht="14.25" customHeight="1">
      <c r="AA600" s="2"/>
      <c r="AF600" s="2"/>
      <c r="AG600" s="2"/>
      <c r="AH600" s="2"/>
      <c r="AI600" s="2"/>
      <c r="AJ600" s="2"/>
      <c r="AK600" s="2"/>
      <c r="AL600" s="2"/>
      <c r="AM600" s="2"/>
      <c r="AT600" s="2"/>
      <c r="AU600" s="2"/>
      <c r="AV600" s="2"/>
      <c r="AW600" s="2"/>
      <c r="AX600" s="2"/>
      <c r="AY600" s="2"/>
      <c r="AZ600" s="2"/>
      <c r="BA600" s="2"/>
      <c r="BC600" s="2"/>
      <c r="BD600" s="2"/>
      <c r="BE600" s="2"/>
      <c r="BF600" s="2"/>
      <c r="BG600" s="2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</row>
    <row r="601" ht="14.25" customHeight="1">
      <c r="AA601" s="2"/>
      <c r="AF601" s="2"/>
      <c r="AG601" s="2"/>
      <c r="AH601" s="2"/>
      <c r="AI601" s="2"/>
      <c r="AJ601" s="2"/>
      <c r="AK601" s="2"/>
      <c r="AL601" s="2"/>
      <c r="AM601" s="2"/>
      <c r="AT601" s="2"/>
      <c r="AU601" s="2"/>
      <c r="AV601" s="2"/>
      <c r="AW601" s="2"/>
      <c r="AX601" s="2"/>
      <c r="AY601" s="2"/>
      <c r="AZ601" s="2"/>
      <c r="BA601" s="2"/>
      <c r="BC601" s="2"/>
      <c r="BD601" s="2"/>
      <c r="BE601" s="2"/>
      <c r="BF601" s="2"/>
      <c r="BG601" s="2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</row>
    <row r="602" ht="14.25" customHeight="1">
      <c r="AA602" s="2"/>
      <c r="AF602" s="2"/>
      <c r="AG602" s="2"/>
      <c r="AH602" s="2"/>
      <c r="AI602" s="2"/>
      <c r="AJ602" s="2"/>
      <c r="AK602" s="2"/>
      <c r="AL602" s="2"/>
      <c r="AM602" s="2"/>
      <c r="AT602" s="2"/>
      <c r="AU602" s="2"/>
      <c r="AV602" s="2"/>
      <c r="AW602" s="2"/>
      <c r="AX602" s="2"/>
      <c r="AY602" s="2"/>
      <c r="AZ602" s="2"/>
      <c r="BA602" s="2"/>
      <c r="BC602" s="2"/>
      <c r="BD602" s="2"/>
      <c r="BE602" s="2"/>
      <c r="BF602" s="2"/>
      <c r="BG602" s="2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</row>
    <row r="603" ht="14.25" customHeight="1">
      <c r="AA603" s="2"/>
      <c r="AF603" s="2"/>
      <c r="AG603" s="2"/>
      <c r="AH603" s="2"/>
      <c r="AI603" s="2"/>
      <c r="AJ603" s="2"/>
      <c r="AK603" s="2"/>
      <c r="AL603" s="2"/>
      <c r="AM603" s="2"/>
      <c r="AT603" s="2"/>
      <c r="AU603" s="2"/>
      <c r="AV603" s="2"/>
      <c r="AW603" s="2"/>
      <c r="AX603" s="2"/>
      <c r="AY603" s="2"/>
      <c r="AZ603" s="2"/>
      <c r="BA603" s="2"/>
      <c r="BC603" s="2"/>
      <c r="BD603" s="2"/>
      <c r="BE603" s="2"/>
      <c r="BF603" s="2"/>
      <c r="BG603" s="2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</row>
    <row r="604" ht="14.25" customHeight="1">
      <c r="AA604" s="2"/>
      <c r="AF604" s="2"/>
      <c r="AG604" s="2"/>
      <c r="AH604" s="2"/>
      <c r="AI604" s="2"/>
      <c r="AJ604" s="2"/>
      <c r="AK604" s="2"/>
      <c r="AL604" s="2"/>
      <c r="AM604" s="2"/>
      <c r="AT604" s="2"/>
      <c r="AU604" s="2"/>
      <c r="AV604" s="2"/>
      <c r="AW604" s="2"/>
      <c r="AX604" s="2"/>
      <c r="AY604" s="2"/>
      <c r="AZ604" s="2"/>
      <c r="BA604" s="2"/>
      <c r="BC604" s="2"/>
      <c r="BD604" s="2"/>
      <c r="BE604" s="2"/>
      <c r="BF604" s="2"/>
      <c r="BG604" s="2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</row>
    <row r="605" ht="14.25" customHeight="1">
      <c r="AA605" s="2"/>
      <c r="AF605" s="2"/>
      <c r="AG605" s="2"/>
      <c r="AH605" s="2"/>
      <c r="AI605" s="2"/>
      <c r="AJ605" s="2"/>
      <c r="AK605" s="2"/>
      <c r="AL605" s="2"/>
      <c r="AM605" s="2"/>
      <c r="AT605" s="2"/>
      <c r="AU605" s="2"/>
      <c r="AV605" s="2"/>
      <c r="AW605" s="2"/>
      <c r="AX605" s="2"/>
      <c r="AY605" s="2"/>
      <c r="AZ605" s="2"/>
      <c r="BA605" s="2"/>
      <c r="BC605" s="2"/>
      <c r="BD605" s="2"/>
      <c r="BE605" s="2"/>
      <c r="BF605" s="2"/>
      <c r="BG605" s="2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</row>
    <row r="606" ht="14.25" customHeight="1">
      <c r="AA606" s="2"/>
      <c r="AF606" s="2"/>
      <c r="AG606" s="2"/>
      <c r="AH606" s="2"/>
      <c r="AI606" s="2"/>
      <c r="AJ606" s="2"/>
      <c r="AK606" s="2"/>
      <c r="AL606" s="2"/>
      <c r="AM606" s="2"/>
      <c r="AT606" s="2"/>
      <c r="AU606" s="2"/>
      <c r="AV606" s="2"/>
      <c r="AW606" s="2"/>
      <c r="AX606" s="2"/>
      <c r="AY606" s="2"/>
      <c r="AZ606" s="2"/>
      <c r="BA606" s="2"/>
      <c r="BC606" s="2"/>
      <c r="BD606" s="2"/>
      <c r="BE606" s="2"/>
      <c r="BF606" s="2"/>
      <c r="BG606" s="2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</row>
    <row r="607" ht="14.25" customHeight="1">
      <c r="AA607" s="2"/>
      <c r="AF607" s="2"/>
      <c r="AG607" s="2"/>
      <c r="AH607" s="2"/>
      <c r="AI607" s="2"/>
      <c r="AJ607" s="2"/>
      <c r="AK607" s="2"/>
      <c r="AL607" s="2"/>
      <c r="AM607" s="2"/>
      <c r="AT607" s="2"/>
      <c r="AU607" s="2"/>
      <c r="AV607" s="2"/>
      <c r="AW607" s="2"/>
      <c r="AX607" s="2"/>
      <c r="AY607" s="2"/>
      <c r="AZ607" s="2"/>
      <c r="BA607" s="2"/>
      <c r="BC607" s="2"/>
      <c r="BD607" s="2"/>
      <c r="BE607" s="2"/>
      <c r="BF607" s="2"/>
      <c r="BG607" s="2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</row>
    <row r="608" ht="14.25" customHeight="1">
      <c r="AA608" s="2"/>
      <c r="AF608" s="2"/>
      <c r="AG608" s="2"/>
      <c r="AH608" s="2"/>
      <c r="AI608" s="2"/>
      <c r="AJ608" s="2"/>
      <c r="AK608" s="2"/>
      <c r="AL608" s="2"/>
      <c r="AM608" s="2"/>
      <c r="AT608" s="2"/>
      <c r="AU608" s="2"/>
      <c r="AV608" s="2"/>
      <c r="AW608" s="2"/>
      <c r="AX608" s="2"/>
      <c r="AY608" s="2"/>
      <c r="AZ608" s="2"/>
      <c r="BA608" s="2"/>
      <c r="BC608" s="2"/>
      <c r="BD608" s="2"/>
      <c r="BE608" s="2"/>
      <c r="BF608" s="2"/>
      <c r="BG608" s="2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</row>
    <row r="609" ht="14.25" customHeight="1">
      <c r="AA609" s="2"/>
      <c r="AF609" s="2"/>
      <c r="AG609" s="2"/>
      <c r="AH609" s="2"/>
      <c r="AI609" s="2"/>
      <c r="AJ609" s="2"/>
      <c r="AK609" s="2"/>
      <c r="AL609" s="2"/>
      <c r="AM609" s="2"/>
      <c r="AT609" s="2"/>
      <c r="AU609" s="2"/>
      <c r="AV609" s="2"/>
      <c r="AW609" s="2"/>
      <c r="AX609" s="2"/>
      <c r="AY609" s="2"/>
      <c r="AZ609" s="2"/>
      <c r="BA609" s="2"/>
      <c r="BC609" s="2"/>
      <c r="BD609" s="2"/>
      <c r="BE609" s="2"/>
      <c r="BF609" s="2"/>
      <c r="BG609" s="2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</row>
    <row r="610" ht="14.25" customHeight="1">
      <c r="AA610" s="2"/>
      <c r="AF610" s="2"/>
      <c r="AG610" s="2"/>
      <c r="AH610" s="2"/>
      <c r="AI610" s="2"/>
      <c r="AJ610" s="2"/>
      <c r="AK610" s="2"/>
      <c r="AL610" s="2"/>
      <c r="AM610" s="2"/>
      <c r="AT610" s="2"/>
      <c r="AU610" s="2"/>
      <c r="AV610" s="2"/>
      <c r="AW610" s="2"/>
      <c r="AX610" s="2"/>
      <c r="AY610" s="2"/>
      <c r="AZ610" s="2"/>
      <c r="BA610" s="2"/>
      <c r="BC610" s="2"/>
      <c r="BD610" s="2"/>
      <c r="BE610" s="2"/>
      <c r="BF610" s="2"/>
      <c r="BG610" s="2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</row>
    <row r="611" ht="14.25" customHeight="1">
      <c r="AA611" s="2"/>
      <c r="AF611" s="2"/>
      <c r="AG611" s="2"/>
      <c r="AH611" s="2"/>
      <c r="AI611" s="2"/>
      <c r="AJ611" s="2"/>
      <c r="AK611" s="2"/>
      <c r="AL611" s="2"/>
      <c r="AM611" s="2"/>
      <c r="AT611" s="2"/>
      <c r="AU611" s="2"/>
      <c r="AV611" s="2"/>
      <c r="AW611" s="2"/>
      <c r="AX611" s="2"/>
      <c r="AY611" s="2"/>
      <c r="AZ611" s="2"/>
      <c r="BA611" s="2"/>
      <c r="BC611" s="2"/>
      <c r="BD611" s="2"/>
      <c r="BE611" s="2"/>
      <c r="BF611" s="2"/>
      <c r="BG611" s="2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</row>
    <row r="612" ht="14.25" customHeight="1">
      <c r="AA612" s="2"/>
      <c r="AF612" s="2"/>
      <c r="AG612" s="2"/>
      <c r="AH612" s="2"/>
      <c r="AI612" s="2"/>
      <c r="AJ612" s="2"/>
      <c r="AK612" s="2"/>
      <c r="AL612" s="2"/>
      <c r="AM612" s="2"/>
      <c r="AT612" s="2"/>
      <c r="AU612" s="2"/>
      <c r="AV612" s="2"/>
      <c r="AW612" s="2"/>
      <c r="AX612" s="2"/>
      <c r="AY612" s="2"/>
      <c r="AZ612" s="2"/>
      <c r="BA612" s="2"/>
      <c r="BC612" s="2"/>
      <c r="BD612" s="2"/>
      <c r="BE612" s="2"/>
      <c r="BF612" s="2"/>
      <c r="BG612" s="2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</row>
    <row r="613" ht="14.25" customHeight="1">
      <c r="AA613" s="2"/>
      <c r="AF613" s="2"/>
      <c r="AG613" s="2"/>
      <c r="AH613" s="2"/>
      <c r="AI613" s="2"/>
      <c r="AJ613" s="2"/>
      <c r="AK613" s="2"/>
      <c r="AL613" s="2"/>
      <c r="AM613" s="2"/>
      <c r="AT613" s="2"/>
      <c r="AU613" s="2"/>
      <c r="AV613" s="2"/>
      <c r="AW613" s="2"/>
      <c r="AX613" s="2"/>
      <c r="AY613" s="2"/>
      <c r="AZ613" s="2"/>
      <c r="BA613" s="2"/>
      <c r="BC613" s="2"/>
      <c r="BD613" s="2"/>
      <c r="BE613" s="2"/>
      <c r="BF613" s="2"/>
      <c r="BG613" s="2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</row>
    <row r="614" ht="14.25" customHeight="1">
      <c r="AA614" s="2"/>
      <c r="AF614" s="2"/>
      <c r="AG614" s="2"/>
      <c r="AH614" s="2"/>
      <c r="AI614" s="2"/>
      <c r="AJ614" s="2"/>
      <c r="AK614" s="2"/>
      <c r="AL614" s="2"/>
      <c r="AM614" s="2"/>
      <c r="AT614" s="2"/>
      <c r="AU614" s="2"/>
      <c r="AV614" s="2"/>
      <c r="AW614" s="2"/>
      <c r="AX614" s="2"/>
      <c r="AY614" s="2"/>
      <c r="AZ614" s="2"/>
      <c r="BA614" s="2"/>
      <c r="BC614" s="2"/>
      <c r="BD614" s="2"/>
      <c r="BE614" s="2"/>
      <c r="BF614" s="2"/>
      <c r="BG614" s="2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</row>
    <row r="615" ht="14.25" customHeight="1">
      <c r="AA615" s="2"/>
      <c r="AF615" s="2"/>
      <c r="AG615" s="2"/>
      <c r="AH615" s="2"/>
      <c r="AI615" s="2"/>
      <c r="AJ615" s="2"/>
      <c r="AK615" s="2"/>
      <c r="AL615" s="2"/>
      <c r="AM615" s="2"/>
      <c r="AT615" s="2"/>
      <c r="AU615" s="2"/>
      <c r="AV615" s="2"/>
      <c r="AW615" s="2"/>
      <c r="AX615" s="2"/>
      <c r="AY615" s="2"/>
      <c r="AZ615" s="2"/>
      <c r="BA615" s="2"/>
      <c r="BC615" s="2"/>
      <c r="BD615" s="2"/>
      <c r="BE615" s="2"/>
      <c r="BF615" s="2"/>
      <c r="BG615" s="2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</row>
    <row r="616" ht="14.25" customHeight="1">
      <c r="AA616" s="2"/>
      <c r="AF616" s="2"/>
      <c r="AG616" s="2"/>
      <c r="AH616" s="2"/>
      <c r="AI616" s="2"/>
      <c r="AJ616" s="2"/>
      <c r="AK616" s="2"/>
      <c r="AL616" s="2"/>
      <c r="AM616" s="2"/>
      <c r="AT616" s="2"/>
      <c r="AU616" s="2"/>
      <c r="AV616" s="2"/>
      <c r="AW616" s="2"/>
      <c r="AX616" s="2"/>
      <c r="AY616" s="2"/>
      <c r="AZ616" s="2"/>
      <c r="BA616" s="2"/>
      <c r="BC616" s="2"/>
      <c r="BD616" s="2"/>
      <c r="BE616" s="2"/>
      <c r="BF616" s="2"/>
      <c r="BG616" s="2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</row>
    <row r="617" ht="14.25" customHeight="1">
      <c r="AA617" s="2"/>
      <c r="AF617" s="2"/>
      <c r="AG617" s="2"/>
      <c r="AH617" s="2"/>
      <c r="AI617" s="2"/>
      <c r="AJ617" s="2"/>
      <c r="AK617" s="2"/>
      <c r="AL617" s="2"/>
      <c r="AM617" s="2"/>
      <c r="AT617" s="2"/>
      <c r="AU617" s="2"/>
      <c r="AV617" s="2"/>
      <c r="AW617" s="2"/>
      <c r="AX617" s="2"/>
      <c r="AY617" s="2"/>
      <c r="AZ617" s="2"/>
      <c r="BA617" s="2"/>
      <c r="BC617" s="2"/>
      <c r="BD617" s="2"/>
      <c r="BE617" s="2"/>
      <c r="BF617" s="2"/>
      <c r="BG617" s="2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</row>
    <row r="618" ht="14.25" customHeight="1">
      <c r="AA618" s="2"/>
      <c r="AF618" s="2"/>
      <c r="AG618" s="2"/>
      <c r="AH618" s="2"/>
      <c r="AI618" s="2"/>
      <c r="AJ618" s="2"/>
      <c r="AK618" s="2"/>
      <c r="AL618" s="2"/>
      <c r="AM618" s="2"/>
      <c r="AT618" s="2"/>
      <c r="AU618" s="2"/>
      <c r="AV618" s="2"/>
      <c r="AW618" s="2"/>
      <c r="AX618" s="2"/>
      <c r="AY618" s="2"/>
      <c r="AZ618" s="2"/>
      <c r="BA618" s="2"/>
      <c r="BC618" s="2"/>
      <c r="BD618" s="2"/>
      <c r="BE618" s="2"/>
      <c r="BF618" s="2"/>
      <c r="BG618" s="2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</row>
    <row r="619" ht="14.25" customHeight="1">
      <c r="AA619" s="2"/>
      <c r="AF619" s="2"/>
      <c r="AG619" s="2"/>
      <c r="AH619" s="2"/>
      <c r="AI619" s="2"/>
      <c r="AJ619" s="2"/>
      <c r="AK619" s="2"/>
      <c r="AL619" s="2"/>
      <c r="AM619" s="2"/>
      <c r="AT619" s="2"/>
      <c r="AU619" s="2"/>
      <c r="AV619" s="2"/>
      <c r="AW619" s="2"/>
      <c r="AX619" s="2"/>
      <c r="AY619" s="2"/>
      <c r="AZ619" s="2"/>
      <c r="BA619" s="2"/>
      <c r="BC619" s="2"/>
      <c r="BD619" s="2"/>
      <c r="BE619" s="2"/>
      <c r="BF619" s="2"/>
      <c r="BG619" s="2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</row>
    <row r="620" ht="14.25" customHeight="1">
      <c r="AA620" s="2"/>
      <c r="AF620" s="2"/>
      <c r="AG620" s="2"/>
      <c r="AH620" s="2"/>
      <c r="AI620" s="2"/>
      <c r="AJ620" s="2"/>
      <c r="AK620" s="2"/>
      <c r="AL620" s="2"/>
      <c r="AM620" s="2"/>
      <c r="AT620" s="2"/>
      <c r="AU620" s="2"/>
      <c r="AV620" s="2"/>
      <c r="AW620" s="2"/>
      <c r="AX620" s="2"/>
      <c r="AY620" s="2"/>
      <c r="AZ620" s="2"/>
      <c r="BA620" s="2"/>
      <c r="BC620" s="2"/>
      <c r="BD620" s="2"/>
      <c r="BE620" s="2"/>
      <c r="BF620" s="2"/>
      <c r="BG620" s="2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</row>
    <row r="621" ht="14.25" customHeight="1">
      <c r="AA621" s="2"/>
      <c r="AF621" s="2"/>
      <c r="AG621" s="2"/>
      <c r="AH621" s="2"/>
      <c r="AI621" s="2"/>
      <c r="AJ621" s="2"/>
      <c r="AK621" s="2"/>
      <c r="AL621" s="2"/>
      <c r="AM621" s="2"/>
      <c r="AT621" s="2"/>
      <c r="AU621" s="2"/>
      <c r="AV621" s="2"/>
      <c r="AW621" s="2"/>
      <c r="AX621" s="2"/>
      <c r="AY621" s="2"/>
      <c r="AZ621" s="2"/>
      <c r="BA621" s="2"/>
      <c r="BC621" s="2"/>
      <c r="BD621" s="2"/>
      <c r="BE621" s="2"/>
      <c r="BF621" s="2"/>
      <c r="BG621" s="2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</row>
    <row r="622" ht="14.25" customHeight="1">
      <c r="AA622" s="2"/>
      <c r="AF622" s="2"/>
      <c r="AG622" s="2"/>
      <c r="AH622" s="2"/>
      <c r="AI622" s="2"/>
      <c r="AJ622" s="2"/>
      <c r="AK622" s="2"/>
      <c r="AL622" s="2"/>
      <c r="AM622" s="2"/>
      <c r="AT622" s="2"/>
      <c r="AU622" s="2"/>
      <c r="AV622" s="2"/>
      <c r="AW622" s="2"/>
      <c r="AX622" s="2"/>
      <c r="AY622" s="2"/>
      <c r="AZ622" s="2"/>
      <c r="BA622" s="2"/>
      <c r="BC622" s="2"/>
      <c r="BD622" s="2"/>
      <c r="BE622" s="2"/>
      <c r="BF622" s="2"/>
      <c r="BG622" s="2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</row>
    <row r="623" ht="14.25" customHeight="1">
      <c r="AA623" s="2"/>
      <c r="AF623" s="2"/>
      <c r="AG623" s="2"/>
      <c r="AH623" s="2"/>
      <c r="AI623" s="2"/>
      <c r="AJ623" s="2"/>
      <c r="AK623" s="2"/>
      <c r="AL623" s="2"/>
      <c r="AM623" s="2"/>
      <c r="AT623" s="2"/>
      <c r="AU623" s="2"/>
      <c r="AV623" s="2"/>
      <c r="AW623" s="2"/>
      <c r="AX623" s="2"/>
      <c r="AY623" s="2"/>
      <c r="AZ623" s="2"/>
      <c r="BA623" s="2"/>
      <c r="BC623" s="2"/>
      <c r="BD623" s="2"/>
      <c r="BE623" s="2"/>
      <c r="BF623" s="2"/>
      <c r="BG623" s="2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</row>
    <row r="624" ht="14.25" customHeight="1">
      <c r="AA624" s="2"/>
      <c r="AF624" s="2"/>
      <c r="AG624" s="2"/>
      <c r="AH624" s="2"/>
      <c r="AI624" s="2"/>
      <c r="AJ624" s="2"/>
      <c r="AK624" s="2"/>
      <c r="AL624" s="2"/>
      <c r="AM624" s="2"/>
      <c r="AT624" s="2"/>
      <c r="AU624" s="2"/>
      <c r="AV624" s="2"/>
      <c r="AW624" s="2"/>
      <c r="AX624" s="2"/>
      <c r="AY624" s="2"/>
      <c r="AZ624" s="2"/>
      <c r="BA624" s="2"/>
      <c r="BC624" s="2"/>
      <c r="BD624" s="2"/>
      <c r="BE624" s="2"/>
      <c r="BF624" s="2"/>
      <c r="BG624" s="2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</row>
    <row r="625" ht="14.25" customHeight="1">
      <c r="AA625" s="2"/>
      <c r="AF625" s="2"/>
      <c r="AG625" s="2"/>
      <c r="AH625" s="2"/>
      <c r="AI625" s="2"/>
      <c r="AJ625" s="2"/>
      <c r="AK625" s="2"/>
      <c r="AL625" s="2"/>
      <c r="AM625" s="2"/>
      <c r="AT625" s="2"/>
      <c r="AU625" s="2"/>
      <c r="AV625" s="2"/>
      <c r="AW625" s="2"/>
      <c r="AX625" s="2"/>
      <c r="AY625" s="2"/>
      <c r="AZ625" s="2"/>
      <c r="BA625" s="2"/>
      <c r="BC625" s="2"/>
      <c r="BD625" s="2"/>
      <c r="BE625" s="2"/>
      <c r="BF625" s="2"/>
      <c r="BG625" s="2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</row>
    <row r="626" ht="14.25" customHeight="1">
      <c r="AA626" s="2"/>
      <c r="AF626" s="2"/>
      <c r="AG626" s="2"/>
      <c r="AH626" s="2"/>
      <c r="AI626" s="2"/>
      <c r="AJ626" s="2"/>
      <c r="AK626" s="2"/>
      <c r="AL626" s="2"/>
      <c r="AM626" s="2"/>
      <c r="AT626" s="2"/>
      <c r="AU626" s="2"/>
      <c r="AV626" s="2"/>
      <c r="AW626" s="2"/>
      <c r="AX626" s="2"/>
      <c r="AY626" s="2"/>
      <c r="AZ626" s="2"/>
      <c r="BA626" s="2"/>
      <c r="BC626" s="2"/>
      <c r="BD626" s="2"/>
      <c r="BE626" s="2"/>
      <c r="BF626" s="2"/>
      <c r="BG626" s="2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</row>
    <row r="627" ht="14.25" customHeight="1">
      <c r="AA627" s="2"/>
      <c r="AF627" s="2"/>
      <c r="AG627" s="2"/>
      <c r="AH627" s="2"/>
      <c r="AI627" s="2"/>
      <c r="AJ627" s="2"/>
      <c r="AK627" s="2"/>
      <c r="AL627" s="2"/>
      <c r="AM627" s="2"/>
      <c r="AT627" s="2"/>
      <c r="AU627" s="2"/>
      <c r="AV627" s="2"/>
      <c r="AW627" s="2"/>
      <c r="AX627" s="2"/>
      <c r="AY627" s="2"/>
      <c r="AZ627" s="2"/>
      <c r="BA627" s="2"/>
      <c r="BC627" s="2"/>
      <c r="BD627" s="2"/>
      <c r="BE627" s="2"/>
      <c r="BF627" s="2"/>
      <c r="BG627" s="2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</row>
    <row r="628" ht="14.25" customHeight="1">
      <c r="AA628" s="2"/>
      <c r="AF628" s="2"/>
      <c r="AG628" s="2"/>
      <c r="AH628" s="2"/>
      <c r="AI628" s="2"/>
      <c r="AJ628" s="2"/>
      <c r="AK628" s="2"/>
      <c r="AL628" s="2"/>
      <c r="AM628" s="2"/>
      <c r="AT628" s="2"/>
      <c r="AU628" s="2"/>
      <c r="AV628" s="2"/>
      <c r="AW628" s="2"/>
      <c r="AX628" s="2"/>
      <c r="AY628" s="2"/>
      <c r="AZ628" s="2"/>
      <c r="BA628" s="2"/>
      <c r="BC628" s="2"/>
      <c r="BD628" s="2"/>
      <c r="BE628" s="2"/>
      <c r="BF628" s="2"/>
      <c r="BG628" s="2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</row>
    <row r="629" ht="14.25" customHeight="1">
      <c r="AA629" s="2"/>
      <c r="AF629" s="2"/>
      <c r="AG629" s="2"/>
      <c r="AH629" s="2"/>
      <c r="AI629" s="2"/>
      <c r="AJ629" s="2"/>
      <c r="AK629" s="2"/>
      <c r="AL629" s="2"/>
      <c r="AM629" s="2"/>
      <c r="AT629" s="2"/>
      <c r="AU629" s="2"/>
      <c r="AV629" s="2"/>
      <c r="AW629" s="2"/>
      <c r="AX629" s="2"/>
      <c r="AY629" s="2"/>
      <c r="AZ629" s="2"/>
      <c r="BA629" s="2"/>
      <c r="BC629" s="2"/>
      <c r="BD629" s="2"/>
      <c r="BE629" s="2"/>
      <c r="BF629" s="2"/>
      <c r="BG629" s="2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</row>
    <row r="630" ht="14.25" customHeight="1">
      <c r="AA630" s="2"/>
      <c r="AF630" s="2"/>
      <c r="AG630" s="2"/>
      <c r="AH630" s="2"/>
      <c r="AI630" s="2"/>
      <c r="AJ630" s="2"/>
      <c r="AK630" s="2"/>
      <c r="AL630" s="2"/>
      <c r="AM630" s="2"/>
      <c r="AT630" s="2"/>
      <c r="AU630" s="2"/>
      <c r="AV630" s="2"/>
      <c r="AW630" s="2"/>
      <c r="AX630" s="2"/>
      <c r="AY630" s="2"/>
      <c r="AZ630" s="2"/>
      <c r="BA630" s="2"/>
      <c r="BC630" s="2"/>
      <c r="BD630" s="2"/>
      <c r="BE630" s="2"/>
      <c r="BF630" s="2"/>
      <c r="BG630" s="2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</row>
    <row r="631" ht="14.25" customHeight="1">
      <c r="AA631" s="2"/>
      <c r="AF631" s="2"/>
      <c r="AG631" s="2"/>
      <c r="AH631" s="2"/>
      <c r="AI631" s="2"/>
      <c r="AJ631" s="2"/>
      <c r="AK631" s="2"/>
      <c r="AL631" s="2"/>
      <c r="AM631" s="2"/>
      <c r="AT631" s="2"/>
      <c r="AU631" s="2"/>
      <c r="AV631" s="2"/>
      <c r="AW631" s="2"/>
      <c r="AX631" s="2"/>
      <c r="AY631" s="2"/>
      <c r="AZ631" s="2"/>
      <c r="BA631" s="2"/>
      <c r="BC631" s="2"/>
      <c r="BD631" s="2"/>
      <c r="BE631" s="2"/>
      <c r="BF631" s="2"/>
      <c r="BG631" s="2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</row>
    <row r="632" ht="14.25" customHeight="1">
      <c r="AA632" s="2"/>
      <c r="AF632" s="2"/>
      <c r="AG632" s="2"/>
      <c r="AH632" s="2"/>
      <c r="AI632" s="2"/>
      <c r="AJ632" s="2"/>
      <c r="AK632" s="2"/>
      <c r="AL632" s="2"/>
      <c r="AM632" s="2"/>
      <c r="AT632" s="2"/>
      <c r="AU632" s="2"/>
      <c r="AV632" s="2"/>
      <c r="AW632" s="2"/>
      <c r="AX632" s="2"/>
      <c r="AY632" s="2"/>
      <c r="AZ632" s="2"/>
      <c r="BA632" s="2"/>
      <c r="BC632" s="2"/>
      <c r="BD632" s="2"/>
      <c r="BE632" s="2"/>
      <c r="BF632" s="2"/>
      <c r="BG632" s="2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</row>
    <row r="633" ht="14.25" customHeight="1">
      <c r="AA633" s="2"/>
      <c r="AF633" s="2"/>
      <c r="AG633" s="2"/>
      <c r="AH633" s="2"/>
      <c r="AI633" s="2"/>
      <c r="AJ633" s="2"/>
      <c r="AK633" s="2"/>
      <c r="AL633" s="2"/>
      <c r="AM633" s="2"/>
      <c r="AT633" s="2"/>
      <c r="AU633" s="2"/>
      <c r="AV633" s="2"/>
      <c r="AW633" s="2"/>
      <c r="AX633" s="2"/>
      <c r="AY633" s="2"/>
      <c r="AZ633" s="2"/>
      <c r="BA633" s="2"/>
      <c r="BC633" s="2"/>
      <c r="BD633" s="2"/>
      <c r="BE633" s="2"/>
      <c r="BF633" s="2"/>
      <c r="BG633" s="2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</row>
    <row r="634" ht="14.25" customHeight="1">
      <c r="AA634" s="2"/>
      <c r="AF634" s="2"/>
      <c r="AG634" s="2"/>
      <c r="AH634" s="2"/>
      <c r="AI634" s="2"/>
      <c r="AJ634" s="2"/>
      <c r="AK634" s="2"/>
      <c r="AL634" s="2"/>
      <c r="AM634" s="2"/>
      <c r="AT634" s="2"/>
      <c r="AU634" s="2"/>
      <c r="AV634" s="2"/>
      <c r="AW634" s="2"/>
      <c r="AX634" s="2"/>
      <c r="AY634" s="2"/>
      <c r="AZ634" s="2"/>
      <c r="BA634" s="2"/>
      <c r="BC634" s="2"/>
      <c r="BD634" s="2"/>
      <c r="BE634" s="2"/>
      <c r="BF634" s="2"/>
      <c r="BG634" s="2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</row>
    <row r="635" ht="14.25" customHeight="1">
      <c r="AA635" s="2"/>
      <c r="AF635" s="2"/>
      <c r="AG635" s="2"/>
      <c r="AH635" s="2"/>
      <c r="AI635" s="2"/>
      <c r="AJ635" s="2"/>
      <c r="AK635" s="2"/>
      <c r="AL635" s="2"/>
      <c r="AM635" s="2"/>
      <c r="AT635" s="2"/>
      <c r="AU635" s="2"/>
      <c r="AV635" s="2"/>
      <c r="AW635" s="2"/>
      <c r="AX635" s="2"/>
      <c r="AY635" s="2"/>
      <c r="AZ635" s="2"/>
      <c r="BA635" s="2"/>
      <c r="BC635" s="2"/>
      <c r="BD635" s="2"/>
      <c r="BE635" s="2"/>
      <c r="BF635" s="2"/>
      <c r="BG635" s="2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</row>
    <row r="636" ht="14.25" customHeight="1">
      <c r="AA636" s="2"/>
      <c r="AF636" s="2"/>
      <c r="AG636" s="2"/>
      <c r="AH636" s="2"/>
      <c r="AI636" s="2"/>
      <c r="AJ636" s="2"/>
      <c r="AK636" s="2"/>
      <c r="AL636" s="2"/>
      <c r="AM636" s="2"/>
      <c r="AT636" s="2"/>
      <c r="AU636" s="2"/>
      <c r="AV636" s="2"/>
      <c r="AW636" s="2"/>
      <c r="AX636" s="2"/>
      <c r="AY636" s="2"/>
      <c r="AZ636" s="2"/>
      <c r="BA636" s="2"/>
      <c r="BC636" s="2"/>
      <c r="BD636" s="2"/>
      <c r="BE636" s="2"/>
      <c r="BF636" s="2"/>
      <c r="BG636" s="2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</row>
    <row r="637" ht="14.25" customHeight="1">
      <c r="AA637" s="2"/>
      <c r="AF637" s="2"/>
      <c r="AG637" s="2"/>
      <c r="AH637" s="2"/>
      <c r="AI637" s="2"/>
      <c r="AJ637" s="2"/>
      <c r="AK637" s="2"/>
      <c r="AL637" s="2"/>
      <c r="AM637" s="2"/>
      <c r="AT637" s="2"/>
      <c r="AU637" s="2"/>
      <c r="AV637" s="2"/>
      <c r="AW637" s="2"/>
      <c r="AX637" s="2"/>
      <c r="AY637" s="2"/>
      <c r="AZ637" s="2"/>
      <c r="BA637" s="2"/>
      <c r="BC637" s="2"/>
      <c r="BD637" s="2"/>
      <c r="BE637" s="2"/>
      <c r="BF637" s="2"/>
      <c r="BG637" s="2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</row>
    <row r="638" ht="14.25" customHeight="1">
      <c r="AA638" s="2"/>
      <c r="AF638" s="2"/>
      <c r="AG638" s="2"/>
      <c r="AH638" s="2"/>
      <c r="AI638" s="2"/>
      <c r="AJ638" s="2"/>
      <c r="AK638" s="2"/>
      <c r="AL638" s="2"/>
      <c r="AM638" s="2"/>
      <c r="AT638" s="2"/>
      <c r="AU638" s="2"/>
      <c r="AV638" s="2"/>
      <c r="AW638" s="2"/>
      <c r="AX638" s="2"/>
      <c r="AY638" s="2"/>
      <c r="AZ638" s="2"/>
      <c r="BA638" s="2"/>
      <c r="BC638" s="2"/>
      <c r="BD638" s="2"/>
      <c r="BE638" s="2"/>
      <c r="BF638" s="2"/>
      <c r="BG638" s="2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</row>
    <row r="639" ht="14.25" customHeight="1">
      <c r="AA639" s="2"/>
      <c r="AF639" s="2"/>
      <c r="AG639" s="2"/>
      <c r="AH639" s="2"/>
      <c r="AI639" s="2"/>
      <c r="AJ639" s="2"/>
      <c r="AK639" s="2"/>
      <c r="AL639" s="2"/>
      <c r="AM639" s="2"/>
      <c r="AT639" s="2"/>
      <c r="AU639" s="2"/>
      <c r="AV639" s="2"/>
      <c r="AW639" s="2"/>
      <c r="AX639" s="2"/>
      <c r="AY639" s="2"/>
      <c r="AZ639" s="2"/>
      <c r="BA639" s="2"/>
      <c r="BC639" s="2"/>
      <c r="BD639" s="2"/>
      <c r="BE639" s="2"/>
      <c r="BF639" s="2"/>
      <c r="BG639" s="2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</row>
    <row r="640" ht="14.25" customHeight="1">
      <c r="AA640" s="2"/>
      <c r="AF640" s="2"/>
      <c r="AG640" s="2"/>
      <c r="AH640" s="2"/>
      <c r="AI640" s="2"/>
      <c r="AJ640" s="2"/>
      <c r="AK640" s="2"/>
      <c r="AL640" s="2"/>
      <c r="AM640" s="2"/>
      <c r="AT640" s="2"/>
      <c r="AU640" s="2"/>
      <c r="AV640" s="2"/>
      <c r="AW640" s="2"/>
      <c r="AX640" s="2"/>
      <c r="AY640" s="2"/>
      <c r="AZ640" s="2"/>
      <c r="BA640" s="2"/>
      <c r="BC640" s="2"/>
      <c r="BD640" s="2"/>
      <c r="BE640" s="2"/>
      <c r="BF640" s="2"/>
      <c r="BG640" s="2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</row>
    <row r="641" ht="14.25" customHeight="1">
      <c r="AA641" s="2"/>
      <c r="AF641" s="2"/>
      <c r="AG641" s="2"/>
      <c r="AH641" s="2"/>
      <c r="AI641" s="2"/>
      <c r="AJ641" s="2"/>
      <c r="AK641" s="2"/>
      <c r="AL641" s="2"/>
      <c r="AM641" s="2"/>
      <c r="AT641" s="2"/>
      <c r="AU641" s="2"/>
      <c r="AV641" s="2"/>
      <c r="AW641" s="2"/>
      <c r="AX641" s="2"/>
      <c r="AY641" s="2"/>
      <c r="AZ641" s="2"/>
      <c r="BA641" s="2"/>
      <c r="BC641" s="2"/>
      <c r="BD641" s="2"/>
      <c r="BE641" s="2"/>
      <c r="BF641" s="2"/>
      <c r="BG641" s="2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</row>
    <row r="642" ht="14.25" customHeight="1">
      <c r="AA642" s="2"/>
      <c r="AF642" s="2"/>
      <c r="AG642" s="2"/>
      <c r="AH642" s="2"/>
      <c r="AI642" s="2"/>
      <c r="AJ642" s="2"/>
      <c r="AK642" s="2"/>
      <c r="AL642" s="2"/>
      <c r="AM642" s="2"/>
      <c r="AT642" s="2"/>
      <c r="AU642" s="2"/>
      <c r="AV642" s="2"/>
      <c r="AW642" s="2"/>
      <c r="AX642" s="2"/>
      <c r="AY642" s="2"/>
      <c r="AZ642" s="2"/>
      <c r="BA642" s="2"/>
      <c r="BC642" s="2"/>
      <c r="BD642" s="2"/>
      <c r="BE642" s="2"/>
      <c r="BF642" s="2"/>
      <c r="BG642" s="2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</row>
    <row r="643" ht="14.25" customHeight="1">
      <c r="AA643" s="2"/>
      <c r="AF643" s="2"/>
      <c r="AG643" s="2"/>
      <c r="AH643" s="2"/>
      <c r="AI643" s="2"/>
      <c r="AJ643" s="2"/>
      <c r="AK643" s="2"/>
      <c r="AL643" s="2"/>
      <c r="AM643" s="2"/>
      <c r="AT643" s="2"/>
      <c r="AU643" s="2"/>
      <c r="AV643" s="2"/>
      <c r="AW643" s="2"/>
      <c r="AX643" s="2"/>
      <c r="AY643" s="2"/>
      <c r="AZ643" s="2"/>
      <c r="BA643" s="2"/>
      <c r="BC643" s="2"/>
      <c r="BD643" s="2"/>
      <c r="BE643" s="2"/>
      <c r="BF643" s="2"/>
      <c r="BG643" s="2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</row>
    <row r="644" ht="14.25" customHeight="1">
      <c r="AA644" s="2"/>
      <c r="AF644" s="2"/>
      <c r="AG644" s="2"/>
      <c r="AH644" s="2"/>
      <c r="AI644" s="2"/>
      <c r="AJ644" s="2"/>
      <c r="AK644" s="2"/>
      <c r="AL644" s="2"/>
      <c r="AM644" s="2"/>
      <c r="AT644" s="2"/>
      <c r="AU644" s="2"/>
      <c r="AV644" s="2"/>
      <c r="AW644" s="2"/>
      <c r="AX644" s="2"/>
      <c r="AY644" s="2"/>
      <c r="AZ644" s="2"/>
      <c r="BA644" s="2"/>
      <c r="BC644" s="2"/>
      <c r="BD644" s="2"/>
      <c r="BE644" s="2"/>
      <c r="BF644" s="2"/>
      <c r="BG644" s="2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</row>
    <row r="645" ht="14.25" customHeight="1">
      <c r="AA645" s="2"/>
      <c r="AF645" s="2"/>
      <c r="AG645" s="2"/>
      <c r="AH645" s="2"/>
      <c r="AI645" s="2"/>
      <c r="AJ645" s="2"/>
      <c r="AK645" s="2"/>
      <c r="AL645" s="2"/>
      <c r="AM645" s="2"/>
      <c r="AT645" s="2"/>
      <c r="AU645" s="2"/>
      <c r="AV645" s="2"/>
      <c r="AW645" s="2"/>
      <c r="AX645" s="2"/>
      <c r="AY645" s="2"/>
      <c r="AZ645" s="2"/>
      <c r="BA645" s="2"/>
      <c r="BC645" s="2"/>
      <c r="BD645" s="2"/>
      <c r="BE645" s="2"/>
      <c r="BF645" s="2"/>
      <c r="BG645" s="2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</row>
    <row r="646" ht="14.25" customHeight="1">
      <c r="AA646" s="2"/>
      <c r="AF646" s="2"/>
      <c r="AG646" s="2"/>
      <c r="AH646" s="2"/>
      <c r="AI646" s="2"/>
      <c r="AJ646" s="2"/>
      <c r="AK646" s="2"/>
      <c r="AL646" s="2"/>
      <c r="AM646" s="2"/>
      <c r="AT646" s="2"/>
      <c r="AU646" s="2"/>
      <c r="AV646" s="2"/>
      <c r="AW646" s="2"/>
      <c r="AX646" s="2"/>
      <c r="AY646" s="2"/>
      <c r="AZ646" s="2"/>
      <c r="BA646" s="2"/>
      <c r="BC646" s="2"/>
      <c r="BD646" s="2"/>
      <c r="BE646" s="2"/>
      <c r="BF646" s="2"/>
      <c r="BG646" s="2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</row>
    <row r="647" ht="14.25" customHeight="1">
      <c r="AA647" s="2"/>
      <c r="AF647" s="2"/>
      <c r="AG647" s="2"/>
      <c r="AH647" s="2"/>
      <c r="AI647" s="2"/>
      <c r="AJ647" s="2"/>
      <c r="AK647" s="2"/>
      <c r="AL647" s="2"/>
      <c r="AM647" s="2"/>
      <c r="AT647" s="2"/>
      <c r="AU647" s="2"/>
      <c r="AV647" s="2"/>
      <c r="AW647" s="2"/>
      <c r="AX647" s="2"/>
      <c r="AY647" s="2"/>
      <c r="AZ647" s="2"/>
      <c r="BA647" s="2"/>
      <c r="BC647" s="2"/>
      <c r="BD647" s="2"/>
      <c r="BE647" s="2"/>
      <c r="BF647" s="2"/>
      <c r="BG647" s="2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</row>
    <row r="648" ht="14.25" customHeight="1">
      <c r="AA648" s="2"/>
      <c r="AF648" s="2"/>
      <c r="AG648" s="2"/>
      <c r="AH648" s="2"/>
      <c r="AI648" s="2"/>
      <c r="AJ648" s="2"/>
      <c r="AK648" s="2"/>
      <c r="AL648" s="2"/>
      <c r="AM648" s="2"/>
      <c r="AT648" s="2"/>
      <c r="AU648" s="2"/>
      <c r="AV648" s="2"/>
      <c r="AW648" s="2"/>
      <c r="AX648" s="2"/>
      <c r="AY648" s="2"/>
      <c r="AZ648" s="2"/>
      <c r="BA648" s="2"/>
      <c r="BC648" s="2"/>
      <c r="BD648" s="2"/>
      <c r="BE648" s="2"/>
      <c r="BF648" s="2"/>
      <c r="BG648" s="2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</row>
    <row r="649" ht="14.25" customHeight="1">
      <c r="AA649" s="2"/>
      <c r="AF649" s="2"/>
      <c r="AG649" s="2"/>
      <c r="AH649" s="2"/>
      <c r="AI649" s="2"/>
      <c r="AJ649" s="2"/>
      <c r="AK649" s="2"/>
      <c r="AL649" s="2"/>
      <c r="AM649" s="2"/>
      <c r="AT649" s="2"/>
      <c r="AU649" s="2"/>
      <c r="AV649" s="2"/>
      <c r="AW649" s="2"/>
      <c r="AX649" s="2"/>
      <c r="AY649" s="2"/>
      <c r="AZ649" s="2"/>
      <c r="BA649" s="2"/>
      <c r="BC649" s="2"/>
      <c r="BD649" s="2"/>
      <c r="BE649" s="2"/>
      <c r="BF649" s="2"/>
      <c r="BG649" s="2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</row>
    <row r="650" ht="14.25" customHeight="1">
      <c r="AA650" s="2"/>
      <c r="AF650" s="2"/>
      <c r="AG650" s="2"/>
      <c r="AH650" s="2"/>
      <c r="AI650" s="2"/>
      <c r="AJ650" s="2"/>
      <c r="AK650" s="2"/>
      <c r="AL650" s="2"/>
      <c r="AM650" s="2"/>
      <c r="AT650" s="2"/>
      <c r="AU650" s="2"/>
      <c r="AV650" s="2"/>
      <c r="AW650" s="2"/>
      <c r="AX650" s="2"/>
      <c r="AY650" s="2"/>
      <c r="AZ650" s="2"/>
      <c r="BA650" s="2"/>
      <c r="BC650" s="2"/>
      <c r="BD650" s="2"/>
      <c r="BE650" s="2"/>
      <c r="BF650" s="2"/>
      <c r="BG650" s="2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</row>
    <row r="651" ht="14.25" customHeight="1">
      <c r="AA651" s="2"/>
      <c r="AF651" s="2"/>
      <c r="AG651" s="2"/>
      <c r="AH651" s="2"/>
      <c r="AI651" s="2"/>
      <c r="AJ651" s="2"/>
      <c r="AK651" s="2"/>
      <c r="AL651" s="2"/>
      <c r="AM651" s="2"/>
      <c r="AT651" s="2"/>
      <c r="AU651" s="2"/>
      <c r="AV651" s="2"/>
      <c r="AW651" s="2"/>
      <c r="AX651" s="2"/>
      <c r="AY651" s="2"/>
      <c r="AZ651" s="2"/>
      <c r="BA651" s="2"/>
      <c r="BC651" s="2"/>
      <c r="BD651" s="2"/>
      <c r="BE651" s="2"/>
      <c r="BF651" s="2"/>
      <c r="BG651" s="2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</row>
    <row r="652" ht="14.25" customHeight="1">
      <c r="AA652" s="2"/>
      <c r="AF652" s="2"/>
      <c r="AG652" s="2"/>
      <c r="AH652" s="2"/>
      <c r="AI652" s="2"/>
      <c r="AJ652" s="2"/>
      <c r="AK652" s="2"/>
      <c r="AL652" s="2"/>
      <c r="AM652" s="2"/>
      <c r="AT652" s="2"/>
      <c r="AU652" s="2"/>
      <c r="AV652" s="2"/>
      <c r="AW652" s="2"/>
      <c r="AX652" s="2"/>
      <c r="AY652" s="2"/>
      <c r="AZ652" s="2"/>
      <c r="BA652" s="2"/>
      <c r="BC652" s="2"/>
      <c r="BD652" s="2"/>
      <c r="BE652" s="2"/>
      <c r="BF652" s="2"/>
      <c r="BG652" s="2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</row>
    <row r="653" ht="14.25" customHeight="1">
      <c r="AA653" s="2"/>
      <c r="AF653" s="2"/>
      <c r="AG653" s="2"/>
      <c r="AH653" s="2"/>
      <c r="AI653" s="2"/>
      <c r="AJ653" s="2"/>
      <c r="AK653" s="2"/>
      <c r="AL653" s="2"/>
      <c r="AM653" s="2"/>
      <c r="AT653" s="2"/>
      <c r="AU653" s="2"/>
      <c r="AV653" s="2"/>
      <c r="AW653" s="2"/>
      <c r="AX653" s="2"/>
      <c r="AY653" s="2"/>
      <c r="AZ653" s="2"/>
      <c r="BA653" s="2"/>
      <c r="BC653" s="2"/>
      <c r="BD653" s="2"/>
      <c r="BE653" s="2"/>
      <c r="BF653" s="2"/>
      <c r="BG653" s="2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</row>
    <row r="654" ht="14.25" customHeight="1">
      <c r="AA654" s="2"/>
      <c r="AF654" s="2"/>
      <c r="AG654" s="2"/>
      <c r="AH654" s="2"/>
      <c r="AI654" s="2"/>
      <c r="AJ654" s="2"/>
      <c r="AK654" s="2"/>
      <c r="AL654" s="2"/>
      <c r="AM654" s="2"/>
      <c r="AT654" s="2"/>
      <c r="AU654" s="2"/>
      <c r="AV654" s="2"/>
      <c r="AW654" s="2"/>
      <c r="AX654" s="2"/>
      <c r="AY654" s="2"/>
      <c r="AZ654" s="2"/>
      <c r="BA654" s="2"/>
      <c r="BC654" s="2"/>
      <c r="BD654" s="2"/>
      <c r="BE654" s="2"/>
      <c r="BF654" s="2"/>
      <c r="BG654" s="2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</row>
    <row r="655" ht="14.25" customHeight="1">
      <c r="AA655" s="2"/>
      <c r="AF655" s="2"/>
      <c r="AG655" s="2"/>
      <c r="AH655" s="2"/>
      <c r="AI655" s="2"/>
      <c r="AJ655" s="2"/>
      <c r="AK655" s="2"/>
      <c r="AL655" s="2"/>
      <c r="AM655" s="2"/>
      <c r="AT655" s="2"/>
      <c r="AU655" s="2"/>
      <c r="AV655" s="2"/>
      <c r="AW655" s="2"/>
      <c r="AX655" s="2"/>
      <c r="AY655" s="2"/>
      <c r="AZ655" s="2"/>
      <c r="BA655" s="2"/>
      <c r="BC655" s="2"/>
      <c r="BD655" s="2"/>
      <c r="BE655" s="2"/>
      <c r="BF655" s="2"/>
      <c r="BG655" s="2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</row>
    <row r="656" ht="14.25" customHeight="1">
      <c r="AA656" s="2"/>
      <c r="AF656" s="2"/>
      <c r="AG656" s="2"/>
      <c r="AH656" s="2"/>
      <c r="AI656" s="2"/>
      <c r="AJ656" s="2"/>
      <c r="AK656" s="2"/>
      <c r="AL656" s="2"/>
      <c r="AM656" s="2"/>
      <c r="AT656" s="2"/>
      <c r="AU656" s="2"/>
      <c r="AV656" s="2"/>
      <c r="AW656" s="2"/>
      <c r="AX656" s="2"/>
      <c r="AY656" s="2"/>
      <c r="AZ656" s="2"/>
      <c r="BA656" s="2"/>
      <c r="BC656" s="2"/>
      <c r="BD656" s="2"/>
      <c r="BE656" s="2"/>
      <c r="BF656" s="2"/>
      <c r="BG656" s="2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</row>
    <row r="657" ht="14.25" customHeight="1">
      <c r="AA657" s="2"/>
      <c r="AF657" s="2"/>
      <c r="AG657" s="2"/>
      <c r="AH657" s="2"/>
      <c r="AI657" s="2"/>
      <c r="AJ657" s="2"/>
      <c r="AK657" s="2"/>
      <c r="AL657" s="2"/>
      <c r="AM657" s="2"/>
      <c r="AT657" s="2"/>
      <c r="AU657" s="2"/>
      <c r="AV657" s="2"/>
      <c r="AW657" s="2"/>
      <c r="AX657" s="2"/>
      <c r="AY657" s="2"/>
      <c r="AZ657" s="2"/>
      <c r="BA657" s="2"/>
      <c r="BC657" s="2"/>
      <c r="BD657" s="2"/>
      <c r="BE657" s="2"/>
      <c r="BF657" s="2"/>
      <c r="BG657" s="2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</row>
    <row r="658" ht="14.25" customHeight="1">
      <c r="AA658" s="2"/>
      <c r="AF658" s="2"/>
      <c r="AG658" s="2"/>
      <c r="AH658" s="2"/>
      <c r="AI658" s="2"/>
      <c r="AJ658" s="2"/>
      <c r="AK658" s="2"/>
      <c r="AL658" s="2"/>
      <c r="AM658" s="2"/>
      <c r="AT658" s="2"/>
      <c r="AU658" s="2"/>
      <c r="AV658" s="2"/>
      <c r="AW658" s="2"/>
      <c r="AX658" s="2"/>
      <c r="AY658" s="2"/>
      <c r="AZ658" s="2"/>
      <c r="BA658" s="2"/>
      <c r="BC658" s="2"/>
      <c r="BD658" s="2"/>
      <c r="BE658" s="2"/>
      <c r="BF658" s="2"/>
      <c r="BG658" s="2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</row>
    <row r="659" ht="14.25" customHeight="1">
      <c r="AA659" s="2"/>
      <c r="AF659" s="2"/>
      <c r="AG659" s="2"/>
      <c r="AH659" s="2"/>
      <c r="AI659" s="2"/>
      <c r="AJ659" s="2"/>
      <c r="AK659" s="2"/>
      <c r="AL659" s="2"/>
      <c r="AM659" s="2"/>
      <c r="AT659" s="2"/>
      <c r="AU659" s="2"/>
      <c r="AV659" s="2"/>
      <c r="AW659" s="2"/>
      <c r="AX659" s="2"/>
      <c r="AY659" s="2"/>
      <c r="AZ659" s="2"/>
      <c r="BA659" s="2"/>
      <c r="BC659" s="2"/>
      <c r="BD659" s="2"/>
      <c r="BE659" s="2"/>
      <c r="BF659" s="2"/>
      <c r="BG659" s="2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</row>
    <row r="660" ht="14.25" customHeight="1">
      <c r="AA660" s="2"/>
      <c r="AF660" s="2"/>
      <c r="AG660" s="2"/>
      <c r="AH660" s="2"/>
      <c r="AI660" s="2"/>
      <c r="AJ660" s="2"/>
      <c r="AK660" s="2"/>
      <c r="AL660" s="2"/>
      <c r="AM660" s="2"/>
      <c r="AT660" s="2"/>
      <c r="AU660" s="2"/>
      <c r="AV660" s="2"/>
      <c r="AW660" s="2"/>
      <c r="AX660" s="2"/>
      <c r="AY660" s="2"/>
      <c r="AZ660" s="2"/>
      <c r="BA660" s="2"/>
      <c r="BC660" s="2"/>
      <c r="BD660" s="2"/>
      <c r="BE660" s="2"/>
      <c r="BF660" s="2"/>
      <c r="BG660" s="2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</row>
    <row r="661" ht="14.25" customHeight="1">
      <c r="AA661" s="2"/>
      <c r="AF661" s="2"/>
      <c r="AG661" s="2"/>
      <c r="AH661" s="2"/>
      <c r="AI661" s="2"/>
      <c r="AJ661" s="2"/>
      <c r="AK661" s="2"/>
      <c r="AL661" s="2"/>
      <c r="AM661" s="2"/>
      <c r="AT661" s="2"/>
      <c r="AU661" s="2"/>
      <c r="AV661" s="2"/>
      <c r="AW661" s="2"/>
      <c r="AX661" s="2"/>
      <c r="AY661" s="2"/>
      <c r="AZ661" s="2"/>
      <c r="BA661" s="2"/>
      <c r="BC661" s="2"/>
      <c r="BD661" s="2"/>
      <c r="BE661" s="2"/>
      <c r="BF661" s="2"/>
      <c r="BG661" s="2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</row>
    <row r="662" ht="14.25" customHeight="1">
      <c r="AA662" s="2"/>
      <c r="AF662" s="2"/>
      <c r="AG662" s="2"/>
      <c r="AH662" s="2"/>
      <c r="AI662" s="2"/>
      <c r="AJ662" s="2"/>
      <c r="AK662" s="2"/>
      <c r="AL662" s="2"/>
      <c r="AM662" s="2"/>
      <c r="AT662" s="2"/>
      <c r="AU662" s="2"/>
      <c r="AV662" s="2"/>
      <c r="AW662" s="2"/>
      <c r="AX662" s="2"/>
      <c r="AY662" s="2"/>
      <c r="AZ662" s="2"/>
      <c r="BA662" s="2"/>
      <c r="BC662" s="2"/>
      <c r="BD662" s="2"/>
      <c r="BE662" s="2"/>
      <c r="BF662" s="2"/>
      <c r="BG662" s="2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</row>
    <row r="663" ht="14.25" customHeight="1">
      <c r="AA663" s="2"/>
      <c r="AF663" s="2"/>
      <c r="AG663" s="2"/>
      <c r="AH663" s="2"/>
      <c r="AI663" s="2"/>
      <c r="AJ663" s="2"/>
      <c r="AK663" s="2"/>
      <c r="AL663" s="2"/>
      <c r="AM663" s="2"/>
      <c r="AT663" s="2"/>
      <c r="AU663" s="2"/>
      <c r="AV663" s="2"/>
      <c r="AW663" s="2"/>
      <c r="AX663" s="2"/>
      <c r="AY663" s="2"/>
      <c r="AZ663" s="2"/>
      <c r="BA663" s="2"/>
      <c r="BC663" s="2"/>
      <c r="BD663" s="2"/>
      <c r="BE663" s="2"/>
      <c r="BF663" s="2"/>
      <c r="BG663" s="2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</row>
    <row r="664" ht="14.25" customHeight="1">
      <c r="AA664" s="2"/>
      <c r="AF664" s="2"/>
      <c r="AG664" s="2"/>
      <c r="AH664" s="2"/>
      <c r="AI664" s="2"/>
      <c r="AJ664" s="2"/>
      <c r="AK664" s="2"/>
      <c r="AL664" s="2"/>
      <c r="AM664" s="2"/>
      <c r="AT664" s="2"/>
      <c r="AU664" s="2"/>
      <c r="AV664" s="2"/>
      <c r="AW664" s="2"/>
      <c r="AX664" s="2"/>
      <c r="AY664" s="2"/>
      <c r="AZ664" s="2"/>
      <c r="BA664" s="2"/>
      <c r="BC664" s="2"/>
      <c r="BD664" s="2"/>
      <c r="BE664" s="2"/>
      <c r="BF664" s="2"/>
      <c r="BG664" s="2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</row>
    <row r="665" ht="14.25" customHeight="1">
      <c r="AA665" s="2"/>
      <c r="AF665" s="2"/>
      <c r="AG665" s="2"/>
      <c r="AH665" s="2"/>
      <c r="AI665" s="2"/>
      <c r="AJ665" s="2"/>
      <c r="AK665" s="2"/>
      <c r="AL665" s="2"/>
      <c r="AM665" s="2"/>
      <c r="AT665" s="2"/>
      <c r="AU665" s="2"/>
      <c r="AV665" s="2"/>
      <c r="AW665" s="2"/>
      <c r="AX665" s="2"/>
      <c r="AY665" s="2"/>
      <c r="AZ665" s="2"/>
      <c r="BA665" s="2"/>
      <c r="BC665" s="2"/>
      <c r="BD665" s="2"/>
      <c r="BE665" s="2"/>
      <c r="BF665" s="2"/>
      <c r="BG665" s="2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</row>
    <row r="666" ht="14.25" customHeight="1">
      <c r="AA666" s="2"/>
      <c r="AF666" s="2"/>
      <c r="AG666" s="2"/>
      <c r="AH666" s="2"/>
      <c r="AI666" s="2"/>
      <c r="AJ666" s="2"/>
      <c r="AK666" s="2"/>
      <c r="AL666" s="2"/>
      <c r="AM666" s="2"/>
      <c r="AT666" s="2"/>
      <c r="AU666" s="2"/>
      <c r="AV666" s="2"/>
      <c r="AW666" s="2"/>
      <c r="AX666" s="2"/>
      <c r="AY666" s="2"/>
      <c r="AZ666" s="2"/>
      <c r="BA666" s="2"/>
      <c r="BC666" s="2"/>
      <c r="BD666" s="2"/>
      <c r="BE666" s="2"/>
      <c r="BF666" s="2"/>
      <c r="BG666" s="2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</row>
    <row r="667" ht="14.25" customHeight="1">
      <c r="AA667" s="2"/>
      <c r="AF667" s="2"/>
      <c r="AG667" s="2"/>
      <c r="AH667" s="2"/>
      <c r="AI667" s="2"/>
      <c r="AJ667" s="2"/>
      <c r="AK667" s="2"/>
      <c r="AL667" s="2"/>
      <c r="AM667" s="2"/>
      <c r="AT667" s="2"/>
      <c r="AU667" s="2"/>
      <c r="AV667" s="2"/>
      <c r="AW667" s="2"/>
      <c r="AX667" s="2"/>
      <c r="AY667" s="2"/>
      <c r="AZ667" s="2"/>
      <c r="BA667" s="2"/>
      <c r="BC667" s="2"/>
      <c r="BD667" s="2"/>
      <c r="BE667" s="2"/>
      <c r="BF667" s="2"/>
      <c r="BG667" s="2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</row>
    <row r="668" ht="14.25" customHeight="1">
      <c r="AA668" s="2"/>
      <c r="AF668" s="2"/>
      <c r="AG668" s="2"/>
      <c r="AH668" s="2"/>
      <c r="AI668" s="2"/>
      <c r="AJ668" s="2"/>
      <c r="AK668" s="2"/>
      <c r="AL668" s="2"/>
      <c r="AM668" s="2"/>
      <c r="AT668" s="2"/>
      <c r="AU668" s="2"/>
      <c r="AV668" s="2"/>
      <c r="AW668" s="2"/>
      <c r="AX668" s="2"/>
      <c r="AY668" s="2"/>
      <c r="AZ668" s="2"/>
      <c r="BA668" s="2"/>
      <c r="BC668" s="2"/>
      <c r="BD668" s="2"/>
      <c r="BE668" s="2"/>
      <c r="BF668" s="2"/>
      <c r="BG668" s="2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</row>
    <row r="669" ht="14.25" customHeight="1">
      <c r="AA669" s="2"/>
      <c r="AF669" s="2"/>
      <c r="AG669" s="2"/>
      <c r="AH669" s="2"/>
      <c r="AI669" s="2"/>
      <c r="AJ669" s="2"/>
      <c r="AK669" s="2"/>
      <c r="AL669" s="2"/>
      <c r="AM669" s="2"/>
      <c r="AT669" s="2"/>
      <c r="AU669" s="2"/>
      <c r="AV669" s="2"/>
      <c r="AW669" s="2"/>
      <c r="AX669" s="2"/>
      <c r="AY669" s="2"/>
      <c r="AZ669" s="2"/>
      <c r="BA669" s="2"/>
      <c r="BC669" s="2"/>
      <c r="BD669" s="2"/>
      <c r="BE669" s="2"/>
      <c r="BF669" s="2"/>
      <c r="BG669" s="2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</row>
    <row r="670" ht="14.25" customHeight="1">
      <c r="AA670" s="2"/>
      <c r="AF670" s="2"/>
      <c r="AG670" s="2"/>
      <c r="AH670" s="2"/>
      <c r="AI670" s="2"/>
      <c r="AJ670" s="2"/>
      <c r="AK670" s="2"/>
      <c r="AL670" s="2"/>
      <c r="AM670" s="2"/>
      <c r="AT670" s="2"/>
      <c r="AU670" s="2"/>
      <c r="AV670" s="2"/>
      <c r="AW670" s="2"/>
      <c r="AX670" s="2"/>
      <c r="AY670" s="2"/>
      <c r="AZ670" s="2"/>
      <c r="BA670" s="2"/>
      <c r="BC670" s="2"/>
      <c r="BD670" s="2"/>
      <c r="BE670" s="2"/>
      <c r="BF670" s="2"/>
      <c r="BG670" s="2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</row>
    <row r="671" ht="14.25" customHeight="1">
      <c r="AA671" s="2"/>
      <c r="AF671" s="2"/>
      <c r="AG671" s="2"/>
      <c r="AH671" s="2"/>
      <c r="AI671" s="2"/>
      <c r="AJ671" s="2"/>
      <c r="AK671" s="2"/>
      <c r="AL671" s="2"/>
      <c r="AM671" s="2"/>
      <c r="AT671" s="2"/>
      <c r="AU671" s="2"/>
      <c r="AV671" s="2"/>
      <c r="AW671" s="2"/>
      <c r="AX671" s="2"/>
      <c r="AY671" s="2"/>
      <c r="AZ671" s="2"/>
      <c r="BA671" s="2"/>
      <c r="BC671" s="2"/>
      <c r="BD671" s="2"/>
      <c r="BE671" s="2"/>
      <c r="BF671" s="2"/>
      <c r="BG671" s="2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</row>
    <row r="672" ht="14.25" customHeight="1">
      <c r="AA672" s="2"/>
      <c r="AF672" s="2"/>
      <c r="AG672" s="2"/>
      <c r="AH672" s="2"/>
      <c r="AI672" s="2"/>
      <c r="AJ672" s="2"/>
      <c r="AK672" s="2"/>
      <c r="AL672" s="2"/>
      <c r="AM672" s="2"/>
      <c r="AT672" s="2"/>
      <c r="AU672" s="2"/>
      <c r="AV672" s="2"/>
      <c r="AW672" s="2"/>
      <c r="AX672" s="2"/>
      <c r="AY672" s="2"/>
      <c r="AZ672" s="2"/>
      <c r="BA672" s="2"/>
      <c r="BC672" s="2"/>
      <c r="BD672" s="2"/>
      <c r="BE672" s="2"/>
      <c r="BF672" s="2"/>
      <c r="BG672" s="2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</row>
    <row r="673" ht="14.25" customHeight="1">
      <c r="AA673" s="2"/>
      <c r="AF673" s="2"/>
      <c r="AG673" s="2"/>
      <c r="AH673" s="2"/>
      <c r="AI673" s="2"/>
      <c r="AJ673" s="2"/>
      <c r="AK673" s="2"/>
      <c r="AL673" s="2"/>
      <c r="AM673" s="2"/>
      <c r="AT673" s="2"/>
      <c r="AU673" s="2"/>
      <c r="AV673" s="2"/>
      <c r="AW673" s="2"/>
      <c r="AX673" s="2"/>
      <c r="AY673" s="2"/>
      <c r="AZ673" s="2"/>
      <c r="BA673" s="2"/>
      <c r="BC673" s="2"/>
      <c r="BD673" s="2"/>
      <c r="BE673" s="2"/>
      <c r="BF673" s="2"/>
      <c r="BG673" s="2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</row>
    <row r="674" ht="14.25" customHeight="1">
      <c r="AA674" s="2"/>
      <c r="AF674" s="2"/>
      <c r="AG674" s="2"/>
      <c r="AH674" s="2"/>
      <c r="AI674" s="2"/>
      <c r="AJ674" s="2"/>
      <c r="AK674" s="2"/>
      <c r="AL674" s="2"/>
      <c r="AM674" s="2"/>
      <c r="AT674" s="2"/>
      <c r="AU674" s="2"/>
      <c r="AV674" s="2"/>
      <c r="AW674" s="2"/>
      <c r="AX674" s="2"/>
      <c r="AY674" s="2"/>
      <c r="AZ674" s="2"/>
      <c r="BA674" s="2"/>
      <c r="BC674" s="2"/>
      <c r="BD674" s="2"/>
      <c r="BE674" s="2"/>
      <c r="BF674" s="2"/>
      <c r="BG674" s="2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</row>
    <row r="675" ht="14.25" customHeight="1">
      <c r="AA675" s="2"/>
      <c r="AF675" s="2"/>
      <c r="AG675" s="2"/>
      <c r="AH675" s="2"/>
      <c r="AI675" s="2"/>
      <c r="AJ675" s="2"/>
      <c r="AK675" s="2"/>
      <c r="AL675" s="2"/>
      <c r="AM675" s="2"/>
      <c r="AT675" s="2"/>
      <c r="AU675" s="2"/>
      <c r="AV675" s="2"/>
      <c r="AW675" s="2"/>
      <c r="AX675" s="2"/>
      <c r="AY675" s="2"/>
      <c r="AZ675" s="2"/>
      <c r="BA675" s="2"/>
      <c r="BC675" s="2"/>
      <c r="BD675" s="2"/>
      <c r="BE675" s="2"/>
      <c r="BF675" s="2"/>
      <c r="BG675" s="2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</row>
    <row r="676" ht="14.25" customHeight="1">
      <c r="AA676" s="2"/>
      <c r="AF676" s="2"/>
      <c r="AG676" s="2"/>
      <c r="AH676" s="2"/>
      <c r="AI676" s="2"/>
      <c r="AJ676" s="2"/>
      <c r="AK676" s="2"/>
      <c r="AL676" s="2"/>
      <c r="AM676" s="2"/>
      <c r="AT676" s="2"/>
      <c r="AU676" s="2"/>
      <c r="AV676" s="2"/>
      <c r="AW676" s="2"/>
      <c r="AX676" s="2"/>
      <c r="AY676" s="2"/>
      <c r="AZ676" s="2"/>
      <c r="BA676" s="2"/>
      <c r="BC676" s="2"/>
      <c r="BD676" s="2"/>
      <c r="BE676" s="2"/>
      <c r="BF676" s="2"/>
      <c r="BG676" s="2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</row>
    <row r="677" ht="14.25" customHeight="1">
      <c r="AA677" s="2"/>
      <c r="AF677" s="2"/>
      <c r="AG677" s="2"/>
      <c r="AH677" s="2"/>
      <c r="AI677" s="2"/>
      <c r="AJ677" s="2"/>
      <c r="AK677" s="2"/>
      <c r="AL677" s="2"/>
      <c r="AM677" s="2"/>
      <c r="AT677" s="2"/>
      <c r="AU677" s="2"/>
      <c r="AV677" s="2"/>
      <c r="AW677" s="2"/>
      <c r="AX677" s="2"/>
      <c r="AY677" s="2"/>
      <c r="AZ677" s="2"/>
      <c r="BA677" s="2"/>
      <c r="BC677" s="2"/>
      <c r="BD677" s="2"/>
      <c r="BE677" s="2"/>
      <c r="BF677" s="2"/>
      <c r="BG677" s="2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</row>
    <row r="678" ht="14.25" customHeight="1">
      <c r="AA678" s="2"/>
      <c r="AF678" s="2"/>
      <c r="AG678" s="2"/>
      <c r="AH678" s="2"/>
      <c r="AI678" s="2"/>
      <c r="AJ678" s="2"/>
      <c r="AK678" s="2"/>
      <c r="AL678" s="2"/>
      <c r="AM678" s="2"/>
      <c r="AT678" s="2"/>
      <c r="AU678" s="2"/>
      <c r="AV678" s="2"/>
      <c r="AW678" s="2"/>
      <c r="AX678" s="2"/>
      <c r="AY678" s="2"/>
      <c r="AZ678" s="2"/>
      <c r="BA678" s="2"/>
      <c r="BC678" s="2"/>
      <c r="BD678" s="2"/>
      <c r="BE678" s="2"/>
      <c r="BF678" s="2"/>
      <c r="BG678" s="2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</row>
    <row r="679" ht="14.25" customHeight="1">
      <c r="AA679" s="2"/>
      <c r="AF679" s="2"/>
      <c r="AG679" s="2"/>
      <c r="AH679" s="2"/>
      <c r="AI679" s="2"/>
      <c r="AJ679" s="2"/>
      <c r="AK679" s="2"/>
      <c r="AL679" s="2"/>
      <c r="AM679" s="2"/>
      <c r="AT679" s="2"/>
      <c r="AU679" s="2"/>
      <c r="AV679" s="2"/>
      <c r="AW679" s="2"/>
      <c r="AX679" s="2"/>
      <c r="AY679" s="2"/>
      <c r="AZ679" s="2"/>
      <c r="BA679" s="2"/>
      <c r="BC679" s="2"/>
      <c r="BD679" s="2"/>
      <c r="BE679" s="2"/>
      <c r="BF679" s="2"/>
      <c r="BG679" s="2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</row>
    <row r="680" ht="14.25" customHeight="1">
      <c r="AA680" s="2"/>
      <c r="AF680" s="2"/>
      <c r="AG680" s="2"/>
      <c r="AH680" s="2"/>
      <c r="AI680" s="2"/>
      <c r="AJ680" s="2"/>
      <c r="AK680" s="2"/>
      <c r="AL680" s="2"/>
      <c r="AM680" s="2"/>
      <c r="AT680" s="2"/>
      <c r="AU680" s="2"/>
      <c r="AV680" s="2"/>
      <c r="AW680" s="2"/>
      <c r="AX680" s="2"/>
      <c r="AY680" s="2"/>
      <c r="AZ680" s="2"/>
      <c r="BA680" s="2"/>
      <c r="BC680" s="2"/>
      <c r="BD680" s="2"/>
      <c r="BE680" s="2"/>
      <c r="BF680" s="2"/>
      <c r="BG680" s="2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</row>
    <row r="681" ht="14.25" customHeight="1">
      <c r="AA681" s="2"/>
      <c r="AF681" s="2"/>
      <c r="AG681" s="2"/>
      <c r="AH681" s="2"/>
      <c r="AI681" s="2"/>
      <c r="AJ681" s="2"/>
      <c r="AK681" s="2"/>
      <c r="AL681" s="2"/>
      <c r="AM681" s="2"/>
      <c r="AT681" s="2"/>
      <c r="AU681" s="2"/>
      <c r="AV681" s="2"/>
      <c r="AW681" s="2"/>
      <c r="AX681" s="2"/>
      <c r="AY681" s="2"/>
      <c r="AZ681" s="2"/>
      <c r="BA681" s="2"/>
      <c r="BC681" s="2"/>
      <c r="BD681" s="2"/>
      <c r="BE681" s="2"/>
      <c r="BF681" s="2"/>
      <c r="BG681" s="2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</row>
    <row r="682" ht="14.25" customHeight="1">
      <c r="AA682" s="2"/>
      <c r="AF682" s="2"/>
      <c r="AG682" s="2"/>
      <c r="AH682" s="2"/>
      <c r="AI682" s="2"/>
      <c r="AJ682" s="2"/>
      <c r="AK682" s="2"/>
      <c r="AL682" s="2"/>
      <c r="AM682" s="2"/>
      <c r="AT682" s="2"/>
      <c r="AU682" s="2"/>
      <c r="AV682" s="2"/>
      <c r="AW682" s="2"/>
      <c r="AX682" s="2"/>
      <c r="AY682" s="2"/>
      <c r="AZ682" s="2"/>
      <c r="BA682" s="2"/>
      <c r="BC682" s="2"/>
      <c r="BD682" s="2"/>
      <c r="BE682" s="2"/>
      <c r="BF682" s="2"/>
      <c r="BG682" s="2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</row>
    <row r="683" ht="14.25" customHeight="1">
      <c r="AA683" s="2"/>
      <c r="AF683" s="2"/>
      <c r="AG683" s="2"/>
      <c r="AH683" s="2"/>
      <c r="AI683" s="2"/>
      <c r="AJ683" s="2"/>
      <c r="AK683" s="2"/>
      <c r="AL683" s="2"/>
      <c r="AM683" s="2"/>
      <c r="AT683" s="2"/>
      <c r="AU683" s="2"/>
      <c r="AV683" s="2"/>
      <c r="AW683" s="2"/>
      <c r="AX683" s="2"/>
      <c r="AY683" s="2"/>
      <c r="AZ683" s="2"/>
      <c r="BA683" s="2"/>
      <c r="BC683" s="2"/>
      <c r="BD683" s="2"/>
      <c r="BE683" s="2"/>
      <c r="BF683" s="2"/>
      <c r="BG683" s="2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</row>
    <row r="684" ht="14.25" customHeight="1">
      <c r="AA684" s="2"/>
      <c r="AF684" s="2"/>
      <c r="AG684" s="2"/>
      <c r="AH684" s="2"/>
      <c r="AI684" s="2"/>
      <c r="AJ684" s="2"/>
      <c r="AK684" s="2"/>
      <c r="AL684" s="2"/>
      <c r="AM684" s="2"/>
      <c r="AT684" s="2"/>
      <c r="AU684" s="2"/>
      <c r="AV684" s="2"/>
      <c r="AW684" s="2"/>
      <c r="AX684" s="2"/>
      <c r="AY684" s="2"/>
      <c r="AZ684" s="2"/>
      <c r="BA684" s="2"/>
      <c r="BC684" s="2"/>
      <c r="BD684" s="2"/>
      <c r="BE684" s="2"/>
      <c r="BF684" s="2"/>
      <c r="BG684" s="2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</row>
    <row r="685" ht="14.25" customHeight="1">
      <c r="AA685" s="2"/>
      <c r="AF685" s="2"/>
      <c r="AG685" s="2"/>
      <c r="AH685" s="2"/>
      <c r="AI685" s="2"/>
      <c r="AJ685" s="2"/>
      <c r="AK685" s="2"/>
      <c r="AL685" s="2"/>
      <c r="AM685" s="2"/>
      <c r="AT685" s="2"/>
      <c r="AU685" s="2"/>
      <c r="AV685" s="2"/>
      <c r="AW685" s="2"/>
      <c r="AX685" s="2"/>
      <c r="AY685" s="2"/>
      <c r="AZ685" s="2"/>
      <c r="BA685" s="2"/>
      <c r="BC685" s="2"/>
      <c r="BD685" s="2"/>
      <c r="BE685" s="2"/>
      <c r="BF685" s="2"/>
      <c r="BG685" s="2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</row>
    <row r="686" ht="14.25" customHeight="1">
      <c r="AA686" s="2"/>
      <c r="AF686" s="2"/>
      <c r="AG686" s="2"/>
      <c r="AH686" s="2"/>
      <c r="AI686" s="2"/>
      <c r="AJ686" s="2"/>
      <c r="AK686" s="2"/>
      <c r="AL686" s="2"/>
      <c r="AM686" s="2"/>
      <c r="AT686" s="2"/>
      <c r="AU686" s="2"/>
      <c r="AV686" s="2"/>
      <c r="AW686" s="2"/>
      <c r="AX686" s="2"/>
      <c r="AY686" s="2"/>
      <c r="AZ686" s="2"/>
      <c r="BA686" s="2"/>
      <c r="BC686" s="2"/>
      <c r="BD686" s="2"/>
      <c r="BE686" s="2"/>
      <c r="BF686" s="2"/>
      <c r="BG686" s="2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</row>
    <row r="687" ht="14.25" customHeight="1">
      <c r="AA687" s="2"/>
      <c r="AF687" s="2"/>
      <c r="AG687" s="2"/>
      <c r="AH687" s="2"/>
      <c r="AI687" s="2"/>
      <c r="AJ687" s="2"/>
      <c r="AK687" s="2"/>
      <c r="AL687" s="2"/>
      <c r="AM687" s="2"/>
      <c r="AT687" s="2"/>
      <c r="AU687" s="2"/>
      <c r="AV687" s="2"/>
      <c r="AW687" s="2"/>
      <c r="AX687" s="2"/>
      <c r="AY687" s="2"/>
      <c r="AZ687" s="2"/>
      <c r="BA687" s="2"/>
      <c r="BC687" s="2"/>
      <c r="BD687" s="2"/>
      <c r="BE687" s="2"/>
      <c r="BF687" s="2"/>
      <c r="BG687" s="2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</row>
    <row r="688" ht="14.25" customHeight="1">
      <c r="AA688" s="2"/>
      <c r="AF688" s="2"/>
      <c r="AG688" s="2"/>
      <c r="AH688" s="2"/>
      <c r="AI688" s="2"/>
      <c r="AJ688" s="2"/>
      <c r="AK688" s="2"/>
      <c r="AL688" s="2"/>
      <c r="AM688" s="2"/>
      <c r="AT688" s="2"/>
      <c r="AU688" s="2"/>
      <c r="AV688" s="2"/>
      <c r="AW688" s="2"/>
      <c r="AX688" s="2"/>
      <c r="AY688" s="2"/>
      <c r="AZ688" s="2"/>
      <c r="BA688" s="2"/>
      <c r="BC688" s="2"/>
      <c r="BD688" s="2"/>
      <c r="BE688" s="2"/>
      <c r="BF688" s="2"/>
      <c r="BG688" s="2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</row>
    <row r="689" ht="14.25" customHeight="1">
      <c r="AA689" s="2"/>
      <c r="AF689" s="2"/>
      <c r="AG689" s="2"/>
      <c r="AH689" s="2"/>
      <c r="AI689" s="2"/>
      <c r="AJ689" s="2"/>
      <c r="AK689" s="2"/>
      <c r="AL689" s="2"/>
      <c r="AM689" s="2"/>
      <c r="AT689" s="2"/>
      <c r="AU689" s="2"/>
      <c r="AV689" s="2"/>
      <c r="AW689" s="2"/>
      <c r="AX689" s="2"/>
      <c r="AY689" s="2"/>
      <c r="AZ689" s="2"/>
      <c r="BA689" s="2"/>
      <c r="BC689" s="2"/>
      <c r="BD689" s="2"/>
      <c r="BE689" s="2"/>
      <c r="BF689" s="2"/>
      <c r="BG689" s="2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</row>
    <row r="690" ht="14.25" customHeight="1">
      <c r="AA690" s="2"/>
      <c r="AF690" s="2"/>
      <c r="AG690" s="2"/>
      <c r="AH690" s="2"/>
      <c r="AI690" s="2"/>
      <c r="AJ690" s="2"/>
      <c r="AK690" s="2"/>
      <c r="AL690" s="2"/>
      <c r="AM690" s="2"/>
      <c r="AT690" s="2"/>
      <c r="AU690" s="2"/>
      <c r="AV690" s="2"/>
      <c r="AW690" s="2"/>
      <c r="AX690" s="2"/>
      <c r="AY690" s="2"/>
      <c r="AZ690" s="2"/>
      <c r="BA690" s="2"/>
      <c r="BC690" s="2"/>
      <c r="BD690" s="2"/>
      <c r="BE690" s="2"/>
      <c r="BF690" s="2"/>
      <c r="BG690" s="2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</row>
    <row r="691" ht="14.25" customHeight="1">
      <c r="AA691" s="2"/>
      <c r="AF691" s="2"/>
      <c r="AG691" s="2"/>
      <c r="AH691" s="2"/>
      <c r="AI691" s="2"/>
      <c r="AJ691" s="2"/>
      <c r="AK691" s="2"/>
      <c r="AL691" s="2"/>
      <c r="AM691" s="2"/>
      <c r="AT691" s="2"/>
      <c r="AU691" s="2"/>
      <c r="AV691" s="2"/>
      <c r="AW691" s="2"/>
      <c r="AX691" s="2"/>
      <c r="AY691" s="2"/>
      <c r="AZ691" s="2"/>
      <c r="BA691" s="2"/>
      <c r="BC691" s="2"/>
      <c r="BD691" s="2"/>
      <c r="BE691" s="2"/>
      <c r="BF691" s="2"/>
      <c r="BG691" s="2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</row>
    <row r="692" ht="14.25" customHeight="1">
      <c r="AA692" s="2"/>
      <c r="AF692" s="2"/>
      <c r="AG692" s="2"/>
      <c r="AH692" s="2"/>
      <c r="AI692" s="2"/>
      <c r="AJ692" s="2"/>
      <c r="AK692" s="2"/>
      <c r="AL692" s="2"/>
      <c r="AM692" s="2"/>
      <c r="AT692" s="2"/>
      <c r="AU692" s="2"/>
      <c r="AV692" s="2"/>
      <c r="AW692" s="2"/>
      <c r="AX692" s="2"/>
      <c r="AY692" s="2"/>
      <c r="AZ692" s="2"/>
      <c r="BA692" s="2"/>
      <c r="BC692" s="2"/>
      <c r="BD692" s="2"/>
      <c r="BE692" s="2"/>
      <c r="BF692" s="2"/>
      <c r="BG692" s="2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</row>
    <row r="693" ht="14.25" customHeight="1">
      <c r="AA693" s="2"/>
      <c r="AF693" s="2"/>
      <c r="AG693" s="2"/>
      <c r="AH693" s="2"/>
      <c r="AI693" s="2"/>
      <c r="AJ693" s="2"/>
      <c r="AK693" s="2"/>
      <c r="AL693" s="2"/>
      <c r="AM693" s="2"/>
      <c r="AT693" s="2"/>
      <c r="AU693" s="2"/>
      <c r="AV693" s="2"/>
      <c r="AW693" s="2"/>
      <c r="AX693" s="2"/>
      <c r="AY693" s="2"/>
      <c r="AZ693" s="2"/>
      <c r="BA693" s="2"/>
      <c r="BC693" s="2"/>
      <c r="BD693" s="2"/>
      <c r="BE693" s="2"/>
      <c r="BF693" s="2"/>
      <c r="BG693" s="2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</row>
    <row r="694" ht="14.25" customHeight="1">
      <c r="AA694" s="2"/>
      <c r="AF694" s="2"/>
      <c r="AG694" s="2"/>
      <c r="AH694" s="2"/>
      <c r="AI694" s="2"/>
      <c r="AJ694" s="2"/>
      <c r="AK694" s="2"/>
      <c r="AL694" s="2"/>
      <c r="AM694" s="2"/>
      <c r="AT694" s="2"/>
      <c r="AU694" s="2"/>
      <c r="AV694" s="2"/>
      <c r="AW694" s="2"/>
      <c r="AX694" s="2"/>
      <c r="AY694" s="2"/>
      <c r="AZ694" s="2"/>
      <c r="BA694" s="2"/>
      <c r="BC694" s="2"/>
      <c r="BD694" s="2"/>
      <c r="BE694" s="2"/>
      <c r="BF694" s="2"/>
      <c r="BG694" s="2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</row>
    <row r="695" ht="14.25" customHeight="1">
      <c r="AA695" s="2"/>
      <c r="AF695" s="2"/>
      <c r="AG695" s="2"/>
      <c r="AH695" s="2"/>
      <c r="AI695" s="2"/>
      <c r="AJ695" s="2"/>
      <c r="AK695" s="2"/>
      <c r="AL695" s="2"/>
      <c r="AM695" s="2"/>
      <c r="AT695" s="2"/>
      <c r="AU695" s="2"/>
      <c r="AV695" s="2"/>
      <c r="AW695" s="2"/>
      <c r="AX695" s="2"/>
      <c r="AY695" s="2"/>
      <c r="AZ695" s="2"/>
      <c r="BA695" s="2"/>
      <c r="BC695" s="2"/>
      <c r="BD695" s="2"/>
      <c r="BE695" s="2"/>
      <c r="BF695" s="2"/>
      <c r="BG695" s="2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</row>
    <row r="696" ht="14.25" customHeight="1">
      <c r="AA696" s="2"/>
      <c r="AF696" s="2"/>
      <c r="AG696" s="2"/>
      <c r="AH696" s="2"/>
      <c r="AI696" s="2"/>
      <c r="AJ696" s="2"/>
      <c r="AK696" s="2"/>
      <c r="AL696" s="2"/>
      <c r="AM696" s="2"/>
      <c r="AT696" s="2"/>
      <c r="AU696" s="2"/>
      <c r="AV696" s="2"/>
      <c r="AW696" s="2"/>
      <c r="AX696" s="2"/>
      <c r="AY696" s="2"/>
      <c r="AZ696" s="2"/>
      <c r="BA696" s="2"/>
      <c r="BC696" s="2"/>
      <c r="BD696" s="2"/>
      <c r="BE696" s="2"/>
      <c r="BF696" s="2"/>
      <c r="BG696" s="2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</row>
    <row r="697" ht="14.25" customHeight="1">
      <c r="AA697" s="2"/>
      <c r="AF697" s="2"/>
      <c r="AG697" s="2"/>
      <c r="AH697" s="2"/>
      <c r="AI697" s="2"/>
      <c r="AJ697" s="2"/>
      <c r="AK697" s="2"/>
      <c r="AL697" s="2"/>
      <c r="AM697" s="2"/>
      <c r="AT697" s="2"/>
      <c r="AU697" s="2"/>
      <c r="AV697" s="2"/>
      <c r="AW697" s="2"/>
      <c r="AX697" s="2"/>
      <c r="AY697" s="2"/>
      <c r="AZ697" s="2"/>
      <c r="BA697" s="2"/>
      <c r="BC697" s="2"/>
      <c r="BD697" s="2"/>
      <c r="BE697" s="2"/>
      <c r="BF697" s="2"/>
      <c r="BG697" s="2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</row>
    <row r="698" ht="14.25" customHeight="1">
      <c r="AA698" s="2"/>
      <c r="AF698" s="2"/>
      <c r="AG698" s="2"/>
      <c r="AH698" s="2"/>
      <c r="AI698" s="2"/>
      <c r="AJ698" s="2"/>
      <c r="AK698" s="2"/>
      <c r="AL698" s="2"/>
      <c r="AM698" s="2"/>
      <c r="AT698" s="2"/>
      <c r="AU698" s="2"/>
      <c r="AV698" s="2"/>
      <c r="AW698" s="2"/>
      <c r="AX698" s="2"/>
      <c r="AY698" s="2"/>
      <c r="AZ698" s="2"/>
      <c r="BA698" s="2"/>
      <c r="BC698" s="2"/>
      <c r="BD698" s="2"/>
      <c r="BE698" s="2"/>
      <c r="BF698" s="2"/>
      <c r="BG698" s="2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</row>
    <row r="699" ht="14.25" customHeight="1">
      <c r="AA699" s="2"/>
      <c r="AF699" s="2"/>
      <c r="AG699" s="2"/>
      <c r="AH699" s="2"/>
      <c r="AI699" s="2"/>
      <c r="AJ699" s="2"/>
      <c r="AK699" s="2"/>
      <c r="AL699" s="2"/>
      <c r="AM699" s="2"/>
      <c r="AT699" s="2"/>
      <c r="AU699" s="2"/>
      <c r="AV699" s="2"/>
      <c r="AW699" s="2"/>
      <c r="AX699" s="2"/>
      <c r="AY699" s="2"/>
      <c r="AZ699" s="2"/>
      <c r="BA699" s="2"/>
      <c r="BC699" s="2"/>
      <c r="BD699" s="2"/>
      <c r="BE699" s="2"/>
      <c r="BF699" s="2"/>
      <c r="BG699" s="2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</row>
    <row r="700" ht="14.25" customHeight="1">
      <c r="AA700" s="2"/>
      <c r="AF700" s="2"/>
      <c r="AG700" s="2"/>
      <c r="AH700" s="2"/>
      <c r="AI700" s="2"/>
      <c r="AJ700" s="2"/>
      <c r="AK700" s="2"/>
      <c r="AL700" s="2"/>
      <c r="AM700" s="2"/>
      <c r="AT700" s="2"/>
      <c r="AU700" s="2"/>
      <c r="AV700" s="2"/>
      <c r="AW700" s="2"/>
      <c r="AX700" s="2"/>
      <c r="AY700" s="2"/>
      <c r="AZ700" s="2"/>
      <c r="BA700" s="2"/>
      <c r="BC700" s="2"/>
      <c r="BD700" s="2"/>
      <c r="BE700" s="2"/>
      <c r="BF700" s="2"/>
      <c r="BG700" s="2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</row>
    <row r="701" ht="14.25" customHeight="1">
      <c r="AA701" s="2"/>
      <c r="AF701" s="2"/>
      <c r="AG701" s="2"/>
      <c r="AH701" s="2"/>
      <c r="AI701" s="2"/>
      <c r="AJ701" s="2"/>
      <c r="AK701" s="2"/>
      <c r="AL701" s="2"/>
      <c r="AM701" s="2"/>
      <c r="AT701" s="2"/>
      <c r="AU701" s="2"/>
      <c r="AV701" s="2"/>
      <c r="AW701" s="2"/>
      <c r="AX701" s="2"/>
      <c r="AY701" s="2"/>
      <c r="AZ701" s="2"/>
      <c r="BA701" s="2"/>
      <c r="BC701" s="2"/>
      <c r="BD701" s="2"/>
      <c r="BE701" s="2"/>
      <c r="BF701" s="2"/>
      <c r="BG701" s="2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</row>
    <row r="702" ht="14.25" customHeight="1">
      <c r="AA702" s="2"/>
      <c r="AF702" s="2"/>
      <c r="AG702" s="2"/>
      <c r="AH702" s="2"/>
      <c r="AI702" s="2"/>
      <c r="AJ702" s="2"/>
      <c r="AK702" s="2"/>
      <c r="AL702" s="2"/>
      <c r="AM702" s="2"/>
      <c r="AT702" s="2"/>
      <c r="AU702" s="2"/>
      <c r="AV702" s="2"/>
      <c r="AW702" s="2"/>
      <c r="AX702" s="2"/>
      <c r="AY702" s="2"/>
      <c r="AZ702" s="2"/>
      <c r="BA702" s="2"/>
      <c r="BC702" s="2"/>
      <c r="BD702" s="2"/>
      <c r="BE702" s="2"/>
      <c r="BF702" s="2"/>
      <c r="BG702" s="2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</row>
    <row r="703" ht="14.25" customHeight="1">
      <c r="AA703" s="2"/>
      <c r="AF703" s="2"/>
      <c r="AG703" s="2"/>
      <c r="AH703" s="2"/>
      <c r="AI703" s="2"/>
      <c r="AJ703" s="2"/>
      <c r="AK703" s="2"/>
      <c r="AL703" s="2"/>
      <c r="AM703" s="2"/>
      <c r="AT703" s="2"/>
      <c r="AU703" s="2"/>
      <c r="AV703" s="2"/>
      <c r="AW703" s="2"/>
      <c r="AX703" s="2"/>
      <c r="AY703" s="2"/>
      <c r="AZ703" s="2"/>
      <c r="BA703" s="2"/>
      <c r="BC703" s="2"/>
      <c r="BD703" s="2"/>
      <c r="BE703" s="2"/>
      <c r="BF703" s="2"/>
      <c r="BG703" s="2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</row>
    <row r="704" ht="14.25" customHeight="1">
      <c r="AA704" s="2"/>
      <c r="AF704" s="2"/>
      <c r="AG704" s="2"/>
      <c r="AH704" s="2"/>
      <c r="AI704" s="2"/>
      <c r="AJ704" s="2"/>
      <c r="AK704" s="2"/>
      <c r="AL704" s="2"/>
      <c r="AM704" s="2"/>
      <c r="AT704" s="2"/>
      <c r="AU704" s="2"/>
      <c r="AV704" s="2"/>
      <c r="AW704" s="2"/>
      <c r="AX704" s="2"/>
      <c r="AY704" s="2"/>
      <c r="AZ704" s="2"/>
      <c r="BA704" s="2"/>
      <c r="BC704" s="2"/>
      <c r="BD704" s="2"/>
      <c r="BE704" s="2"/>
      <c r="BF704" s="2"/>
      <c r="BG704" s="2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</row>
    <row r="705" ht="14.25" customHeight="1">
      <c r="AA705" s="2"/>
      <c r="AF705" s="2"/>
      <c r="AG705" s="2"/>
      <c r="AH705" s="2"/>
      <c r="AI705" s="2"/>
      <c r="AJ705" s="2"/>
      <c r="AK705" s="2"/>
      <c r="AL705" s="2"/>
      <c r="AM705" s="2"/>
      <c r="AT705" s="2"/>
      <c r="AU705" s="2"/>
      <c r="AV705" s="2"/>
      <c r="AW705" s="2"/>
      <c r="AX705" s="2"/>
      <c r="AY705" s="2"/>
      <c r="AZ705" s="2"/>
      <c r="BA705" s="2"/>
      <c r="BC705" s="2"/>
      <c r="BD705" s="2"/>
      <c r="BE705" s="2"/>
      <c r="BF705" s="2"/>
      <c r="BG705" s="2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</row>
    <row r="706" ht="14.25" customHeight="1">
      <c r="AA706" s="2"/>
      <c r="AF706" s="2"/>
      <c r="AG706" s="2"/>
      <c r="AH706" s="2"/>
      <c r="AI706" s="2"/>
      <c r="AJ706" s="2"/>
      <c r="AK706" s="2"/>
      <c r="AL706" s="2"/>
      <c r="AM706" s="2"/>
      <c r="AT706" s="2"/>
      <c r="AU706" s="2"/>
      <c r="AV706" s="2"/>
      <c r="AW706" s="2"/>
      <c r="AX706" s="2"/>
      <c r="AY706" s="2"/>
      <c r="AZ706" s="2"/>
      <c r="BA706" s="2"/>
      <c r="BC706" s="2"/>
      <c r="BD706" s="2"/>
      <c r="BE706" s="2"/>
      <c r="BF706" s="2"/>
      <c r="BG706" s="2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</row>
    <row r="707" ht="14.25" customHeight="1">
      <c r="AA707" s="2"/>
      <c r="AF707" s="2"/>
      <c r="AG707" s="2"/>
      <c r="AH707" s="2"/>
      <c r="AI707" s="2"/>
      <c r="AJ707" s="2"/>
      <c r="AK707" s="2"/>
      <c r="AL707" s="2"/>
      <c r="AM707" s="2"/>
      <c r="AT707" s="2"/>
      <c r="AU707" s="2"/>
      <c r="AV707" s="2"/>
      <c r="AW707" s="2"/>
      <c r="AX707" s="2"/>
      <c r="AY707" s="2"/>
      <c r="AZ707" s="2"/>
      <c r="BA707" s="2"/>
      <c r="BC707" s="2"/>
      <c r="BD707" s="2"/>
      <c r="BE707" s="2"/>
      <c r="BF707" s="2"/>
      <c r="BG707" s="2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</row>
    <row r="708" ht="14.25" customHeight="1">
      <c r="AA708" s="2"/>
      <c r="AF708" s="2"/>
      <c r="AG708" s="2"/>
      <c r="AH708" s="2"/>
      <c r="AI708" s="2"/>
      <c r="AJ708" s="2"/>
      <c r="AK708" s="2"/>
      <c r="AL708" s="2"/>
      <c r="AM708" s="2"/>
      <c r="AT708" s="2"/>
      <c r="AU708" s="2"/>
      <c r="AV708" s="2"/>
      <c r="AW708" s="2"/>
      <c r="AX708" s="2"/>
      <c r="AY708" s="2"/>
      <c r="AZ708" s="2"/>
      <c r="BA708" s="2"/>
      <c r="BC708" s="2"/>
      <c r="BD708" s="2"/>
      <c r="BE708" s="2"/>
      <c r="BF708" s="2"/>
      <c r="BG708" s="2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</row>
    <row r="709" ht="14.25" customHeight="1">
      <c r="AA709" s="2"/>
      <c r="AF709" s="2"/>
      <c r="AG709" s="2"/>
      <c r="AH709" s="2"/>
      <c r="AI709" s="2"/>
      <c r="AJ709" s="2"/>
      <c r="AK709" s="2"/>
      <c r="AL709" s="2"/>
      <c r="AM709" s="2"/>
      <c r="AT709" s="2"/>
      <c r="AU709" s="2"/>
      <c r="AV709" s="2"/>
      <c r="AW709" s="2"/>
      <c r="AX709" s="2"/>
      <c r="AY709" s="2"/>
      <c r="AZ709" s="2"/>
      <c r="BA709" s="2"/>
      <c r="BC709" s="2"/>
      <c r="BD709" s="2"/>
      <c r="BE709" s="2"/>
      <c r="BF709" s="2"/>
      <c r="BG709" s="2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</row>
    <row r="710" ht="14.25" customHeight="1">
      <c r="AA710" s="2"/>
      <c r="AF710" s="2"/>
      <c r="AG710" s="2"/>
      <c r="AH710" s="2"/>
      <c r="AI710" s="2"/>
      <c r="AJ710" s="2"/>
      <c r="AK710" s="2"/>
      <c r="AL710" s="2"/>
      <c r="AM710" s="2"/>
      <c r="AT710" s="2"/>
      <c r="AU710" s="2"/>
      <c r="AV710" s="2"/>
      <c r="AW710" s="2"/>
      <c r="AX710" s="2"/>
      <c r="AY710" s="2"/>
      <c r="AZ710" s="2"/>
      <c r="BA710" s="2"/>
      <c r="BC710" s="2"/>
      <c r="BD710" s="2"/>
      <c r="BE710" s="2"/>
      <c r="BF710" s="2"/>
      <c r="BG710" s="2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</row>
    <row r="711" ht="14.25" customHeight="1">
      <c r="AA711" s="2"/>
      <c r="AF711" s="2"/>
      <c r="AG711" s="2"/>
      <c r="AH711" s="2"/>
      <c r="AI711" s="2"/>
      <c r="AJ711" s="2"/>
      <c r="AK711" s="2"/>
      <c r="AL711" s="2"/>
      <c r="AM711" s="2"/>
      <c r="AT711" s="2"/>
      <c r="AU711" s="2"/>
      <c r="AV711" s="2"/>
      <c r="AW711" s="2"/>
      <c r="AX711" s="2"/>
      <c r="AY711" s="2"/>
      <c r="AZ711" s="2"/>
      <c r="BA711" s="2"/>
      <c r="BC711" s="2"/>
      <c r="BD711" s="2"/>
      <c r="BE711" s="2"/>
      <c r="BF711" s="2"/>
      <c r="BG711" s="2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</row>
    <row r="712" ht="14.25" customHeight="1">
      <c r="AA712" s="2"/>
      <c r="AF712" s="2"/>
      <c r="AG712" s="2"/>
      <c r="AH712" s="2"/>
      <c r="AI712" s="2"/>
      <c r="AJ712" s="2"/>
      <c r="AK712" s="2"/>
      <c r="AL712" s="2"/>
      <c r="AM712" s="2"/>
      <c r="AT712" s="2"/>
      <c r="AU712" s="2"/>
      <c r="AV712" s="2"/>
      <c r="AW712" s="2"/>
      <c r="AX712" s="2"/>
      <c r="AY712" s="2"/>
      <c r="AZ712" s="2"/>
      <c r="BA712" s="2"/>
      <c r="BC712" s="2"/>
      <c r="BD712" s="2"/>
      <c r="BE712" s="2"/>
      <c r="BF712" s="2"/>
      <c r="BG712" s="2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</row>
    <row r="713" ht="14.25" customHeight="1">
      <c r="AA713" s="2"/>
      <c r="AF713" s="2"/>
      <c r="AG713" s="2"/>
      <c r="AH713" s="2"/>
      <c r="AI713" s="2"/>
      <c r="AJ713" s="2"/>
      <c r="AK713" s="2"/>
      <c r="AL713" s="2"/>
      <c r="AM713" s="2"/>
      <c r="AT713" s="2"/>
      <c r="AU713" s="2"/>
      <c r="AV713" s="2"/>
      <c r="AW713" s="2"/>
      <c r="AX713" s="2"/>
      <c r="AY713" s="2"/>
      <c r="AZ713" s="2"/>
      <c r="BA713" s="2"/>
      <c r="BC713" s="2"/>
      <c r="BD713" s="2"/>
      <c r="BE713" s="2"/>
      <c r="BF713" s="2"/>
      <c r="BG713" s="2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</row>
    <row r="714" ht="14.25" customHeight="1">
      <c r="AA714" s="2"/>
      <c r="AF714" s="2"/>
      <c r="AG714" s="2"/>
      <c r="AH714" s="2"/>
      <c r="AI714" s="2"/>
      <c r="AJ714" s="2"/>
      <c r="AK714" s="2"/>
      <c r="AL714" s="2"/>
      <c r="AM714" s="2"/>
      <c r="AT714" s="2"/>
      <c r="AU714" s="2"/>
      <c r="AV714" s="2"/>
      <c r="AW714" s="2"/>
      <c r="AX714" s="2"/>
      <c r="AY714" s="2"/>
      <c r="AZ714" s="2"/>
      <c r="BA714" s="2"/>
      <c r="BC714" s="2"/>
      <c r="BD714" s="2"/>
      <c r="BE714" s="2"/>
      <c r="BF714" s="2"/>
      <c r="BG714" s="2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</row>
    <row r="715" ht="14.25" customHeight="1">
      <c r="AA715" s="2"/>
      <c r="AF715" s="2"/>
      <c r="AG715" s="2"/>
      <c r="AH715" s="2"/>
      <c r="AI715" s="2"/>
      <c r="AJ715" s="2"/>
      <c r="AK715" s="2"/>
      <c r="AL715" s="2"/>
      <c r="AM715" s="2"/>
      <c r="AT715" s="2"/>
      <c r="AU715" s="2"/>
      <c r="AV715" s="2"/>
      <c r="AW715" s="2"/>
      <c r="AX715" s="2"/>
      <c r="AY715" s="2"/>
      <c r="AZ715" s="2"/>
      <c r="BA715" s="2"/>
      <c r="BC715" s="2"/>
      <c r="BD715" s="2"/>
      <c r="BE715" s="2"/>
      <c r="BF715" s="2"/>
      <c r="BG715" s="2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</row>
    <row r="716" ht="14.25" customHeight="1">
      <c r="AA716" s="2"/>
      <c r="AF716" s="2"/>
      <c r="AG716" s="2"/>
      <c r="AH716" s="2"/>
      <c r="AI716" s="2"/>
      <c r="AJ716" s="2"/>
      <c r="AK716" s="2"/>
      <c r="AL716" s="2"/>
      <c r="AM716" s="2"/>
      <c r="AT716" s="2"/>
      <c r="AU716" s="2"/>
      <c r="AV716" s="2"/>
      <c r="AW716" s="2"/>
      <c r="AX716" s="2"/>
      <c r="AY716" s="2"/>
      <c r="AZ716" s="2"/>
      <c r="BA716" s="2"/>
      <c r="BC716" s="2"/>
      <c r="BD716" s="2"/>
      <c r="BE716" s="2"/>
      <c r="BF716" s="2"/>
      <c r="BG716" s="2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</row>
    <row r="717" ht="14.25" customHeight="1">
      <c r="AA717" s="2"/>
      <c r="AF717" s="2"/>
      <c r="AG717" s="2"/>
      <c r="AH717" s="2"/>
      <c r="AI717" s="2"/>
      <c r="AJ717" s="2"/>
      <c r="AK717" s="2"/>
      <c r="AL717" s="2"/>
      <c r="AM717" s="2"/>
      <c r="AT717" s="2"/>
      <c r="AU717" s="2"/>
      <c r="AV717" s="2"/>
      <c r="AW717" s="2"/>
      <c r="AX717" s="2"/>
      <c r="AY717" s="2"/>
      <c r="AZ717" s="2"/>
      <c r="BA717" s="2"/>
      <c r="BC717" s="2"/>
      <c r="BD717" s="2"/>
      <c r="BE717" s="2"/>
      <c r="BF717" s="2"/>
      <c r="BG717" s="2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</row>
    <row r="718" ht="14.25" customHeight="1">
      <c r="AA718" s="2"/>
      <c r="AF718" s="2"/>
      <c r="AG718" s="2"/>
      <c r="AH718" s="2"/>
      <c r="AI718" s="2"/>
      <c r="AJ718" s="2"/>
      <c r="AK718" s="2"/>
      <c r="AL718" s="2"/>
      <c r="AM718" s="2"/>
      <c r="AT718" s="2"/>
      <c r="AU718" s="2"/>
      <c r="AV718" s="2"/>
      <c r="AW718" s="2"/>
      <c r="AX718" s="2"/>
      <c r="AY718" s="2"/>
      <c r="AZ718" s="2"/>
      <c r="BA718" s="2"/>
      <c r="BC718" s="2"/>
      <c r="BD718" s="2"/>
      <c r="BE718" s="2"/>
      <c r="BF718" s="2"/>
      <c r="BG718" s="2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</row>
    <row r="719" ht="14.25" customHeight="1">
      <c r="AA719" s="2"/>
      <c r="AF719" s="2"/>
      <c r="AG719" s="2"/>
      <c r="AH719" s="2"/>
      <c r="AI719" s="2"/>
      <c r="AJ719" s="2"/>
      <c r="AK719" s="2"/>
      <c r="AL719" s="2"/>
      <c r="AM719" s="2"/>
      <c r="AT719" s="2"/>
      <c r="AU719" s="2"/>
      <c r="AV719" s="2"/>
      <c r="AW719" s="2"/>
      <c r="AX719" s="2"/>
      <c r="AY719" s="2"/>
      <c r="AZ719" s="2"/>
      <c r="BA719" s="2"/>
      <c r="BC719" s="2"/>
      <c r="BD719" s="2"/>
      <c r="BE719" s="2"/>
      <c r="BF719" s="2"/>
      <c r="BG719" s="2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</row>
    <row r="720" ht="14.25" customHeight="1">
      <c r="AA720" s="2"/>
      <c r="AF720" s="2"/>
      <c r="AG720" s="2"/>
      <c r="AH720" s="2"/>
      <c r="AI720" s="2"/>
      <c r="AJ720" s="2"/>
      <c r="AK720" s="2"/>
      <c r="AL720" s="2"/>
      <c r="AM720" s="2"/>
      <c r="AT720" s="2"/>
      <c r="AU720" s="2"/>
      <c r="AV720" s="2"/>
      <c r="AW720" s="2"/>
      <c r="AX720" s="2"/>
      <c r="AY720" s="2"/>
      <c r="AZ720" s="2"/>
      <c r="BA720" s="2"/>
      <c r="BC720" s="2"/>
      <c r="BD720" s="2"/>
      <c r="BE720" s="2"/>
      <c r="BF720" s="2"/>
      <c r="BG720" s="2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</row>
    <row r="721" ht="14.25" customHeight="1">
      <c r="AA721" s="2"/>
      <c r="AF721" s="2"/>
      <c r="AG721" s="2"/>
      <c r="AH721" s="2"/>
      <c r="AI721" s="2"/>
      <c r="AJ721" s="2"/>
      <c r="AK721" s="2"/>
      <c r="AL721" s="2"/>
      <c r="AM721" s="2"/>
      <c r="AT721" s="2"/>
      <c r="AU721" s="2"/>
      <c r="AV721" s="2"/>
      <c r="AW721" s="2"/>
      <c r="AX721" s="2"/>
      <c r="AY721" s="2"/>
      <c r="AZ721" s="2"/>
      <c r="BA721" s="2"/>
      <c r="BC721" s="2"/>
      <c r="BD721" s="2"/>
      <c r="BE721" s="2"/>
      <c r="BF721" s="2"/>
      <c r="BG721" s="2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</row>
    <row r="722" ht="14.25" customHeight="1">
      <c r="AA722" s="2"/>
      <c r="AF722" s="2"/>
      <c r="AG722" s="2"/>
      <c r="AH722" s="2"/>
      <c r="AI722" s="2"/>
      <c r="AJ722" s="2"/>
      <c r="AK722" s="2"/>
      <c r="AL722" s="2"/>
      <c r="AM722" s="2"/>
      <c r="AT722" s="2"/>
      <c r="AU722" s="2"/>
      <c r="AV722" s="2"/>
      <c r="AW722" s="2"/>
      <c r="AX722" s="2"/>
      <c r="AY722" s="2"/>
      <c r="AZ722" s="2"/>
      <c r="BA722" s="2"/>
      <c r="BC722" s="2"/>
      <c r="BD722" s="2"/>
      <c r="BE722" s="2"/>
      <c r="BF722" s="2"/>
      <c r="BG722" s="2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</row>
    <row r="723" ht="14.25" customHeight="1">
      <c r="AA723" s="2"/>
      <c r="AF723" s="2"/>
      <c r="AG723" s="2"/>
      <c r="AH723" s="2"/>
      <c r="AI723" s="2"/>
      <c r="AJ723" s="2"/>
      <c r="AK723" s="2"/>
      <c r="AL723" s="2"/>
      <c r="AM723" s="2"/>
      <c r="AT723" s="2"/>
      <c r="AU723" s="2"/>
      <c r="AV723" s="2"/>
      <c r="AW723" s="2"/>
      <c r="AX723" s="2"/>
      <c r="AY723" s="2"/>
      <c r="AZ723" s="2"/>
      <c r="BA723" s="2"/>
      <c r="BC723" s="2"/>
      <c r="BD723" s="2"/>
      <c r="BE723" s="2"/>
      <c r="BF723" s="2"/>
      <c r="BG723" s="2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</row>
    <row r="724" ht="14.25" customHeight="1">
      <c r="AA724" s="2"/>
      <c r="AF724" s="2"/>
      <c r="AG724" s="2"/>
      <c r="AH724" s="2"/>
      <c r="AI724" s="2"/>
      <c r="AJ724" s="2"/>
      <c r="AK724" s="2"/>
      <c r="AL724" s="2"/>
      <c r="AM724" s="2"/>
      <c r="AT724" s="2"/>
      <c r="AU724" s="2"/>
      <c r="AV724" s="2"/>
      <c r="AW724" s="2"/>
      <c r="AX724" s="2"/>
      <c r="AY724" s="2"/>
      <c r="AZ724" s="2"/>
      <c r="BA724" s="2"/>
      <c r="BC724" s="2"/>
      <c r="BD724" s="2"/>
      <c r="BE724" s="2"/>
      <c r="BF724" s="2"/>
      <c r="BG724" s="2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</row>
    <row r="725" ht="14.25" customHeight="1">
      <c r="AA725" s="2"/>
      <c r="AF725" s="2"/>
      <c r="AG725" s="2"/>
      <c r="AH725" s="2"/>
      <c r="AI725" s="2"/>
      <c r="AJ725" s="2"/>
      <c r="AK725" s="2"/>
      <c r="AL725" s="2"/>
      <c r="AM725" s="2"/>
      <c r="AT725" s="2"/>
      <c r="AU725" s="2"/>
      <c r="AV725" s="2"/>
      <c r="AW725" s="2"/>
      <c r="AX725" s="2"/>
      <c r="AY725" s="2"/>
      <c r="AZ725" s="2"/>
      <c r="BA725" s="2"/>
      <c r="BC725" s="2"/>
      <c r="BD725" s="2"/>
      <c r="BE725" s="2"/>
      <c r="BF725" s="2"/>
      <c r="BG725" s="2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</row>
    <row r="726" ht="14.25" customHeight="1">
      <c r="AA726" s="2"/>
      <c r="AF726" s="2"/>
      <c r="AG726" s="2"/>
      <c r="AH726" s="2"/>
      <c r="AI726" s="2"/>
      <c r="AJ726" s="2"/>
      <c r="AK726" s="2"/>
      <c r="AL726" s="2"/>
      <c r="AM726" s="2"/>
      <c r="AT726" s="2"/>
      <c r="AU726" s="2"/>
      <c r="AV726" s="2"/>
      <c r="AW726" s="2"/>
      <c r="AX726" s="2"/>
      <c r="AY726" s="2"/>
      <c r="AZ726" s="2"/>
      <c r="BA726" s="2"/>
      <c r="BC726" s="2"/>
      <c r="BD726" s="2"/>
      <c r="BE726" s="2"/>
      <c r="BF726" s="2"/>
      <c r="BG726" s="2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</row>
    <row r="727" ht="14.25" customHeight="1">
      <c r="AA727" s="2"/>
      <c r="AF727" s="2"/>
      <c r="AG727" s="2"/>
      <c r="AH727" s="2"/>
      <c r="AI727" s="2"/>
      <c r="AJ727" s="2"/>
      <c r="AK727" s="2"/>
      <c r="AL727" s="2"/>
      <c r="AM727" s="2"/>
      <c r="AT727" s="2"/>
      <c r="AU727" s="2"/>
      <c r="AV727" s="2"/>
      <c r="AW727" s="2"/>
      <c r="AX727" s="2"/>
      <c r="AY727" s="2"/>
      <c r="AZ727" s="2"/>
      <c r="BA727" s="2"/>
      <c r="BC727" s="2"/>
      <c r="BD727" s="2"/>
      <c r="BE727" s="2"/>
      <c r="BF727" s="2"/>
      <c r="BG727" s="2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</row>
    <row r="728" ht="14.25" customHeight="1">
      <c r="AA728" s="2"/>
      <c r="AF728" s="2"/>
      <c r="AG728" s="2"/>
      <c r="AH728" s="2"/>
      <c r="AI728" s="2"/>
      <c r="AJ728" s="2"/>
      <c r="AK728" s="2"/>
      <c r="AL728" s="2"/>
      <c r="AM728" s="2"/>
      <c r="AT728" s="2"/>
      <c r="AU728" s="2"/>
      <c r="AV728" s="2"/>
      <c r="AW728" s="2"/>
      <c r="AX728" s="2"/>
      <c r="AY728" s="2"/>
      <c r="AZ728" s="2"/>
      <c r="BA728" s="2"/>
      <c r="BC728" s="2"/>
      <c r="BD728" s="2"/>
      <c r="BE728" s="2"/>
      <c r="BF728" s="2"/>
      <c r="BG728" s="2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</row>
    <row r="729" ht="14.25" customHeight="1">
      <c r="AA729" s="2"/>
      <c r="AF729" s="2"/>
      <c r="AG729" s="2"/>
      <c r="AH729" s="2"/>
      <c r="AI729" s="2"/>
      <c r="AJ729" s="2"/>
      <c r="AK729" s="2"/>
      <c r="AL729" s="2"/>
      <c r="AM729" s="2"/>
      <c r="AT729" s="2"/>
      <c r="AU729" s="2"/>
      <c r="AV729" s="2"/>
      <c r="AW729" s="2"/>
      <c r="AX729" s="2"/>
      <c r="AY729" s="2"/>
      <c r="AZ729" s="2"/>
      <c r="BA729" s="2"/>
      <c r="BC729" s="2"/>
      <c r="BD729" s="2"/>
      <c r="BE729" s="2"/>
      <c r="BF729" s="2"/>
      <c r="BG729" s="2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</row>
    <row r="730" ht="14.25" customHeight="1">
      <c r="AA730" s="2"/>
      <c r="AF730" s="2"/>
      <c r="AG730" s="2"/>
      <c r="AH730" s="2"/>
      <c r="AI730" s="2"/>
      <c r="AJ730" s="2"/>
      <c r="AK730" s="2"/>
      <c r="AL730" s="2"/>
      <c r="AM730" s="2"/>
      <c r="AT730" s="2"/>
      <c r="AU730" s="2"/>
      <c r="AV730" s="2"/>
      <c r="AW730" s="2"/>
      <c r="AX730" s="2"/>
      <c r="AY730" s="2"/>
      <c r="AZ730" s="2"/>
      <c r="BA730" s="2"/>
      <c r="BC730" s="2"/>
      <c r="BD730" s="2"/>
      <c r="BE730" s="2"/>
      <c r="BF730" s="2"/>
      <c r="BG730" s="2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</row>
    <row r="731" ht="14.25" customHeight="1">
      <c r="AA731" s="2"/>
      <c r="AF731" s="2"/>
      <c r="AG731" s="2"/>
      <c r="AH731" s="2"/>
      <c r="AI731" s="2"/>
      <c r="AJ731" s="2"/>
      <c r="AK731" s="2"/>
      <c r="AL731" s="2"/>
      <c r="AM731" s="2"/>
      <c r="AT731" s="2"/>
      <c r="AU731" s="2"/>
      <c r="AV731" s="2"/>
      <c r="AW731" s="2"/>
      <c r="AX731" s="2"/>
      <c r="AY731" s="2"/>
      <c r="AZ731" s="2"/>
      <c r="BA731" s="2"/>
      <c r="BC731" s="2"/>
      <c r="BD731" s="2"/>
      <c r="BE731" s="2"/>
      <c r="BF731" s="2"/>
      <c r="BG731" s="2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</row>
    <row r="732" ht="14.25" customHeight="1">
      <c r="AA732" s="2"/>
      <c r="AF732" s="2"/>
      <c r="AG732" s="2"/>
      <c r="AH732" s="2"/>
      <c r="AI732" s="2"/>
      <c r="AJ732" s="2"/>
      <c r="AK732" s="2"/>
      <c r="AL732" s="2"/>
      <c r="AM732" s="2"/>
      <c r="AT732" s="2"/>
      <c r="AU732" s="2"/>
      <c r="AV732" s="2"/>
      <c r="AW732" s="2"/>
      <c r="AX732" s="2"/>
      <c r="AY732" s="2"/>
      <c r="AZ732" s="2"/>
      <c r="BA732" s="2"/>
      <c r="BC732" s="2"/>
      <c r="BD732" s="2"/>
      <c r="BE732" s="2"/>
      <c r="BF732" s="2"/>
      <c r="BG732" s="2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</row>
    <row r="733" ht="14.25" customHeight="1">
      <c r="AA733" s="2"/>
      <c r="AF733" s="2"/>
      <c r="AG733" s="2"/>
      <c r="AH733" s="2"/>
      <c r="AI733" s="2"/>
      <c r="AJ733" s="2"/>
      <c r="AK733" s="2"/>
      <c r="AL733" s="2"/>
      <c r="AM733" s="2"/>
      <c r="AT733" s="2"/>
      <c r="AU733" s="2"/>
      <c r="AV733" s="2"/>
      <c r="AW733" s="2"/>
      <c r="AX733" s="2"/>
      <c r="AY733" s="2"/>
      <c r="AZ733" s="2"/>
      <c r="BA733" s="2"/>
      <c r="BC733" s="2"/>
      <c r="BD733" s="2"/>
      <c r="BE733" s="2"/>
      <c r="BF733" s="2"/>
      <c r="BG733" s="2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</row>
    <row r="734" ht="14.25" customHeight="1">
      <c r="AA734" s="2"/>
      <c r="AF734" s="2"/>
      <c r="AG734" s="2"/>
      <c r="AH734" s="2"/>
      <c r="AI734" s="2"/>
      <c r="AJ734" s="2"/>
      <c r="AK734" s="2"/>
      <c r="AL734" s="2"/>
      <c r="AM734" s="2"/>
      <c r="AT734" s="2"/>
      <c r="AU734" s="2"/>
      <c r="AV734" s="2"/>
      <c r="AW734" s="2"/>
      <c r="AX734" s="2"/>
      <c r="AY734" s="2"/>
      <c r="AZ734" s="2"/>
      <c r="BA734" s="2"/>
      <c r="BC734" s="2"/>
      <c r="BD734" s="2"/>
      <c r="BE734" s="2"/>
      <c r="BF734" s="2"/>
      <c r="BG734" s="2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</row>
    <row r="735" ht="14.25" customHeight="1">
      <c r="AA735" s="2"/>
      <c r="AF735" s="2"/>
      <c r="AG735" s="2"/>
      <c r="AH735" s="2"/>
      <c r="AI735" s="2"/>
      <c r="AJ735" s="2"/>
      <c r="AK735" s="2"/>
      <c r="AL735" s="2"/>
      <c r="AM735" s="2"/>
      <c r="AT735" s="2"/>
      <c r="AU735" s="2"/>
      <c r="AV735" s="2"/>
      <c r="AW735" s="2"/>
      <c r="AX735" s="2"/>
      <c r="AY735" s="2"/>
      <c r="AZ735" s="2"/>
      <c r="BA735" s="2"/>
      <c r="BC735" s="2"/>
      <c r="BD735" s="2"/>
      <c r="BE735" s="2"/>
      <c r="BF735" s="2"/>
      <c r="BG735" s="2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</row>
    <row r="736" ht="14.25" customHeight="1">
      <c r="AA736" s="2"/>
      <c r="AF736" s="2"/>
      <c r="AG736" s="2"/>
      <c r="AH736" s="2"/>
      <c r="AI736" s="2"/>
      <c r="AJ736" s="2"/>
      <c r="AK736" s="2"/>
      <c r="AL736" s="2"/>
      <c r="AM736" s="2"/>
      <c r="AT736" s="2"/>
      <c r="AU736" s="2"/>
      <c r="AV736" s="2"/>
      <c r="AW736" s="2"/>
      <c r="AX736" s="2"/>
      <c r="AY736" s="2"/>
      <c r="AZ736" s="2"/>
      <c r="BA736" s="2"/>
      <c r="BC736" s="2"/>
      <c r="BD736" s="2"/>
      <c r="BE736" s="2"/>
      <c r="BF736" s="2"/>
      <c r="BG736" s="2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</row>
    <row r="737" ht="14.25" customHeight="1">
      <c r="AA737" s="2"/>
      <c r="AF737" s="2"/>
      <c r="AG737" s="2"/>
      <c r="AH737" s="2"/>
      <c r="AI737" s="2"/>
      <c r="AJ737" s="2"/>
      <c r="AK737" s="2"/>
      <c r="AL737" s="2"/>
      <c r="AM737" s="2"/>
      <c r="AT737" s="2"/>
      <c r="AU737" s="2"/>
      <c r="AV737" s="2"/>
      <c r="AW737" s="2"/>
      <c r="AX737" s="2"/>
      <c r="AY737" s="2"/>
      <c r="AZ737" s="2"/>
      <c r="BA737" s="2"/>
      <c r="BC737" s="2"/>
      <c r="BD737" s="2"/>
      <c r="BE737" s="2"/>
      <c r="BF737" s="2"/>
      <c r="BG737" s="2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</row>
    <row r="738" ht="14.25" customHeight="1">
      <c r="AA738" s="2"/>
      <c r="AF738" s="2"/>
      <c r="AG738" s="2"/>
      <c r="AH738" s="2"/>
      <c r="AI738" s="2"/>
      <c r="AJ738" s="2"/>
      <c r="AK738" s="2"/>
      <c r="AL738" s="2"/>
      <c r="AM738" s="2"/>
      <c r="AT738" s="2"/>
      <c r="AU738" s="2"/>
      <c r="AV738" s="2"/>
      <c r="AW738" s="2"/>
      <c r="AX738" s="2"/>
      <c r="AY738" s="2"/>
      <c r="AZ738" s="2"/>
      <c r="BA738" s="2"/>
      <c r="BC738" s="2"/>
      <c r="BD738" s="2"/>
      <c r="BE738" s="2"/>
      <c r="BF738" s="2"/>
      <c r="BG738" s="2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</row>
    <row r="739" ht="14.25" customHeight="1">
      <c r="AA739" s="2"/>
      <c r="AF739" s="2"/>
      <c r="AG739" s="2"/>
      <c r="AH739" s="2"/>
      <c r="AI739" s="2"/>
      <c r="AJ739" s="2"/>
      <c r="AK739" s="2"/>
      <c r="AL739" s="2"/>
      <c r="AM739" s="2"/>
      <c r="AT739" s="2"/>
      <c r="AU739" s="2"/>
      <c r="AV739" s="2"/>
      <c r="AW739" s="2"/>
      <c r="AX739" s="2"/>
      <c r="AY739" s="2"/>
      <c r="AZ739" s="2"/>
      <c r="BA739" s="2"/>
      <c r="BC739" s="2"/>
      <c r="BD739" s="2"/>
      <c r="BE739" s="2"/>
      <c r="BF739" s="2"/>
      <c r="BG739" s="2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</row>
    <row r="740" ht="14.25" customHeight="1">
      <c r="AA740" s="2"/>
      <c r="AF740" s="2"/>
      <c r="AG740" s="2"/>
      <c r="AH740" s="2"/>
      <c r="AI740" s="2"/>
      <c r="AJ740" s="2"/>
      <c r="AK740" s="2"/>
      <c r="AL740" s="2"/>
      <c r="AM740" s="2"/>
      <c r="AT740" s="2"/>
      <c r="AU740" s="2"/>
      <c r="AV740" s="2"/>
      <c r="AW740" s="2"/>
      <c r="AX740" s="2"/>
      <c r="AY740" s="2"/>
      <c r="AZ740" s="2"/>
      <c r="BA740" s="2"/>
      <c r="BC740" s="2"/>
      <c r="BD740" s="2"/>
      <c r="BE740" s="2"/>
      <c r="BF740" s="2"/>
      <c r="BG740" s="2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</row>
    <row r="741" ht="14.25" customHeight="1">
      <c r="AA741" s="2"/>
      <c r="AF741" s="2"/>
      <c r="AG741" s="2"/>
      <c r="AH741" s="2"/>
      <c r="AI741" s="2"/>
      <c r="AJ741" s="2"/>
      <c r="AK741" s="2"/>
      <c r="AL741" s="2"/>
      <c r="AM741" s="2"/>
      <c r="AT741" s="2"/>
      <c r="AU741" s="2"/>
      <c r="AV741" s="2"/>
      <c r="AW741" s="2"/>
      <c r="AX741" s="2"/>
      <c r="AY741" s="2"/>
      <c r="AZ741" s="2"/>
      <c r="BA741" s="2"/>
      <c r="BC741" s="2"/>
      <c r="BD741" s="2"/>
      <c r="BE741" s="2"/>
      <c r="BF741" s="2"/>
      <c r="BG741" s="2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</row>
    <row r="742" ht="14.25" customHeight="1">
      <c r="AA742" s="2"/>
      <c r="AF742" s="2"/>
      <c r="AG742" s="2"/>
      <c r="AH742" s="2"/>
      <c r="AI742" s="2"/>
      <c r="AJ742" s="2"/>
      <c r="AK742" s="2"/>
      <c r="AL742" s="2"/>
      <c r="AM742" s="2"/>
      <c r="AT742" s="2"/>
      <c r="AU742" s="2"/>
      <c r="AV742" s="2"/>
      <c r="AW742" s="2"/>
      <c r="AX742" s="2"/>
      <c r="AY742" s="2"/>
      <c r="AZ742" s="2"/>
      <c r="BA742" s="2"/>
      <c r="BC742" s="2"/>
      <c r="BD742" s="2"/>
      <c r="BE742" s="2"/>
      <c r="BF742" s="2"/>
      <c r="BG742" s="2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</row>
    <row r="743" ht="14.25" customHeight="1">
      <c r="AA743" s="2"/>
      <c r="AF743" s="2"/>
      <c r="AG743" s="2"/>
      <c r="AH743" s="2"/>
      <c r="AI743" s="2"/>
      <c r="AJ743" s="2"/>
      <c r="AK743" s="2"/>
      <c r="AL743" s="2"/>
      <c r="AM743" s="2"/>
      <c r="AT743" s="2"/>
      <c r="AU743" s="2"/>
      <c r="AV743" s="2"/>
      <c r="AW743" s="2"/>
      <c r="AX743" s="2"/>
      <c r="AY743" s="2"/>
      <c r="AZ743" s="2"/>
      <c r="BA743" s="2"/>
      <c r="BC743" s="2"/>
      <c r="BD743" s="2"/>
      <c r="BE743" s="2"/>
      <c r="BF743" s="2"/>
      <c r="BG743" s="2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</row>
    <row r="744" ht="14.25" customHeight="1">
      <c r="AA744" s="2"/>
      <c r="AF744" s="2"/>
      <c r="AG744" s="2"/>
      <c r="AH744" s="2"/>
      <c r="AI744" s="2"/>
      <c r="AJ744" s="2"/>
      <c r="AK744" s="2"/>
      <c r="AL744" s="2"/>
      <c r="AM744" s="2"/>
      <c r="AT744" s="2"/>
      <c r="AU744" s="2"/>
      <c r="AV744" s="2"/>
      <c r="AW744" s="2"/>
      <c r="AX744" s="2"/>
      <c r="AY744" s="2"/>
      <c r="AZ744" s="2"/>
      <c r="BA744" s="2"/>
      <c r="BC744" s="2"/>
      <c r="BD744" s="2"/>
      <c r="BE744" s="2"/>
      <c r="BF744" s="2"/>
      <c r="BG744" s="2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</row>
    <row r="745" ht="14.25" customHeight="1">
      <c r="AA745" s="2"/>
      <c r="AF745" s="2"/>
      <c r="AG745" s="2"/>
      <c r="AH745" s="2"/>
      <c r="AI745" s="2"/>
      <c r="AJ745" s="2"/>
      <c r="AK745" s="2"/>
      <c r="AL745" s="2"/>
      <c r="AM745" s="2"/>
      <c r="AT745" s="2"/>
      <c r="AU745" s="2"/>
      <c r="AV745" s="2"/>
      <c r="AW745" s="2"/>
      <c r="AX745" s="2"/>
      <c r="AY745" s="2"/>
      <c r="AZ745" s="2"/>
      <c r="BA745" s="2"/>
      <c r="BC745" s="2"/>
      <c r="BD745" s="2"/>
      <c r="BE745" s="2"/>
      <c r="BF745" s="2"/>
      <c r="BG745" s="2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</row>
    <row r="746" ht="14.25" customHeight="1">
      <c r="AA746" s="2"/>
      <c r="AF746" s="2"/>
      <c r="AG746" s="2"/>
      <c r="AH746" s="2"/>
      <c r="AI746" s="2"/>
      <c r="AJ746" s="2"/>
      <c r="AK746" s="2"/>
      <c r="AL746" s="2"/>
      <c r="AM746" s="2"/>
      <c r="AT746" s="2"/>
      <c r="AU746" s="2"/>
      <c r="AV746" s="2"/>
      <c r="AW746" s="2"/>
      <c r="AX746" s="2"/>
      <c r="AY746" s="2"/>
      <c r="AZ746" s="2"/>
      <c r="BA746" s="2"/>
      <c r="BC746" s="2"/>
      <c r="BD746" s="2"/>
      <c r="BE746" s="2"/>
      <c r="BF746" s="2"/>
      <c r="BG746" s="2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</row>
    <row r="747" ht="14.25" customHeight="1">
      <c r="AA747" s="2"/>
      <c r="AF747" s="2"/>
      <c r="AG747" s="2"/>
      <c r="AH747" s="2"/>
      <c r="AI747" s="2"/>
      <c r="AJ747" s="2"/>
      <c r="AK747" s="2"/>
      <c r="AL747" s="2"/>
      <c r="AM747" s="2"/>
      <c r="AT747" s="2"/>
      <c r="AU747" s="2"/>
      <c r="AV747" s="2"/>
      <c r="AW747" s="2"/>
      <c r="AX747" s="2"/>
      <c r="AY747" s="2"/>
      <c r="AZ747" s="2"/>
      <c r="BA747" s="2"/>
      <c r="BC747" s="2"/>
      <c r="BD747" s="2"/>
      <c r="BE747" s="2"/>
      <c r="BF747" s="2"/>
      <c r="BG747" s="2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</row>
    <row r="748" ht="14.25" customHeight="1">
      <c r="AA748" s="2"/>
      <c r="AF748" s="2"/>
      <c r="AG748" s="2"/>
      <c r="AH748" s="2"/>
      <c r="AI748" s="2"/>
      <c r="AJ748" s="2"/>
      <c r="AK748" s="2"/>
      <c r="AL748" s="2"/>
      <c r="AM748" s="2"/>
      <c r="AT748" s="2"/>
      <c r="AU748" s="2"/>
      <c r="AV748" s="2"/>
      <c r="AW748" s="2"/>
      <c r="AX748" s="2"/>
      <c r="AY748" s="2"/>
      <c r="AZ748" s="2"/>
      <c r="BA748" s="2"/>
      <c r="BC748" s="2"/>
      <c r="BD748" s="2"/>
      <c r="BE748" s="2"/>
      <c r="BF748" s="2"/>
      <c r="BG748" s="2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</row>
    <row r="749" ht="14.25" customHeight="1">
      <c r="AA749" s="2"/>
      <c r="AF749" s="2"/>
      <c r="AG749" s="2"/>
      <c r="AH749" s="2"/>
      <c r="AI749" s="2"/>
      <c r="AJ749" s="2"/>
      <c r="AK749" s="2"/>
      <c r="AL749" s="2"/>
      <c r="AM749" s="2"/>
      <c r="AT749" s="2"/>
      <c r="AU749" s="2"/>
      <c r="AV749" s="2"/>
      <c r="AW749" s="2"/>
      <c r="AX749" s="2"/>
      <c r="AY749" s="2"/>
      <c r="AZ749" s="2"/>
      <c r="BA749" s="2"/>
      <c r="BC749" s="2"/>
      <c r="BD749" s="2"/>
      <c r="BE749" s="2"/>
      <c r="BF749" s="2"/>
      <c r="BG749" s="2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</row>
    <row r="750" ht="14.25" customHeight="1">
      <c r="AA750" s="2"/>
      <c r="AF750" s="2"/>
      <c r="AG750" s="2"/>
      <c r="AH750" s="2"/>
      <c r="AI750" s="2"/>
      <c r="AJ750" s="2"/>
      <c r="AK750" s="2"/>
      <c r="AL750" s="2"/>
      <c r="AM750" s="2"/>
      <c r="AT750" s="2"/>
      <c r="AU750" s="2"/>
      <c r="AV750" s="2"/>
      <c r="AW750" s="2"/>
      <c r="AX750" s="2"/>
      <c r="AY750" s="2"/>
      <c r="AZ750" s="2"/>
      <c r="BA750" s="2"/>
      <c r="BC750" s="2"/>
      <c r="BD750" s="2"/>
      <c r="BE750" s="2"/>
      <c r="BF750" s="2"/>
      <c r="BG750" s="2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</row>
    <row r="751" ht="14.25" customHeight="1">
      <c r="AA751" s="2"/>
      <c r="AF751" s="2"/>
      <c r="AG751" s="2"/>
      <c r="AH751" s="2"/>
      <c r="AI751" s="2"/>
      <c r="AJ751" s="2"/>
      <c r="AK751" s="2"/>
      <c r="AL751" s="2"/>
      <c r="AM751" s="2"/>
      <c r="AT751" s="2"/>
      <c r="AU751" s="2"/>
      <c r="AV751" s="2"/>
      <c r="AW751" s="2"/>
      <c r="AX751" s="2"/>
      <c r="AY751" s="2"/>
      <c r="AZ751" s="2"/>
      <c r="BA751" s="2"/>
      <c r="BC751" s="2"/>
      <c r="BD751" s="2"/>
      <c r="BE751" s="2"/>
      <c r="BF751" s="2"/>
      <c r="BG751" s="2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</row>
    <row r="752" ht="14.25" customHeight="1">
      <c r="AA752" s="2"/>
      <c r="AF752" s="2"/>
      <c r="AG752" s="2"/>
      <c r="AH752" s="2"/>
      <c r="AI752" s="2"/>
      <c r="AJ752" s="2"/>
      <c r="AK752" s="2"/>
      <c r="AL752" s="2"/>
      <c r="AM752" s="2"/>
      <c r="AT752" s="2"/>
      <c r="AU752" s="2"/>
      <c r="AV752" s="2"/>
      <c r="AW752" s="2"/>
      <c r="AX752" s="2"/>
      <c r="AY752" s="2"/>
      <c r="AZ752" s="2"/>
      <c r="BA752" s="2"/>
      <c r="BC752" s="2"/>
      <c r="BD752" s="2"/>
      <c r="BE752" s="2"/>
      <c r="BF752" s="2"/>
      <c r="BG752" s="2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</row>
    <row r="753" ht="14.25" customHeight="1">
      <c r="AA753" s="2"/>
      <c r="AF753" s="2"/>
      <c r="AG753" s="2"/>
      <c r="AH753" s="2"/>
      <c r="AI753" s="2"/>
      <c r="AJ753" s="2"/>
      <c r="AK753" s="2"/>
      <c r="AL753" s="2"/>
      <c r="AM753" s="2"/>
      <c r="AT753" s="2"/>
      <c r="AU753" s="2"/>
      <c r="AV753" s="2"/>
      <c r="AW753" s="2"/>
      <c r="AX753" s="2"/>
      <c r="AY753" s="2"/>
      <c r="AZ753" s="2"/>
      <c r="BA753" s="2"/>
      <c r="BC753" s="2"/>
      <c r="BD753" s="2"/>
      <c r="BE753" s="2"/>
      <c r="BF753" s="2"/>
      <c r="BG753" s="2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</row>
    <row r="754" ht="14.25" customHeight="1">
      <c r="AA754" s="2"/>
      <c r="AF754" s="2"/>
      <c r="AG754" s="2"/>
      <c r="AH754" s="2"/>
      <c r="AI754" s="2"/>
      <c r="AJ754" s="2"/>
      <c r="AK754" s="2"/>
      <c r="AL754" s="2"/>
      <c r="AM754" s="2"/>
      <c r="AT754" s="2"/>
      <c r="AU754" s="2"/>
      <c r="AV754" s="2"/>
      <c r="AW754" s="2"/>
      <c r="AX754" s="2"/>
      <c r="AY754" s="2"/>
      <c r="AZ754" s="2"/>
      <c r="BA754" s="2"/>
      <c r="BC754" s="2"/>
      <c r="BD754" s="2"/>
      <c r="BE754" s="2"/>
      <c r="BF754" s="2"/>
      <c r="BG754" s="2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</row>
    <row r="755" ht="14.25" customHeight="1">
      <c r="AA755" s="2"/>
      <c r="AF755" s="2"/>
      <c r="AG755" s="2"/>
      <c r="AH755" s="2"/>
      <c r="AI755" s="2"/>
      <c r="AJ755" s="2"/>
      <c r="AK755" s="2"/>
      <c r="AL755" s="2"/>
      <c r="AM755" s="2"/>
      <c r="AT755" s="2"/>
      <c r="AU755" s="2"/>
      <c r="AV755" s="2"/>
      <c r="AW755" s="2"/>
      <c r="AX755" s="2"/>
      <c r="AY755" s="2"/>
      <c r="AZ755" s="2"/>
      <c r="BA755" s="2"/>
      <c r="BC755" s="2"/>
      <c r="BD755" s="2"/>
      <c r="BE755" s="2"/>
      <c r="BF755" s="2"/>
      <c r="BG755" s="2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</row>
    <row r="756" ht="14.25" customHeight="1">
      <c r="AA756" s="2"/>
      <c r="AF756" s="2"/>
      <c r="AG756" s="2"/>
      <c r="AH756" s="2"/>
      <c r="AI756" s="2"/>
      <c r="AJ756" s="2"/>
      <c r="AK756" s="2"/>
      <c r="AL756" s="2"/>
      <c r="AM756" s="2"/>
      <c r="AT756" s="2"/>
      <c r="AU756" s="2"/>
      <c r="AV756" s="2"/>
      <c r="AW756" s="2"/>
      <c r="AX756" s="2"/>
      <c r="AY756" s="2"/>
      <c r="AZ756" s="2"/>
      <c r="BA756" s="2"/>
      <c r="BC756" s="2"/>
      <c r="BD756" s="2"/>
      <c r="BE756" s="2"/>
      <c r="BF756" s="2"/>
      <c r="BG756" s="2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</row>
    <row r="757" ht="14.25" customHeight="1">
      <c r="AA757" s="2"/>
      <c r="AF757" s="2"/>
      <c r="AG757" s="2"/>
      <c r="AH757" s="2"/>
      <c r="AI757" s="2"/>
      <c r="AJ757" s="2"/>
      <c r="AK757" s="2"/>
      <c r="AL757" s="2"/>
      <c r="AM757" s="2"/>
      <c r="AT757" s="2"/>
      <c r="AU757" s="2"/>
      <c r="AV757" s="2"/>
      <c r="AW757" s="2"/>
      <c r="AX757" s="2"/>
      <c r="AY757" s="2"/>
      <c r="AZ757" s="2"/>
      <c r="BA757" s="2"/>
      <c r="BC757" s="2"/>
      <c r="BD757" s="2"/>
      <c r="BE757" s="2"/>
      <c r="BF757" s="2"/>
      <c r="BG757" s="2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</row>
    <row r="758" ht="14.25" customHeight="1">
      <c r="AA758" s="2"/>
      <c r="AF758" s="2"/>
      <c r="AG758" s="2"/>
      <c r="AH758" s="2"/>
      <c r="AI758" s="2"/>
      <c r="AJ758" s="2"/>
      <c r="AK758" s="2"/>
      <c r="AL758" s="2"/>
      <c r="AM758" s="2"/>
      <c r="AT758" s="2"/>
      <c r="AU758" s="2"/>
      <c r="AV758" s="2"/>
      <c r="AW758" s="2"/>
      <c r="AX758" s="2"/>
      <c r="AY758" s="2"/>
      <c r="AZ758" s="2"/>
      <c r="BA758" s="2"/>
      <c r="BC758" s="2"/>
      <c r="BD758" s="2"/>
      <c r="BE758" s="2"/>
      <c r="BF758" s="2"/>
      <c r="BG758" s="2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</row>
    <row r="759" ht="14.25" customHeight="1">
      <c r="AA759" s="2"/>
      <c r="AF759" s="2"/>
      <c r="AG759" s="2"/>
      <c r="AH759" s="2"/>
      <c r="AI759" s="2"/>
      <c r="AJ759" s="2"/>
      <c r="AK759" s="2"/>
      <c r="AL759" s="2"/>
      <c r="AM759" s="2"/>
      <c r="AT759" s="2"/>
      <c r="AU759" s="2"/>
      <c r="AV759" s="2"/>
      <c r="AW759" s="2"/>
      <c r="AX759" s="2"/>
      <c r="AY759" s="2"/>
      <c r="AZ759" s="2"/>
      <c r="BA759" s="2"/>
      <c r="BC759" s="2"/>
      <c r="BD759" s="2"/>
      <c r="BE759" s="2"/>
      <c r="BF759" s="2"/>
      <c r="BG759" s="2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</row>
    <row r="760" ht="14.25" customHeight="1">
      <c r="AA760" s="2"/>
      <c r="AF760" s="2"/>
      <c r="AG760" s="2"/>
      <c r="AH760" s="2"/>
      <c r="AI760" s="2"/>
      <c r="AJ760" s="2"/>
      <c r="AK760" s="2"/>
      <c r="AL760" s="2"/>
      <c r="AM760" s="2"/>
      <c r="AT760" s="2"/>
      <c r="AU760" s="2"/>
      <c r="AV760" s="2"/>
      <c r="AW760" s="2"/>
      <c r="AX760" s="2"/>
      <c r="AY760" s="2"/>
      <c r="AZ760" s="2"/>
      <c r="BA760" s="2"/>
      <c r="BC760" s="2"/>
      <c r="BD760" s="2"/>
      <c r="BE760" s="2"/>
      <c r="BF760" s="2"/>
      <c r="BG760" s="2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</row>
    <row r="761" ht="14.25" customHeight="1">
      <c r="AA761" s="2"/>
      <c r="AF761" s="2"/>
      <c r="AG761" s="2"/>
      <c r="AH761" s="2"/>
      <c r="AI761" s="2"/>
      <c r="AJ761" s="2"/>
      <c r="AK761" s="2"/>
      <c r="AL761" s="2"/>
      <c r="AM761" s="2"/>
      <c r="AT761" s="2"/>
      <c r="AU761" s="2"/>
      <c r="AV761" s="2"/>
      <c r="AW761" s="2"/>
      <c r="AX761" s="2"/>
      <c r="AY761" s="2"/>
      <c r="AZ761" s="2"/>
      <c r="BA761" s="2"/>
      <c r="BC761" s="2"/>
      <c r="BD761" s="2"/>
      <c r="BE761" s="2"/>
      <c r="BF761" s="2"/>
      <c r="BG761" s="2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</row>
    <row r="762" ht="14.25" customHeight="1">
      <c r="AA762" s="2"/>
      <c r="AF762" s="2"/>
      <c r="AG762" s="2"/>
      <c r="AH762" s="2"/>
      <c r="AI762" s="2"/>
      <c r="AJ762" s="2"/>
      <c r="AK762" s="2"/>
      <c r="AL762" s="2"/>
      <c r="AM762" s="2"/>
      <c r="AT762" s="2"/>
      <c r="AU762" s="2"/>
      <c r="AV762" s="2"/>
      <c r="AW762" s="2"/>
      <c r="AX762" s="2"/>
      <c r="AY762" s="2"/>
      <c r="AZ762" s="2"/>
      <c r="BA762" s="2"/>
      <c r="BC762" s="2"/>
      <c r="BD762" s="2"/>
      <c r="BE762" s="2"/>
      <c r="BF762" s="2"/>
      <c r="BG762" s="2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</row>
    <row r="763" ht="14.25" customHeight="1">
      <c r="AA763" s="2"/>
      <c r="AF763" s="2"/>
      <c r="AG763" s="2"/>
      <c r="AH763" s="2"/>
      <c r="AI763" s="2"/>
      <c r="AJ763" s="2"/>
      <c r="AK763" s="2"/>
      <c r="AL763" s="2"/>
      <c r="AM763" s="2"/>
      <c r="AT763" s="2"/>
      <c r="AU763" s="2"/>
      <c r="AV763" s="2"/>
      <c r="AW763" s="2"/>
      <c r="AX763" s="2"/>
      <c r="AY763" s="2"/>
      <c r="AZ763" s="2"/>
      <c r="BA763" s="2"/>
      <c r="BC763" s="2"/>
      <c r="BD763" s="2"/>
      <c r="BE763" s="2"/>
      <c r="BF763" s="2"/>
      <c r="BG763" s="2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</row>
    <row r="764" ht="14.25" customHeight="1">
      <c r="AA764" s="2"/>
      <c r="AF764" s="2"/>
      <c r="AG764" s="2"/>
      <c r="AH764" s="2"/>
      <c r="AI764" s="2"/>
      <c r="AJ764" s="2"/>
      <c r="AK764" s="2"/>
      <c r="AL764" s="2"/>
      <c r="AM764" s="2"/>
      <c r="AT764" s="2"/>
      <c r="AU764" s="2"/>
      <c r="AV764" s="2"/>
      <c r="AW764" s="2"/>
      <c r="AX764" s="2"/>
      <c r="AY764" s="2"/>
      <c r="AZ764" s="2"/>
      <c r="BA764" s="2"/>
      <c r="BC764" s="2"/>
      <c r="BD764" s="2"/>
      <c r="BE764" s="2"/>
      <c r="BF764" s="2"/>
      <c r="BG764" s="2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</row>
    <row r="765" ht="14.25" customHeight="1">
      <c r="AA765" s="2"/>
      <c r="AF765" s="2"/>
      <c r="AG765" s="2"/>
      <c r="AH765" s="2"/>
      <c r="AI765" s="2"/>
      <c r="AJ765" s="2"/>
      <c r="AK765" s="2"/>
      <c r="AL765" s="2"/>
      <c r="AM765" s="2"/>
      <c r="AT765" s="2"/>
      <c r="AU765" s="2"/>
      <c r="AV765" s="2"/>
      <c r="AW765" s="2"/>
      <c r="AX765" s="2"/>
      <c r="AY765" s="2"/>
      <c r="AZ765" s="2"/>
      <c r="BA765" s="2"/>
      <c r="BC765" s="2"/>
      <c r="BD765" s="2"/>
      <c r="BE765" s="2"/>
      <c r="BF765" s="2"/>
      <c r="BG765" s="2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</row>
    <row r="766" ht="14.25" customHeight="1">
      <c r="AA766" s="2"/>
      <c r="AF766" s="2"/>
      <c r="AG766" s="2"/>
      <c r="AH766" s="2"/>
      <c r="AI766" s="2"/>
      <c r="AJ766" s="2"/>
      <c r="AK766" s="2"/>
      <c r="AL766" s="2"/>
      <c r="AM766" s="2"/>
      <c r="AT766" s="2"/>
      <c r="AU766" s="2"/>
      <c r="AV766" s="2"/>
      <c r="AW766" s="2"/>
      <c r="AX766" s="2"/>
      <c r="AY766" s="2"/>
      <c r="AZ766" s="2"/>
      <c r="BA766" s="2"/>
      <c r="BC766" s="2"/>
      <c r="BD766" s="2"/>
      <c r="BE766" s="2"/>
      <c r="BF766" s="2"/>
      <c r="BG766" s="2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</row>
    <row r="767" ht="14.25" customHeight="1">
      <c r="AA767" s="2"/>
      <c r="AF767" s="2"/>
      <c r="AG767" s="2"/>
      <c r="AH767" s="2"/>
      <c r="AI767" s="2"/>
      <c r="AJ767" s="2"/>
      <c r="AK767" s="2"/>
      <c r="AL767" s="2"/>
      <c r="AM767" s="2"/>
      <c r="AT767" s="2"/>
      <c r="AU767" s="2"/>
      <c r="AV767" s="2"/>
      <c r="AW767" s="2"/>
      <c r="AX767" s="2"/>
      <c r="AY767" s="2"/>
      <c r="AZ767" s="2"/>
      <c r="BA767" s="2"/>
      <c r="BC767" s="2"/>
      <c r="BD767" s="2"/>
      <c r="BE767" s="2"/>
      <c r="BF767" s="2"/>
      <c r="BG767" s="2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</row>
    <row r="768" ht="14.25" customHeight="1">
      <c r="AA768" s="2"/>
      <c r="AF768" s="2"/>
      <c r="AG768" s="2"/>
      <c r="AH768" s="2"/>
      <c r="AI768" s="2"/>
      <c r="AJ768" s="2"/>
      <c r="AK768" s="2"/>
      <c r="AL768" s="2"/>
      <c r="AM768" s="2"/>
      <c r="AT768" s="2"/>
      <c r="AU768" s="2"/>
      <c r="AV768" s="2"/>
      <c r="AW768" s="2"/>
      <c r="AX768" s="2"/>
      <c r="AY768" s="2"/>
      <c r="AZ768" s="2"/>
      <c r="BA768" s="2"/>
      <c r="BC768" s="2"/>
      <c r="BD768" s="2"/>
      <c r="BE768" s="2"/>
      <c r="BF768" s="2"/>
      <c r="BG768" s="2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</row>
    <row r="769" ht="14.25" customHeight="1">
      <c r="AA769" s="2"/>
      <c r="AF769" s="2"/>
      <c r="AG769" s="2"/>
      <c r="AH769" s="2"/>
      <c r="AI769" s="2"/>
      <c r="AJ769" s="2"/>
      <c r="AK769" s="2"/>
      <c r="AL769" s="2"/>
      <c r="AM769" s="2"/>
      <c r="AT769" s="2"/>
      <c r="AU769" s="2"/>
      <c r="AV769" s="2"/>
      <c r="AW769" s="2"/>
      <c r="AX769" s="2"/>
      <c r="AY769" s="2"/>
      <c r="AZ769" s="2"/>
      <c r="BA769" s="2"/>
      <c r="BC769" s="2"/>
      <c r="BD769" s="2"/>
      <c r="BE769" s="2"/>
      <c r="BF769" s="2"/>
      <c r="BG769" s="2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</row>
    <row r="770" ht="14.25" customHeight="1">
      <c r="AA770" s="2"/>
      <c r="AF770" s="2"/>
      <c r="AG770" s="2"/>
      <c r="AH770" s="2"/>
      <c r="AI770" s="2"/>
      <c r="AJ770" s="2"/>
      <c r="AK770" s="2"/>
      <c r="AL770" s="2"/>
      <c r="AM770" s="2"/>
      <c r="AT770" s="2"/>
      <c r="AU770" s="2"/>
      <c r="AV770" s="2"/>
      <c r="AW770" s="2"/>
      <c r="AX770" s="2"/>
      <c r="AY770" s="2"/>
      <c r="AZ770" s="2"/>
      <c r="BA770" s="2"/>
      <c r="BC770" s="2"/>
      <c r="BD770" s="2"/>
      <c r="BE770" s="2"/>
      <c r="BF770" s="2"/>
      <c r="BG770" s="2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</row>
    <row r="771" ht="14.25" customHeight="1">
      <c r="AA771" s="2"/>
      <c r="AF771" s="2"/>
      <c r="AG771" s="2"/>
      <c r="AH771" s="2"/>
      <c r="AI771" s="2"/>
      <c r="AJ771" s="2"/>
      <c r="AK771" s="2"/>
      <c r="AL771" s="2"/>
      <c r="AM771" s="2"/>
      <c r="AT771" s="2"/>
      <c r="AU771" s="2"/>
      <c r="AV771" s="2"/>
      <c r="AW771" s="2"/>
      <c r="AX771" s="2"/>
      <c r="AY771" s="2"/>
      <c r="AZ771" s="2"/>
      <c r="BA771" s="2"/>
      <c r="BC771" s="2"/>
      <c r="BD771" s="2"/>
      <c r="BE771" s="2"/>
      <c r="BF771" s="2"/>
      <c r="BG771" s="2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</row>
    <row r="772" ht="14.25" customHeight="1">
      <c r="AA772" s="2"/>
      <c r="AF772" s="2"/>
      <c r="AG772" s="2"/>
      <c r="AH772" s="2"/>
      <c r="AI772" s="2"/>
      <c r="AJ772" s="2"/>
      <c r="AK772" s="2"/>
      <c r="AL772" s="2"/>
      <c r="AM772" s="2"/>
      <c r="AT772" s="2"/>
      <c r="AU772" s="2"/>
      <c r="AV772" s="2"/>
      <c r="AW772" s="2"/>
      <c r="AX772" s="2"/>
      <c r="AY772" s="2"/>
      <c r="AZ772" s="2"/>
      <c r="BA772" s="2"/>
      <c r="BC772" s="2"/>
      <c r="BD772" s="2"/>
      <c r="BE772" s="2"/>
      <c r="BF772" s="2"/>
      <c r="BG772" s="2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</row>
    <row r="773" ht="14.25" customHeight="1">
      <c r="AA773" s="2"/>
      <c r="AF773" s="2"/>
      <c r="AG773" s="2"/>
      <c r="AH773" s="2"/>
      <c r="AI773" s="2"/>
      <c r="AJ773" s="2"/>
      <c r="AK773" s="2"/>
      <c r="AL773" s="2"/>
      <c r="AM773" s="2"/>
      <c r="AT773" s="2"/>
      <c r="AU773" s="2"/>
      <c r="AV773" s="2"/>
      <c r="AW773" s="2"/>
      <c r="AX773" s="2"/>
      <c r="AY773" s="2"/>
      <c r="AZ773" s="2"/>
      <c r="BA773" s="2"/>
      <c r="BC773" s="2"/>
      <c r="BD773" s="2"/>
      <c r="BE773" s="2"/>
      <c r="BF773" s="2"/>
      <c r="BG773" s="2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</row>
    <row r="774" ht="14.25" customHeight="1">
      <c r="AA774" s="2"/>
      <c r="AF774" s="2"/>
      <c r="AG774" s="2"/>
      <c r="AH774" s="2"/>
      <c r="AI774" s="2"/>
      <c r="AJ774" s="2"/>
      <c r="AK774" s="2"/>
      <c r="AL774" s="2"/>
      <c r="AM774" s="2"/>
      <c r="AT774" s="2"/>
      <c r="AU774" s="2"/>
      <c r="AV774" s="2"/>
      <c r="AW774" s="2"/>
      <c r="AX774" s="2"/>
      <c r="AY774" s="2"/>
      <c r="AZ774" s="2"/>
      <c r="BA774" s="2"/>
      <c r="BC774" s="2"/>
      <c r="BD774" s="2"/>
      <c r="BE774" s="2"/>
      <c r="BF774" s="2"/>
      <c r="BG774" s="2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</row>
    <row r="775" ht="14.25" customHeight="1">
      <c r="AA775" s="2"/>
      <c r="AF775" s="2"/>
      <c r="AG775" s="2"/>
      <c r="AH775" s="2"/>
      <c r="AI775" s="2"/>
      <c r="AJ775" s="2"/>
      <c r="AK775" s="2"/>
      <c r="AL775" s="2"/>
      <c r="AM775" s="2"/>
      <c r="AT775" s="2"/>
      <c r="AU775" s="2"/>
      <c r="AV775" s="2"/>
      <c r="AW775" s="2"/>
      <c r="AX775" s="2"/>
      <c r="AY775" s="2"/>
      <c r="AZ775" s="2"/>
      <c r="BA775" s="2"/>
      <c r="BC775" s="2"/>
      <c r="BD775" s="2"/>
      <c r="BE775" s="2"/>
      <c r="BF775" s="2"/>
      <c r="BG775" s="2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</row>
    <row r="776" ht="14.25" customHeight="1">
      <c r="AA776" s="2"/>
      <c r="AF776" s="2"/>
      <c r="AG776" s="2"/>
      <c r="AH776" s="2"/>
      <c r="AI776" s="2"/>
      <c r="AJ776" s="2"/>
      <c r="AK776" s="2"/>
      <c r="AL776" s="2"/>
      <c r="AM776" s="2"/>
      <c r="AT776" s="2"/>
      <c r="AU776" s="2"/>
      <c r="AV776" s="2"/>
      <c r="AW776" s="2"/>
      <c r="AX776" s="2"/>
      <c r="AY776" s="2"/>
      <c r="AZ776" s="2"/>
      <c r="BA776" s="2"/>
      <c r="BC776" s="2"/>
      <c r="BD776" s="2"/>
      <c r="BE776" s="2"/>
      <c r="BF776" s="2"/>
      <c r="BG776" s="2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</row>
    <row r="777" ht="14.25" customHeight="1">
      <c r="AA777" s="2"/>
      <c r="AF777" s="2"/>
      <c r="AG777" s="2"/>
      <c r="AH777" s="2"/>
      <c r="AI777" s="2"/>
      <c r="AJ777" s="2"/>
      <c r="AK777" s="2"/>
      <c r="AL777" s="2"/>
      <c r="AM777" s="2"/>
      <c r="AT777" s="2"/>
      <c r="AU777" s="2"/>
      <c r="AV777" s="2"/>
      <c r="AW777" s="2"/>
      <c r="AX777" s="2"/>
      <c r="AY777" s="2"/>
      <c r="AZ777" s="2"/>
      <c r="BA777" s="2"/>
      <c r="BC777" s="2"/>
      <c r="BD777" s="2"/>
      <c r="BE777" s="2"/>
      <c r="BF777" s="2"/>
      <c r="BG777" s="2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</row>
    <row r="778" ht="14.25" customHeight="1">
      <c r="AA778" s="2"/>
      <c r="AF778" s="2"/>
      <c r="AG778" s="2"/>
      <c r="AH778" s="2"/>
      <c r="AI778" s="2"/>
      <c r="AJ778" s="2"/>
      <c r="AK778" s="2"/>
      <c r="AL778" s="2"/>
      <c r="AM778" s="2"/>
      <c r="AT778" s="2"/>
      <c r="AU778" s="2"/>
      <c r="AV778" s="2"/>
      <c r="AW778" s="2"/>
      <c r="AX778" s="2"/>
      <c r="AY778" s="2"/>
      <c r="AZ778" s="2"/>
      <c r="BA778" s="2"/>
      <c r="BC778" s="2"/>
      <c r="BD778" s="2"/>
      <c r="BE778" s="2"/>
      <c r="BF778" s="2"/>
      <c r="BG778" s="2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</row>
    <row r="779" ht="14.25" customHeight="1">
      <c r="AA779" s="2"/>
      <c r="AF779" s="2"/>
      <c r="AG779" s="2"/>
      <c r="AH779" s="2"/>
      <c r="AI779" s="2"/>
      <c r="AJ779" s="2"/>
      <c r="AK779" s="2"/>
      <c r="AL779" s="2"/>
      <c r="AM779" s="2"/>
      <c r="AT779" s="2"/>
      <c r="AU779" s="2"/>
      <c r="AV779" s="2"/>
      <c r="AW779" s="2"/>
      <c r="AX779" s="2"/>
      <c r="AY779" s="2"/>
      <c r="AZ779" s="2"/>
      <c r="BA779" s="2"/>
      <c r="BC779" s="2"/>
      <c r="BD779" s="2"/>
      <c r="BE779" s="2"/>
      <c r="BF779" s="2"/>
      <c r="BG779" s="2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</row>
    <row r="780" ht="14.25" customHeight="1">
      <c r="AA780" s="2"/>
      <c r="AF780" s="2"/>
      <c r="AG780" s="2"/>
      <c r="AH780" s="2"/>
      <c r="AI780" s="2"/>
      <c r="AJ780" s="2"/>
      <c r="AK780" s="2"/>
      <c r="AL780" s="2"/>
      <c r="AM780" s="2"/>
      <c r="AT780" s="2"/>
      <c r="AU780" s="2"/>
      <c r="AV780" s="2"/>
      <c r="AW780" s="2"/>
      <c r="AX780" s="2"/>
      <c r="AY780" s="2"/>
      <c r="AZ780" s="2"/>
      <c r="BA780" s="2"/>
      <c r="BC780" s="2"/>
      <c r="BD780" s="2"/>
      <c r="BE780" s="2"/>
      <c r="BF780" s="2"/>
      <c r="BG780" s="2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</row>
    <row r="781" ht="14.25" customHeight="1">
      <c r="AA781" s="2"/>
      <c r="AF781" s="2"/>
      <c r="AG781" s="2"/>
      <c r="AH781" s="2"/>
      <c r="AI781" s="2"/>
      <c r="AJ781" s="2"/>
      <c r="AK781" s="2"/>
      <c r="AL781" s="2"/>
      <c r="AM781" s="2"/>
      <c r="AT781" s="2"/>
      <c r="AU781" s="2"/>
      <c r="AV781" s="2"/>
      <c r="AW781" s="2"/>
      <c r="AX781" s="2"/>
      <c r="AY781" s="2"/>
      <c r="AZ781" s="2"/>
      <c r="BA781" s="2"/>
      <c r="BC781" s="2"/>
      <c r="BD781" s="2"/>
      <c r="BE781" s="2"/>
      <c r="BF781" s="2"/>
      <c r="BG781" s="2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</row>
    <row r="782" ht="14.25" customHeight="1">
      <c r="AA782" s="2"/>
      <c r="AF782" s="2"/>
      <c r="AG782" s="2"/>
      <c r="AH782" s="2"/>
      <c r="AI782" s="2"/>
      <c r="AJ782" s="2"/>
      <c r="AK782" s="2"/>
      <c r="AL782" s="2"/>
      <c r="AM782" s="2"/>
      <c r="AT782" s="2"/>
      <c r="AU782" s="2"/>
      <c r="AV782" s="2"/>
      <c r="AW782" s="2"/>
      <c r="AX782" s="2"/>
      <c r="AY782" s="2"/>
      <c r="AZ782" s="2"/>
      <c r="BA782" s="2"/>
      <c r="BC782" s="2"/>
      <c r="BD782" s="2"/>
      <c r="BE782" s="2"/>
      <c r="BF782" s="2"/>
      <c r="BG782" s="2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</row>
    <row r="783" ht="14.25" customHeight="1">
      <c r="AA783" s="2"/>
      <c r="AF783" s="2"/>
      <c r="AG783" s="2"/>
      <c r="AH783" s="2"/>
      <c r="AI783" s="2"/>
      <c r="AJ783" s="2"/>
      <c r="AK783" s="2"/>
      <c r="AL783" s="2"/>
      <c r="AM783" s="2"/>
      <c r="AT783" s="2"/>
      <c r="AU783" s="2"/>
      <c r="AV783" s="2"/>
      <c r="AW783" s="2"/>
      <c r="AX783" s="2"/>
      <c r="AY783" s="2"/>
      <c r="AZ783" s="2"/>
      <c r="BA783" s="2"/>
      <c r="BC783" s="2"/>
      <c r="BD783" s="2"/>
      <c r="BE783" s="2"/>
      <c r="BF783" s="2"/>
      <c r="BG783" s="2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</row>
    <row r="784" ht="14.25" customHeight="1">
      <c r="AA784" s="2"/>
      <c r="AF784" s="2"/>
      <c r="AG784" s="2"/>
      <c r="AH784" s="2"/>
      <c r="AI784" s="2"/>
      <c r="AJ784" s="2"/>
      <c r="AK784" s="2"/>
      <c r="AL784" s="2"/>
      <c r="AM784" s="2"/>
      <c r="AT784" s="2"/>
      <c r="AU784" s="2"/>
      <c r="AV784" s="2"/>
      <c r="AW784" s="2"/>
      <c r="AX784" s="2"/>
      <c r="AY784" s="2"/>
      <c r="AZ784" s="2"/>
      <c r="BA784" s="2"/>
      <c r="BC784" s="2"/>
      <c r="BD784" s="2"/>
      <c r="BE784" s="2"/>
      <c r="BF784" s="2"/>
      <c r="BG784" s="2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</row>
    <row r="785" ht="14.25" customHeight="1">
      <c r="AA785" s="2"/>
      <c r="AF785" s="2"/>
      <c r="AG785" s="2"/>
      <c r="AH785" s="2"/>
      <c r="AI785" s="2"/>
      <c r="AJ785" s="2"/>
      <c r="AK785" s="2"/>
      <c r="AL785" s="2"/>
      <c r="AM785" s="2"/>
      <c r="AT785" s="2"/>
      <c r="AU785" s="2"/>
      <c r="AV785" s="2"/>
      <c r="AW785" s="2"/>
      <c r="AX785" s="2"/>
      <c r="AY785" s="2"/>
      <c r="AZ785" s="2"/>
      <c r="BA785" s="2"/>
      <c r="BC785" s="2"/>
      <c r="BD785" s="2"/>
      <c r="BE785" s="2"/>
      <c r="BF785" s="2"/>
      <c r="BG785" s="2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</row>
    <row r="786" ht="14.25" customHeight="1">
      <c r="AA786" s="2"/>
      <c r="AF786" s="2"/>
      <c r="AG786" s="2"/>
      <c r="AH786" s="2"/>
      <c r="AI786" s="2"/>
      <c r="AJ786" s="2"/>
      <c r="AK786" s="2"/>
      <c r="AL786" s="2"/>
      <c r="AM786" s="2"/>
      <c r="AT786" s="2"/>
      <c r="AU786" s="2"/>
      <c r="AV786" s="2"/>
      <c r="AW786" s="2"/>
      <c r="AX786" s="2"/>
      <c r="AY786" s="2"/>
      <c r="AZ786" s="2"/>
      <c r="BA786" s="2"/>
      <c r="BC786" s="2"/>
      <c r="BD786" s="2"/>
      <c r="BE786" s="2"/>
      <c r="BF786" s="2"/>
      <c r="BG786" s="2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</row>
    <row r="787" ht="14.25" customHeight="1">
      <c r="AA787" s="2"/>
      <c r="AF787" s="2"/>
      <c r="AG787" s="2"/>
      <c r="AH787" s="2"/>
      <c r="AI787" s="2"/>
      <c r="AJ787" s="2"/>
      <c r="AK787" s="2"/>
      <c r="AL787" s="2"/>
      <c r="AM787" s="2"/>
      <c r="AT787" s="2"/>
      <c r="AU787" s="2"/>
      <c r="AV787" s="2"/>
      <c r="AW787" s="2"/>
      <c r="AX787" s="2"/>
      <c r="AY787" s="2"/>
      <c r="AZ787" s="2"/>
      <c r="BA787" s="2"/>
      <c r="BC787" s="2"/>
      <c r="BD787" s="2"/>
      <c r="BE787" s="2"/>
      <c r="BF787" s="2"/>
      <c r="BG787" s="2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</row>
    <row r="788" ht="14.25" customHeight="1">
      <c r="AA788" s="2"/>
      <c r="AF788" s="2"/>
      <c r="AG788" s="2"/>
      <c r="AH788" s="2"/>
      <c r="AI788" s="2"/>
      <c r="AJ788" s="2"/>
      <c r="AK788" s="2"/>
      <c r="AL788" s="2"/>
      <c r="AM788" s="2"/>
      <c r="AT788" s="2"/>
      <c r="AU788" s="2"/>
      <c r="AV788" s="2"/>
      <c r="AW788" s="2"/>
      <c r="AX788" s="2"/>
      <c r="AY788" s="2"/>
      <c r="AZ788" s="2"/>
      <c r="BA788" s="2"/>
      <c r="BC788" s="2"/>
      <c r="BD788" s="2"/>
      <c r="BE788" s="2"/>
      <c r="BF788" s="2"/>
      <c r="BG788" s="2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</row>
    <row r="789" ht="14.25" customHeight="1">
      <c r="AA789" s="2"/>
      <c r="AF789" s="2"/>
      <c r="AG789" s="2"/>
      <c r="AH789" s="2"/>
      <c r="AI789" s="2"/>
      <c r="AJ789" s="2"/>
      <c r="AK789" s="2"/>
      <c r="AL789" s="2"/>
      <c r="AM789" s="2"/>
      <c r="AT789" s="2"/>
      <c r="AU789" s="2"/>
      <c r="AV789" s="2"/>
      <c r="AW789" s="2"/>
      <c r="AX789" s="2"/>
      <c r="AY789" s="2"/>
      <c r="AZ789" s="2"/>
      <c r="BA789" s="2"/>
      <c r="BC789" s="2"/>
      <c r="BD789" s="2"/>
      <c r="BE789" s="2"/>
      <c r="BF789" s="2"/>
      <c r="BG789" s="2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</row>
    <row r="790" ht="14.25" customHeight="1">
      <c r="AA790" s="2"/>
      <c r="AF790" s="2"/>
      <c r="AG790" s="2"/>
      <c r="AH790" s="2"/>
      <c r="AI790" s="2"/>
      <c r="AJ790" s="2"/>
      <c r="AK790" s="2"/>
      <c r="AL790" s="2"/>
      <c r="AM790" s="2"/>
      <c r="AT790" s="2"/>
      <c r="AU790" s="2"/>
      <c r="AV790" s="2"/>
      <c r="AW790" s="2"/>
      <c r="AX790" s="2"/>
      <c r="AY790" s="2"/>
      <c r="AZ790" s="2"/>
      <c r="BA790" s="2"/>
      <c r="BC790" s="2"/>
      <c r="BD790" s="2"/>
      <c r="BE790" s="2"/>
      <c r="BF790" s="2"/>
      <c r="BG790" s="2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</row>
    <row r="791" ht="14.25" customHeight="1">
      <c r="AA791" s="2"/>
      <c r="AF791" s="2"/>
      <c r="AG791" s="2"/>
      <c r="AH791" s="2"/>
      <c r="AI791" s="2"/>
      <c r="AJ791" s="2"/>
      <c r="AK791" s="2"/>
      <c r="AL791" s="2"/>
      <c r="AM791" s="2"/>
      <c r="AT791" s="2"/>
      <c r="AU791" s="2"/>
      <c r="AV791" s="2"/>
      <c r="AW791" s="2"/>
      <c r="AX791" s="2"/>
      <c r="AY791" s="2"/>
      <c r="AZ791" s="2"/>
      <c r="BA791" s="2"/>
      <c r="BC791" s="2"/>
      <c r="BD791" s="2"/>
      <c r="BE791" s="2"/>
      <c r="BF791" s="2"/>
      <c r="BG791" s="2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</row>
    <row r="792" ht="14.25" customHeight="1">
      <c r="AA792" s="2"/>
      <c r="AF792" s="2"/>
      <c r="AG792" s="2"/>
      <c r="AH792" s="2"/>
      <c r="AI792" s="2"/>
      <c r="AJ792" s="2"/>
      <c r="AK792" s="2"/>
      <c r="AL792" s="2"/>
      <c r="AM792" s="2"/>
      <c r="AT792" s="2"/>
      <c r="AU792" s="2"/>
      <c r="AV792" s="2"/>
      <c r="AW792" s="2"/>
      <c r="AX792" s="2"/>
      <c r="AY792" s="2"/>
      <c r="AZ792" s="2"/>
      <c r="BA792" s="2"/>
      <c r="BC792" s="2"/>
      <c r="BD792" s="2"/>
      <c r="BE792" s="2"/>
      <c r="BF792" s="2"/>
      <c r="BG792" s="2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</row>
    <row r="793" ht="14.25" customHeight="1">
      <c r="AA793" s="2"/>
      <c r="AF793" s="2"/>
      <c r="AG793" s="2"/>
      <c r="AH793" s="2"/>
      <c r="AI793" s="2"/>
      <c r="AJ793" s="2"/>
      <c r="AK793" s="2"/>
      <c r="AL793" s="2"/>
      <c r="AM793" s="2"/>
      <c r="AT793" s="2"/>
      <c r="AU793" s="2"/>
      <c r="AV793" s="2"/>
      <c r="AW793" s="2"/>
      <c r="AX793" s="2"/>
      <c r="AY793" s="2"/>
      <c r="AZ793" s="2"/>
      <c r="BA793" s="2"/>
      <c r="BC793" s="2"/>
      <c r="BD793" s="2"/>
      <c r="BE793" s="2"/>
      <c r="BF793" s="2"/>
      <c r="BG793" s="2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</row>
    <row r="794" ht="14.25" customHeight="1">
      <c r="AA794" s="2"/>
      <c r="AF794" s="2"/>
      <c r="AG794" s="2"/>
      <c r="AH794" s="2"/>
      <c r="AI794" s="2"/>
      <c r="AJ794" s="2"/>
      <c r="AK794" s="2"/>
      <c r="AL794" s="2"/>
      <c r="AM794" s="2"/>
      <c r="AT794" s="2"/>
      <c r="AU794" s="2"/>
      <c r="AV794" s="2"/>
      <c r="AW794" s="2"/>
      <c r="AX794" s="2"/>
      <c r="AY794" s="2"/>
      <c r="AZ794" s="2"/>
      <c r="BA794" s="2"/>
      <c r="BC794" s="2"/>
      <c r="BD794" s="2"/>
      <c r="BE794" s="2"/>
      <c r="BF794" s="2"/>
      <c r="BG794" s="2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</row>
    <row r="795" ht="14.25" customHeight="1">
      <c r="AA795" s="2"/>
      <c r="AF795" s="2"/>
      <c r="AG795" s="2"/>
      <c r="AH795" s="2"/>
      <c r="AI795" s="2"/>
      <c r="AJ795" s="2"/>
      <c r="AK795" s="2"/>
      <c r="AL795" s="2"/>
      <c r="AM795" s="2"/>
      <c r="AT795" s="2"/>
      <c r="AU795" s="2"/>
      <c r="AV795" s="2"/>
      <c r="AW795" s="2"/>
      <c r="AX795" s="2"/>
      <c r="AY795" s="2"/>
      <c r="AZ795" s="2"/>
      <c r="BA795" s="2"/>
      <c r="BC795" s="2"/>
      <c r="BD795" s="2"/>
      <c r="BE795" s="2"/>
      <c r="BF795" s="2"/>
      <c r="BG795" s="2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</row>
    <row r="796" ht="14.25" customHeight="1">
      <c r="AA796" s="2"/>
      <c r="AF796" s="2"/>
      <c r="AG796" s="2"/>
      <c r="AH796" s="2"/>
      <c r="AI796" s="2"/>
      <c r="AJ796" s="2"/>
      <c r="AK796" s="2"/>
      <c r="AL796" s="2"/>
      <c r="AM796" s="2"/>
      <c r="AT796" s="2"/>
      <c r="AU796" s="2"/>
      <c r="AV796" s="2"/>
      <c r="AW796" s="2"/>
      <c r="AX796" s="2"/>
      <c r="AY796" s="2"/>
      <c r="AZ796" s="2"/>
      <c r="BA796" s="2"/>
      <c r="BC796" s="2"/>
      <c r="BD796" s="2"/>
      <c r="BE796" s="2"/>
      <c r="BF796" s="2"/>
      <c r="BG796" s="2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</row>
    <row r="797" ht="14.25" customHeight="1">
      <c r="AA797" s="2"/>
      <c r="AF797" s="2"/>
      <c r="AG797" s="2"/>
      <c r="AH797" s="2"/>
      <c r="AI797" s="2"/>
      <c r="AJ797" s="2"/>
      <c r="AK797" s="2"/>
      <c r="AL797" s="2"/>
      <c r="AM797" s="2"/>
      <c r="AT797" s="2"/>
      <c r="AU797" s="2"/>
      <c r="AV797" s="2"/>
      <c r="AW797" s="2"/>
      <c r="AX797" s="2"/>
      <c r="AY797" s="2"/>
      <c r="AZ797" s="2"/>
      <c r="BA797" s="2"/>
      <c r="BC797" s="2"/>
      <c r="BD797" s="2"/>
      <c r="BE797" s="2"/>
      <c r="BF797" s="2"/>
      <c r="BG797" s="2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</row>
    <row r="798" ht="14.25" customHeight="1">
      <c r="AA798" s="2"/>
      <c r="AF798" s="2"/>
      <c r="AG798" s="2"/>
      <c r="AH798" s="2"/>
      <c r="AI798" s="2"/>
      <c r="AJ798" s="2"/>
      <c r="AK798" s="2"/>
      <c r="AL798" s="2"/>
      <c r="AM798" s="2"/>
      <c r="AT798" s="2"/>
      <c r="AU798" s="2"/>
      <c r="AV798" s="2"/>
      <c r="AW798" s="2"/>
      <c r="AX798" s="2"/>
      <c r="AY798" s="2"/>
      <c r="AZ798" s="2"/>
      <c r="BA798" s="2"/>
      <c r="BC798" s="2"/>
      <c r="BD798" s="2"/>
      <c r="BE798" s="2"/>
      <c r="BF798" s="2"/>
      <c r="BG798" s="2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</row>
    <row r="799" ht="14.25" customHeight="1">
      <c r="AA799" s="2"/>
      <c r="AF799" s="2"/>
      <c r="AG799" s="2"/>
      <c r="AH799" s="2"/>
      <c r="AI799" s="2"/>
      <c r="AJ799" s="2"/>
      <c r="AK799" s="2"/>
      <c r="AL799" s="2"/>
      <c r="AM799" s="2"/>
      <c r="AT799" s="2"/>
      <c r="AU799" s="2"/>
      <c r="AV799" s="2"/>
      <c r="AW799" s="2"/>
      <c r="AX799" s="2"/>
      <c r="AY799" s="2"/>
      <c r="AZ799" s="2"/>
      <c r="BA799" s="2"/>
      <c r="BC799" s="2"/>
      <c r="BD799" s="2"/>
      <c r="BE799" s="2"/>
      <c r="BF799" s="2"/>
      <c r="BG799" s="2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</row>
    <row r="800" ht="14.25" customHeight="1">
      <c r="AA800" s="2"/>
      <c r="AF800" s="2"/>
      <c r="AG800" s="2"/>
      <c r="AH800" s="2"/>
      <c r="AI800" s="2"/>
      <c r="AJ800" s="2"/>
      <c r="AK800" s="2"/>
      <c r="AL800" s="2"/>
      <c r="AM800" s="2"/>
      <c r="AT800" s="2"/>
      <c r="AU800" s="2"/>
      <c r="AV800" s="2"/>
      <c r="AW800" s="2"/>
      <c r="AX800" s="2"/>
      <c r="AY800" s="2"/>
      <c r="AZ800" s="2"/>
      <c r="BA800" s="2"/>
      <c r="BC800" s="2"/>
      <c r="BD800" s="2"/>
      <c r="BE800" s="2"/>
      <c r="BF800" s="2"/>
      <c r="BG800" s="2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</row>
    <row r="801" ht="14.25" customHeight="1">
      <c r="AA801" s="2"/>
      <c r="AF801" s="2"/>
      <c r="AG801" s="2"/>
      <c r="AH801" s="2"/>
      <c r="AI801" s="2"/>
      <c r="AJ801" s="2"/>
      <c r="AK801" s="2"/>
      <c r="AL801" s="2"/>
      <c r="AM801" s="2"/>
      <c r="AT801" s="2"/>
      <c r="AU801" s="2"/>
      <c r="AV801" s="2"/>
      <c r="AW801" s="2"/>
      <c r="AX801" s="2"/>
      <c r="AY801" s="2"/>
      <c r="AZ801" s="2"/>
      <c r="BA801" s="2"/>
      <c r="BC801" s="2"/>
      <c r="BD801" s="2"/>
      <c r="BE801" s="2"/>
      <c r="BF801" s="2"/>
      <c r="BG801" s="2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</row>
    <row r="802" ht="14.25" customHeight="1">
      <c r="AA802" s="2"/>
      <c r="AF802" s="2"/>
      <c r="AG802" s="2"/>
      <c r="AH802" s="2"/>
      <c r="AI802" s="2"/>
      <c r="AJ802" s="2"/>
      <c r="AK802" s="2"/>
      <c r="AL802" s="2"/>
      <c r="AM802" s="2"/>
      <c r="AT802" s="2"/>
      <c r="AU802" s="2"/>
      <c r="AV802" s="2"/>
      <c r="AW802" s="2"/>
      <c r="AX802" s="2"/>
      <c r="AY802" s="2"/>
      <c r="AZ802" s="2"/>
      <c r="BA802" s="2"/>
      <c r="BC802" s="2"/>
      <c r="BD802" s="2"/>
      <c r="BE802" s="2"/>
      <c r="BF802" s="2"/>
      <c r="BG802" s="2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</row>
    <row r="803" ht="14.25" customHeight="1">
      <c r="AA803" s="2"/>
      <c r="AF803" s="2"/>
      <c r="AG803" s="2"/>
      <c r="AH803" s="2"/>
      <c r="AI803" s="2"/>
      <c r="AJ803" s="2"/>
      <c r="AK803" s="2"/>
      <c r="AL803" s="2"/>
      <c r="AM803" s="2"/>
      <c r="AT803" s="2"/>
      <c r="AU803" s="2"/>
      <c r="AV803" s="2"/>
      <c r="AW803" s="2"/>
      <c r="AX803" s="2"/>
      <c r="AY803" s="2"/>
      <c r="AZ803" s="2"/>
      <c r="BA803" s="2"/>
      <c r="BC803" s="2"/>
      <c r="BD803" s="2"/>
      <c r="BE803" s="2"/>
      <c r="BF803" s="2"/>
      <c r="BG803" s="2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</row>
    <row r="804" ht="14.25" customHeight="1">
      <c r="AA804" s="2"/>
      <c r="AF804" s="2"/>
      <c r="AG804" s="2"/>
      <c r="AH804" s="2"/>
      <c r="AI804" s="2"/>
      <c r="AJ804" s="2"/>
      <c r="AK804" s="2"/>
      <c r="AL804" s="2"/>
      <c r="AM804" s="2"/>
      <c r="AT804" s="2"/>
      <c r="AU804" s="2"/>
      <c r="AV804" s="2"/>
      <c r="AW804" s="2"/>
      <c r="AX804" s="2"/>
      <c r="AY804" s="2"/>
      <c r="AZ804" s="2"/>
      <c r="BA804" s="2"/>
      <c r="BC804" s="2"/>
      <c r="BD804" s="2"/>
      <c r="BE804" s="2"/>
      <c r="BF804" s="2"/>
      <c r="BG804" s="2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</row>
    <row r="805" ht="14.25" customHeight="1">
      <c r="AA805" s="2"/>
      <c r="AF805" s="2"/>
      <c r="AG805" s="2"/>
      <c r="AH805" s="2"/>
      <c r="AI805" s="2"/>
      <c r="AJ805" s="2"/>
      <c r="AK805" s="2"/>
      <c r="AL805" s="2"/>
      <c r="AM805" s="2"/>
      <c r="AT805" s="2"/>
      <c r="AU805" s="2"/>
      <c r="AV805" s="2"/>
      <c r="AW805" s="2"/>
      <c r="AX805" s="2"/>
      <c r="AY805" s="2"/>
      <c r="AZ805" s="2"/>
      <c r="BA805" s="2"/>
      <c r="BC805" s="2"/>
      <c r="BD805" s="2"/>
      <c r="BE805" s="2"/>
      <c r="BF805" s="2"/>
      <c r="BG805" s="2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</row>
    <row r="806" ht="14.25" customHeight="1">
      <c r="AA806" s="2"/>
      <c r="AF806" s="2"/>
      <c r="AG806" s="2"/>
      <c r="AH806" s="2"/>
      <c r="AI806" s="2"/>
      <c r="AJ806" s="2"/>
      <c r="AK806" s="2"/>
      <c r="AL806" s="2"/>
      <c r="AM806" s="2"/>
      <c r="AT806" s="2"/>
      <c r="AU806" s="2"/>
      <c r="AV806" s="2"/>
      <c r="AW806" s="2"/>
      <c r="AX806" s="2"/>
      <c r="AY806" s="2"/>
      <c r="AZ806" s="2"/>
      <c r="BA806" s="2"/>
      <c r="BC806" s="2"/>
      <c r="BD806" s="2"/>
      <c r="BE806" s="2"/>
      <c r="BF806" s="2"/>
      <c r="BG806" s="2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</row>
    <row r="807" ht="14.25" customHeight="1">
      <c r="AA807" s="2"/>
      <c r="AF807" s="2"/>
      <c r="AG807" s="2"/>
      <c r="AH807" s="2"/>
      <c r="AI807" s="2"/>
      <c r="AJ807" s="2"/>
      <c r="AK807" s="2"/>
      <c r="AL807" s="2"/>
      <c r="AM807" s="2"/>
      <c r="AT807" s="2"/>
      <c r="AU807" s="2"/>
      <c r="AV807" s="2"/>
      <c r="AW807" s="2"/>
      <c r="AX807" s="2"/>
      <c r="AY807" s="2"/>
      <c r="AZ807" s="2"/>
      <c r="BA807" s="2"/>
      <c r="BC807" s="2"/>
      <c r="BD807" s="2"/>
      <c r="BE807" s="2"/>
      <c r="BF807" s="2"/>
      <c r="BG807" s="2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</row>
    <row r="808" ht="14.25" customHeight="1">
      <c r="AA808" s="2"/>
      <c r="AF808" s="2"/>
      <c r="AG808" s="2"/>
      <c r="AH808" s="2"/>
      <c r="AI808" s="2"/>
      <c r="AJ808" s="2"/>
      <c r="AK808" s="2"/>
      <c r="AL808" s="2"/>
      <c r="AM808" s="2"/>
      <c r="AT808" s="2"/>
      <c r="AU808" s="2"/>
      <c r="AV808" s="2"/>
      <c r="AW808" s="2"/>
      <c r="AX808" s="2"/>
      <c r="AY808" s="2"/>
      <c r="AZ808" s="2"/>
      <c r="BA808" s="2"/>
      <c r="BC808" s="2"/>
      <c r="BD808" s="2"/>
      <c r="BE808" s="2"/>
      <c r="BF808" s="2"/>
      <c r="BG808" s="2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</row>
    <row r="809" ht="14.25" customHeight="1">
      <c r="AA809" s="2"/>
      <c r="AF809" s="2"/>
      <c r="AG809" s="2"/>
      <c r="AH809" s="2"/>
      <c r="AI809" s="2"/>
      <c r="AJ809" s="2"/>
      <c r="AK809" s="2"/>
      <c r="AL809" s="2"/>
      <c r="AM809" s="2"/>
      <c r="AT809" s="2"/>
      <c r="AU809" s="2"/>
      <c r="AV809" s="2"/>
      <c r="AW809" s="2"/>
      <c r="AX809" s="2"/>
      <c r="AY809" s="2"/>
      <c r="AZ809" s="2"/>
      <c r="BA809" s="2"/>
      <c r="BC809" s="2"/>
      <c r="BD809" s="2"/>
      <c r="BE809" s="2"/>
      <c r="BF809" s="2"/>
      <c r="BG809" s="2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</row>
    <row r="810" ht="14.25" customHeight="1">
      <c r="AA810" s="2"/>
      <c r="AF810" s="2"/>
      <c r="AG810" s="2"/>
      <c r="AH810" s="2"/>
      <c r="AI810" s="2"/>
      <c r="AJ810" s="2"/>
      <c r="AK810" s="2"/>
      <c r="AL810" s="2"/>
      <c r="AM810" s="2"/>
      <c r="AT810" s="2"/>
      <c r="AU810" s="2"/>
      <c r="AV810" s="2"/>
      <c r="AW810" s="2"/>
      <c r="AX810" s="2"/>
      <c r="AY810" s="2"/>
      <c r="AZ810" s="2"/>
      <c r="BA810" s="2"/>
      <c r="BC810" s="2"/>
      <c r="BD810" s="2"/>
      <c r="BE810" s="2"/>
      <c r="BF810" s="2"/>
      <c r="BG810" s="2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</row>
    <row r="811" ht="14.25" customHeight="1">
      <c r="AA811" s="2"/>
      <c r="AF811" s="2"/>
      <c r="AG811" s="2"/>
      <c r="AH811" s="2"/>
      <c r="AI811" s="2"/>
      <c r="AJ811" s="2"/>
      <c r="AK811" s="2"/>
      <c r="AL811" s="2"/>
      <c r="AM811" s="2"/>
      <c r="AT811" s="2"/>
      <c r="AU811" s="2"/>
      <c r="AV811" s="2"/>
      <c r="AW811" s="2"/>
      <c r="AX811" s="2"/>
      <c r="AY811" s="2"/>
      <c r="AZ811" s="2"/>
      <c r="BA811" s="2"/>
      <c r="BC811" s="2"/>
      <c r="BD811" s="2"/>
      <c r="BE811" s="2"/>
      <c r="BF811" s="2"/>
      <c r="BG811" s="2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</row>
    <row r="812" ht="14.25" customHeight="1">
      <c r="AA812" s="2"/>
      <c r="AF812" s="2"/>
      <c r="AG812" s="2"/>
      <c r="AH812" s="2"/>
      <c r="AI812" s="2"/>
      <c r="AJ812" s="2"/>
      <c r="AK812" s="2"/>
      <c r="AL812" s="2"/>
      <c r="AM812" s="2"/>
      <c r="AT812" s="2"/>
      <c r="AU812" s="2"/>
      <c r="AV812" s="2"/>
      <c r="AW812" s="2"/>
      <c r="AX812" s="2"/>
      <c r="AY812" s="2"/>
      <c r="AZ812" s="2"/>
      <c r="BA812" s="2"/>
      <c r="BC812" s="2"/>
      <c r="BD812" s="2"/>
      <c r="BE812" s="2"/>
      <c r="BF812" s="2"/>
      <c r="BG812" s="2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</row>
    <row r="813" ht="14.25" customHeight="1">
      <c r="AA813" s="2"/>
      <c r="AF813" s="2"/>
      <c r="AG813" s="2"/>
      <c r="AH813" s="2"/>
      <c r="AI813" s="2"/>
      <c r="AJ813" s="2"/>
      <c r="AK813" s="2"/>
      <c r="AL813" s="2"/>
      <c r="AM813" s="2"/>
      <c r="AT813" s="2"/>
      <c r="AU813" s="2"/>
      <c r="AV813" s="2"/>
      <c r="AW813" s="2"/>
      <c r="AX813" s="2"/>
      <c r="AY813" s="2"/>
      <c r="AZ813" s="2"/>
      <c r="BA813" s="2"/>
      <c r="BC813" s="2"/>
      <c r="BD813" s="2"/>
      <c r="BE813" s="2"/>
      <c r="BF813" s="2"/>
      <c r="BG813" s="2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</row>
    <row r="814" ht="14.25" customHeight="1">
      <c r="AA814" s="2"/>
      <c r="AF814" s="2"/>
      <c r="AG814" s="2"/>
      <c r="AH814" s="2"/>
      <c r="AI814" s="2"/>
      <c r="AJ814" s="2"/>
      <c r="AK814" s="2"/>
      <c r="AL814" s="2"/>
      <c r="AM814" s="2"/>
      <c r="AT814" s="2"/>
      <c r="AU814" s="2"/>
      <c r="AV814" s="2"/>
      <c r="AW814" s="2"/>
      <c r="AX814" s="2"/>
      <c r="AY814" s="2"/>
      <c r="AZ814" s="2"/>
      <c r="BA814" s="2"/>
      <c r="BC814" s="2"/>
      <c r="BD814" s="2"/>
      <c r="BE814" s="2"/>
      <c r="BF814" s="2"/>
      <c r="BG814" s="2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</row>
    <row r="815" ht="14.25" customHeight="1">
      <c r="AA815" s="2"/>
      <c r="AF815" s="2"/>
      <c r="AG815" s="2"/>
      <c r="AH815" s="2"/>
      <c r="AI815" s="2"/>
      <c r="AJ815" s="2"/>
      <c r="AK815" s="2"/>
      <c r="AL815" s="2"/>
      <c r="AM815" s="2"/>
      <c r="AT815" s="2"/>
      <c r="AU815" s="2"/>
      <c r="AV815" s="2"/>
      <c r="AW815" s="2"/>
      <c r="AX815" s="2"/>
      <c r="AY815" s="2"/>
      <c r="AZ815" s="2"/>
      <c r="BA815" s="2"/>
      <c r="BC815" s="2"/>
      <c r="BD815" s="2"/>
      <c r="BE815" s="2"/>
      <c r="BF815" s="2"/>
      <c r="BG815" s="2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</row>
    <row r="816" ht="14.25" customHeight="1">
      <c r="AA816" s="2"/>
      <c r="AF816" s="2"/>
      <c r="AG816" s="2"/>
      <c r="AH816" s="2"/>
      <c r="AI816" s="2"/>
      <c r="AJ816" s="2"/>
      <c r="AK816" s="2"/>
      <c r="AL816" s="2"/>
      <c r="AM816" s="2"/>
      <c r="AT816" s="2"/>
      <c r="AU816" s="2"/>
      <c r="AV816" s="2"/>
      <c r="AW816" s="2"/>
      <c r="AX816" s="2"/>
      <c r="AY816" s="2"/>
      <c r="AZ816" s="2"/>
      <c r="BA816" s="2"/>
      <c r="BC816" s="2"/>
      <c r="BD816" s="2"/>
      <c r="BE816" s="2"/>
      <c r="BF816" s="2"/>
      <c r="BG816" s="2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</row>
    <row r="817" ht="14.25" customHeight="1">
      <c r="AA817" s="2"/>
      <c r="AF817" s="2"/>
      <c r="AG817" s="2"/>
      <c r="AH817" s="2"/>
      <c r="AI817" s="2"/>
      <c r="AJ817" s="2"/>
      <c r="AK817" s="2"/>
      <c r="AL817" s="2"/>
      <c r="AM817" s="2"/>
      <c r="AT817" s="2"/>
      <c r="AU817" s="2"/>
      <c r="AV817" s="2"/>
      <c r="AW817" s="2"/>
      <c r="AX817" s="2"/>
      <c r="AY817" s="2"/>
      <c r="AZ817" s="2"/>
      <c r="BA817" s="2"/>
      <c r="BC817" s="2"/>
      <c r="BD817" s="2"/>
      <c r="BE817" s="2"/>
      <c r="BF817" s="2"/>
      <c r="BG817" s="2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</row>
    <row r="818" ht="14.25" customHeight="1">
      <c r="AA818" s="2"/>
      <c r="AF818" s="2"/>
      <c r="AG818" s="2"/>
      <c r="AH818" s="2"/>
      <c r="AI818" s="2"/>
      <c r="AJ818" s="2"/>
      <c r="AK818" s="2"/>
      <c r="AL818" s="2"/>
      <c r="AM818" s="2"/>
      <c r="AT818" s="2"/>
      <c r="AU818" s="2"/>
      <c r="AV818" s="2"/>
      <c r="AW818" s="2"/>
      <c r="AX818" s="2"/>
      <c r="AY818" s="2"/>
      <c r="AZ818" s="2"/>
      <c r="BA818" s="2"/>
      <c r="BC818" s="2"/>
      <c r="BD818" s="2"/>
      <c r="BE818" s="2"/>
      <c r="BF818" s="2"/>
      <c r="BG818" s="2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</row>
    <row r="819" ht="14.25" customHeight="1">
      <c r="AA819" s="2"/>
      <c r="AF819" s="2"/>
      <c r="AG819" s="2"/>
      <c r="AH819" s="2"/>
      <c r="AI819" s="2"/>
      <c r="AJ819" s="2"/>
      <c r="AK819" s="2"/>
      <c r="AL819" s="2"/>
      <c r="AM819" s="2"/>
      <c r="AT819" s="2"/>
      <c r="AU819" s="2"/>
      <c r="AV819" s="2"/>
      <c r="AW819" s="2"/>
      <c r="AX819" s="2"/>
      <c r="AY819" s="2"/>
      <c r="AZ819" s="2"/>
      <c r="BA819" s="2"/>
      <c r="BC819" s="2"/>
      <c r="BD819" s="2"/>
      <c r="BE819" s="2"/>
      <c r="BF819" s="2"/>
      <c r="BG819" s="2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</row>
    <row r="820" ht="14.25" customHeight="1">
      <c r="AA820" s="2"/>
      <c r="AF820" s="2"/>
      <c r="AG820" s="2"/>
      <c r="AH820" s="2"/>
      <c r="AI820" s="2"/>
      <c r="AJ820" s="2"/>
      <c r="AK820" s="2"/>
      <c r="AL820" s="2"/>
      <c r="AM820" s="2"/>
      <c r="AT820" s="2"/>
      <c r="AU820" s="2"/>
      <c r="AV820" s="2"/>
      <c r="AW820" s="2"/>
      <c r="AX820" s="2"/>
      <c r="AY820" s="2"/>
      <c r="AZ820" s="2"/>
      <c r="BA820" s="2"/>
      <c r="BC820" s="2"/>
      <c r="BD820" s="2"/>
      <c r="BE820" s="2"/>
      <c r="BF820" s="2"/>
      <c r="BG820" s="2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</row>
    <row r="821" ht="14.25" customHeight="1">
      <c r="AA821" s="2"/>
      <c r="AF821" s="2"/>
      <c r="AG821" s="2"/>
      <c r="AH821" s="2"/>
      <c r="AI821" s="2"/>
      <c r="AJ821" s="2"/>
      <c r="AK821" s="2"/>
      <c r="AL821" s="2"/>
      <c r="AM821" s="2"/>
      <c r="AT821" s="2"/>
      <c r="AU821" s="2"/>
      <c r="AV821" s="2"/>
      <c r="AW821" s="2"/>
      <c r="AX821" s="2"/>
      <c r="AY821" s="2"/>
      <c r="AZ821" s="2"/>
      <c r="BA821" s="2"/>
      <c r="BC821" s="2"/>
      <c r="BD821" s="2"/>
      <c r="BE821" s="2"/>
      <c r="BF821" s="2"/>
      <c r="BG821" s="2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</row>
    <row r="822" ht="14.25" customHeight="1">
      <c r="AA822" s="2"/>
      <c r="AF822" s="2"/>
      <c r="AG822" s="2"/>
      <c r="AH822" s="2"/>
      <c r="AI822" s="2"/>
      <c r="AJ822" s="2"/>
      <c r="AK822" s="2"/>
      <c r="AL822" s="2"/>
      <c r="AM822" s="2"/>
      <c r="AT822" s="2"/>
      <c r="AU822" s="2"/>
      <c r="AV822" s="2"/>
      <c r="AW822" s="2"/>
      <c r="AX822" s="2"/>
      <c r="AY822" s="2"/>
      <c r="AZ822" s="2"/>
      <c r="BA822" s="2"/>
      <c r="BC822" s="2"/>
      <c r="BD822" s="2"/>
      <c r="BE822" s="2"/>
      <c r="BF822" s="2"/>
      <c r="BG822" s="2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</row>
    <row r="823" ht="14.25" customHeight="1">
      <c r="AA823" s="2"/>
      <c r="AF823" s="2"/>
      <c r="AG823" s="2"/>
      <c r="AH823" s="2"/>
      <c r="AI823" s="2"/>
      <c r="AJ823" s="2"/>
      <c r="AK823" s="2"/>
      <c r="AL823" s="2"/>
      <c r="AM823" s="2"/>
      <c r="AT823" s="2"/>
      <c r="AU823" s="2"/>
      <c r="AV823" s="2"/>
      <c r="AW823" s="2"/>
      <c r="AX823" s="2"/>
      <c r="AY823" s="2"/>
      <c r="AZ823" s="2"/>
      <c r="BA823" s="2"/>
      <c r="BC823" s="2"/>
      <c r="BD823" s="2"/>
      <c r="BE823" s="2"/>
      <c r="BF823" s="2"/>
      <c r="BG823" s="2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</row>
    <row r="824" ht="14.25" customHeight="1">
      <c r="AA824" s="2"/>
      <c r="AF824" s="2"/>
      <c r="AG824" s="2"/>
      <c r="AH824" s="2"/>
      <c r="AI824" s="2"/>
      <c r="AJ824" s="2"/>
      <c r="AK824" s="2"/>
      <c r="AL824" s="2"/>
      <c r="AM824" s="2"/>
      <c r="AT824" s="2"/>
      <c r="AU824" s="2"/>
      <c r="AV824" s="2"/>
      <c r="AW824" s="2"/>
      <c r="AX824" s="2"/>
      <c r="AY824" s="2"/>
      <c r="AZ824" s="2"/>
      <c r="BA824" s="2"/>
      <c r="BC824" s="2"/>
      <c r="BD824" s="2"/>
      <c r="BE824" s="2"/>
      <c r="BF824" s="2"/>
      <c r="BG824" s="2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</row>
    <row r="825" ht="14.25" customHeight="1">
      <c r="AA825" s="2"/>
      <c r="AF825" s="2"/>
      <c r="AG825" s="2"/>
      <c r="AH825" s="2"/>
      <c r="AI825" s="2"/>
      <c r="AJ825" s="2"/>
      <c r="AK825" s="2"/>
      <c r="AL825" s="2"/>
      <c r="AM825" s="2"/>
      <c r="AT825" s="2"/>
      <c r="AU825" s="2"/>
      <c r="AV825" s="2"/>
      <c r="AW825" s="2"/>
      <c r="AX825" s="2"/>
      <c r="AY825" s="2"/>
      <c r="AZ825" s="2"/>
      <c r="BA825" s="2"/>
      <c r="BC825" s="2"/>
      <c r="BD825" s="2"/>
      <c r="BE825" s="2"/>
      <c r="BF825" s="2"/>
      <c r="BG825" s="2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</row>
    <row r="826" ht="14.25" customHeight="1">
      <c r="AA826" s="2"/>
      <c r="AF826" s="2"/>
      <c r="AG826" s="2"/>
      <c r="AH826" s="2"/>
      <c r="AI826" s="2"/>
      <c r="AJ826" s="2"/>
      <c r="AK826" s="2"/>
      <c r="AL826" s="2"/>
      <c r="AM826" s="2"/>
      <c r="AT826" s="2"/>
      <c r="AU826" s="2"/>
      <c r="AV826" s="2"/>
      <c r="AW826" s="2"/>
      <c r="AX826" s="2"/>
      <c r="AY826" s="2"/>
      <c r="AZ826" s="2"/>
      <c r="BA826" s="2"/>
      <c r="BC826" s="2"/>
      <c r="BD826" s="2"/>
      <c r="BE826" s="2"/>
      <c r="BF826" s="2"/>
      <c r="BG826" s="2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</row>
    <row r="827" ht="14.25" customHeight="1">
      <c r="AA827" s="2"/>
      <c r="AF827" s="2"/>
      <c r="AG827" s="2"/>
      <c r="AH827" s="2"/>
      <c r="AI827" s="2"/>
      <c r="AJ827" s="2"/>
      <c r="AK827" s="2"/>
      <c r="AL827" s="2"/>
      <c r="AM827" s="2"/>
      <c r="AT827" s="2"/>
      <c r="AU827" s="2"/>
      <c r="AV827" s="2"/>
      <c r="AW827" s="2"/>
      <c r="AX827" s="2"/>
      <c r="AY827" s="2"/>
      <c r="AZ827" s="2"/>
      <c r="BA827" s="2"/>
      <c r="BC827" s="2"/>
      <c r="BD827" s="2"/>
      <c r="BE827" s="2"/>
      <c r="BF827" s="2"/>
      <c r="BG827" s="2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</row>
    <row r="828" ht="14.25" customHeight="1">
      <c r="AA828" s="2"/>
      <c r="AF828" s="2"/>
      <c r="AG828" s="2"/>
      <c r="AH828" s="2"/>
      <c r="AI828" s="2"/>
      <c r="AJ828" s="2"/>
      <c r="AK828" s="2"/>
      <c r="AL828" s="2"/>
      <c r="AM828" s="2"/>
      <c r="AT828" s="2"/>
      <c r="AU828" s="2"/>
      <c r="AV828" s="2"/>
      <c r="AW828" s="2"/>
      <c r="AX828" s="2"/>
      <c r="AY828" s="2"/>
      <c r="AZ828" s="2"/>
      <c r="BA828" s="2"/>
      <c r="BC828" s="2"/>
      <c r="BD828" s="2"/>
      <c r="BE828" s="2"/>
      <c r="BF828" s="2"/>
      <c r="BG828" s="2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</row>
    <row r="829" ht="14.25" customHeight="1">
      <c r="AA829" s="2"/>
      <c r="AF829" s="2"/>
      <c r="AG829" s="2"/>
      <c r="AH829" s="2"/>
      <c r="AI829" s="2"/>
      <c r="AJ829" s="2"/>
      <c r="AK829" s="2"/>
      <c r="AL829" s="2"/>
      <c r="AM829" s="2"/>
      <c r="AT829" s="2"/>
      <c r="AU829" s="2"/>
      <c r="AV829" s="2"/>
      <c r="AW829" s="2"/>
      <c r="AX829" s="2"/>
      <c r="AY829" s="2"/>
      <c r="AZ829" s="2"/>
      <c r="BA829" s="2"/>
      <c r="BC829" s="2"/>
      <c r="BD829" s="2"/>
      <c r="BE829" s="2"/>
      <c r="BF829" s="2"/>
      <c r="BG829" s="2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</row>
    <row r="830" ht="14.25" customHeight="1">
      <c r="AA830" s="2"/>
      <c r="AF830" s="2"/>
      <c r="AG830" s="2"/>
      <c r="AH830" s="2"/>
      <c r="AI830" s="2"/>
      <c r="AJ830" s="2"/>
      <c r="AK830" s="2"/>
      <c r="AL830" s="2"/>
      <c r="AM830" s="2"/>
      <c r="AT830" s="2"/>
      <c r="AU830" s="2"/>
      <c r="AV830" s="2"/>
      <c r="AW830" s="2"/>
      <c r="AX830" s="2"/>
      <c r="AY830" s="2"/>
      <c r="AZ830" s="2"/>
      <c r="BA830" s="2"/>
      <c r="BC830" s="2"/>
      <c r="BD830" s="2"/>
      <c r="BE830" s="2"/>
      <c r="BF830" s="2"/>
      <c r="BG830" s="2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</row>
    <row r="831" ht="14.25" customHeight="1">
      <c r="AA831" s="2"/>
      <c r="AF831" s="2"/>
      <c r="AG831" s="2"/>
      <c r="AH831" s="2"/>
      <c r="AI831" s="2"/>
      <c r="AJ831" s="2"/>
      <c r="AK831" s="2"/>
      <c r="AL831" s="2"/>
      <c r="AM831" s="2"/>
      <c r="AT831" s="2"/>
      <c r="AU831" s="2"/>
      <c r="AV831" s="2"/>
      <c r="AW831" s="2"/>
      <c r="AX831" s="2"/>
      <c r="AY831" s="2"/>
      <c r="AZ831" s="2"/>
      <c r="BA831" s="2"/>
      <c r="BC831" s="2"/>
      <c r="BD831" s="2"/>
      <c r="BE831" s="2"/>
      <c r="BF831" s="2"/>
      <c r="BG831" s="2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</row>
    <row r="832" ht="14.25" customHeight="1">
      <c r="AA832" s="2"/>
      <c r="AF832" s="2"/>
      <c r="AG832" s="2"/>
      <c r="AH832" s="2"/>
      <c r="AI832" s="2"/>
      <c r="AJ832" s="2"/>
      <c r="AK832" s="2"/>
      <c r="AL832" s="2"/>
      <c r="AM832" s="2"/>
      <c r="AT832" s="2"/>
      <c r="AU832" s="2"/>
      <c r="AV832" s="2"/>
      <c r="AW832" s="2"/>
      <c r="AX832" s="2"/>
      <c r="AY832" s="2"/>
      <c r="AZ832" s="2"/>
      <c r="BA832" s="2"/>
      <c r="BC832" s="2"/>
      <c r="BD832" s="2"/>
      <c r="BE832" s="2"/>
      <c r="BF832" s="2"/>
      <c r="BG832" s="2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</row>
    <row r="833" ht="14.25" customHeight="1">
      <c r="AA833" s="2"/>
      <c r="AF833" s="2"/>
      <c r="AG833" s="2"/>
      <c r="AH833" s="2"/>
      <c r="AI833" s="2"/>
      <c r="AJ833" s="2"/>
      <c r="AK833" s="2"/>
      <c r="AL833" s="2"/>
      <c r="AM833" s="2"/>
      <c r="AT833" s="2"/>
      <c r="AU833" s="2"/>
      <c r="AV833" s="2"/>
      <c r="AW833" s="2"/>
      <c r="AX833" s="2"/>
      <c r="AY833" s="2"/>
      <c r="AZ833" s="2"/>
      <c r="BA833" s="2"/>
      <c r="BC833" s="2"/>
      <c r="BD833" s="2"/>
      <c r="BE833" s="2"/>
      <c r="BF833" s="2"/>
      <c r="BG833" s="2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</row>
    <row r="834" ht="14.25" customHeight="1">
      <c r="AA834" s="2"/>
      <c r="AF834" s="2"/>
      <c r="AG834" s="2"/>
      <c r="AH834" s="2"/>
      <c r="AI834" s="2"/>
      <c r="AJ834" s="2"/>
      <c r="AK834" s="2"/>
      <c r="AL834" s="2"/>
      <c r="AM834" s="2"/>
      <c r="AT834" s="2"/>
      <c r="AU834" s="2"/>
      <c r="AV834" s="2"/>
      <c r="AW834" s="2"/>
      <c r="AX834" s="2"/>
      <c r="AY834" s="2"/>
      <c r="AZ834" s="2"/>
      <c r="BA834" s="2"/>
      <c r="BC834" s="2"/>
      <c r="BD834" s="2"/>
      <c r="BE834" s="2"/>
      <c r="BF834" s="2"/>
      <c r="BG834" s="2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</row>
    <row r="835" ht="14.25" customHeight="1">
      <c r="AA835" s="2"/>
      <c r="AF835" s="2"/>
      <c r="AG835" s="2"/>
      <c r="AH835" s="2"/>
      <c r="AI835" s="2"/>
      <c r="AJ835" s="2"/>
      <c r="AK835" s="2"/>
      <c r="AL835" s="2"/>
      <c r="AM835" s="2"/>
      <c r="AT835" s="2"/>
      <c r="AU835" s="2"/>
      <c r="AV835" s="2"/>
      <c r="AW835" s="2"/>
      <c r="AX835" s="2"/>
      <c r="AY835" s="2"/>
      <c r="AZ835" s="2"/>
      <c r="BA835" s="2"/>
      <c r="BC835" s="2"/>
      <c r="BD835" s="2"/>
      <c r="BE835" s="2"/>
      <c r="BF835" s="2"/>
      <c r="BG835" s="2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</row>
    <row r="836" ht="14.25" customHeight="1">
      <c r="AA836" s="2"/>
      <c r="AF836" s="2"/>
      <c r="AG836" s="2"/>
      <c r="AH836" s="2"/>
      <c r="AI836" s="2"/>
      <c r="AJ836" s="2"/>
      <c r="AK836" s="2"/>
      <c r="AL836" s="2"/>
      <c r="AM836" s="2"/>
      <c r="AT836" s="2"/>
      <c r="AU836" s="2"/>
      <c r="AV836" s="2"/>
      <c r="AW836" s="2"/>
      <c r="AX836" s="2"/>
      <c r="AY836" s="2"/>
      <c r="AZ836" s="2"/>
      <c r="BA836" s="2"/>
      <c r="BC836" s="2"/>
      <c r="BD836" s="2"/>
      <c r="BE836" s="2"/>
      <c r="BF836" s="2"/>
      <c r="BG836" s="2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</row>
    <row r="837" ht="14.25" customHeight="1">
      <c r="AA837" s="2"/>
      <c r="AF837" s="2"/>
      <c r="AG837" s="2"/>
      <c r="AH837" s="2"/>
      <c r="AI837" s="2"/>
      <c r="AJ837" s="2"/>
      <c r="AK837" s="2"/>
      <c r="AL837" s="2"/>
      <c r="AM837" s="2"/>
      <c r="AT837" s="2"/>
      <c r="AU837" s="2"/>
      <c r="AV837" s="2"/>
      <c r="AW837" s="2"/>
      <c r="AX837" s="2"/>
      <c r="AY837" s="2"/>
      <c r="AZ837" s="2"/>
      <c r="BA837" s="2"/>
      <c r="BC837" s="2"/>
      <c r="BD837" s="2"/>
      <c r="BE837" s="2"/>
      <c r="BF837" s="2"/>
      <c r="BG837" s="2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</row>
    <row r="838" ht="14.25" customHeight="1">
      <c r="AA838" s="2"/>
      <c r="AF838" s="2"/>
      <c r="AG838" s="2"/>
      <c r="AH838" s="2"/>
      <c r="AI838" s="2"/>
      <c r="AJ838" s="2"/>
      <c r="AK838" s="2"/>
      <c r="AL838" s="2"/>
      <c r="AM838" s="2"/>
      <c r="AT838" s="2"/>
      <c r="AU838" s="2"/>
      <c r="AV838" s="2"/>
      <c r="AW838" s="2"/>
      <c r="AX838" s="2"/>
      <c r="AY838" s="2"/>
      <c r="AZ838" s="2"/>
      <c r="BA838" s="2"/>
      <c r="BC838" s="2"/>
      <c r="BD838" s="2"/>
      <c r="BE838" s="2"/>
      <c r="BF838" s="2"/>
      <c r="BG838" s="2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</row>
    <row r="839" ht="14.25" customHeight="1">
      <c r="AA839" s="2"/>
      <c r="AF839" s="2"/>
      <c r="AG839" s="2"/>
      <c r="AH839" s="2"/>
      <c r="AI839" s="2"/>
      <c r="AJ839" s="2"/>
      <c r="AK839" s="2"/>
      <c r="AL839" s="2"/>
      <c r="AM839" s="2"/>
      <c r="AT839" s="2"/>
      <c r="AU839" s="2"/>
      <c r="AV839" s="2"/>
      <c r="AW839" s="2"/>
      <c r="AX839" s="2"/>
      <c r="AY839" s="2"/>
      <c r="AZ839" s="2"/>
      <c r="BA839" s="2"/>
      <c r="BC839" s="2"/>
      <c r="BD839" s="2"/>
      <c r="BE839" s="2"/>
      <c r="BF839" s="2"/>
      <c r="BG839" s="2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</row>
    <row r="840" ht="14.25" customHeight="1">
      <c r="AA840" s="2"/>
      <c r="AF840" s="2"/>
      <c r="AG840" s="2"/>
      <c r="AH840" s="2"/>
      <c r="AI840" s="2"/>
      <c r="AJ840" s="2"/>
      <c r="AK840" s="2"/>
      <c r="AL840" s="2"/>
      <c r="AM840" s="2"/>
      <c r="AT840" s="2"/>
      <c r="AU840" s="2"/>
      <c r="AV840" s="2"/>
      <c r="AW840" s="2"/>
      <c r="AX840" s="2"/>
      <c r="AY840" s="2"/>
      <c r="AZ840" s="2"/>
      <c r="BA840" s="2"/>
      <c r="BC840" s="2"/>
      <c r="BD840" s="2"/>
      <c r="BE840" s="2"/>
      <c r="BF840" s="2"/>
      <c r="BG840" s="2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</row>
    <row r="841" ht="14.25" customHeight="1">
      <c r="AA841" s="2"/>
      <c r="AF841" s="2"/>
      <c r="AG841" s="2"/>
      <c r="AH841" s="2"/>
      <c r="AI841" s="2"/>
      <c r="AJ841" s="2"/>
      <c r="AK841" s="2"/>
      <c r="AL841" s="2"/>
      <c r="AM841" s="2"/>
      <c r="AT841" s="2"/>
      <c r="AU841" s="2"/>
      <c r="AV841" s="2"/>
      <c r="AW841" s="2"/>
      <c r="AX841" s="2"/>
      <c r="AY841" s="2"/>
      <c r="AZ841" s="2"/>
      <c r="BA841" s="2"/>
      <c r="BC841" s="2"/>
      <c r="BD841" s="2"/>
      <c r="BE841" s="2"/>
      <c r="BF841" s="2"/>
      <c r="BG841" s="2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</row>
    <row r="842" ht="14.25" customHeight="1">
      <c r="AA842" s="2"/>
      <c r="AF842" s="2"/>
      <c r="AG842" s="2"/>
      <c r="AH842" s="2"/>
      <c r="AI842" s="2"/>
      <c r="AJ842" s="2"/>
      <c r="AK842" s="2"/>
      <c r="AL842" s="2"/>
      <c r="AM842" s="2"/>
      <c r="AT842" s="2"/>
      <c r="AU842" s="2"/>
      <c r="AV842" s="2"/>
      <c r="AW842" s="2"/>
      <c r="AX842" s="2"/>
      <c r="AY842" s="2"/>
      <c r="AZ842" s="2"/>
      <c r="BA842" s="2"/>
      <c r="BC842" s="2"/>
      <c r="BD842" s="2"/>
      <c r="BE842" s="2"/>
      <c r="BF842" s="2"/>
      <c r="BG842" s="2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</row>
    <row r="843" ht="14.25" customHeight="1">
      <c r="AA843" s="2"/>
      <c r="AF843" s="2"/>
      <c r="AG843" s="2"/>
      <c r="AH843" s="2"/>
      <c r="AI843" s="2"/>
      <c r="AJ843" s="2"/>
      <c r="AK843" s="2"/>
      <c r="AL843" s="2"/>
      <c r="AM843" s="2"/>
      <c r="AT843" s="2"/>
      <c r="AU843" s="2"/>
      <c r="AV843" s="2"/>
      <c r="AW843" s="2"/>
      <c r="AX843" s="2"/>
      <c r="AY843" s="2"/>
      <c r="AZ843" s="2"/>
      <c r="BA843" s="2"/>
      <c r="BC843" s="2"/>
      <c r="BD843" s="2"/>
      <c r="BE843" s="2"/>
      <c r="BF843" s="2"/>
      <c r="BG843" s="2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</row>
    <row r="844" ht="14.25" customHeight="1">
      <c r="AA844" s="2"/>
      <c r="AF844" s="2"/>
      <c r="AG844" s="2"/>
      <c r="AH844" s="2"/>
      <c r="AI844" s="2"/>
      <c r="AJ844" s="2"/>
      <c r="AK844" s="2"/>
      <c r="AL844" s="2"/>
      <c r="AM844" s="2"/>
      <c r="AT844" s="2"/>
      <c r="AU844" s="2"/>
      <c r="AV844" s="2"/>
      <c r="AW844" s="2"/>
      <c r="AX844" s="2"/>
      <c r="AY844" s="2"/>
      <c r="AZ844" s="2"/>
      <c r="BA844" s="2"/>
      <c r="BC844" s="2"/>
      <c r="BD844" s="2"/>
      <c r="BE844" s="2"/>
      <c r="BF844" s="2"/>
      <c r="BG844" s="2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</row>
    <row r="845" ht="14.25" customHeight="1">
      <c r="AA845" s="2"/>
      <c r="AF845" s="2"/>
      <c r="AG845" s="2"/>
      <c r="AH845" s="2"/>
      <c r="AI845" s="2"/>
      <c r="AJ845" s="2"/>
      <c r="AK845" s="2"/>
      <c r="AL845" s="2"/>
      <c r="AM845" s="2"/>
      <c r="AT845" s="2"/>
      <c r="AU845" s="2"/>
      <c r="AV845" s="2"/>
      <c r="AW845" s="2"/>
      <c r="AX845" s="2"/>
      <c r="AY845" s="2"/>
      <c r="AZ845" s="2"/>
      <c r="BA845" s="2"/>
      <c r="BC845" s="2"/>
      <c r="BD845" s="2"/>
      <c r="BE845" s="2"/>
      <c r="BF845" s="2"/>
      <c r="BG845" s="2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</row>
    <row r="846" ht="14.25" customHeight="1">
      <c r="AA846" s="2"/>
      <c r="AF846" s="2"/>
      <c r="AG846" s="2"/>
      <c r="AH846" s="2"/>
      <c r="AI846" s="2"/>
      <c r="AJ846" s="2"/>
      <c r="AK846" s="2"/>
      <c r="AL846" s="2"/>
      <c r="AM846" s="2"/>
      <c r="AT846" s="2"/>
      <c r="AU846" s="2"/>
      <c r="AV846" s="2"/>
      <c r="AW846" s="2"/>
      <c r="AX846" s="2"/>
      <c r="AY846" s="2"/>
      <c r="AZ846" s="2"/>
      <c r="BA846" s="2"/>
      <c r="BC846" s="2"/>
      <c r="BD846" s="2"/>
      <c r="BE846" s="2"/>
      <c r="BF846" s="2"/>
      <c r="BG846" s="2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</row>
    <row r="847" ht="14.25" customHeight="1">
      <c r="AA847" s="2"/>
      <c r="AF847" s="2"/>
      <c r="AG847" s="2"/>
      <c r="AH847" s="2"/>
      <c r="AI847" s="2"/>
      <c r="AJ847" s="2"/>
      <c r="AK847" s="2"/>
      <c r="AL847" s="2"/>
      <c r="AM847" s="2"/>
      <c r="AT847" s="2"/>
      <c r="AU847" s="2"/>
      <c r="AV847" s="2"/>
      <c r="AW847" s="2"/>
      <c r="AX847" s="2"/>
      <c r="AY847" s="2"/>
      <c r="AZ847" s="2"/>
      <c r="BA847" s="2"/>
      <c r="BC847" s="2"/>
      <c r="BD847" s="2"/>
      <c r="BE847" s="2"/>
      <c r="BF847" s="2"/>
      <c r="BG847" s="2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</row>
    <row r="848" ht="14.25" customHeight="1">
      <c r="AA848" s="2"/>
      <c r="AF848" s="2"/>
      <c r="AG848" s="2"/>
      <c r="AH848" s="2"/>
      <c r="AI848" s="2"/>
      <c r="AJ848" s="2"/>
      <c r="AK848" s="2"/>
      <c r="AL848" s="2"/>
      <c r="AM848" s="2"/>
      <c r="AT848" s="2"/>
      <c r="AU848" s="2"/>
      <c r="AV848" s="2"/>
      <c r="AW848" s="2"/>
      <c r="AX848" s="2"/>
      <c r="AY848" s="2"/>
      <c r="AZ848" s="2"/>
      <c r="BA848" s="2"/>
      <c r="BC848" s="2"/>
      <c r="BD848" s="2"/>
      <c r="BE848" s="2"/>
      <c r="BF848" s="2"/>
      <c r="BG848" s="2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</row>
    <row r="849" ht="14.25" customHeight="1">
      <c r="AA849" s="2"/>
      <c r="AF849" s="2"/>
      <c r="AG849" s="2"/>
      <c r="AH849" s="2"/>
      <c r="AI849" s="2"/>
      <c r="AJ849" s="2"/>
      <c r="AK849" s="2"/>
      <c r="AL849" s="2"/>
      <c r="AM849" s="2"/>
      <c r="AT849" s="2"/>
      <c r="AU849" s="2"/>
      <c r="AV849" s="2"/>
      <c r="AW849" s="2"/>
      <c r="AX849" s="2"/>
      <c r="AY849" s="2"/>
      <c r="AZ849" s="2"/>
      <c r="BA849" s="2"/>
      <c r="BC849" s="2"/>
      <c r="BD849" s="2"/>
      <c r="BE849" s="2"/>
      <c r="BF849" s="2"/>
      <c r="BG849" s="2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</row>
    <row r="850" ht="14.25" customHeight="1">
      <c r="AA850" s="2"/>
      <c r="AF850" s="2"/>
      <c r="AG850" s="2"/>
      <c r="AH850" s="2"/>
      <c r="AI850" s="2"/>
      <c r="AJ850" s="2"/>
      <c r="AK850" s="2"/>
      <c r="AL850" s="2"/>
      <c r="AM850" s="2"/>
      <c r="AT850" s="2"/>
      <c r="AU850" s="2"/>
      <c r="AV850" s="2"/>
      <c r="AW850" s="2"/>
      <c r="AX850" s="2"/>
      <c r="AY850" s="2"/>
      <c r="AZ850" s="2"/>
      <c r="BA850" s="2"/>
      <c r="BC850" s="2"/>
      <c r="BD850" s="2"/>
      <c r="BE850" s="2"/>
      <c r="BF850" s="2"/>
      <c r="BG850" s="2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</row>
    <row r="851" ht="14.25" customHeight="1">
      <c r="AA851" s="2"/>
      <c r="AF851" s="2"/>
      <c r="AG851" s="2"/>
      <c r="AH851" s="2"/>
      <c r="AI851" s="2"/>
      <c r="AJ851" s="2"/>
      <c r="AK851" s="2"/>
      <c r="AL851" s="2"/>
      <c r="AM851" s="2"/>
      <c r="AT851" s="2"/>
      <c r="AU851" s="2"/>
      <c r="AV851" s="2"/>
      <c r="AW851" s="2"/>
      <c r="AX851" s="2"/>
      <c r="AY851" s="2"/>
      <c r="AZ851" s="2"/>
      <c r="BA851" s="2"/>
      <c r="BC851" s="2"/>
      <c r="BD851" s="2"/>
      <c r="BE851" s="2"/>
      <c r="BF851" s="2"/>
      <c r="BG851" s="2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</row>
    <row r="852" ht="14.25" customHeight="1">
      <c r="AA852" s="2"/>
      <c r="AF852" s="2"/>
      <c r="AG852" s="2"/>
      <c r="AH852" s="2"/>
      <c r="AI852" s="2"/>
      <c r="AJ852" s="2"/>
      <c r="AK852" s="2"/>
      <c r="AL852" s="2"/>
      <c r="AM852" s="2"/>
      <c r="AT852" s="2"/>
      <c r="AU852" s="2"/>
      <c r="AV852" s="2"/>
      <c r="AW852" s="2"/>
      <c r="AX852" s="2"/>
      <c r="AY852" s="2"/>
      <c r="AZ852" s="2"/>
      <c r="BA852" s="2"/>
      <c r="BC852" s="2"/>
      <c r="BD852" s="2"/>
      <c r="BE852" s="2"/>
      <c r="BF852" s="2"/>
      <c r="BG852" s="2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</row>
    <row r="853" ht="14.25" customHeight="1">
      <c r="AA853" s="2"/>
      <c r="AF853" s="2"/>
      <c r="AG853" s="2"/>
      <c r="AH853" s="2"/>
      <c r="AI853" s="2"/>
      <c r="AJ853" s="2"/>
      <c r="AK853" s="2"/>
      <c r="AL853" s="2"/>
      <c r="AM853" s="2"/>
      <c r="AT853" s="2"/>
      <c r="AU853" s="2"/>
      <c r="AV853" s="2"/>
      <c r="AW853" s="2"/>
      <c r="AX853" s="2"/>
      <c r="AY853" s="2"/>
      <c r="AZ853" s="2"/>
      <c r="BA853" s="2"/>
      <c r="BC853" s="2"/>
      <c r="BD853" s="2"/>
      <c r="BE853" s="2"/>
      <c r="BF853" s="2"/>
      <c r="BG853" s="2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</row>
    <row r="854" ht="14.25" customHeight="1">
      <c r="AA854" s="2"/>
      <c r="AF854" s="2"/>
      <c r="AG854" s="2"/>
      <c r="AH854" s="2"/>
      <c r="AI854" s="2"/>
      <c r="AJ854" s="2"/>
      <c r="AK854" s="2"/>
      <c r="AL854" s="2"/>
      <c r="AM854" s="2"/>
      <c r="AT854" s="2"/>
      <c r="AU854" s="2"/>
      <c r="AV854" s="2"/>
      <c r="AW854" s="2"/>
      <c r="AX854" s="2"/>
      <c r="AY854" s="2"/>
      <c r="AZ854" s="2"/>
      <c r="BA854" s="2"/>
      <c r="BC854" s="2"/>
      <c r="BD854" s="2"/>
      <c r="BE854" s="2"/>
      <c r="BF854" s="2"/>
      <c r="BG854" s="2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</row>
    <row r="855" ht="14.25" customHeight="1">
      <c r="AA855" s="2"/>
      <c r="AF855" s="2"/>
      <c r="AG855" s="2"/>
      <c r="AH855" s="2"/>
      <c r="AI855" s="2"/>
      <c r="AJ855" s="2"/>
      <c r="AK855" s="2"/>
      <c r="AL855" s="2"/>
      <c r="AM855" s="2"/>
      <c r="AT855" s="2"/>
      <c r="AU855" s="2"/>
      <c r="AV855" s="2"/>
      <c r="AW855" s="2"/>
      <c r="AX855" s="2"/>
      <c r="AY855" s="2"/>
      <c r="AZ855" s="2"/>
      <c r="BA855" s="2"/>
      <c r="BC855" s="2"/>
      <c r="BD855" s="2"/>
      <c r="BE855" s="2"/>
      <c r="BF855" s="2"/>
      <c r="BG855" s="2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</row>
    <row r="856" ht="14.25" customHeight="1">
      <c r="AA856" s="2"/>
      <c r="AF856" s="2"/>
      <c r="AG856" s="2"/>
      <c r="AH856" s="2"/>
      <c r="AI856" s="2"/>
      <c r="AJ856" s="2"/>
      <c r="AK856" s="2"/>
      <c r="AL856" s="2"/>
      <c r="AM856" s="2"/>
      <c r="AT856" s="2"/>
      <c r="AU856" s="2"/>
      <c r="AV856" s="2"/>
      <c r="AW856" s="2"/>
      <c r="AX856" s="2"/>
      <c r="AY856" s="2"/>
      <c r="AZ856" s="2"/>
      <c r="BA856" s="2"/>
      <c r="BC856" s="2"/>
      <c r="BD856" s="2"/>
      <c r="BE856" s="2"/>
      <c r="BF856" s="2"/>
      <c r="BG856" s="2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</row>
    <row r="857" ht="14.25" customHeight="1">
      <c r="AA857" s="2"/>
      <c r="AF857" s="2"/>
      <c r="AG857" s="2"/>
      <c r="AH857" s="2"/>
      <c r="AI857" s="2"/>
      <c r="AJ857" s="2"/>
      <c r="AK857" s="2"/>
      <c r="AL857" s="2"/>
      <c r="AM857" s="2"/>
      <c r="AT857" s="2"/>
      <c r="AU857" s="2"/>
      <c r="AV857" s="2"/>
      <c r="AW857" s="2"/>
      <c r="AX857" s="2"/>
      <c r="AY857" s="2"/>
      <c r="AZ857" s="2"/>
      <c r="BA857" s="2"/>
      <c r="BC857" s="2"/>
      <c r="BD857" s="2"/>
      <c r="BE857" s="2"/>
      <c r="BF857" s="2"/>
      <c r="BG857" s="2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</row>
    <row r="858" ht="14.25" customHeight="1">
      <c r="AA858" s="2"/>
      <c r="AF858" s="2"/>
      <c r="AG858" s="2"/>
      <c r="AH858" s="2"/>
      <c r="AI858" s="2"/>
      <c r="AJ858" s="2"/>
      <c r="AK858" s="2"/>
      <c r="AL858" s="2"/>
      <c r="AM858" s="2"/>
      <c r="AT858" s="2"/>
      <c r="AU858" s="2"/>
      <c r="AV858" s="2"/>
      <c r="AW858" s="2"/>
      <c r="AX858" s="2"/>
      <c r="AY858" s="2"/>
      <c r="AZ858" s="2"/>
      <c r="BA858" s="2"/>
      <c r="BC858" s="2"/>
      <c r="BD858" s="2"/>
      <c r="BE858" s="2"/>
      <c r="BF858" s="2"/>
      <c r="BG858" s="2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</row>
    <row r="859" ht="14.25" customHeight="1">
      <c r="AA859" s="2"/>
      <c r="AF859" s="2"/>
      <c r="AG859" s="2"/>
      <c r="AH859" s="2"/>
      <c r="AI859" s="2"/>
      <c r="AJ859" s="2"/>
      <c r="AK859" s="2"/>
      <c r="AL859" s="2"/>
      <c r="AM859" s="2"/>
      <c r="AT859" s="2"/>
      <c r="AU859" s="2"/>
      <c r="AV859" s="2"/>
      <c r="AW859" s="2"/>
      <c r="AX859" s="2"/>
      <c r="AY859" s="2"/>
      <c r="AZ859" s="2"/>
      <c r="BA859" s="2"/>
      <c r="BC859" s="2"/>
      <c r="BD859" s="2"/>
      <c r="BE859" s="2"/>
      <c r="BF859" s="2"/>
      <c r="BG859" s="2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</row>
    <row r="860" ht="14.25" customHeight="1">
      <c r="AA860" s="2"/>
      <c r="AF860" s="2"/>
      <c r="AG860" s="2"/>
      <c r="AH860" s="2"/>
      <c r="AI860" s="2"/>
      <c r="AJ860" s="2"/>
      <c r="AK860" s="2"/>
      <c r="AL860" s="2"/>
      <c r="AM860" s="2"/>
      <c r="AT860" s="2"/>
      <c r="AU860" s="2"/>
      <c r="AV860" s="2"/>
      <c r="AW860" s="2"/>
      <c r="AX860" s="2"/>
      <c r="AY860" s="2"/>
      <c r="AZ860" s="2"/>
      <c r="BA860" s="2"/>
      <c r="BC860" s="2"/>
      <c r="BD860" s="2"/>
      <c r="BE860" s="2"/>
      <c r="BF860" s="2"/>
      <c r="BG860" s="2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</row>
    <row r="861" ht="14.25" customHeight="1">
      <c r="AA861" s="2"/>
      <c r="AF861" s="2"/>
      <c r="AG861" s="2"/>
      <c r="AH861" s="2"/>
      <c r="AI861" s="2"/>
      <c r="AJ861" s="2"/>
      <c r="AK861" s="2"/>
      <c r="AL861" s="2"/>
      <c r="AM861" s="2"/>
      <c r="AT861" s="2"/>
      <c r="AU861" s="2"/>
      <c r="AV861" s="2"/>
      <c r="AW861" s="2"/>
      <c r="AX861" s="2"/>
      <c r="AY861" s="2"/>
      <c r="AZ861" s="2"/>
      <c r="BA861" s="2"/>
      <c r="BC861" s="2"/>
      <c r="BD861" s="2"/>
      <c r="BE861" s="2"/>
      <c r="BF861" s="2"/>
      <c r="BG861" s="2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</row>
    <row r="862" ht="14.25" customHeight="1">
      <c r="AA862" s="2"/>
      <c r="AF862" s="2"/>
      <c r="AG862" s="2"/>
      <c r="AH862" s="2"/>
      <c r="AI862" s="2"/>
      <c r="AJ862" s="2"/>
      <c r="AK862" s="2"/>
      <c r="AL862" s="2"/>
      <c r="AM862" s="2"/>
      <c r="AT862" s="2"/>
      <c r="AU862" s="2"/>
      <c r="AV862" s="2"/>
      <c r="AW862" s="2"/>
      <c r="AX862" s="2"/>
      <c r="AY862" s="2"/>
      <c r="AZ862" s="2"/>
      <c r="BA862" s="2"/>
      <c r="BC862" s="2"/>
      <c r="BD862" s="2"/>
      <c r="BE862" s="2"/>
      <c r="BF862" s="2"/>
      <c r="BG862" s="2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</row>
    <row r="863" ht="14.25" customHeight="1">
      <c r="AA863" s="2"/>
      <c r="AF863" s="2"/>
      <c r="AG863" s="2"/>
      <c r="AH863" s="2"/>
      <c r="AI863" s="2"/>
      <c r="AJ863" s="2"/>
      <c r="AK863" s="2"/>
      <c r="AL863" s="2"/>
      <c r="AM863" s="2"/>
      <c r="AT863" s="2"/>
      <c r="AU863" s="2"/>
      <c r="AV863" s="2"/>
      <c r="AW863" s="2"/>
      <c r="AX863" s="2"/>
      <c r="AY863" s="2"/>
      <c r="AZ863" s="2"/>
      <c r="BA863" s="2"/>
      <c r="BC863" s="2"/>
      <c r="BD863" s="2"/>
      <c r="BE863" s="2"/>
      <c r="BF863" s="2"/>
      <c r="BG863" s="2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</row>
    <row r="864" ht="14.25" customHeight="1">
      <c r="AA864" s="2"/>
      <c r="AF864" s="2"/>
      <c r="AG864" s="2"/>
      <c r="AH864" s="2"/>
      <c r="AI864" s="2"/>
      <c r="AJ864" s="2"/>
      <c r="AK864" s="2"/>
      <c r="AL864" s="2"/>
      <c r="AM864" s="2"/>
      <c r="AT864" s="2"/>
      <c r="AU864" s="2"/>
      <c r="AV864" s="2"/>
      <c r="AW864" s="2"/>
      <c r="AX864" s="2"/>
      <c r="AY864" s="2"/>
      <c r="AZ864" s="2"/>
      <c r="BA864" s="2"/>
      <c r="BC864" s="2"/>
      <c r="BD864" s="2"/>
      <c r="BE864" s="2"/>
      <c r="BF864" s="2"/>
      <c r="BG864" s="2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</row>
    <row r="865" ht="14.25" customHeight="1">
      <c r="AA865" s="2"/>
      <c r="AF865" s="2"/>
      <c r="AG865" s="2"/>
      <c r="AH865" s="2"/>
      <c r="AI865" s="2"/>
      <c r="AJ865" s="2"/>
      <c r="AK865" s="2"/>
      <c r="AL865" s="2"/>
      <c r="AM865" s="2"/>
      <c r="AT865" s="2"/>
      <c r="AU865" s="2"/>
      <c r="AV865" s="2"/>
      <c r="AW865" s="2"/>
      <c r="AX865" s="2"/>
      <c r="AY865" s="2"/>
      <c r="AZ865" s="2"/>
      <c r="BA865" s="2"/>
      <c r="BC865" s="2"/>
      <c r="BD865" s="2"/>
      <c r="BE865" s="2"/>
      <c r="BF865" s="2"/>
      <c r="BG865" s="2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</row>
    <row r="866" ht="14.25" customHeight="1">
      <c r="AA866" s="2"/>
      <c r="AF866" s="2"/>
      <c r="AG866" s="2"/>
      <c r="AH866" s="2"/>
      <c r="AI866" s="2"/>
      <c r="AJ866" s="2"/>
      <c r="AK866" s="2"/>
      <c r="AL866" s="2"/>
      <c r="AM866" s="2"/>
      <c r="AT866" s="2"/>
      <c r="AU866" s="2"/>
      <c r="AV866" s="2"/>
      <c r="AW866" s="2"/>
      <c r="AX866" s="2"/>
      <c r="AY866" s="2"/>
      <c r="AZ866" s="2"/>
      <c r="BA866" s="2"/>
      <c r="BC866" s="2"/>
      <c r="BD866" s="2"/>
      <c r="BE866" s="2"/>
      <c r="BF866" s="2"/>
      <c r="BG866" s="2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</row>
    <row r="867" ht="14.25" customHeight="1">
      <c r="AA867" s="2"/>
      <c r="AF867" s="2"/>
      <c r="AG867" s="2"/>
      <c r="AH867" s="2"/>
      <c r="AI867" s="2"/>
      <c r="AJ867" s="2"/>
      <c r="AK867" s="2"/>
      <c r="AL867" s="2"/>
      <c r="AM867" s="2"/>
      <c r="AT867" s="2"/>
      <c r="AU867" s="2"/>
      <c r="AV867" s="2"/>
      <c r="AW867" s="2"/>
      <c r="AX867" s="2"/>
      <c r="AY867" s="2"/>
      <c r="AZ867" s="2"/>
      <c r="BA867" s="2"/>
      <c r="BC867" s="2"/>
      <c r="BD867" s="2"/>
      <c r="BE867" s="2"/>
      <c r="BF867" s="2"/>
      <c r="BG867" s="2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</row>
    <row r="868" ht="14.25" customHeight="1">
      <c r="AA868" s="2"/>
      <c r="AF868" s="2"/>
      <c r="AG868" s="2"/>
      <c r="AH868" s="2"/>
      <c r="AI868" s="2"/>
      <c r="AJ868" s="2"/>
      <c r="AK868" s="2"/>
      <c r="AL868" s="2"/>
      <c r="AM868" s="2"/>
      <c r="AT868" s="2"/>
      <c r="AU868" s="2"/>
      <c r="AV868" s="2"/>
      <c r="AW868" s="2"/>
      <c r="AX868" s="2"/>
      <c r="AY868" s="2"/>
      <c r="AZ868" s="2"/>
      <c r="BA868" s="2"/>
      <c r="BC868" s="2"/>
      <c r="BD868" s="2"/>
      <c r="BE868" s="2"/>
      <c r="BF868" s="2"/>
      <c r="BG868" s="2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</row>
    <row r="869" ht="14.25" customHeight="1">
      <c r="AA869" s="2"/>
      <c r="AF869" s="2"/>
      <c r="AG869" s="2"/>
      <c r="AH869" s="2"/>
      <c r="AI869" s="2"/>
      <c r="AJ869" s="2"/>
      <c r="AK869" s="2"/>
      <c r="AL869" s="2"/>
      <c r="AM869" s="2"/>
      <c r="AT869" s="2"/>
      <c r="AU869" s="2"/>
      <c r="AV869" s="2"/>
      <c r="AW869" s="2"/>
      <c r="AX869" s="2"/>
      <c r="AY869" s="2"/>
      <c r="AZ869" s="2"/>
      <c r="BA869" s="2"/>
      <c r="BC869" s="2"/>
      <c r="BD869" s="2"/>
      <c r="BE869" s="2"/>
      <c r="BF869" s="2"/>
      <c r="BG869" s="2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</row>
    <row r="870" ht="14.25" customHeight="1">
      <c r="AA870" s="2"/>
      <c r="AF870" s="2"/>
      <c r="AG870" s="2"/>
      <c r="AH870" s="2"/>
      <c r="AI870" s="2"/>
      <c r="AJ870" s="2"/>
      <c r="AK870" s="2"/>
      <c r="AL870" s="2"/>
      <c r="AM870" s="2"/>
      <c r="AT870" s="2"/>
      <c r="AU870" s="2"/>
      <c r="AV870" s="2"/>
      <c r="AW870" s="2"/>
      <c r="AX870" s="2"/>
      <c r="AY870" s="2"/>
      <c r="AZ870" s="2"/>
      <c r="BA870" s="2"/>
      <c r="BC870" s="2"/>
      <c r="BD870" s="2"/>
      <c r="BE870" s="2"/>
      <c r="BF870" s="2"/>
      <c r="BG870" s="2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</row>
    <row r="871" ht="14.25" customHeight="1">
      <c r="AA871" s="2"/>
      <c r="AF871" s="2"/>
      <c r="AG871" s="2"/>
      <c r="AH871" s="2"/>
      <c r="AI871" s="2"/>
      <c r="AJ871" s="2"/>
      <c r="AK871" s="2"/>
      <c r="AL871" s="2"/>
      <c r="AM871" s="2"/>
      <c r="AT871" s="2"/>
      <c r="AU871" s="2"/>
      <c r="AV871" s="2"/>
      <c r="AW871" s="2"/>
      <c r="AX871" s="2"/>
      <c r="AY871" s="2"/>
      <c r="AZ871" s="2"/>
      <c r="BA871" s="2"/>
      <c r="BC871" s="2"/>
      <c r="BD871" s="2"/>
      <c r="BE871" s="2"/>
      <c r="BF871" s="2"/>
      <c r="BG871" s="2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</row>
    <row r="872" ht="14.25" customHeight="1">
      <c r="AA872" s="2"/>
      <c r="AF872" s="2"/>
      <c r="AG872" s="2"/>
      <c r="AH872" s="2"/>
      <c r="AI872" s="2"/>
      <c r="AJ872" s="2"/>
      <c r="AK872" s="2"/>
      <c r="AL872" s="2"/>
      <c r="AM872" s="2"/>
      <c r="AT872" s="2"/>
      <c r="AU872" s="2"/>
      <c r="AV872" s="2"/>
      <c r="AW872" s="2"/>
      <c r="AX872" s="2"/>
      <c r="AY872" s="2"/>
      <c r="AZ872" s="2"/>
      <c r="BA872" s="2"/>
      <c r="BC872" s="2"/>
      <c r="BD872" s="2"/>
      <c r="BE872" s="2"/>
      <c r="BF872" s="2"/>
      <c r="BG872" s="2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</row>
    <row r="873" ht="14.25" customHeight="1">
      <c r="AA873" s="2"/>
      <c r="AF873" s="2"/>
      <c r="AG873" s="2"/>
      <c r="AH873" s="2"/>
      <c r="AI873" s="2"/>
      <c r="AJ873" s="2"/>
      <c r="AK873" s="2"/>
      <c r="AL873" s="2"/>
      <c r="AM873" s="2"/>
      <c r="AT873" s="2"/>
      <c r="AU873" s="2"/>
      <c r="AV873" s="2"/>
      <c r="AW873" s="2"/>
      <c r="AX873" s="2"/>
      <c r="AY873" s="2"/>
      <c r="AZ873" s="2"/>
      <c r="BA873" s="2"/>
      <c r="BC873" s="2"/>
      <c r="BD873" s="2"/>
      <c r="BE873" s="2"/>
      <c r="BF873" s="2"/>
      <c r="BG873" s="2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</row>
    <row r="874" ht="14.25" customHeight="1">
      <c r="AA874" s="2"/>
      <c r="AF874" s="2"/>
      <c r="AG874" s="2"/>
      <c r="AH874" s="2"/>
      <c r="AI874" s="2"/>
      <c r="AJ874" s="2"/>
      <c r="AK874" s="2"/>
      <c r="AL874" s="2"/>
      <c r="AM874" s="2"/>
      <c r="AT874" s="2"/>
      <c r="AU874" s="2"/>
      <c r="AV874" s="2"/>
      <c r="AW874" s="2"/>
      <c r="AX874" s="2"/>
      <c r="AY874" s="2"/>
      <c r="AZ874" s="2"/>
      <c r="BA874" s="2"/>
      <c r="BC874" s="2"/>
      <c r="BD874" s="2"/>
      <c r="BE874" s="2"/>
      <c r="BF874" s="2"/>
      <c r="BG874" s="2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</row>
    <row r="875" ht="14.25" customHeight="1">
      <c r="AA875" s="2"/>
      <c r="AF875" s="2"/>
      <c r="AG875" s="2"/>
      <c r="AH875" s="2"/>
      <c r="AI875" s="2"/>
      <c r="AJ875" s="2"/>
      <c r="AK875" s="2"/>
      <c r="AL875" s="2"/>
      <c r="AM875" s="2"/>
      <c r="AT875" s="2"/>
      <c r="AU875" s="2"/>
      <c r="AV875" s="2"/>
      <c r="AW875" s="2"/>
      <c r="AX875" s="2"/>
      <c r="AY875" s="2"/>
      <c r="AZ875" s="2"/>
      <c r="BA875" s="2"/>
      <c r="BC875" s="2"/>
      <c r="BD875" s="2"/>
      <c r="BE875" s="2"/>
      <c r="BF875" s="2"/>
      <c r="BG875" s="2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</row>
    <row r="876" ht="14.25" customHeight="1">
      <c r="AA876" s="2"/>
      <c r="AF876" s="2"/>
      <c r="AG876" s="2"/>
      <c r="AH876" s="2"/>
      <c r="AI876" s="2"/>
      <c r="AJ876" s="2"/>
      <c r="AK876" s="2"/>
      <c r="AL876" s="2"/>
      <c r="AM876" s="2"/>
      <c r="AT876" s="2"/>
      <c r="AU876" s="2"/>
      <c r="AV876" s="2"/>
      <c r="AW876" s="2"/>
      <c r="AX876" s="2"/>
      <c r="AY876" s="2"/>
      <c r="AZ876" s="2"/>
      <c r="BA876" s="2"/>
      <c r="BC876" s="2"/>
      <c r="BD876" s="2"/>
      <c r="BE876" s="2"/>
      <c r="BF876" s="2"/>
      <c r="BG876" s="2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</row>
    <row r="877" ht="14.25" customHeight="1">
      <c r="AA877" s="2"/>
      <c r="AF877" s="2"/>
      <c r="AG877" s="2"/>
      <c r="AH877" s="2"/>
      <c r="AI877" s="2"/>
      <c r="AJ877" s="2"/>
      <c r="AK877" s="2"/>
      <c r="AL877" s="2"/>
      <c r="AM877" s="2"/>
      <c r="AT877" s="2"/>
      <c r="AU877" s="2"/>
      <c r="AV877" s="2"/>
      <c r="AW877" s="2"/>
      <c r="AX877" s="2"/>
      <c r="AY877" s="2"/>
      <c r="AZ877" s="2"/>
      <c r="BA877" s="2"/>
      <c r="BC877" s="2"/>
      <c r="BD877" s="2"/>
      <c r="BE877" s="2"/>
      <c r="BF877" s="2"/>
      <c r="BG877" s="2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</row>
    <row r="878" ht="14.25" customHeight="1">
      <c r="AA878" s="2"/>
      <c r="AF878" s="2"/>
      <c r="AG878" s="2"/>
      <c r="AH878" s="2"/>
      <c r="AI878" s="2"/>
      <c r="AJ878" s="2"/>
      <c r="AK878" s="2"/>
      <c r="AL878" s="2"/>
      <c r="AM878" s="2"/>
      <c r="AT878" s="2"/>
      <c r="AU878" s="2"/>
      <c r="AV878" s="2"/>
      <c r="AW878" s="2"/>
      <c r="AX878" s="2"/>
      <c r="AY878" s="2"/>
      <c r="AZ878" s="2"/>
      <c r="BA878" s="2"/>
      <c r="BC878" s="2"/>
      <c r="BD878" s="2"/>
      <c r="BE878" s="2"/>
      <c r="BF878" s="2"/>
      <c r="BG878" s="2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</row>
    <row r="879" ht="14.25" customHeight="1">
      <c r="AA879" s="2"/>
      <c r="AF879" s="2"/>
      <c r="AG879" s="2"/>
      <c r="AH879" s="2"/>
      <c r="AI879" s="2"/>
      <c r="AJ879" s="2"/>
      <c r="AK879" s="2"/>
      <c r="AL879" s="2"/>
      <c r="AM879" s="2"/>
      <c r="AT879" s="2"/>
      <c r="AU879" s="2"/>
      <c r="AV879" s="2"/>
      <c r="AW879" s="2"/>
      <c r="AX879" s="2"/>
      <c r="AY879" s="2"/>
      <c r="AZ879" s="2"/>
      <c r="BA879" s="2"/>
      <c r="BC879" s="2"/>
      <c r="BD879" s="2"/>
      <c r="BE879" s="2"/>
      <c r="BF879" s="2"/>
      <c r="BG879" s="2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</row>
    <row r="880" ht="14.25" customHeight="1">
      <c r="AA880" s="2"/>
      <c r="AF880" s="2"/>
      <c r="AG880" s="2"/>
      <c r="AH880" s="2"/>
      <c r="AI880" s="2"/>
      <c r="AJ880" s="2"/>
      <c r="AK880" s="2"/>
      <c r="AL880" s="2"/>
      <c r="AM880" s="2"/>
      <c r="AT880" s="2"/>
      <c r="AU880" s="2"/>
      <c r="AV880" s="2"/>
      <c r="AW880" s="2"/>
      <c r="AX880" s="2"/>
      <c r="AY880" s="2"/>
      <c r="AZ880" s="2"/>
      <c r="BA880" s="2"/>
      <c r="BC880" s="2"/>
      <c r="BD880" s="2"/>
      <c r="BE880" s="2"/>
      <c r="BF880" s="2"/>
      <c r="BG880" s="2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</row>
    <row r="881" ht="14.25" customHeight="1">
      <c r="AA881" s="2"/>
      <c r="AF881" s="2"/>
      <c r="AG881" s="2"/>
      <c r="AH881" s="2"/>
      <c r="AI881" s="2"/>
      <c r="AJ881" s="2"/>
      <c r="AK881" s="2"/>
      <c r="AL881" s="2"/>
      <c r="AM881" s="2"/>
      <c r="AT881" s="2"/>
      <c r="AU881" s="2"/>
      <c r="AV881" s="2"/>
      <c r="AW881" s="2"/>
      <c r="AX881" s="2"/>
      <c r="AY881" s="2"/>
      <c r="AZ881" s="2"/>
      <c r="BA881" s="2"/>
      <c r="BC881" s="2"/>
      <c r="BD881" s="2"/>
      <c r="BE881" s="2"/>
      <c r="BF881" s="2"/>
      <c r="BG881" s="2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</row>
    <row r="882" ht="14.25" customHeight="1">
      <c r="AA882" s="2"/>
      <c r="AF882" s="2"/>
      <c r="AG882" s="2"/>
      <c r="AH882" s="2"/>
      <c r="AI882" s="2"/>
      <c r="AJ882" s="2"/>
      <c r="AK882" s="2"/>
      <c r="AL882" s="2"/>
      <c r="AM882" s="2"/>
      <c r="AT882" s="2"/>
      <c r="AU882" s="2"/>
      <c r="AV882" s="2"/>
      <c r="AW882" s="2"/>
      <c r="AX882" s="2"/>
      <c r="AY882" s="2"/>
      <c r="AZ882" s="2"/>
      <c r="BA882" s="2"/>
      <c r="BC882" s="2"/>
      <c r="BD882" s="2"/>
      <c r="BE882" s="2"/>
      <c r="BF882" s="2"/>
      <c r="BG882" s="2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</row>
    <row r="883" ht="14.25" customHeight="1">
      <c r="AA883" s="2"/>
      <c r="AF883" s="2"/>
      <c r="AG883" s="2"/>
      <c r="AH883" s="2"/>
      <c r="AI883" s="2"/>
      <c r="AJ883" s="2"/>
      <c r="AK883" s="2"/>
      <c r="AL883" s="2"/>
      <c r="AM883" s="2"/>
      <c r="AT883" s="2"/>
      <c r="AU883" s="2"/>
      <c r="AV883" s="2"/>
      <c r="AW883" s="2"/>
      <c r="AX883" s="2"/>
      <c r="AY883" s="2"/>
      <c r="AZ883" s="2"/>
      <c r="BA883" s="2"/>
      <c r="BC883" s="2"/>
      <c r="BD883" s="2"/>
      <c r="BE883" s="2"/>
      <c r="BF883" s="2"/>
      <c r="BG883" s="2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</row>
    <row r="884" ht="14.25" customHeight="1">
      <c r="AA884" s="2"/>
      <c r="AF884" s="2"/>
      <c r="AG884" s="2"/>
      <c r="AH884" s="2"/>
      <c r="AI884" s="2"/>
      <c r="AJ884" s="2"/>
      <c r="AK884" s="2"/>
      <c r="AL884" s="2"/>
      <c r="AM884" s="2"/>
      <c r="AT884" s="2"/>
      <c r="AU884" s="2"/>
      <c r="AV884" s="2"/>
      <c r="AW884" s="2"/>
      <c r="AX884" s="2"/>
      <c r="AY884" s="2"/>
      <c r="AZ884" s="2"/>
      <c r="BA884" s="2"/>
      <c r="BC884" s="2"/>
      <c r="BD884" s="2"/>
      <c r="BE884" s="2"/>
      <c r="BF884" s="2"/>
      <c r="BG884" s="2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</row>
    <row r="885" ht="14.25" customHeight="1">
      <c r="AA885" s="2"/>
      <c r="AF885" s="2"/>
      <c r="AG885" s="2"/>
      <c r="AH885" s="2"/>
      <c r="AI885" s="2"/>
      <c r="AJ885" s="2"/>
      <c r="AK885" s="2"/>
      <c r="AL885" s="2"/>
      <c r="AM885" s="2"/>
      <c r="AT885" s="2"/>
      <c r="AU885" s="2"/>
      <c r="AV885" s="2"/>
      <c r="AW885" s="2"/>
      <c r="AX885" s="2"/>
      <c r="AY885" s="2"/>
      <c r="AZ885" s="2"/>
      <c r="BA885" s="2"/>
      <c r="BC885" s="2"/>
      <c r="BD885" s="2"/>
      <c r="BE885" s="2"/>
      <c r="BF885" s="2"/>
      <c r="BG885" s="2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</row>
    <row r="886" ht="14.25" customHeight="1">
      <c r="AA886" s="2"/>
      <c r="AF886" s="2"/>
      <c r="AG886" s="2"/>
      <c r="AH886" s="2"/>
      <c r="AI886" s="2"/>
      <c r="AJ886" s="2"/>
      <c r="AK886" s="2"/>
      <c r="AL886" s="2"/>
      <c r="AM886" s="2"/>
      <c r="AT886" s="2"/>
      <c r="AU886" s="2"/>
      <c r="AV886" s="2"/>
      <c r="AW886" s="2"/>
      <c r="AX886" s="2"/>
      <c r="AY886" s="2"/>
      <c r="AZ886" s="2"/>
      <c r="BA886" s="2"/>
      <c r="BC886" s="2"/>
      <c r="BD886" s="2"/>
      <c r="BE886" s="2"/>
      <c r="BF886" s="2"/>
      <c r="BG886" s="2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</row>
    <row r="887" ht="14.25" customHeight="1">
      <c r="AA887" s="2"/>
      <c r="AF887" s="2"/>
      <c r="AG887" s="2"/>
      <c r="AH887" s="2"/>
      <c r="AI887" s="2"/>
      <c r="AJ887" s="2"/>
      <c r="AK887" s="2"/>
      <c r="AL887" s="2"/>
      <c r="AM887" s="2"/>
      <c r="AT887" s="2"/>
      <c r="AU887" s="2"/>
      <c r="AV887" s="2"/>
      <c r="AW887" s="2"/>
      <c r="AX887" s="2"/>
      <c r="AY887" s="2"/>
      <c r="AZ887" s="2"/>
      <c r="BA887" s="2"/>
      <c r="BC887" s="2"/>
      <c r="BD887" s="2"/>
      <c r="BE887" s="2"/>
      <c r="BF887" s="2"/>
      <c r="BG887" s="2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</row>
    <row r="888" ht="14.25" customHeight="1">
      <c r="AA888" s="2"/>
      <c r="AF888" s="2"/>
      <c r="AG888" s="2"/>
      <c r="AH888" s="2"/>
      <c r="AI888" s="2"/>
      <c r="AJ888" s="2"/>
      <c r="AK888" s="2"/>
      <c r="AL888" s="2"/>
      <c r="AM888" s="2"/>
      <c r="AT888" s="2"/>
      <c r="AU888" s="2"/>
      <c r="AV888" s="2"/>
      <c r="AW888" s="2"/>
      <c r="AX888" s="2"/>
      <c r="AY888" s="2"/>
      <c r="AZ888" s="2"/>
      <c r="BA888" s="2"/>
      <c r="BC888" s="2"/>
      <c r="BD888" s="2"/>
      <c r="BE888" s="2"/>
      <c r="BF888" s="2"/>
      <c r="BG888" s="2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</row>
    <row r="889" ht="14.25" customHeight="1">
      <c r="AA889" s="2"/>
      <c r="AF889" s="2"/>
      <c r="AG889" s="2"/>
      <c r="AH889" s="2"/>
      <c r="AI889" s="2"/>
      <c r="AJ889" s="2"/>
      <c r="AK889" s="2"/>
      <c r="AL889" s="2"/>
      <c r="AM889" s="2"/>
      <c r="AT889" s="2"/>
      <c r="AU889" s="2"/>
      <c r="AV889" s="2"/>
      <c r="AW889" s="2"/>
      <c r="AX889" s="2"/>
      <c r="AY889" s="2"/>
      <c r="AZ889" s="2"/>
      <c r="BA889" s="2"/>
      <c r="BC889" s="2"/>
      <c r="BD889" s="2"/>
      <c r="BE889" s="2"/>
      <c r="BF889" s="2"/>
      <c r="BG889" s="2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</row>
    <row r="890" ht="14.25" customHeight="1">
      <c r="AA890" s="2"/>
      <c r="AF890" s="2"/>
      <c r="AG890" s="2"/>
      <c r="AH890" s="2"/>
      <c r="AI890" s="2"/>
      <c r="AJ890" s="2"/>
      <c r="AK890" s="2"/>
      <c r="AL890" s="2"/>
      <c r="AM890" s="2"/>
      <c r="AT890" s="2"/>
      <c r="AU890" s="2"/>
      <c r="AV890" s="2"/>
      <c r="AW890" s="2"/>
      <c r="AX890" s="2"/>
      <c r="AY890" s="2"/>
      <c r="AZ890" s="2"/>
      <c r="BA890" s="2"/>
      <c r="BC890" s="2"/>
      <c r="BD890" s="2"/>
      <c r="BE890" s="2"/>
      <c r="BF890" s="2"/>
      <c r="BG890" s="2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</row>
    <row r="891" ht="14.25" customHeight="1">
      <c r="AA891" s="2"/>
      <c r="AF891" s="2"/>
      <c r="AG891" s="2"/>
      <c r="AH891" s="2"/>
      <c r="AI891" s="2"/>
      <c r="AJ891" s="2"/>
      <c r="AK891" s="2"/>
      <c r="AL891" s="2"/>
      <c r="AM891" s="2"/>
      <c r="AT891" s="2"/>
      <c r="AU891" s="2"/>
      <c r="AV891" s="2"/>
      <c r="AW891" s="2"/>
      <c r="AX891" s="2"/>
      <c r="AY891" s="2"/>
      <c r="AZ891" s="2"/>
      <c r="BA891" s="2"/>
      <c r="BC891" s="2"/>
      <c r="BD891" s="2"/>
      <c r="BE891" s="2"/>
      <c r="BF891" s="2"/>
      <c r="BG891" s="2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</row>
    <row r="892" ht="14.25" customHeight="1">
      <c r="AA892" s="2"/>
      <c r="AF892" s="2"/>
      <c r="AG892" s="2"/>
      <c r="AH892" s="2"/>
      <c r="AI892" s="2"/>
      <c r="AJ892" s="2"/>
      <c r="AK892" s="2"/>
      <c r="AL892" s="2"/>
      <c r="AM892" s="2"/>
      <c r="AT892" s="2"/>
      <c r="AU892" s="2"/>
      <c r="AV892" s="2"/>
      <c r="AW892" s="2"/>
      <c r="AX892" s="2"/>
      <c r="AY892" s="2"/>
      <c r="AZ892" s="2"/>
      <c r="BA892" s="2"/>
      <c r="BC892" s="2"/>
      <c r="BD892" s="2"/>
      <c r="BE892" s="2"/>
      <c r="BF892" s="2"/>
      <c r="BG892" s="2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</row>
    <row r="893" ht="14.25" customHeight="1">
      <c r="AA893" s="2"/>
      <c r="AF893" s="2"/>
      <c r="AG893" s="2"/>
      <c r="AH893" s="2"/>
      <c r="AI893" s="2"/>
      <c r="AJ893" s="2"/>
      <c r="AK893" s="2"/>
      <c r="AL893" s="2"/>
      <c r="AM893" s="2"/>
      <c r="AT893" s="2"/>
      <c r="AU893" s="2"/>
      <c r="AV893" s="2"/>
      <c r="AW893" s="2"/>
      <c r="AX893" s="2"/>
      <c r="AY893" s="2"/>
      <c r="AZ893" s="2"/>
      <c r="BA893" s="2"/>
      <c r="BC893" s="2"/>
      <c r="BD893" s="2"/>
      <c r="BE893" s="2"/>
      <c r="BF893" s="2"/>
      <c r="BG893" s="2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</row>
    <row r="894" ht="14.25" customHeight="1">
      <c r="AA894" s="2"/>
      <c r="AF894" s="2"/>
      <c r="AG894" s="2"/>
      <c r="AH894" s="2"/>
      <c r="AI894" s="2"/>
      <c r="AJ894" s="2"/>
      <c r="AK894" s="2"/>
      <c r="AL894" s="2"/>
      <c r="AM894" s="2"/>
      <c r="AT894" s="2"/>
      <c r="AU894" s="2"/>
      <c r="AV894" s="2"/>
      <c r="AW894" s="2"/>
      <c r="AX894" s="2"/>
      <c r="AY894" s="2"/>
      <c r="AZ894" s="2"/>
      <c r="BA894" s="2"/>
      <c r="BC894" s="2"/>
      <c r="BD894" s="2"/>
      <c r="BE894" s="2"/>
      <c r="BF894" s="2"/>
      <c r="BG894" s="2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</row>
    <row r="895" ht="14.25" customHeight="1">
      <c r="AA895" s="2"/>
      <c r="AF895" s="2"/>
      <c r="AG895" s="2"/>
      <c r="AH895" s="2"/>
      <c r="AI895" s="2"/>
      <c r="AJ895" s="2"/>
      <c r="AK895" s="2"/>
      <c r="AL895" s="2"/>
      <c r="AM895" s="2"/>
      <c r="AT895" s="2"/>
      <c r="AU895" s="2"/>
      <c r="AV895" s="2"/>
      <c r="AW895" s="2"/>
      <c r="AX895" s="2"/>
      <c r="AY895" s="2"/>
      <c r="AZ895" s="2"/>
      <c r="BA895" s="2"/>
      <c r="BC895" s="2"/>
      <c r="BD895" s="2"/>
      <c r="BE895" s="2"/>
      <c r="BF895" s="2"/>
      <c r="BG895" s="2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</row>
    <row r="896" ht="14.25" customHeight="1">
      <c r="AA896" s="2"/>
      <c r="AF896" s="2"/>
      <c r="AG896" s="2"/>
      <c r="AH896" s="2"/>
      <c r="AI896" s="2"/>
      <c r="AJ896" s="2"/>
      <c r="AK896" s="2"/>
      <c r="AL896" s="2"/>
      <c r="AM896" s="2"/>
      <c r="AT896" s="2"/>
      <c r="AU896" s="2"/>
      <c r="AV896" s="2"/>
      <c r="AW896" s="2"/>
      <c r="AX896" s="2"/>
      <c r="AY896" s="2"/>
      <c r="AZ896" s="2"/>
      <c r="BA896" s="2"/>
      <c r="BC896" s="2"/>
      <c r="BD896" s="2"/>
      <c r="BE896" s="2"/>
      <c r="BF896" s="2"/>
      <c r="BG896" s="2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</row>
    <row r="897" ht="14.25" customHeight="1">
      <c r="AA897" s="2"/>
      <c r="AF897" s="2"/>
      <c r="AG897" s="2"/>
      <c r="AH897" s="2"/>
      <c r="AI897" s="2"/>
      <c r="AJ897" s="2"/>
      <c r="AK897" s="2"/>
      <c r="AL897" s="2"/>
      <c r="AM897" s="2"/>
      <c r="AT897" s="2"/>
      <c r="AU897" s="2"/>
      <c r="AV897" s="2"/>
      <c r="AW897" s="2"/>
      <c r="AX897" s="2"/>
      <c r="AY897" s="2"/>
      <c r="AZ897" s="2"/>
      <c r="BA897" s="2"/>
      <c r="BC897" s="2"/>
      <c r="BD897" s="2"/>
      <c r="BE897" s="2"/>
      <c r="BF897" s="2"/>
      <c r="BG897" s="2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</row>
    <row r="898" ht="14.25" customHeight="1">
      <c r="AA898" s="2"/>
      <c r="AF898" s="2"/>
      <c r="AG898" s="2"/>
      <c r="AH898" s="2"/>
      <c r="AI898" s="2"/>
      <c r="AJ898" s="2"/>
      <c r="AK898" s="2"/>
      <c r="AL898" s="2"/>
      <c r="AM898" s="2"/>
      <c r="AT898" s="2"/>
      <c r="AU898" s="2"/>
      <c r="AV898" s="2"/>
      <c r="AW898" s="2"/>
      <c r="AX898" s="2"/>
      <c r="AY898" s="2"/>
      <c r="AZ898" s="2"/>
      <c r="BA898" s="2"/>
      <c r="BC898" s="2"/>
      <c r="BD898" s="2"/>
      <c r="BE898" s="2"/>
      <c r="BF898" s="2"/>
      <c r="BG898" s="2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</row>
    <row r="899" ht="14.25" customHeight="1">
      <c r="AA899" s="2"/>
      <c r="AF899" s="2"/>
      <c r="AG899" s="2"/>
      <c r="AH899" s="2"/>
      <c r="AI899" s="2"/>
      <c r="AJ899" s="2"/>
      <c r="AK899" s="2"/>
      <c r="AL899" s="2"/>
      <c r="AM899" s="2"/>
      <c r="AT899" s="2"/>
      <c r="AU899" s="2"/>
      <c r="AV899" s="2"/>
      <c r="AW899" s="2"/>
      <c r="AX899" s="2"/>
      <c r="AY899" s="2"/>
      <c r="AZ899" s="2"/>
      <c r="BA899" s="2"/>
      <c r="BC899" s="2"/>
      <c r="BD899" s="2"/>
      <c r="BE899" s="2"/>
      <c r="BF899" s="2"/>
      <c r="BG899" s="2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</row>
    <row r="900" ht="14.25" customHeight="1">
      <c r="AA900" s="2"/>
      <c r="AF900" s="2"/>
      <c r="AG900" s="2"/>
      <c r="AH900" s="2"/>
      <c r="AI900" s="2"/>
      <c r="AJ900" s="2"/>
      <c r="AK900" s="2"/>
      <c r="AL900" s="2"/>
      <c r="AM900" s="2"/>
      <c r="AT900" s="2"/>
      <c r="AU900" s="2"/>
      <c r="AV900" s="2"/>
      <c r="AW900" s="2"/>
      <c r="AX900" s="2"/>
      <c r="AY900" s="2"/>
      <c r="AZ900" s="2"/>
      <c r="BA900" s="2"/>
      <c r="BC900" s="2"/>
      <c r="BD900" s="2"/>
      <c r="BE900" s="2"/>
      <c r="BF900" s="2"/>
      <c r="BG900" s="2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</row>
    <row r="901" ht="14.25" customHeight="1">
      <c r="AA901" s="2"/>
      <c r="AF901" s="2"/>
      <c r="AG901" s="2"/>
      <c r="AH901" s="2"/>
      <c r="AI901" s="2"/>
      <c r="AJ901" s="2"/>
      <c r="AK901" s="2"/>
      <c r="AL901" s="2"/>
      <c r="AM901" s="2"/>
      <c r="AT901" s="2"/>
      <c r="AU901" s="2"/>
      <c r="AV901" s="2"/>
      <c r="AW901" s="2"/>
      <c r="AX901" s="2"/>
      <c r="AY901" s="2"/>
      <c r="AZ901" s="2"/>
      <c r="BA901" s="2"/>
      <c r="BC901" s="2"/>
      <c r="BD901" s="2"/>
      <c r="BE901" s="2"/>
      <c r="BF901" s="2"/>
      <c r="BG901" s="2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</row>
    <row r="902" ht="14.25" customHeight="1">
      <c r="AA902" s="2"/>
      <c r="AF902" s="2"/>
      <c r="AG902" s="2"/>
      <c r="AH902" s="2"/>
      <c r="AI902" s="2"/>
      <c r="AJ902" s="2"/>
      <c r="AK902" s="2"/>
      <c r="AL902" s="2"/>
      <c r="AM902" s="2"/>
      <c r="AT902" s="2"/>
      <c r="AU902" s="2"/>
      <c r="AV902" s="2"/>
      <c r="AW902" s="2"/>
      <c r="AX902" s="2"/>
      <c r="AY902" s="2"/>
      <c r="AZ902" s="2"/>
      <c r="BA902" s="2"/>
      <c r="BC902" s="2"/>
      <c r="BD902" s="2"/>
      <c r="BE902" s="2"/>
      <c r="BF902" s="2"/>
      <c r="BG902" s="2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</row>
    <row r="903" ht="14.25" customHeight="1">
      <c r="AA903" s="2"/>
      <c r="AF903" s="2"/>
      <c r="AG903" s="2"/>
      <c r="AH903" s="2"/>
      <c r="AI903" s="2"/>
      <c r="AJ903" s="2"/>
      <c r="AK903" s="2"/>
      <c r="AL903" s="2"/>
      <c r="AM903" s="2"/>
      <c r="AT903" s="2"/>
      <c r="AU903" s="2"/>
      <c r="AV903" s="2"/>
      <c r="AW903" s="2"/>
      <c r="AX903" s="2"/>
      <c r="AY903" s="2"/>
      <c r="AZ903" s="2"/>
      <c r="BA903" s="2"/>
      <c r="BC903" s="2"/>
      <c r="BD903" s="2"/>
      <c r="BE903" s="2"/>
      <c r="BF903" s="2"/>
      <c r="BG903" s="2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</row>
    <row r="904" ht="14.25" customHeight="1">
      <c r="AA904" s="2"/>
      <c r="AF904" s="2"/>
      <c r="AG904" s="2"/>
      <c r="AH904" s="2"/>
      <c r="AI904" s="2"/>
      <c r="AJ904" s="2"/>
      <c r="AK904" s="2"/>
      <c r="AL904" s="2"/>
      <c r="AM904" s="2"/>
      <c r="AT904" s="2"/>
      <c r="AU904" s="2"/>
      <c r="AV904" s="2"/>
      <c r="AW904" s="2"/>
      <c r="AX904" s="2"/>
      <c r="AY904" s="2"/>
      <c r="AZ904" s="2"/>
      <c r="BA904" s="2"/>
      <c r="BC904" s="2"/>
      <c r="BD904" s="2"/>
      <c r="BE904" s="2"/>
      <c r="BF904" s="2"/>
      <c r="BG904" s="2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</row>
    <row r="905" ht="14.25" customHeight="1">
      <c r="AA905" s="2"/>
      <c r="AF905" s="2"/>
      <c r="AG905" s="2"/>
      <c r="AH905" s="2"/>
      <c r="AI905" s="2"/>
      <c r="AJ905" s="2"/>
      <c r="AK905" s="2"/>
      <c r="AL905" s="2"/>
      <c r="AM905" s="2"/>
      <c r="AT905" s="2"/>
      <c r="AU905" s="2"/>
      <c r="AV905" s="2"/>
      <c r="AW905" s="2"/>
      <c r="AX905" s="2"/>
      <c r="AY905" s="2"/>
      <c r="AZ905" s="2"/>
      <c r="BA905" s="2"/>
      <c r="BC905" s="2"/>
      <c r="BD905" s="2"/>
      <c r="BE905" s="2"/>
      <c r="BF905" s="2"/>
      <c r="BG905" s="2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</row>
    <row r="906" ht="14.25" customHeight="1">
      <c r="AA906" s="2"/>
      <c r="AF906" s="2"/>
      <c r="AG906" s="2"/>
      <c r="AH906" s="2"/>
      <c r="AI906" s="2"/>
      <c r="AJ906" s="2"/>
      <c r="AK906" s="2"/>
      <c r="AL906" s="2"/>
      <c r="AM906" s="2"/>
      <c r="AT906" s="2"/>
      <c r="AU906" s="2"/>
      <c r="AV906" s="2"/>
      <c r="AW906" s="2"/>
      <c r="AX906" s="2"/>
      <c r="AY906" s="2"/>
      <c r="AZ906" s="2"/>
      <c r="BA906" s="2"/>
      <c r="BC906" s="2"/>
      <c r="BD906" s="2"/>
      <c r="BE906" s="2"/>
      <c r="BF906" s="2"/>
      <c r="BG906" s="2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</row>
    <row r="907" ht="14.25" customHeight="1">
      <c r="AA907" s="2"/>
      <c r="AF907" s="2"/>
      <c r="AG907" s="2"/>
      <c r="AH907" s="2"/>
      <c r="AI907" s="2"/>
      <c r="AJ907" s="2"/>
      <c r="AK907" s="2"/>
      <c r="AL907" s="2"/>
      <c r="AM907" s="2"/>
      <c r="AT907" s="2"/>
      <c r="AU907" s="2"/>
      <c r="AV907" s="2"/>
      <c r="AW907" s="2"/>
      <c r="AX907" s="2"/>
      <c r="AY907" s="2"/>
      <c r="AZ907" s="2"/>
      <c r="BA907" s="2"/>
      <c r="BC907" s="2"/>
      <c r="BD907" s="2"/>
      <c r="BE907" s="2"/>
      <c r="BF907" s="2"/>
      <c r="BG907" s="2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</row>
    <row r="908" ht="14.25" customHeight="1">
      <c r="AA908" s="2"/>
      <c r="AF908" s="2"/>
      <c r="AG908" s="2"/>
      <c r="AH908" s="2"/>
      <c r="AI908" s="2"/>
      <c r="AJ908" s="2"/>
      <c r="AK908" s="2"/>
      <c r="AL908" s="2"/>
      <c r="AM908" s="2"/>
      <c r="AT908" s="2"/>
      <c r="AU908" s="2"/>
      <c r="AV908" s="2"/>
      <c r="AW908" s="2"/>
      <c r="AX908" s="2"/>
      <c r="AY908" s="2"/>
      <c r="AZ908" s="2"/>
      <c r="BA908" s="2"/>
      <c r="BC908" s="2"/>
      <c r="BD908" s="2"/>
      <c r="BE908" s="2"/>
      <c r="BF908" s="2"/>
      <c r="BG908" s="2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</row>
    <row r="909" ht="14.25" customHeight="1">
      <c r="AA909" s="2"/>
      <c r="AF909" s="2"/>
      <c r="AG909" s="2"/>
      <c r="AH909" s="2"/>
      <c r="AI909" s="2"/>
      <c r="AJ909" s="2"/>
      <c r="AK909" s="2"/>
      <c r="AL909" s="2"/>
      <c r="AM909" s="2"/>
      <c r="AT909" s="2"/>
      <c r="AU909" s="2"/>
      <c r="AV909" s="2"/>
      <c r="AW909" s="2"/>
      <c r="AX909" s="2"/>
      <c r="AY909" s="2"/>
      <c r="AZ909" s="2"/>
      <c r="BA909" s="2"/>
      <c r="BC909" s="2"/>
      <c r="BD909" s="2"/>
      <c r="BE909" s="2"/>
      <c r="BF909" s="2"/>
      <c r="BG909" s="2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</row>
    <row r="910" ht="14.25" customHeight="1">
      <c r="AA910" s="2"/>
      <c r="AF910" s="2"/>
      <c r="AG910" s="2"/>
      <c r="AH910" s="2"/>
      <c r="AI910" s="2"/>
      <c r="AJ910" s="2"/>
      <c r="AK910" s="2"/>
      <c r="AL910" s="2"/>
      <c r="AM910" s="2"/>
      <c r="AT910" s="2"/>
      <c r="AU910" s="2"/>
      <c r="AV910" s="2"/>
      <c r="AW910" s="2"/>
      <c r="AX910" s="2"/>
      <c r="AY910" s="2"/>
      <c r="AZ910" s="2"/>
      <c r="BA910" s="2"/>
      <c r="BC910" s="2"/>
      <c r="BD910" s="2"/>
      <c r="BE910" s="2"/>
      <c r="BF910" s="2"/>
      <c r="BG910" s="2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</row>
    <row r="911" ht="14.25" customHeight="1">
      <c r="AA911" s="2"/>
      <c r="AF911" s="2"/>
      <c r="AG911" s="2"/>
      <c r="AH911" s="2"/>
      <c r="AI911" s="2"/>
      <c r="AJ911" s="2"/>
      <c r="AK911" s="2"/>
      <c r="AL911" s="2"/>
      <c r="AM911" s="2"/>
      <c r="AT911" s="2"/>
      <c r="AU911" s="2"/>
      <c r="AV911" s="2"/>
      <c r="AW911" s="2"/>
      <c r="AX911" s="2"/>
      <c r="AY911" s="2"/>
      <c r="AZ911" s="2"/>
      <c r="BA911" s="2"/>
      <c r="BC911" s="2"/>
      <c r="BD911" s="2"/>
      <c r="BE911" s="2"/>
      <c r="BF911" s="2"/>
      <c r="BG911" s="2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</row>
    <row r="912" ht="14.25" customHeight="1">
      <c r="AA912" s="2"/>
      <c r="AF912" s="2"/>
      <c r="AG912" s="2"/>
      <c r="AH912" s="2"/>
      <c r="AI912" s="2"/>
      <c r="AJ912" s="2"/>
      <c r="AK912" s="2"/>
      <c r="AL912" s="2"/>
      <c r="AM912" s="2"/>
      <c r="AT912" s="2"/>
      <c r="AU912" s="2"/>
      <c r="AV912" s="2"/>
      <c r="AW912" s="2"/>
      <c r="AX912" s="2"/>
      <c r="AY912" s="2"/>
      <c r="AZ912" s="2"/>
      <c r="BA912" s="2"/>
      <c r="BC912" s="2"/>
      <c r="BD912" s="2"/>
      <c r="BE912" s="2"/>
      <c r="BF912" s="2"/>
      <c r="BG912" s="2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</row>
    <row r="913" ht="14.25" customHeight="1">
      <c r="AA913" s="2"/>
      <c r="AF913" s="2"/>
      <c r="AG913" s="2"/>
      <c r="AH913" s="2"/>
      <c r="AI913" s="2"/>
      <c r="AJ913" s="2"/>
      <c r="AK913" s="2"/>
      <c r="AL913" s="2"/>
      <c r="AM913" s="2"/>
      <c r="AT913" s="2"/>
      <c r="AU913" s="2"/>
      <c r="AV913" s="2"/>
      <c r="AW913" s="2"/>
      <c r="AX913" s="2"/>
      <c r="AY913" s="2"/>
      <c r="AZ913" s="2"/>
      <c r="BA913" s="2"/>
      <c r="BC913" s="2"/>
      <c r="BD913" s="2"/>
      <c r="BE913" s="2"/>
      <c r="BF913" s="2"/>
      <c r="BG913" s="2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</row>
    <row r="914" ht="14.25" customHeight="1">
      <c r="AA914" s="2"/>
      <c r="AF914" s="2"/>
      <c r="AG914" s="2"/>
      <c r="AH914" s="2"/>
      <c r="AI914" s="2"/>
      <c r="AJ914" s="2"/>
      <c r="AK914" s="2"/>
      <c r="AL914" s="2"/>
      <c r="AM914" s="2"/>
      <c r="AT914" s="2"/>
      <c r="AU914" s="2"/>
      <c r="AV914" s="2"/>
      <c r="AW914" s="2"/>
      <c r="AX914" s="2"/>
      <c r="AY914" s="2"/>
      <c r="AZ914" s="2"/>
      <c r="BA914" s="2"/>
      <c r="BC914" s="2"/>
      <c r="BD914" s="2"/>
      <c r="BE914" s="2"/>
      <c r="BF914" s="2"/>
      <c r="BG914" s="2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</row>
    <row r="915" ht="14.25" customHeight="1">
      <c r="AA915" s="2"/>
      <c r="AF915" s="2"/>
      <c r="AG915" s="2"/>
      <c r="AH915" s="2"/>
      <c r="AI915" s="2"/>
      <c r="AJ915" s="2"/>
      <c r="AK915" s="2"/>
      <c r="AL915" s="2"/>
      <c r="AM915" s="2"/>
      <c r="AT915" s="2"/>
      <c r="AU915" s="2"/>
      <c r="AV915" s="2"/>
      <c r="AW915" s="2"/>
      <c r="AX915" s="2"/>
      <c r="AY915" s="2"/>
      <c r="AZ915" s="2"/>
      <c r="BA915" s="2"/>
      <c r="BC915" s="2"/>
      <c r="BD915" s="2"/>
      <c r="BE915" s="2"/>
      <c r="BF915" s="2"/>
      <c r="BG915" s="2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</row>
    <row r="916" ht="14.25" customHeight="1">
      <c r="AA916" s="2"/>
      <c r="AF916" s="2"/>
      <c r="AG916" s="2"/>
      <c r="AH916" s="2"/>
      <c r="AI916" s="2"/>
      <c r="AJ916" s="2"/>
      <c r="AK916" s="2"/>
      <c r="AL916" s="2"/>
      <c r="AM916" s="2"/>
      <c r="AT916" s="2"/>
      <c r="AU916" s="2"/>
      <c r="AV916" s="2"/>
      <c r="AW916" s="2"/>
      <c r="AX916" s="2"/>
      <c r="AY916" s="2"/>
      <c r="AZ916" s="2"/>
      <c r="BA916" s="2"/>
      <c r="BC916" s="2"/>
      <c r="BD916" s="2"/>
      <c r="BE916" s="2"/>
      <c r="BF916" s="2"/>
      <c r="BG916" s="2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</row>
    <row r="917" ht="14.25" customHeight="1">
      <c r="AA917" s="2"/>
      <c r="AF917" s="2"/>
      <c r="AG917" s="2"/>
      <c r="AH917" s="2"/>
      <c r="AI917" s="2"/>
      <c r="AJ917" s="2"/>
      <c r="AK917" s="2"/>
      <c r="AL917" s="2"/>
      <c r="AM917" s="2"/>
      <c r="AT917" s="2"/>
      <c r="AU917" s="2"/>
      <c r="AV917" s="2"/>
      <c r="AW917" s="2"/>
      <c r="AX917" s="2"/>
      <c r="AY917" s="2"/>
      <c r="AZ917" s="2"/>
      <c r="BA917" s="2"/>
      <c r="BC917" s="2"/>
      <c r="BD917" s="2"/>
      <c r="BE917" s="2"/>
      <c r="BF917" s="2"/>
      <c r="BG917" s="2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</row>
    <row r="918" ht="14.25" customHeight="1">
      <c r="AA918" s="2"/>
      <c r="AF918" s="2"/>
      <c r="AG918" s="2"/>
      <c r="AH918" s="2"/>
      <c r="AI918" s="2"/>
      <c r="AJ918" s="2"/>
      <c r="AK918" s="2"/>
      <c r="AL918" s="2"/>
      <c r="AM918" s="2"/>
      <c r="AT918" s="2"/>
      <c r="AU918" s="2"/>
      <c r="AV918" s="2"/>
      <c r="AW918" s="2"/>
      <c r="AX918" s="2"/>
      <c r="AY918" s="2"/>
      <c r="AZ918" s="2"/>
      <c r="BA918" s="2"/>
      <c r="BC918" s="2"/>
      <c r="BD918" s="2"/>
      <c r="BE918" s="2"/>
      <c r="BF918" s="2"/>
      <c r="BG918" s="2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</row>
    <row r="919" ht="14.25" customHeight="1">
      <c r="AA919" s="2"/>
      <c r="AF919" s="2"/>
      <c r="AG919" s="2"/>
      <c r="AH919" s="2"/>
      <c r="AI919" s="2"/>
      <c r="AJ919" s="2"/>
      <c r="AK919" s="2"/>
      <c r="AL919" s="2"/>
      <c r="AM919" s="2"/>
      <c r="AT919" s="2"/>
      <c r="AU919" s="2"/>
      <c r="AV919" s="2"/>
      <c r="AW919" s="2"/>
      <c r="AX919" s="2"/>
      <c r="AY919" s="2"/>
      <c r="AZ919" s="2"/>
      <c r="BA919" s="2"/>
      <c r="BC919" s="2"/>
      <c r="BD919" s="2"/>
      <c r="BE919" s="2"/>
      <c r="BF919" s="2"/>
      <c r="BG919" s="2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</row>
    <row r="920" ht="14.25" customHeight="1">
      <c r="AA920" s="2"/>
      <c r="AF920" s="2"/>
      <c r="AG920" s="2"/>
      <c r="AH920" s="2"/>
      <c r="AI920" s="2"/>
      <c r="AJ920" s="2"/>
      <c r="AK920" s="2"/>
      <c r="AL920" s="2"/>
      <c r="AM920" s="2"/>
      <c r="AT920" s="2"/>
      <c r="AU920" s="2"/>
      <c r="AV920" s="2"/>
      <c r="AW920" s="2"/>
      <c r="AX920" s="2"/>
      <c r="AY920" s="2"/>
      <c r="AZ920" s="2"/>
      <c r="BA920" s="2"/>
      <c r="BC920" s="2"/>
      <c r="BD920" s="2"/>
      <c r="BE920" s="2"/>
      <c r="BF920" s="2"/>
      <c r="BG920" s="2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</row>
    <row r="921" ht="14.25" customHeight="1">
      <c r="AA921" s="2"/>
      <c r="AF921" s="2"/>
      <c r="AG921" s="2"/>
      <c r="AH921" s="2"/>
      <c r="AI921" s="2"/>
      <c r="AJ921" s="2"/>
      <c r="AK921" s="2"/>
      <c r="AL921" s="2"/>
      <c r="AM921" s="2"/>
      <c r="AT921" s="2"/>
      <c r="AU921" s="2"/>
      <c r="AV921" s="2"/>
      <c r="AW921" s="2"/>
      <c r="AX921" s="2"/>
      <c r="AY921" s="2"/>
      <c r="AZ921" s="2"/>
      <c r="BA921" s="2"/>
      <c r="BC921" s="2"/>
      <c r="BD921" s="2"/>
      <c r="BE921" s="2"/>
      <c r="BF921" s="2"/>
      <c r="BG921" s="2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</row>
    <row r="922" ht="14.25" customHeight="1">
      <c r="AA922" s="2"/>
      <c r="AF922" s="2"/>
      <c r="AG922" s="2"/>
      <c r="AH922" s="2"/>
      <c r="AI922" s="2"/>
      <c r="AJ922" s="2"/>
      <c r="AK922" s="2"/>
      <c r="AL922" s="2"/>
      <c r="AM922" s="2"/>
      <c r="AT922" s="2"/>
      <c r="AU922" s="2"/>
      <c r="AV922" s="2"/>
      <c r="AW922" s="2"/>
      <c r="AX922" s="2"/>
      <c r="AY922" s="2"/>
      <c r="AZ922" s="2"/>
      <c r="BA922" s="2"/>
      <c r="BC922" s="2"/>
      <c r="BD922" s="2"/>
      <c r="BE922" s="2"/>
      <c r="BF922" s="2"/>
      <c r="BG922" s="2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</row>
    <row r="923" ht="14.25" customHeight="1">
      <c r="AA923" s="2"/>
      <c r="AF923" s="2"/>
      <c r="AG923" s="2"/>
      <c r="AH923" s="2"/>
      <c r="AI923" s="2"/>
      <c r="AJ923" s="2"/>
      <c r="AK923" s="2"/>
      <c r="AL923" s="2"/>
      <c r="AM923" s="2"/>
      <c r="AT923" s="2"/>
      <c r="AU923" s="2"/>
      <c r="AV923" s="2"/>
      <c r="AW923" s="2"/>
      <c r="AX923" s="2"/>
      <c r="AY923" s="2"/>
      <c r="AZ923" s="2"/>
      <c r="BA923" s="2"/>
      <c r="BC923" s="2"/>
      <c r="BD923" s="2"/>
      <c r="BE923" s="2"/>
      <c r="BF923" s="2"/>
      <c r="BG923" s="2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</row>
    <row r="924" ht="14.25" customHeight="1">
      <c r="AA924" s="2"/>
      <c r="AF924" s="2"/>
      <c r="AG924" s="2"/>
      <c r="AH924" s="2"/>
      <c r="AI924" s="2"/>
      <c r="AJ924" s="2"/>
      <c r="AK924" s="2"/>
      <c r="AL924" s="2"/>
      <c r="AM924" s="2"/>
      <c r="AT924" s="2"/>
      <c r="AU924" s="2"/>
      <c r="AV924" s="2"/>
      <c r="AW924" s="2"/>
      <c r="AX924" s="2"/>
      <c r="AY924" s="2"/>
      <c r="AZ924" s="2"/>
      <c r="BA924" s="2"/>
      <c r="BC924" s="2"/>
      <c r="BD924" s="2"/>
      <c r="BE924" s="2"/>
      <c r="BF924" s="2"/>
      <c r="BG924" s="2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</row>
    <row r="925" ht="14.25" customHeight="1">
      <c r="AA925" s="2"/>
      <c r="AF925" s="2"/>
      <c r="AG925" s="2"/>
      <c r="AH925" s="2"/>
      <c r="AI925" s="2"/>
      <c r="AJ925" s="2"/>
      <c r="AK925" s="2"/>
      <c r="AL925" s="2"/>
      <c r="AM925" s="2"/>
      <c r="AT925" s="2"/>
      <c r="AU925" s="2"/>
      <c r="AV925" s="2"/>
      <c r="AW925" s="2"/>
      <c r="AX925" s="2"/>
      <c r="AY925" s="2"/>
      <c r="AZ925" s="2"/>
      <c r="BA925" s="2"/>
      <c r="BC925" s="2"/>
      <c r="BD925" s="2"/>
      <c r="BE925" s="2"/>
      <c r="BF925" s="2"/>
      <c r="BG925" s="2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</row>
    <row r="926" ht="14.25" customHeight="1">
      <c r="AA926" s="2"/>
      <c r="AF926" s="2"/>
      <c r="AG926" s="2"/>
      <c r="AH926" s="2"/>
      <c r="AI926" s="2"/>
      <c r="AJ926" s="2"/>
      <c r="AK926" s="2"/>
      <c r="AL926" s="2"/>
      <c r="AM926" s="2"/>
      <c r="AT926" s="2"/>
      <c r="AU926" s="2"/>
      <c r="AV926" s="2"/>
      <c r="AW926" s="2"/>
      <c r="AX926" s="2"/>
      <c r="AY926" s="2"/>
      <c r="AZ926" s="2"/>
      <c r="BA926" s="2"/>
      <c r="BC926" s="2"/>
      <c r="BD926" s="2"/>
      <c r="BE926" s="2"/>
      <c r="BF926" s="2"/>
      <c r="BG926" s="2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</row>
    <row r="927" ht="14.25" customHeight="1">
      <c r="AA927" s="2"/>
      <c r="AF927" s="2"/>
      <c r="AG927" s="2"/>
      <c r="AH927" s="2"/>
      <c r="AI927" s="2"/>
      <c r="AJ927" s="2"/>
      <c r="AK927" s="2"/>
      <c r="AL927" s="2"/>
      <c r="AM927" s="2"/>
      <c r="AT927" s="2"/>
      <c r="AU927" s="2"/>
      <c r="AV927" s="2"/>
      <c r="AW927" s="2"/>
      <c r="AX927" s="2"/>
      <c r="AY927" s="2"/>
      <c r="AZ927" s="2"/>
      <c r="BA927" s="2"/>
      <c r="BC927" s="2"/>
      <c r="BD927" s="2"/>
      <c r="BE927" s="2"/>
      <c r="BF927" s="2"/>
      <c r="BG927" s="2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</row>
    <row r="928" ht="14.25" customHeight="1">
      <c r="AA928" s="2"/>
      <c r="AF928" s="2"/>
      <c r="AG928" s="2"/>
      <c r="AH928" s="2"/>
      <c r="AI928" s="2"/>
      <c r="AJ928" s="2"/>
      <c r="AK928" s="2"/>
      <c r="AL928" s="2"/>
      <c r="AM928" s="2"/>
      <c r="AT928" s="2"/>
      <c r="AU928" s="2"/>
      <c r="AV928" s="2"/>
      <c r="AW928" s="2"/>
      <c r="AX928" s="2"/>
      <c r="AY928" s="2"/>
      <c r="AZ928" s="2"/>
      <c r="BA928" s="2"/>
      <c r="BC928" s="2"/>
      <c r="BD928" s="2"/>
      <c r="BE928" s="2"/>
      <c r="BF928" s="2"/>
      <c r="BG928" s="2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</row>
    <row r="929" ht="14.25" customHeight="1">
      <c r="AA929" s="2"/>
      <c r="AF929" s="2"/>
      <c r="AG929" s="2"/>
      <c r="AH929" s="2"/>
      <c r="AI929" s="2"/>
      <c r="AJ929" s="2"/>
      <c r="AK929" s="2"/>
      <c r="AL929" s="2"/>
      <c r="AM929" s="2"/>
      <c r="AT929" s="2"/>
      <c r="AU929" s="2"/>
      <c r="AV929" s="2"/>
      <c r="AW929" s="2"/>
      <c r="AX929" s="2"/>
      <c r="AY929" s="2"/>
      <c r="AZ929" s="2"/>
      <c r="BA929" s="2"/>
      <c r="BC929" s="2"/>
      <c r="BD929" s="2"/>
      <c r="BE929" s="2"/>
      <c r="BF929" s="2"/>
      <c r="BG929" s="2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</row>
    <row r="930" ht="14.25" customHeight="1">
      <c r="AA930" s="2"/>
      <c r="AF930" s="2"/>
      <c r="AG930" s="2"/>
      <c r="AH930" s="2"/>
      <c r="AI930" s="2"/>
      <c r="AJ930" s="2"/>
      <c r="AK930" s="2"/>
      <c r="AL930" s="2"/>
      <c r="AM930" s="2"/>
      <c r="AT930" s="2"/>
      <c r="AU930" s="2"/>
      <c r="AV930" s="2"/>
      <c r="AW930" s="2"/>
      <c r="AX930" s="2"/>
      <c r="AY930" s="2"/>
      <c r="AZ930" s="2"/>
      <c r="BA930" s="2"/>
      <c r="BC930" s="2"/>
      <c r="BD930" s="2"/>
      <c r="BE930" s="2"/>
      <c r="BF930" s="2"/>
      <c r="BG930" s="2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</row>
    <row r="931" ht="14.25" customHeight="1">
      <c r="AA931" s="2"/>
      <c r="AF931" s="2"/>
      <c r="AG931" s="2"/>
      <c r="AH931" s="2"/>
      <c r="AI931" s="2"/>
      <c r="AJ931" s="2"/>
      <c r="AK931" s="2"/>
      <c r="AL931" s="2"/>
      <c r="AM931" s="2"/>
      <c r="AT931" s="2"/>
      <c r="AU931" s="2"/>
      <c r="AV931" s="2"/>
      <c r="AW931" s="2"/>
      <c r="AX931" s="2"/>
      <c r="AY931" s="2"/>
      <c r="AZ931" s="2"/>
      <c r="BA931" s="2"/>
      <c r="BC931" s="2"/>
      <c r="BD931" s="2"/>
      <c r="BE931" s="2"/>
      <c r="BF931" s="2"/>
      <c r="BG931" s="2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</row>
    <row r="932" ht="14.25" customHeight="1">
      <c r="AA932" s="2"/>
      <c r="AF932" s="2"/>
      <c r="AG932" s="2"/>
      <c r="AH932" s="2"/>
      <c r="AI932" s="2"/>
      <c r="AJ932" s="2"/>
      <c r="AK932" s="2"/>
      <c r="AL932" s="2"/>
      <c r="AM932" s="2"/>
      <c r="AT932" s="2"/>
      <c r="AU932" s="2"/>
      <c r="AV932" s="2"/>
      <c r="AW932" s="2"/>
      <c r="AX932" s="2"/>
      <c r="AY932" s="2"/>
      <c r="AZ932" s="2"/>
      <c r="BA932" s="2"/>
      <c r="BC932" s="2"/>
      <c r="BD932" s="2"/>
      <c r="BE932" s="2"/>
      <c r="BF932" s="2"/>
      <c r="BG932" s="2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</row>
    <row r="933" ht="14.25" customHeight="1">
      <c r="AA933" s="2"/>
      <c r="AF933" s="2"/>
      <c r="AG933" s="2"/>
      <c r="AH933" s="2"/>
      <c r="AI933" s="2"/>
      <c r="AJ933" s="2"/>
      <c r="AK933" s="2"/>
      <c r="AL933" s="2"/>
      <c r="AM933" s="2"/>
      <c r="AT933" s="2"/>
      <c r="AU933" s="2"/>
      <c r="AV933" s="2"/>
      <c r="AW933" s="2"/>
      <c r="AX933" s="2"/>
      <c r="AY933" s="2"/>
      <c r="AZ933" s="2"/>
      <c r="BA933" s="2"/>
      <c r="BC933" s="2"/>
      <c r="BD933" s="2"/>
      <c r="BE933" s="2"/>
      <c r="BF933" s="2"/>
      <c r="BG933" s="2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</row>
    <row r="934" ht="14.25" customHeight="1">
      <c r="AA934" s="2"/>
      <c r="AF934" s="2"/>
      <c r="AG934" s="2"/>
      <c r="AH934" s="2"/>
      <c r="AI934" s="2"/>
      <c r="AJ934" s="2"/>
      <c r="AK934" s="2"/>
      <c r="AL934" s="2"/>
      <c r="AM934" s="2"/>
      <c r="AT934" s="2"/>
      <c r="AU934" s="2"/>
      <c r="AV934" s="2"/>
      <c r="AW934" s="2"/>
      <c r="AX934" s="2"/>
      <c r="AY934" s="2"/>
      <c r="AZ934" s="2"/>
      <c r="BA934" s="2"/>
      <c r="BC934" s="2"/>
      <c r="BD934" s="2"/>
      <c r="BE934" s="2"/>
      <c r="BF934" s="2"/>
      <c r="BG934" s="2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</row>
    <row r="935" ht="14.25" customHeight="1">
      <c r="AA935" s="2"/>
      <c r="AF935" s="2"/>
      <c r="AG935" s="2"/>
      <c r="AH935" s="2"/>
      <c r="AI935" s="2"/>
      <c r="AJ935" s="2"/>
      <c r="AK935" s="2"/>
      <c r="AL935" s="2"/>
      <c r="AM935" s="2"/>
      <c r="AT935" s="2"/>
      <c r="AU935" s="2"/>
      <c r="AV935" s="2"/>
      <c r="AW935" s="2"/>
      <c r="AX935" s="2"/>
      <c r="AY935" s="2"/>
      <c r="AZ935" s="2"/>
      <c r="BA935" s="2"/>
      <c r="BC935" s="2"/>
      <c r="BD935" s="2"/>
      <c r="BE935" s="2"/>
      <c r="BF935" s="2"/>
      <c r="BG935" s="2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</row>
    <row r="936" ht="14.25" customHeight="1">
      <c r="AA936" s="2"/>
      <c r="AF936" s="2"/>
      <c r="AG936" s="2"/>
      <c r="AH936" s="2"/>
      <c r="AI936" s="2"/>
      <c r="AJ936" s="2"/>
      <c r="AK936" s="2"/>
      <c r="AL936" s="2"/>
      <c r="AM936" s="2"/>
      <c r="AT936" s="2"/>
      <c r="AU936" s="2"/>
      <c r="AV936" s="2"/>
      <c r="AW936" s="2"/>
      <c r="AX936" s="2"/>
      <c r="AY936" s="2"/>
      <c r="AZ936" s="2"/>
      <c r="BA936" s="2"/>
      <c r="BC936" s="2"/>
      <c r="BD936" s="2"/>
      <c r="BE936" s="2"/>
      <c r="BF936" s="2"/>
      <c r="BG936" s="2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</row>
    <row r="937" ht="14.25" customHeight="1">
      <c r="AA937" s="2"/>
      <c r="AF937" s="2"/>
      <c r="AG937" s="2"/>
      <c r="AH937" s="2"/>
      <c r="AI937" s="2"/>
      <c r="AJ937" s="2"/>
      <c r="AK937" s="2"/>
      <c r="AL937" s="2"/>
      <c r="AM937" s="2"/>
      <c r="AT937" s="2"/>
      <c r="AU937" s="2"/>
      <c r="AV937" s="2"/>
      <c r="AW937" s="2"/>
      <c r="AX937" s="2"/>
      <c r="AY937" s="2"/>
      <c r="AZ937" s="2"/>
      <c r="BA937" s="2"/>
      <c r="BC937" s="2"/>
      <c r="BD937" s="2"/>
      <c r="BE937" s="2"/>
      <c r="BF937" s="2"/>
      <c r="BG937" s="2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</row>
    <row r="938" ht="14.25" customHeight="1">
      <c r="AA938" s="2"/>
      <c r="AF938" s="2"/>
      <c r="AG938" s="2"/>
      <c r="AH938" s="2"/>
      <c r="AI938" s="2"/>
      <c r="AJ938" s="2"/>
      <c r="AK938" s="2"/>
      <c r="AL938" s="2"/>
      <c r="AM938" s="2"/>
      <c r="AT938" s="2"/>
      <c r="AU938" s="2"/>
      <c r="AV938" s="2"/>
      <c r="AW938" s="2"/>
      <c r="AX938" s="2"/>
      <c r="AY938" s="2"/>
      <c r="AZ938" s="2"/>
      <c r="BA938" s="2"/>
      <c r="BC938" s="2"/>
      <c r="BD938" s="2"/>
      <c r="BE938" s="2"/>
      <c r="BF938" s="2"/>
      <c r="BG938" s="2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</row>
    <row r="939" ht="14.25" customHeight="1">
      <c r="AA939" s="2"/>
      <c r="AF939" s="2"/>
      <c r="AG939" s="2"/>
      <c r="AH939" s="2"/>
      <c r="AI939" s="2"/>
      <c r="AJ939" s="2"/>
      <c r="AK939" s="2"/>
      <c r="AL939" s="2"/>
      <c r="AM939" s="2"/>
      <c r="AT939" s="2"/>
      <c r="AU939" s="2"/>
      <c r="AV939" s="2"/>
      <c r="AW939" s="2"/>
      <c r="AX939" s="2"/>
      <c r="AY939" s="2"/>
      <c r="AZ939" s="2"/>
      <c r="BA939" s="2"/>
      <c r="BC939" s="2"/>
      <c r="BD939" s="2"/>
      <c r="BE939" s="2"/>
      <c r="BF939" s="2"/>
      <c r="BG939" s="2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</row>
    <row r="940" ht="14.25" customHeight="1">
      <c r="AA940" s="2"/>
      <c r="AF940" s="2"/>
      <c r="AG940" s="2"/>
      <c r="AH940" s="2"/>
      <c r="AI940" s="2"/>
      <c r="AJ940" s="2"/>
      <c r="AK940" s="2"/>
      <c r="AL940" s="2"/>
      <c r="AM940" s="2"/>
      <c r="AT940" s="2"/>
      <c r="AU940" s="2"/>
      <c r="AV940" s="2"/>
      <c r="AW940" s="2"/>
      <c r="AX940" s="2"/>
      <c r="AY940" s="2"/>
      <c r="AZ940" s="2"/>
      <c r="BA940" s="2"/>
      <c r="BC940" s="2"/>
      <c r="BD940" s="2"/>
      <c r="BE940" s="2"/>
      <c r="BF940" s="2"/>
      <c r="BG940" s="2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</row>
    <row r="941" ht="14.25" customHeight="1">
      <c r="AA941" s="2"/>
      <c r="AF941" s="2"/>
      <c r="AG941" s="2"/>
      <c r="AH941" s="2"/>
      <c r="AI941" s="2"/>
      <c r="AJ941" s="2"/>
      <c r="AK941" s="2"/>
      <c r="AL941" s="2"/>
      <c r="AM941" s="2"/>
      <c r="AT941" s="2"/>
      <c r="AU941" s="2"/>
      <c r="AV941" s="2"/>
      <c r="AW941" s="2"/>
      <c r="AX941" s="2"/>
      <c r="AY941" s="2"/>
      <c r="AZ941" s="2"/>
      <c r="BA941" s="2"/>
      <c r="BC941" s="2"/>
      <c r="BD941" s="2"/>
      <c r="BE941" s="2"/>
      <c r="BF941" s="2"/>
      <c r="BG941" s="2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</row>
    <row r="942" ht="14.25" customHeight="1">
      <c r="AA942" s="2"/>
      <c r="AF942" s="2"/>
      <c r="AG942" s="2"/>
      <c r="AH942" s="2"/>
      <c r="AI942" s="2"/>
      <c r="AJ942" s="2"/>
      <c r="AK942" s="2"/>
      <c r="AL942" s="2"/>
      <c r="AM942" s="2"/>
      <c r="AT942" s="2"/>
      <c r="AU942" s="2"/>
      <c r="AV942" s="2"/>
      <c r="AW942" s="2"/>
      <c r="AX942" s="2"/>
      <c r="AY942" s="2"/>
      <c r="AZ942" s="2"/>
      <c r="BA942" s="2"/>
      <c r="BC942" s="2"/>
      <c r="BD942" s="2"/>
      <c r="BE942" s="2"/>
      <c r="BF942" s="2"/>
      <c r="BG942" s="2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</row>
    <row r="943" ht="14.25" customHeight="1">
      <c r="AA943" s="2"/>
      <c r="AF943" s="2"/>
      <c r="AG943" s="2"/>
      <c r="AH943" s="2"/>
      <c r="AI943" s="2"/>
      <c r="AJ943" s="2"/>
      <c r="AK943" s="2"/>
      <c r="AL943" s="2"/>
      <c r="AM943" s="2"/>
      <c r="AT943" s="2"/>
      <c r="AU943" s="2"/>
      <c r="AV943" s="2"/>
      <c r="AW943" s="2"/>
      <c r="AX943" s="2"/>
      <c r="AY943" s="2"/>
      <c r="AZ943" s="2"/>
      <c r="BA943" s="2"/>
      <c r="BC943" s="2"/>
      <c r="BD943" s="2"/>
      <c r="BE943" s="2"/>
      <c r="BF943" s="2"/>
      <c r="BG943" s="2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</row>
    <row r="944" ht="14.25" customHeight="1">
      <c r="AA944" s="2"/>
      <c r="AF944" s="2"/>
      <c r="AG944" s="2"/>
      <c r="AH944" s="2"/>
      <c r="AI944" s="2"/>
      <c r="AJ944" s="2"/>
      <c r="AK944" s="2"/>
      <c r="AL944" s="2"/>
      <c r="AM944" s="2"/>
      <c r="AT944" s="2"/>
      <c r="AU944" s="2"/>
      <c r="AV944" s="2"/>
      <c r="AW944" s="2"/>
      <c r="AX944" s="2"/>
      <c r="AY944" s="2"/>
      <c r="AZ944" s="2"/>
      <c r="BA944" s="2"/>
      <c r="BC944" s="2"/>
      <c r="BD944" s="2"/>
      <c r="BE944" s="2"/>
      <c r="BF944" s="2"/>
      <c r="BG944" s="2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</row>
    <row r="945" ht="14.25" customHeight="1">
      <c r="AA945" s="2"/>
      <c r="AF945" s="2"/>
      <c r="AG945" s="2"/>
      <c r="AH945" s="2"/>
      <c r="AI945" s="2"/>
      <c r="AJ945" s="2"/>
      <c r="AK945" s="2"/>
      <c r="AL945" s="2"/>
      <c r="AM945" s="2"/>
      <c r="AT945" s="2"/>
      <c r="AU945" s="2"/>
      <c r="AV945" s="2"/>
      <c r="AW945" s="2"/>
      <c r="AX945" s="2"/>
      <c r="AY945" s="2"/>
      <c r="AZ945" s="2"/>
      <c r="BA945" s="2"/>
      <c r="BC945" s="2"/>
      <c r="BD945" s="2"/>
      <c r="BE945" s="2"/>
      <c r="BF945" s="2"/>
      <c r="BG945" s="2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</row>
    <row r="946" ht="14.25" customHeight="1">
      <c r="AA946" s="2"/>
      <c r="AF946" s="2"/>
      <c r="AG946" s="2"/>
      <c r="AH946" s="2"/>
      <c r="AI946" s="2"/>
      <c r="AJ946" s="2"/>
      <c r="AK946" s="2"/>
      <c r="AL946" s="2"/>
      <c r="AM946" s="2"/>
      <c r="AT946" s="2"/>
      <c r="AU946" s="2"/>
      <c r="AV946" s="2"/>
      <c r="AW946" s="2"/>
      <c r="AX946" s="2"/>
      <c r="AY946" s="2"/>
      <c r="AZ946" s="2"/>
      <c r="BA946" s="2"/>
      <c r="BC946" s="2"/>
      <c r="BD946" s="2"/>
      <c r="BE946" s="2"/>
      <c r="BF946" s="2"/>
      <c r="BG946" s="2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</row>
    <row r="947" ht="14.25" customHeight="1">
      <c r="AA947" s="2"/>
      <c r="AF947" s="2"/>
      <c r="AG947" s="2"/>
      <c r="AH947" s="2"/>
      <c r="AI947" s="2"/>
      <c r="AJ947" s="2"/>
      <c r="AK947" s="2"/>
      <c r="AL947" s="2"/>
      <c r="AM947" s="2"/>
      <c r="AT947" s="2"/>
      <c r="AU947" s="2"/>
      <c r="AV947" s="2"/>
      <c r="AW947" s="2"/>
      <c r="AX947" s="2"/>
      <c r="AY947" s="2"/>
      <c r="AZ947" s="2"/>
      <c r="BA947" s="2"/>
      <c r="BC947" s="2"/>
      <c r="BD947" s="2"/>
      <c r="BE947" s="2"/>
      <c r="BF947" s="2"/>
      <c r="BG947" s="2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</row>
    <row r="948" ht="14.25" customHeight="1">
      <c r="AA948" s="2"/>
      <c r="AF948" s="2"/>
      <c r="AG948" s="2"/>
      <c r="AH948" s="2"/>
      <c r="AI948" s="2"/>
      <c r="AJ948" s="2"/>
      <c r="AK948" s="2"/>
      <c r="AL948" s="2"/>
      <c r="AM948" s="2"/>
      <c r="AT948" s="2"/>
      <c r="AU948" s="2"/>
      <c r="AV948" s="2"/>
      <c r="AW948" s="2"/>
      <c r="AX948" s="2"/>
      <c r="AY948" s="2"/>
      <c r="AZ948" s="2"/>
      <c r="BA948" s="2"/>
      <c r="BC948" s="2"/>
      <c r="BD948" s="2"/>
      <c r="BE948" s="2"/>
      <c r="BF948" s="2"/>
      <c r="BG948" s="2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</row>
    <row r="949" ht="14.25" customHeight="1">
      <c r="AA949" s="2"/>
      <c r="AF949" s="2"/>
      <c r="AG949" s="2"/>
      <c r="AH949" s="2"/>
      <c r="AI949" s="2"/>
      <c r="AJ949" s="2"/>
      <c r="AK949" s="2"/>
      <c r="AL949" s="2"/>
      <c r="AM949" s="2"/>
      <c r="AT949" s="2"/>
      <c r="AU949" s="2"/>
      <c r="AV949" s="2"/>
      <c r="AW949" s="2"/>
      <c r="AX949" s="2"/>
      <c r="AY949" s="2"/>
      <c r="AZ949" s="2"/>
      <c r="BA949" s="2"/>
      <c r="BC949" s="2"/>
      <c r="BD949" s="2"/>
      <c r="BE949" s="2"/>
      <c r="BF949" s="2"/>
      <c r="BG949" s="2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</row>
    <row r="950" ht="14.25" customHeight="1">
      <c r="AA950" s="2"/>
      <c r="AF950" s="2"/>
      <c r="AG950" s="2"/>
      <c r="AH950" s="2"/>
      <c r="AI950" s="2"/>
      <c r="AJ950" s="2"/>
      <c r="AK950" s="2"/>
      <c r="AL950" s="2"/>
      <c r="AM950" s="2"/>
      <c r="AT950" s="2"/>
      <c r="AU950" s="2"/>
      <c r="AV950" s="2"/>
      <c r="AW950" s="2"/>
      <c r="AX950" s="2"/>
      <c r="AY950" s="2"/>
      <c r="AZ950" s="2"/>
      <c r="BA950" s="2"/>
      <c r="BC950" s="2"/>
      <c r="BD950" s="2"/>
      <c r="BE950" s="2"/>
      <c r="BF950" s="2"/>
      <c r="BG950" s="2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</row>
    <row r="951" ht="14.25" customHeight="1">
      <c r="AA951" s="2"/>
      <c r="AF951" s="2"/>
      <c r="AG951" s="2"/>
      <c r="AH951" s="2"/>
      <c r="AI951" s="2"/>
      <c r="AJ951" s="2"/>
      <c r="AK951" s="2"/>
      <c r="AL951" s="2"/>
      <c r="AM951" s="2"/>
      <c r="AT951" s="2"/>
      <c r="AU951" s="2"/>
      <c r="AV951" s="2"/>
      <c r="AW951" s="2"/>
      <c r="AX951" s="2"/>
      <c r="AY951" s="2"/>
      <c r="AZ951" s="2"/>
      <c r="BA951" s="2"/>
      <c r="BC951" s="2"/>
      <c r="BD951" s="2"/>
      <c r="BE951" s="2"/>
      <c r="BF951" s="2"/>
      <c r="BG951" s="2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</row>
    <row r="952" ht="14.25" customHeight="1">
      <c r="AA952" s="2"/>
      <c r="AF952" s="2"/>
      <c r="AG952" s="2"/>
      <c r="AH952" s="2"/>
      <c r="AI952" s="2"/>
      <c r="AJ952" s="2"/>
      <c r="AK952" s="2"/>
      <c r="AL952" s="2"/>
      <c r="AM952" s="2"/>
      <c r="AT952" s="2"/>
      <c r="AU952" s="2"/>
      <c r="AV952" s="2"/>
      <c r="AW952" s="2"/>
      <c r="AX952" s="2"/>
      <c r="AY952" s="2"/>
      <c r="AZ952" s="2"/>
      <c r="BA952" s="2"/>
      <c r="BC952" s="2"/>
      <c r="BD952" s="2"/>
      <c r="BE952" s="2"/>
      <c r="BF952" s="2"/>
      <c r="BG952" s="2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</row>
    <row r="953" ht="14.25" customHeight="1">
      <c r="AA953" s="2"/>
      <c r="AF953" s="2"/>
      <c r="AG953" s="2"/>
      <c r="AH953" s="2"/>
      <c r="AI953" s="2"/>
      <c r="AJ953" s="2"/>
      <c r="AK953" s="2"/>
      <c r="AL953" s="2"/>
      <c r="AM953" s="2"/>
      <c r="AT953" s="2"/>
      <c r="AU953" s="2"/>
      <c r="AV953" s="2"/>
      <c r="AW953" s="2"/>
      <c r="AX953" s="2"/>
      <c r="AY953" s="2"/>
      <c r="AZ953" s="2"/>
      <c r="BA953" s="2"/>
      <c r="BC953" s="2"/>
      <c r="BD953" s="2"/>
      <c r="BE953" s="2"/>
      <c r="BF953" s="2"/>
      <c r="BG953" s="2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</row>
    <row r="954" ht="14.25" customHeight="1">
      <c r="AA954" s="2"/>
      <c r="AF954" s="2"/>
      <c r="AG954" s="2"/>
      <c r="AH954" s="2"/>
      <c r="AI954" s="2"/>
      <c r="AJ954" s="2"/>
      <c r="AK954" s="2"/>
      <c r="AL954" s="2"/>
      <c r="AM954" s="2"/>
      <c r="AT954" s="2"/>
      <c r="AU954" s="2"/>
      <c r="AV954" s="2"/>
      <c r="AW954" s="2"/>
      <c r="AX954" s="2"/>
      <c r="AY954" s="2"/>
      <c r="AZ954" s="2"/>
      <c r="BA954" s="2"/>
      <c r="BC954" s="2"/>
      <c r="BD954" s="2"/>
      <c r="BE954" s="2"/>
      <c r="BF954" s="2"/>
      <c r="BG954" s="2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</row>
    <row r="955" ht="14.25" customHeight="1">
      <c r="AA955" s="2"/>
      <c r="AF955" s="2"/>
      <c r="AG955" s="2"/>
      <c r="AH955" s="2"/>
      <c r="AI955" s="2"/>
      <c r="AJ955" s="2"/>
      <c r="AK955" s="2"/>
      <c r="AL955" s="2"/>
      <c r="AM955" s="2"/>
      <c r="AT955" s="2"/>
      <c r="AU955" s="2"/>
      <c r="AV955" s="2"/>
      <c r="AW955" s="2"/>
      <c r="AX955" s="2"/>
      <c r="AY955" s="2"/>
      <c r="AZ955" s="2"/>
      <c r="BA955" s="2"/>
      <c r="BC955" s="2"/>
      <c r="BD955" s="2"/>
      <c r="BE955" s="2"/>
      <c r="BF955" s="2"/>
      <c r="BG955" s="2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</row>
    <row r="956" ht="14.25" customHeight="1">
      <c r="AA956" s="2"/>
      <c r="AF956" s="2"/>
      <c r="AG956" s="2"/>
      <c r="AH956" s="2"/>
      <c r="AI956" s="2"/>
      <c r="AJ956" s="2"/>
      <c r="AK956" s="2"/>
      <c r="AL956" s="2"/>
      <c r="AM956" s="2"/>
      <c r="AT956" s="2"/>
      <c r="AU956" s="2"/>
      <c r="AV956" s="2"/>
      <c r="AW956" s="2"/>
      <c r="AX956" s="2"/>
      <c r="AY956" s="2"/>
      <c r="AZ956" s="2"/>
      <c r="BA956" s="2"/>
      <c r="BC956" s="2"/>
      <c r="BD956" s="2"/>
      <c r="BE956" s="2"/>
      <c r="BF956" s="2"/>
      <c r="BG956" s="2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</row>
    <row r="957" ht="14.25" customHeight="1">
      <c r="AA957" s="2"/>
      <c r="AF957" s="2"/>
      <c r="AG957" s="2"/>
      <c r="AH957" s="2"/>
      <c r="AI957" s="2"/>
      <c r="AJ957" s="2"/>
      <c r="AK957" s="2"/>
      <c r="AL957" s="2"/>
      <c r="AM957" s="2"/>
      <c r="AT957" s="2"/>
      <c r="AU957" s="2"/>
      <c r="AV957" s="2"/>
      <c r="AW957" s="2"/>
      <c r="AX957" s="2"/>
      <c r="AY957" s="2"/>
      <c r="AZ957" s="2"/>
      <c r="BA957" s="2"/>
      <c r="BC957" s="2"/>
      <c r="BD957" s="2"/>
      <c r="BE957" s="2"/>
      <c r="BF957" s="2"/>
      <c r="BG957" s="2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</row>
    <row r="958" ht="14.25" customHeight="1">
      <c r="AA958" s="2"/>
      <c r="AF958" s="2"/>
      <c r="AG958" s="2"/>
      <c r="AH958" s="2"/>
      <c r="AI958" s="2"/>
      <c r="AJ958" s="2"/>
      <c r="AK958" s="2"/>
      <c r="AL958" s="2"/>
      <c r="AM958" s="2"/>
      <c r="AT958" s="2"/>
      <c r="AU958" s="2"/>
      <c r="AV958" s="2"/>
      <c r="AW958" s="2"/>
      <c r="AX958" s="2"/>
      <c r="AY958" s="2"/>
      <c r="AZ958" s="2"/>
      <c r="BA958" s="2"/>
      <c r="BC958" s="2"/>
      <c r="BD958" s="2"/>
      <c r="BE958" s="2"/>
      <c r="BF958" s="2"/>
      <c r="BG958" s="2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</row>
    <row r="959" ht="14.25" customHeight="1">
      <c r="AA959" s="2"/>
      <c r="AF959" s="2"/>
      <c r="AG959" s="2"/>
      <c r="AH959" s="2"/>
      <c r="AI959" s="2"/>
      <c r="AJ959" s="2"/>
      <c r="AK959" s="2"/>
      <c r="AL959" s="2"/>
      <c r="AM959" s="2"/>
      <c r="AT959" s="2"/>
      <c r="AU959" s="2"/>
      <c r="AV959" s="2"/>
      <c r="AW959" s="2"/>
      <c r="AX959" s="2"/>
      <c r="AY959" s="2"/>
      <c r="AZ959" s="2"/>
      <c r="BA959" s="2"/>
      <c r="BC959" s="2"/>
      <c r="BD959" s="2"/>
      <c r="BE959" s="2"/>
      <c r="BF959" s="2"/>
      <c r="BG959" s="2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</row>
    <row r="960" ht="14.25" customHeight="1">
      <c r="AA960" s="2"/>
      <c r="AF960" s="2"/>
      <c r="AG960" s="2"/>
      <c r="AH960" s="2"/>
      <c r="AI960" s="2"/>
      <c r="AJ960" s="2"/>
      <c r="AK960" s="2"/>
      <c r="AL960" s="2"/>
      <c r="AM960" s="2"/>
      <c r="AT960" s="2"/>
      <c r="AU960" s="2"/>
      <c r="AV960" s="2"/>
      <c r="AW960" s="2"/>
      <c r="AX960" s="2"/>
      <c r="AY960" s="2"/>
      <c r="AZ960" s="2"/>
      <c r="BA960" s="2"/>
      <c r="BC960" s="2"/>
      <c r="BD960" s="2"/>
      <c r="BE960" s="2"/>
      <c r="BF960" s="2"/>
      <c r="BG960" s="2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</row>
    <row r="961" ht="14.25" customHeight="1">
      <c r="AA961" s="2"/>
      <c r="AF961" s="2"/>
      <c r="AG961" s="2"/>
      <c r="AH961" s="2"/>
      <c r="AI961" s="2"/>
      <c r="AJ961" s="2"/>
      <c r="AK961" s="2"/>
      <c r="AL961" s="2"/>
      <c r="AM961" s="2"/>
      <c r="AT961" s="2"/>
      <c r="AU961" s="2"/>
      <c r="AV961" s="2"/>
      <c r="AW961" s="2"/>
      <c r="AX961" s="2"/>
      <c r="AY961" s="2"/>
      <c r="AZ961" s="2"/>
      <c r="BA961" s="2"/>
      <c r="BC961" s="2"/>
      <c r="BD961" s="2"/>
      <c r="BE961" s="2"/>
      <c r="BF961" s="2"/>
      <c r="BG961" s="2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</row>
    <row r="962" ht="14.25" customHeight="1">
      <c r="AA962" s="2"/>
      <c r="AF962" s="2"/>
      <c r="AG962" s="2"/>
      <c r="AH962" s="2"/>
      <c r="AI962" s="2"/>
      <c r="AJ962" s="2"/>
      <c r="AK962" s="2"/>
      <c r="AL962" s="2"/>
      <c r="AM962" s="2"/>
      <c r="AT962" s="2"/>
      <c r="AU962" s="2"/>
      <c r="AV962" s="2"/>
      <c r="AW962" s="2"/>
      <c r="AX962" s="2"/>
      <c r="AY962" s="2"/>
      <c r="AZ962" s="2"/>
      <c r="BA962" s="2"/>
      <c r="BC962" s="2"/>
      <c r="BD962" s="2"/>
      <c r="BE962" s="2"/>
      <c r="BF962" s="2"/>
      <c r="BG962" s="2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</row>
    <row r="963" ht="14.25" customHeight="1">
      <c r="AA963" s="2"/>
      <c r="AF963" s="2"/>
      <c r="AG963" s="2"/>
      <c r="AH963" s="2"/>
      <c r="AI963" s="2"/>
      <c r="AJ963" s="2"/>
      <c r="AK963" s="2"/>
      <c r="AL963" s="2"/>
      <c r="AM963" s="2"/>
      <c r="AT963" s="2"/>
      <c r="AU963" s="2"/>
      <c r="AV963" s="2"/>
      <c r="AW963" s="2"/>
      <c r="AX963" s="2"/>
      <c r="AY963" s="2"/>
      <c r="AZ963" s="2"/>
      <c r="BA963" s="2"/>
      <c r="BC963" s="2"/>
      <c r="BD963" s="2"/>
      <c r="BE963" s="2"/>
      <c r="BF963" s="2"/>
      <c r="BG963" s="2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</row>
    <row r="964" ht="14.25" customHeight="1">
      <c r="AA964" s="2"/>
      <c r="AF964" s="2"/>
      <c r="AG964" s="2"/>
      <c r="AH964" s="2"/>
      <c r="AI964" s="2"/>
      <c r="AJ964" s="2"/>
      <c r="AK964" s="2"/>
      <c r="AL964" s="2"/>
      <c r="AM964" s="2"/>
      <c r="AT964" s="2"/>
      <c r="AU964" s="2"/>
      <c r="AV964" s="2"/>
      <c r="AW964" s="2"/>
      <c r="AX964" s="2"/>
      <c r="AY964" s="2"/>
      <c r="AZ964" s="2"/>
      <c r="BA964" s="2"/>
      <c r="BC964" s="2"/>
      <c r="BD964" s="2"/>
      <c r="BE964" s="2"/>
      <c r="BF964" s="2"/>
      <c r="BG964" s="2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</row>
    <row r="965" ht="14.25" customHeight="1">
      <c r="AA965" s="2"/>
      <c r="AF965" s="2"/>
      <c r="AG965" s="2"/>
      <c r="AH965" s="2"/>
      <c r="AI965" s="2"/>
      <c r="AJ965" s="2"/>
      <c r="AK965" s="2"/>
      <c r="AL965" s="2"/>
      <c r="AM965" s="2"/>
      <c r="AT965" s="2"/>
      <c r="AU965" s="2"/>
      <c r="AV965" s="2"/>
      <c r="AW965" s="2"/>
      <c r="AX965" s="2"/>
      <c r="AY965" s="2"/>
      <c r="AZ965" s="2"/>
      <c r="BA965" s="2"/>
      <c r="BC965" s="2"/>
      <c r="BD965" s="2"/>
      <c r="BE965" s="2"/>
      <c r="BF965" s="2"/>
      <c r="BG965" s="2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</row>
    <row r="966" ht="14.25" customHeight="1">
      <c r="AA966" s="2"/>
      <c r="AF966" s="2"/>
      <c r="AG966" s="2"/>
      <c r="AH966" s="2"/>
      <c r="AI966" s="2"/>
      <c r="AJ966" s="2"/>
      <c r="AK966" s="2"/>
      <c r="AL966" s="2"/>
      <c r="AM966" s="2"/>
      <c r="AT966" s="2"/>
      <c r="AU966" s="2"/>
      <c r="AV966" s="2"/>
      <c r="AW966" s="2"/>
      <c r="AX966" s="2"/>
      <c r="AY966" s="2"/>
      <c r="AZ966" s="2"/>
      <c r="BA966" s="2"/>
      <c r="BC966" s="2"/>
      <c r="BD966" s="2"/>
      <c r="BE966" s="2"/>
      <c r="BF966" s="2"/>
      <c r="BG966" s="2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</row>
    <row r="967" ht="14.25" customHeight="1">
      <c r="AA967" s="2"/>
      <c r="AF967" s="2"/>
      <c r="AG967" s="2"/>
      <c r="AH967" s="2"/>
      <c r="AI967" s="2"/>
      <c r="AJ967" s="2"/>
      <c r="AK967" s="2"/>
      <c r="AL967" s="2"/>
      <c r="AM967" s="2"/>
      <c r="AT967" s="2"/>
      <c r="AU967" s="2"/>
      <c r="AV967" s="2"/>
      <c r="AW967" s="2"/>
      <c r="AX967" s="2"/>
      <c r="AY967" s="2"/>
      <c r="AZ967" s="2"/>
      <c r="BA967" s="2"/>
      <c r="BC967" s="2"/>
      <c r="BD967" s="2"/>
      <c r="BE967" s="2"/>
      <c r="BF967" s="2"/>
      <c r="BG967" s="2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</row>
    <row r="968" ht="14.25" customHeight="1">
      <c r="AA968" s="2"/>
      <c r="AF968" s="2"/>
      <c r="AG968" s="2"/>
      <c r="AH968" s="2"/>
      <c r="AI968" s="2"/>
      <c r="AJ968" s="2"/>
      <c r="AK968" s="2"/>
      <c r="AL968" s="2"/>
      <c r="AM968" s="2"/>
      <c r="AT968" s="2"/>
      <c r="AU968" s="2"/>
      <c r="AV968" s="2"/>
      <c r="AW968" s="2"/>
      <c r="AX968" s="2"/>
      <c r="AY968" s="2"/>
      <c r="AZ968" s="2"/>
      <c r="BA968" s="2"/>
      <c r="BC968" s="2"/>
      <c r="BD968" s="2"/>
      <c r="BE968" s="2"/>
      <c r="BF968" s="2"/>
      <c r="BG968" s="2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</row>
    <row r="969" ht="14.25" customHeight="1">
      <c r="AA969" s="2"/>
      <c r="AF969" s="2"/>
      <c r="AG969" s="2"/>
      <c r="AH969" s="2"/>
      <c r="AI969" s="2"/>
      <c r="AJ969" s="2"/>
      <c r="AK969" s="2"/>
      <c r="AL969" s="2"/>
      <c r="AM969" s="2"/>
      <c r="AT969" s="2"/>
      <c r="AU969" s="2"/>
      <c r="AV969" s="2"/>
      <c r="AW969" s="2"/>
      <c r="AX969" s="2"/>
      <c r="AY969" s="2"/>
      <c r="AZ969" s="2"/>
      <c r="BA969" s="2"/>
      <c r="BC969" s="2"/>
      <c r="BD969" s="2"/>
      <c r="BE969" s="2"/>
      <c r="BF969" s="2"/>
      <c r="BG969" s="2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</row>
    <row r="970" ht="14.25" customHeight="1">
      <c r="AA970" s="2"/>
      <c r="AF970" s="2"/>
      <c r="AG970" s="2"/>
      <c r="AH970" s="2"/>
      <c r="AI970" s="2"/>
      <c r="AJ970" s="2"/>
      <c r="AK970" s="2"/>
      <c r="AL970" s="2"/>
      <c r="AM970" s="2"/>
      <c r="AT970" s="2"/>
      <c r="AU970" s="2"/>
      <c r="AV970" s="2"/>
      <c r="AW970" s="2"/>
      <c r="AX970" s="2"/>
      <c r="AY970" s="2"/>
      <c r="AZ970" s="2"/>
      <c r="BA970" s="2"/>
      <c r="BC970" s="2"/>
      <c r="BD970" s="2"/>
      <c r="BE970" s="2"/>
      <c r="BF970" s="2"/>
      <c r="BG970" s="2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</row>
    <row r="971" ht="14.25" customHeight="1">
      <c r="AA971" s="2"/>
      <c r="AF971" s="2"/>
      <c r="AG971" s="2"/>
      <c r="AH971" s="2"/>
      <c r="AI971" s="2"/>
      <c r="AJ971" s="2"/>
      <c r="AK971" s="2"/>
      <c r="AL971" s="2"/>
      <c r="AM971" s="2"/>
      <c r="AT971" s="2"/>
      <c r="AU971" s="2"/>
      <c r="AV971" s="2"/>
      <c r="AW971" s="2"/>
      <c r="AX971" s="2"/>
      <c r="AY971" s="2"/>
      <c r="AZ971" s="2"/>
      <c r="BA971" s="2"/>
      <c r="BC971" s="2"/>
      <c r="BD971" s="2"/>
      <c r="BE971" s="2"/>
      <c r="BF971" s="2"/>
      <c r="BG971" s="2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</row>
    <row r="972" ht="14.25" customHeight="1">
      <c r="AA972" s="2"/>
      <c r="AF972" s="2"/>
      <c r="AG972" s="2"/>
      <c r="AH972" s="2"/>
      <c r="AI972" s="2"/>
      <c r="AJ972" s="2"/>
      <c r="AK972" s="2"/>
      <c r="AL972" s="2"/>
      <c r="AM972" s="2"/>
      <c r="AT972" s="2"/>
      <c r="AU972" s="2"/>
      <c r="AV972" s="2"/>
      <c r="AW972" s="2"/>
      <c r="AX972" s="2"/>
      <c r="AY972" s="2"/>
      <c r="AZ972" s="2"/>
      <c r="BA972" s="2"/>
      <c r="BC972" s="2"/>
      <c r="BD972" s="2"/>
      <c r="BE972" s="2"/>
      <c r="BF972" s="2"/>
      <c r="BG972" s="2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</row>
    <row r="973" ht="14.25" customHeight="1">
      <c r="AA973" s="2"/>
      <c r="AF973" s="2"/>
      <c r="AG973" s="2"/>
      <c r="AH973" s="2"/>
      <c r="AI973" s="2"/>
      <c r="AJ973" s="2"/>
      <c r="AK973" s="2"/>
      <c r="AL973" s="2"/>
      <c r="AM973" s="2"/>
      <c r="AT973" s="2"/>
      <c r="AU973" s="2"/>
      <c r="AV973" s="2"/>
      <c r="AW973" s="2"/>
      <c r="AX973" s="2"/>
      <c r="AY973" s="2"/>
      <c r="AZ973" s="2"/>
      <c r="BA973" s="2"/>
      <c r="BC973" s="2"/>
      <c r="BD973" s="2"/>
      <c r="BE973" s="2"/>
      <c r="BF973" s="2"/>
      <c r="BG973" s="2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</row>
    <row r="974" ht="14.25" customHeight="1">
      <c r="AA974" s="2"/>
      <c r="AF974" s="2"/>
      <c r="AG974" s="2"/>
      <c r="AH974" s="2"/>
      <c r="AI974" s="2"/>
      <c r="AJ974" s="2"/>
      <c r="AK974" s="2"/>
      <c r="AL974" s="2"/>
      <c r="AM974" s="2"/>
      <c r="AT974" s="2"/>
      <c r="AU974" s="2"/>
      <c r="AV974" s="2"/>
      <c r="AW974" s="2"/>
      <c r="AX974" s="2"/>
      <c r="AY974" s="2"/>
      <c r="AZ974" s="2"/>
      <c r="BA974" s="2"/>
      <c r="BC974" s="2"/>
      <c r="BD974" s="2"/>
      <c r="BE974" s="2"/>
      <c r="BF974" s="2"/>
      <c r="BG974" s="2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</row>
    <row r="975" ht="14.25" customHeight="1">
      <c r="AA975" s="2"/>
      <c r="AF975" s="2"/>
      <c r="AG975" s="2"/>
      <c r="AH975" s="2"/>
      <c r="AI975" s="2"/>
      <c r="AJ975" s="2"/>
      <c r="AK975" s="2"/>
      <c r="AL975" s="2"/>
      <c r="AM975" s="2"/>
      <c r="AT975" s="2"/>
      <c r="AU975" s="2"/>
      <c r="AV975" s="2"/>
      <c r="AW975" s="2"/>
      <c r="AX975" s="2"/>
      <c r="AY975" s="2"/>
      <c r="AZ975" s="2"/>
      <c r="BA975" s="2"/>
      <c r="BC975" s="2"/>
      <c r="BD975" s="2"/>
      <c r="BE975" s="2"/>
      <c r="BF975" s="2"/>
      <c r="BG975" s="2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</row>
    <row r="976" ht="14.25" customHeight="1">
      <c r="AA976" s="2"/>
      <c r="AF976" s="2"/>
      <c r="AG976" s="2"/>
      <c r="AH976" s="2"/>
      <c r="AI976" s="2"/>
      <c r="AJ976" s="2"/>
      <c r="AK976" s="2"/>
      <c r="AL976" s="2"/>
      <c r="AM976" s="2"/>
      <c r="AT976" s="2"/>
      <c r="AU976" s="2"/>
      <c r="AV976" s="2"/>
      <c r="AW976" s="2"/>
      <c r="AX976" s="2"/>
      <c r="AY976" s="2"/>
      <c r="AZ976" s="2"/>
      <c r="BA976" s="2"/>
      <c r="BC976" s="2"/>
      <c r="BD976" s="2"/>
      <c r="BE976" s="2"/>
      <c r="BF976" s="2"/>
      <c r="BG976" s="2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</row>
    <row r="977" ht="14.25" customHeight="1">
      <c r="AA977" s="2"/>
      <c r="AF977" s="2"/>
      <c r="AG977" s="2"/>
      <c r="AH977" s="2"/>
      <c r="AI977" s="2"/>
      <c r="AJ977" s="2"/>
      <c r="AK977" s="2"/>
      <c r="AL977" s="2"/>
      <c r="AM977" s="2"/>
      <c r="AT977" s="2"/>
      <c r="AU977" s="2"/>
      <c r="AV977" s="2"/>
      <c r="AW977" s="2"/>
      <c r="AX977" s="2"/>
      <c r="AY977" s="2"/>
      <c r="AZ977" s="2"/>
      <c r="BA977" s="2"/>
      <c r="BC977" s="2"/>
      <c r="BD977" s="2"/>
      <c r="BE977" s="2"/>
      <c r="BF977" s="2"/>
      <c r="BG977" s="2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</row>
    <row r="978" ht="14.25" customHeight="1">
      <c r="AA978" s="2"/>
      <c r="AF978" s="2"/>
      <c r="AG978" s="2"/>
      <c r="AH978" s="2"/>
      <c r="AI978" s="2"/>
      <c r="AJ978" s="2"/>
      <c r="AK978" s="2"/>
      <c r="AL978" s="2"/>
      <c r="AM978" s="2"/>
      <c r="AT978" s="2"/>
      <c r="AU978" s="2"/>
      <c r="AV978" s="2"/>
      <c r="AW978" s="2"/>
      <c r="AX978" s="2"/>
      <c r="AY978" s="2"/>
      <c r="AZ978" s="2"/>
      <c r="BA978" s="2"/>
      <c r="BC978" s="2"/>
      <c r="BD978" s="2"/>
      <c r="BE978" s="2"/>
      <c r="BF978" s="2"/>
      <c r="BG978" s="2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</row>
    <row r="979" ht="14.25" customHeight="1">
      <c r="AA979" s="2"/>
      <c r="AF979" s="2"/>
      <c r="AG979" s="2"/>
      <c r="AH979" s="2"/>
      <c r="AI979" s="2"/>
      <c r="AJ979" s="2"/>
      <c r="AK979" s="2"/>
      <c r="AL979" s="2"/>
      <c r="AM979" s="2"/>
      <c r="AT979" s="2"/>
      <c r="AU979" s="2"/>
      <c r="AV979" s="2"/>
      <c r="AW979" s="2"/>
      <c r="AX979" s="2"/>
      <c r="AY979" s="2"/>
      <c r="AZ979" s="2"/>
      <c r="BA979" s="2"/>
      <c r="BC979" s="2"/>
      <c r="BD979" s="2"/>
      <c r="BE979" s="2"/>
      <c r="BF979" s="2"/>
      <c r="BG979" s="2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</row>
    <row r="980" ht="14.25" customHeight="1">
      <c r="AA980" s="2"/>
      <c r="AF980" s="2"/>
      <c r="AG980" s="2"/>
      <c r="AH980" s="2"/>
      <c r="AI980" s="2"/>
      <c r="AJ980" s="2"/>
      <c r="AK980" s="2"/>
      <c r="AL980" s="2"/>
      <c r="AM980" s="2"/>
      <c r="AT980" s="2"/>
      <c r="AU980" s="2"/>
      <c r="AV980" s="2"/>
      <c r="AW980" s="2"/>
      <c r="AX980" s="2"/>
      <c r="AY980" s="2"/>
      <c r="AZ980" s="2"/>
      <c r="BA980" s="2"/>
      <c r="BC980" s="2"/>
      <c r="BD980" s="2"/>
      <c r="BE980" s="2"/>
      <c r="BF980" s="2"/>
      <c r="BG980" s="2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</row>
    <row r="981" ht="14.25" customHeight="1">
      <c r="AA981" s="2"/>
      <c r="AF981" s="2"/>
      <c r="AG981" s="2"/>
      <c r="AH981" s="2"/>
      <c r="AI981" s="2"/>
      <c r="AJ981" s="2"/>
      <c r="AK981" s="2"/>
      <c r="AL981" s="2"/>
      <c r="AM981" s="2"/>
      <c r="AT981" s="2"/>
      <c r="AU981" s="2"/>
      <c r="AV981" s="2"/>
      <c r="AW981" s="2"/>
      <c r="AX981" s="2"/>
      <c r="AY981" s="2"/>
      <c r="AZ981" s="2"/>
      <c r="BA981" s="2"/>
      <c r="BC981" s="2"/>
      <c r="BD981" s="2"/>
      <c r="BE981" s="2"/>
      <c r="BF981" s="2"/>
      <c r="BG981" s="2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</row>
    <row r="982" ht="14.25" customHeight="1">
      <c r="AA982" s="2"/>
      <c r="AF982" s="2"/>
      <c r="AG982" s="2"/>
      <c r="AH982" s="2"/>
      <c r="AI982" s="2"/>
      <c r="AJ982" s="2"/>
      <c r="AK982" s="2"/>
      <c r="AL982" s="2"/>
      <c r="AM982" s="2"/>
      <c r="AT982" s="2"/>
      <c r="AU982" s="2"/>
      <c r="AV982" s="2"/>
      <c r="AW982" s="2"/>
      <c r="AX982" s="2"/>
      <c r="AY982" s="2"/>
      <c r="AZ982" s="2"/>
      <c r="BA982" s="2"/>
      <c r="BC982" s="2"/>
      <c r="BD982" s="2"/>
      <c r="BE982" s="2"/>
      <c r="BF982" s="2"/>
      <c r="BG982" s="2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</row>
    <row r="983" ht="14.25" customHeight="1">
      <c r="AA983" s="2"/>
      <c r="AF983" s="2"/>
      <c r="AG983" s="2"/>
      <c r="AH983" s="2"/>
      <c r="AI983" s="2"/>
      <c r="AJ983" s="2"/>
      <c r="AK983" s="2"/>
      <c r="AL983" s="2"/>
      <c r="AM983" s="2"/>
      <c r="AT983" s="2"/>
      <c r="AU983" s="2"/>
      <c r="AV983" s="2"/>
      <c r="AW983" s="2"/>
      <c r="AX983" s="2"/>
      <c r="AY983" s="2"/>
      <c r="AZ983" s="2"/>
      <c r="BA983" s="2"/>
      <c r="BC983" s="2"/>
      <c r="BD983" s="2"/>
      <c r="BE983" s="2"/>
      <c r="BF983" s="2"/>
      <c r="BG983" s="2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</row>
    <row r="984" ht="14.25" customHeight="1">
      <c r="AA984" s="2"/>
      <c r="AF984" s="2"/>
      <c r="AG984" s="2"/>
      <c r="AH984" s="2"/>
      <c r="AI984" s="2"/>
      <c r="AJ984" s="2"/>
      <c r="AK984" s="2"/>
      <c r="AL984" s="2"/>
      <c r="AM984" s="2"/>
      <c r="AT984" s="2"/>
      <c r="AU984" s="2"/>
      <c r="AV984" s="2"/>
      <c r="AW984" s="2"/>
      <c r="AX984" s="2"/>
      <c r="AY984" s="2"/>
      <c r="AZ984" s="2"/>
      <c r="BA984" s="2"/>
      <c r="BC984" s="2"/>
      <c r="BD984" s="2"/>
      <c r="BE984" s="2"/>
      <c r="BF984" s="2"/>
      <c r="BG984" s="2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</row>
    <row r="985" ht="14.25" customHeight="1">
      <c r="AA985" s="2"/>
      <c r="AF985" s="2"/>
      <c r="AG985" s="2"/>
      <c r="AH985" s="2"/>
      <c r="AI985" s="2"/>
      <c r="AJ985" s="2"/>
      <c r="AK985" s="2"/>
      <c r="AL985" s="2"/>
      <c r="AM985" s="2"/>
      <c r="AT985" s="2"/>
      <c r="AU985" s="2"/>
      <c r="AV985" s="2"/>
      <c r="AW985" s="2"/>
      <c r="AX985" s="2"/>
      <c r="AY985" s="2"/>
      <c r="AZ985" s="2"/>
      <c r="BA985" s="2"/>
      <c r="BC985" s="2"/>
      <c r="BD985" s="2"/>
      <c r="BE985" s="2"/>
      <c r="BF985" s="2"/>
      <c r="BG985" s="2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</row>
    <row r="986" ht="14.25" customHeight="1">
      <c r="AA986" s="2"/>
      <c r="AF986" s="2"/>
      <c r="AG986" s="2"/>
      <c r="AH986" s="2"/>
      <c r="AI986" s="2"/>
      <c r="AJ986" s="2"/>
      <c r="AK986" s="2"/>
      <c r="AL986" s="2"/>
      <c r="AM986" s="2"/>
      <c r="AT986" s="2"/>
      <c r="AU986" s="2"/>
      <c r="AV986" s="2"/>
      <c r="AW986" s="2"/>
      <c r="AX986" s="2"/>
      <c r="AY986" s="2"/>
      <c r="AZ986" s="2"/>
      <c r="BA986" s="2"/>
      <c r="BC986" s="2"/>
      <c r="BD986" s="2"/>
      <c r="BE986" s="2"/>
      <c r="BF986" s="2"/>
      <c r="BG986" s="2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</row>
    <row r="987" ht="14.25" customHeight="1">
      <c r="AA987" s="2"/>
      <c r="AF987" s="2"/>
      <c r="AG987" s="2"/>
      <c r="AH987" s="2"/>
      <c r="AI987" s="2"/>
      <c r="AJ987" s="2"/>
      <c r="AK987" s="2"/>
      <c r="AL987" s="2"/>
      <c r="AM987" s="2"/>
      <c r="AT987" s="2"/>
      <c r="AU987" s="2"/>
      <c r="AV987" s="2"/>
      <c r="AW987" s="2"/>
      <c r="AX987" s="2"/>
      <c r="AY987" s="2"/>
      <c r="AZ987" s="2"/>
      <c r="BA987" s="2"/>
      <c r="BC987" s="2"/>
      <c r="BD987" s="2"/>
      <c r="BE987" s="2"/>
      <c r="BF987" s="2"/>
      <c r="BG987" s="2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</row>
    <row r="988" ht="14.25" customHeight="1">
      <c r="AA988" s="2"/>
      <c r="AF988" s="2"/>
      <c r="AG988" s="2"/>
      <c r="AH988" s="2"/>
      <c r="AI988" s="2"/>
      <c r="AJ988" s="2"/>
      <c r="AK988" s="2"/>
      <c r="AL988" s="2"/>
      <c r="AM988" s="2"/>
      <c r="AT988" s="2"/>
      <c r="AU988" s="2"/>
      <c r="AV988" s="2"/>
      <c r="AW988" s="2"/>
      <c r="AX988" s="2"/>
      <c r="AY988" s="2"/>
      <c r="AZ988" s="2"/>
      <c r="BA988" s="2"/>
      <c r="BC988" s="2"/>
      <c r="BD988" s="2"/>
      <c r="BE988" s="2"/>
      <c r="BF988" s="2"/>
      <c r="BG988" s="2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</row>
    <row r="989" ht="14.25" customHeight="1">
      <c r="AA989" s="2"/>
      <c r="AF989" s="2"/>
      <c r="AG989" s="2"/>
      <c r="AH989" s="2"/>
      <c r="AI989" s="2"/>
      <c r="AJ989" s="2"/>
      <c r="AK989" s="2"/>
      <c r="AL989" s="2"/>
      <c r="AM989" s="2"/>
      <c r="AT989" s="2"/>
      <c r="AU989" s="2"/>
      <c r="AV989" s="2"/>
      <c r="AW989" s="2"/>
      <c r="AX989" s="2"/>
      <c r="AY989" s="2"/>
      <c r="AZ989" s="2"/>
      <c r="BA989" s="2"/>
      <c r="BC989" s="2"/>
      <c r="BD989" s="2"/>
      <c r="BE989" s="2"/>
      <c r="BF989" s="2"/>
      <c r="BG989" s="2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</row>
    <row r="990" ht="14.25" customHeight="1">
      <c r="AA990" s="2"/>
      <c r="AF990" s="2"/>
      <c r="AG990" s="2"/>
      <c r="AH990" s="2"/>
      <c r="AI990" s="2"/>
      <c r="AJ990" s="2"/>
      <c r="AK990" s="2"/>
      <c r="AL990" s="2"/>
      <c r="AM990" s="2"/>
      <c r="AT990" s="2"/>
      <c r="AU990" s="2"/>
      <c r="AV990" s="2"/>
      <c r="AW990" s="2"/>
      <c r="AX990" s="2"/>
      <c r="AY990" s="2"/>
      <c r="AZ990" s="2"/>
      <c r="BA990" s="2"/>
      <c r="BC990" s="2"/>
      <c r="BD990" s="2"/>
      <c r="BE990" s="2"/>
      <c r="BF990" s="2"/>
      <c r="BG990" s="2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</row>
    <row r="991" ht="14.25" customHeight="1">
      <c r="AA991" s="2"/>
      <c r="AF991" s="2"/>
      <c r="AG991" s="2"/>
      <c r="AH991" s="2"/>
      <c r="AI991" s="2"/>
      <c r="AJ991" s="2"/>
      <c r="AK991" s="2"/>
      <c r="AL991" s="2"/>
      <c r="AM991" s="2"/>
      <c r="AT991" s="2"/>
      <c r="AU991" s="2"/>
      <c r="AV991" s="2"/>
      <c r="AW991" s="2"/>
      <c r="AX991" s="2"/>
      <c r="AY991" s="2"/>
      <c r="AZ991" s="2"/>
      <c r="BA991" s="2"/>
      <c r="BC991" s="2"/>
      <c r="BD991" s="2"/>
      <c r="BE991" s="2"/>
      <c r="BF991" s="2"/>
      <c r="BG991" s="2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</row>
    <row r="992" ht="14.25" customHeight="1">
      <c r="AA992" s="2"/>
      <c r="AF992" s="2"/>
      <c r="AG992" s="2"/>
      <c r="AH992" s="2"/>
      <c r="AI992" s="2"/>
      <c r="AJ992" s="2"/>
      <c r="AK992" s="2"/>
      <c r="AL992" s="2"/>
      <c r="AM992" s="2"/>
      <c r="AT992" s="2"/>
      <c r="AU992" s="2"/>
      <c r="AV992" s="2"/>
      <c r="AW992" s="2"/>
      <c r="AX992" s="2"/>
      <c r="AY992" s="2"/>
      <c r="AZ992" s="2"/>
      <c r="BA992" s="2"/>
      <c r="BC992" s="2"/>
      <c r="BD992" s="2"/>
      <c r="BE992" s="2"/>
      <c r="BF992" s="2"/>
      <c r="BG992" s="2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</row>
    <row r="993" ht="14.25" customHeight="1">
      <c r="AA993" s="2"/>
      <c r="AF993" s="2"/>
      <c r="AG993" s="2"/>
      <c r="AH993" s="2"/>
      <c r="AI993" s="2"/>
      <c r="AJ993" s="2"/>
      <c r="AK993" s="2"/>
      <c r="AL993" s="2"/>
      <c r="AM993" s="2"/>
      <c r="AT993" s="2"/>
      <c r="AU993" s="2"/>
      <c r="AV993" s="2"/>
      <c r="AW993" s="2"/>
      <c r="AX993" s="2"/>
      <c r="AY993" s="2"/>
      <c r="AZ993" s="2"/>
      <c r="BA993" s="2"/>
      <c r="BC993" s="2"/>
      <c r="BD993" s="2"/>
      <c r="BE993" s="2"/>
      <c r="BF993" s="2"/>
      <c r="BG993" s="2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</row>
    <row r="994" ht="14.25" customHeight="1">
      <c r="AA994" s="2"/>
      <c r="AF994" s="2"/>
      <c r="AG994" s="2"/>
      <c r="AH994" s="2"/>
      <c r="AI994" s="2"/>
      <c r="AJ994" s="2"/>
      <c r="AK994" s="2"/>
      <c r="AL994" s="2"/>
      <c r="AM994" s="2"/>
      <c r="AT994" s="2"/>
      <c r="AU994" s="2"/>
      <c r="AV994" s="2"/>
      <c r="AW994" s="2"/>
      <c r="AX994" s="2"/>
      <c r="AY994" s="2"/>
      <c r="AZ994" s="2"/>
      <c r="BA994" s="2"/>
      <c r="BC994" s="2"/>
      <c r="BD994" s="2"/>
      <c r="BE994" s="2"/>
      <c r="BF994" s="2"/>
      <c r="BG994" s="2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</row>
    <row r="995" ht="14.25" customHeight="1">
      <c r="AA995" s="2"/>
      <c r="AF995" s="2"/>
      <c r="AG995" s="2"/>
      <c r="AH995" s="2"/>
      <c r="AI995" s="2"/>
      <c r="AJ995" s="2"/>
      <c r="AK995" s="2"/>
      <c r="AL995" s="2"/>
      <c r="AM995" s="2"/>
      <c r="AT995" s="2"/>
      <c r="AU995" s="2"/>
      <c r="AV995" s="2"/>
      <c r="AW995" s="2"/>
      <c r="AX995" s="2"/>
      <c r="AY995" s="2"/>
      <c r="AZ995" s="2"/>
      <c r="BA995" s="2"/>
      <c r="BC995" s="2"/>
      <c r="BD995" s="2"/>
      <c r="BE995" s="2"/>
      <c r="BF995" s="2"/>
      <c r="BG995" s="2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</row>
    <row r="996" ht="14.25" customHeight="1">
      <c r="AA996" s="2"/>
      <c r="AF996" s="2"/>
      <c r="AG996" s="2"/>
      <c r="AH996" s="2"/>
      <c r="AI996" s="2"/>
      <c r="AJ996" s="2"/>
      <c r="AK996" s="2"/>
      <c r="AL996" s="2"/>
      <c r="AM996" s="2"/>
      <c r="AT996" s="2"/>
      <c r="AU996" s="2"/>
      <c r="AV996" s="2"/>
      <c r="AW996" s="2"/>
      <c r="AX996" s="2"/>
      <c r="AY996" s="2"/>
      <c r="AZ996" s="2"/>
      <c r="BA996" s="2"/>
      <c r="BC996" s="2"/>
      <c r="BD996" s="2"/>
      <c r="BE996" s="2"/>
      <c r="BF996" s="2"/>
      <c r="BG996" s="2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</row>
    <row r="997" ht="14.25" customHeight="1">
      <c r="AA997" s="2"/>
      <c r="AF997" s="2"/>
      <c r="AG997" s="2"/>
      <c r="AH997" s="2"/>
      <c r="AI997" s="2"/>
      <c r="AJ997" s="2"/>
      <c r="AK997" s="2"/>
      <c r="AL997" s="2"/>
      <c r="AM997" s="2"/>
      <c r="AT997" s="2"/>
      <c r="AU997" s="2"/>
      <c r="AV997" s="2"/>
      <c r="AW997" s="2"/>
      <c r="AX997" s="2"/>
      <c r="AY997" s="2"/>
      <c r="AZ997" s="2"/>
      <c r="BA997" s="2"/>
      <c r="BC997" s="2"/>
      <c r="BD997" s="2"/>
      <c r="BE997" s="2"/>
      <c r="BF997" s="2"/>
      <c r="BG997" s="2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</row>
    <row r="998" ht="14.25" customHeight="1">
      <c r="AA998" s="2"/>
      <c r="AF998" s="2"/>
      <c r="AG998" s="2"/>
      <c r="AH998" s="2"/>
      <c r="AI998" s="2"/>
      <c r="AJ998" s="2"/>
      <c r="AK998" s="2"/>
      <c r="AL998" s="2"/>
      <c r="AM998" s="2"/>
      <c r="AT998" s="2"/>
      <c r="AU998" s="2"/>
      <c r="AV998" s="2"/>
      <c r="AW998" s="2"/>
      <c r="AX998" s="2"/>
      <c r="AY998" s="2"/>
      <c r="AZ998" s="2"/>
      <c r="BA998" s="2"/>
      <c r="BC998" s="2"/>
      <c r="BD998" s="2"/>
      <c r="BE998" s="2"/>
      <c r="BF998" s="2"/>
      <c r="BG998" s="2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</row>
    <row r="999" ht="14.25" customHeight="1">
      <c r="AA999" s="2"/>
      <c r="AF999" s="2"/>
      <c r="AG999" s="2"/>
      <c r="AH999" s="2"/>
      <c r="AI999" s="2"/>
      <c r="AJ999" s="2"/>
      <c r="AK999" s="2"/>
      <c r="AL999" s="2"/>
      <c r="AM999" s="2"/>
      <c r="AT999" s="2"/>
      <c r="AU999" s="2"/>
      <c r="AV999" s="2"/>
      <c r="AW999" s="2"/>
      <c r="AX999" s="2"/>
      <c r="AY999" s="2"/>
      <c r="AZ999" s="2"/>
      <c r="BA999" s="2"/>
      <c r="BC999" s="2"/>
      <c r="BD999" s="2"/>
      <c r="BE999" s="2"/>
      <c r="BF999" s="2"/>
      <c r="BG999" s="2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</row>
    <row r="1000" ht="14.25" customHeight="1">
      <c r="AA1000" s="2"/>
      <c r="AF1000" s="2"/>
      <c r="AG1000" s="2"/>
      <c r="AH1000" s="2"/>
      <c r="AI1000" s="2"/>
      <c r="AJ1000" s="2"/>
      <c r="AK1000" s="2"/>
      <c r="AL1000" s="2"/>
      <c r="AM1000" s="2"/>
      <c r="AT1000" s="2"/>
      <c r="AU1000" s="2"/>
      <c r="AV1000" s="2"/>
      <c r="AW1000" s="2"/>
      <c r="AX1000" s="2"/>
      <c r="AY1000" s="2"/>
      <c r="AZ1000" s="2"/>
      <c r="BA1000" s="2"/>
      <c r="BC1000" s="2"/>
      <c r="BD1000" s="2"/>
      <c r="BE1000" s="2"/>
      <c r="BF1000" s="2"/>
      <c r="BG1000" s="2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</row>
  </sheetData>
  <conditionalFormatting sqref="F3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5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3:K5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:M52">
    <cfRule type="colorScale" priority="5">
      <colorScale>
        <cfvo type="min"/>
        <cfvo type="max"/>
        <color rgb="FFFCFCFF"/>
        <color rgb="FFF8696B"/>
      </colorScale>
    </cfRule>
  </conditionalFormatting>
  <conditionalFormatting sqref="T3:V1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00 W2:Y2 W3:W102 W103:Y1000 AK2:AM2 AK103:AM1000 AZ2:BA2 AZ53:BA10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02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3:Y102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3:AJ10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:AK102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3:AL10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3:AM10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3:AY5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AZ52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3:BA52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2:BD1000">
    <cfRule type="cellIs" dxfId="6" priority="20" operator="equal">
      <formula>"R"</formula>
    </cfRule>
  </conditionalFormatting>
  <conditionalFormatting sqref="BD3:BD52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3:BD5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5"/>
    <col customWidth="1" min="3" max="4" width="6.25"/>
    <col customWidth="1" min="5" max="5" width="7.25"/>
    <col customWidth="1" min="6" max="7" width="5.13"/>
    <col customWidth="1" min="8" max="9" width="6.25"/>
    <col customWidth="1" min="10" max="10" width="5.13"/>
    <col customWidth="1" min="11" max="11" width="4.13"/>
    <col customWidth="1" min="12" max="12" width="6.25"/>
    <col customWidth="1" min="13" max="13" width="5.38"/>
    <col customWidth="1" min="14" max="14" width="5.5"/>
    <col customWidth="1" min="15" max="17" width="5.63"/>
    <col customWidth="1" min="18" max="26" width="8.88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5</v>
      </c>
      <c r="J1" s="1" t="s">
        <v>6</v>
      </c>
      <c r="K1" s="1" t="s">
        <v>8</v>
      </c>
      <c r="L1" s="1" t="s">
        <v>9</v>
      </c>
      <c r="M1" s="4" t="s">
        <v>10</v>
      </c>
      <c r="N1" s="4" t="s">
        <v>11</v>
      </c>
      <c r="O1" s="6" t="s">
        <v>12</v>
      </c>
      <c r="P1" s="6" t="s">
        <v>13</v>
      </c>
      <c r="Q1" s="6" t="s">
        <v>14</v>
      </c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" t="s">
        <v>16</v>
      </c>
      <c r="M2" s="4"/>
      <c r="N2" s="4"/>
      <c r="O2" s="6"/>
      <c r="P2" s="6"/>
      <c r="Q2" s="6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" t="s">
        <v>17</v>
      </c>
      <c r="B3" s="1" t="s">
        <v>18</v>
      </c>
      <c r="C3" s="1">
        <v>491.9</v>
      </c>
      <c r="D3" s="1">
        <v>333.4</v>
      </c>
      <c r="E3" s="1">
        <v>3816.8</v>
      </c>
      <c r="F3" s="1">
        <v>27.4</v>
      </c>
      <c r="G3" s="1">
        <v>11.2</v>
      </c>
      <c r="H3" s="1">
        <v>118.1</v>
      </c>
      <c r="I3" s="1">
        <v>586.0</v>
      </c>
      <c r="J3" s="1">
        <v>11.8</v>
      </c>
      <c r="K3" s="1">
        <v>4.1</v>
      </c>
      <c r="L3" s="1">
        <v>372.5</v>
      </c>
      <c r="M3" s="18">
        <f t="shared" ref="M3:M302" si="1">IFERROR(((E3/D3)/10.96)*0.5218*D3,0)</f>
        <v>181.7158978</v>
      </c>
      <c r="N3" s="18">
        <f t="shared" ref="N3:N302" si="2">IFERROR((((I3/H3)/5.3)*0.401)*H3,0)</f>
        <v>44.33698113</v>
      </c>
      <c r="O3" s="30">
        <f>MAX(QB!D5*Scoring!$B$30+QB!E5/Scoring!$C$30+QB!F5*Scoring!$D$30+QB!G5*Scoring!$E$30+QB!H5*Scoring!$F$30+QB!I5/Scoring!$G$30+QB!J5*Scoring!$H$30+QB!K5*Scoring!$I$30+M5*Scoring!$J$30+QB!N5*Scoring!$K$30,0)+C5*Scoring!$B$10*0.07+(C5-D5)*Scoring!$B$5</f>
        <v>318.64</v>
      </c>
      <c r="P3" s="30">
        <f>MAX(QB!D3*Scoring!$B$30+QB!E3/Scoring!$C$30+QB!F3*Scoring!$D$30+QB!G3*Scoring!$E$30+QB!H3*Scoring!$F$30+QB!I3/Scoring!$G$30+QB!J3*Scoring!$H$30+QB!K3*Scoring!$I$30+M3*Scoring!$J$30+QB!N3*Scoring!$K$30,0)+C3*Scoring!$B$10*0.07+(C3-D3)*Scoring!$B$5</f>
        <v>339.536</v>
      </c>
      <c r="Q3" s="30">
        <f>MAX(QB!D4*Scoring!$B$30+QB!E4/Scoring!$C$30+QB!F4*Scoring!$D$30+QB!G4*Scoring!$E$30+QB!H4*Scoring!$F$30+QB!I4/Scoring!$G$30+QB!J4*Scoring!$H$30+QB!K4*Scoring!$I$30+M4*Scoring!$J$30+QB!N4*Scoring!$K$30,0)+C4*Scoring!$B$10*0.07+(C4-D4)*Scoring!$B$5</f>
        <v>369.028</v>
      </c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B4" s="1" t="s">
        <v>39</v>
      </c>
      <c r="C4" s="1">
        <v>508.7</v>
      </c>
      <c r="D4" s="1">
        <v>340.1</v>
      </c>
      <c r="E4" s="1">
        <v>3946.4</v>
      </c>
      <c r="F4" s="1">
        <v>30.0</v>
      </c>
      <c r="G4" s="1">
        <v>9.0</v>
      </c>
      <c r="H4" s="1">
        <v>125.0</v>
      </c>
      <c r="I4" s="1">
        <v>611.0</v>
      </c>
      <c r="J4" s="1">
        <v>12.5</v>
      </c>
      <c r="K4" s="1">
        <v>4.0</v>
      </c>
      <c r="L4" s="1">
        <v>402.0</v>
      </c>
      <c r="M4" s="18">
        <f t="shared" si="1"/>
        <v>187.8860876</v>
      </c>
      <c r="N4" s="18">
        <f t="shared" si="2"/>
        <v>46.22849057</v>
      </c>
      <c r="O4" s="30"/>
      <c r="P4" s="30"/>
      <c r="Q4" s="30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B5" s="1" t="s">
        <v>48</v>
      </c>
      <c r="C5" s="1">
        <v>479.0</v>
      </c>
      <c r="D5" s="1">
        <v>326.0</v>
      </c>
      <c r="E5" s="1">
        <v>3717.0</v>
      </c>
      <c r="F5" s="1">
        <v>26.0</v>
      </c>
      <c r="G5" s="1">
        <v>13.0</v>
      </c>
      <c r="H5" s="1">
        <v>113.0</v>
      </c>
      <c r="I5" s="1">
        <v>567.0</v>
      </c>
      <c r="J5" s="1">
        <v>11.0</v>
      </c>
      <c r="K5" s="1">
        <v>4.2</v>
      </c>
      <c r="L5" s="1">
        <v>369.7</v>
      </c>
      <c r="M5" s="18">
        <f t="shared" si="1"/>
        <v>176.9644708</v>
      </c>
      <c r="N5" s="18">
        <f t="shared" si="2"/>
        <v>42.89943396</v>
      </c>
      <c r="O5" s="30"/>
      <c r="P5" s="30"/>
      <c r="Q5" s="30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" t="s">
        <v>60</v>
      </c>
      <c r="B6" s="1" t="s">
        <v>61</v>
      </c>
      <c r="C6" s="1">
        <v>449.2</v>
      </c>
      <c r="D6" s="1">
        <v>291.9</v>
      </c>
      <c r="E6" s="1">
        <v>3652.2</v>
      </c>
      <c r="F6" s="1">
        <v>28.3</v>
      </c>
      <c r="G6" s="1">
        <v>9.6</v>
      </c>
      <c r="H6" s="1">
        <v>118.7</v>
      </c>
      <c r="I6" s="1">
        <v>640.4</v>
      </c>
      <c r="J6" s="1">
        <v>3.2</v>
      </c>
      <c r="K6" s="1">
        <v>4.2</v>
      </c>
      <c r="L6" s="1">
        <v>325.0</v>
      </c>
      <c r="M6" s="18">
        <f t="shared" si="1"/>
        <v>173.8793759</v>
      </c>
      <c r="N6" s="18">
        <f t="shared" si="2"/>
        <v>48.45290566</v>
      </c>
      <c r="O6" s="30">
        <f>MAX(QB!D8*Scoring!$B$30+QB!E8/Scoring!$C$30+QB!F8*Scoring!$D$30+QB!G8*Scoring!$E$30+QB!H8*Scoring!$F$30+QB!I8/Scoring!$G$30+QB!J8*Scoring!$H$30+QB!K8*Scoring!$I$30+M8*Scoring!$J$30+QB!N8*Scoring!$K$30,0)+C8*Scoring!$B$10*0.07+(C8-D8)*Scoring!$B$5</f>
        <v>271.1</v>
      </c>
      <c r="P6" s="30">
        <f>MAX(QB!D6*Scoring!$B$30+QB!E6/Scoring!$C$30+QB!F6*Scoring!$D$30+QB!G6*Scoring!$E$30+QB!H6*Scoring!$F$30+QB!I6/Scoring!$G$30+QB!J6*Scoring!$H$30+QB!K6*Scoring!$I$30+M6*Scoring!$J$30+QB!N6*Scoring!$K$30,0)+C6*Scoring!$B$10*0.07+(C6-D6)*Scoring!$B$5</f>
        <v>298.484</v>
      </c>
      <c r="Q6" s="30">
        <f>MAX(QB!D7*Scoring!$B$30+QB!E7/Scoring!$C$30+QB!F7*Scoring!$D$30+QB!G7*Scoring!$E$30+QB!H7*Scoring!$F$30+QB!I7/Scoring!$G$30+QB!J7*Scoring!$H$30+QB!K7*Scoring!$I$30+M7*Scoring!$J$30+QB!N7*Scoring!$K$30,0)+C7*Scoring!$B$10*0.07+(C7-D7)*Scoring!$B$5</f>
        <v>341.07</v>
      </c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B7" s="1" t="s">
        <v>39</v>
      </c>
      <c r="C7" s="1">
        <v>475.0</v>
      </c>
      <c r="D7" s="1">
        <v>304.0</v>
      </c>
      <c r="E7" s="1">
        <v>3887.5</v>
      </c>
      <c r="F7" s="1">
        <v>33.0</v>
      </c>
      <c r="G7" s="1">
        <v>8.0</v>
      </c>
      <c r="H7" s="1">
        <v>127.0</v>
      </c>
      <c r="I7" s="1">
        <v>671.2</v>
      </c>
      <c r="J7" s="1">
        <v>3.7</v>
      </c>
      <c r="K7" s="1">
        <v>4.0</v>
      </c>
      <c r="L7" s="1">
        <v>362.0</v>
      </c>
      <c r="M7" s="18">
        <f t="shared" si="1"/>
        <v>185.0818887</v>
      </c>
      <c r="N7" s="18">
        <f t="shared" si="2"/>
        <v>50.78324528</v>
      </c>
      <c r="O7" s="30"/>
      <c r="P7" s="30"/>
      <c r="Q7" s="30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B8" s="1" t="s">
        <v>48</v>
      </c>
      <c r="C8" s="1">
        <v>406.0</v>
      </c>
      <c r="D8" s="1">
        <v>269.0</v>
      </c>
      <c r="E8" s="1">
        <v>3365.0</v>
      </c>
      <c r="F8" s="1">
        <v>26.0</v>
      </c>
      <c r="G8" s="1">
        <v>11.0</v>
      </c>
      <c r="H8" s="1">
        <v>107.0</v>
      </c>
      <c r="I8" s="1">
        <v>604.0</v>
      </c>
      <c r="J8" s="1">
        <v>3.0</v>
      </c>
      <c r="K8" s="1">
        <v>4.3</v>
      </c>
      <c r="L8" s="1">
        <v>322.9</v>
      </c>
      <c r="M8" s="18">
        <f t="shared" si="1"/>
        <v>160.2059307</v>
      </c>
      <c r="N8" s="18">
        <f t="shared" si="2"/>
        <v>45.69886792</v>
      </c>
      <c r="O8" s="30"/>
      <c r="P8" s="30"/>
      <c r="Q8" s="30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" t="s">
        <v>93</v>
      </c>
      <c r="B9" s="1" t="s">
        <v>94</v>
      </c>
      <c r="C9" s="1">
        <v>499.5</v>
      </c>
      <c r="D9" s="1">
        <v>343.0</v>
      </c>
      <c r="E9" s="1">
        <v>4026.7</v>
      </c>
      <c r="F9" s="1">
        <v>28.0</v>
      </c>
      <c r="G9" s="1">
        <v>10.4</v>
      </c>
      <c r="H9" s="1">
        <v>99.3</v>
      </c>
      <c r="I9" s="1">
        <v>493.0</v>
      </c>
      <c r="J9" s="1">
        <v>3.7</v>
      </c>
      <c r="K9" s="1">
        <v>5.6</v>
      </c>
      <c r="L9" s="1">
        <v>322.9</v>
      </c>
      <c r="M9" s="18">
        <f t="shared" si="1"/>
        <v>191.7091296</v>
      </c>
      <c r="N9" s="18">
        <f t="shared" si="2"/>
        <v>37.30056604</v>
      </c>
      <c r="O9" s="30">
        <f>MAX(QB!D11*Scoring!$B$30+QB!E11/Scoring!$C$30+QB!F11*Scoring!$D$30+QB!G11*Scoring!$E$30+QB!H11*Scoring!$F$30+QB!I11/Scoring!$G$30+QB!J11*Scoring!$H$30+QB!K11*Scoring!$I$30+M11*Scoring!$J$30+QB!N11*Scoring!$K$30,0)+C11*Scoring!$B$10*0.07+(C11-D11)*Scoring!$B$5</f>
        <v>265.78</v>
      </c>
      <c r="P9" s="30">
        <f>MAX(QB!D9*Scoring!$B$30+QB!E9/Scoring!$C$30+QB!F9*Scoring!$D$30+QB!G9*Scoring!$E$30+QB!H9*Scoring!$F$30+QB!I9/Scoring!$G$30+QB!J9*Scoring!$H$30+QB!K9*Scoring!$I$30+M9*Scoring!$J$30+QB!N9*Scoring!$K$30,0)+C9*Scoring!$B$10*0.07+(C9-D9)*Scoring!$B$5</f>
        <v>288.034</v>
      </c>
      <c r="Q9" s="30">
        <f>MAX(QB!D10*Scoring!$B$30+QB!E10/Scoring!$C$30+QB!F10*Scoring!$D$30+QB!G10*Scoring!$E$30+QB!H10*Scoring!$F$30+QB!I10/Scoring!$G$30+QB!J10*Scoring!$H$30+QB!K10*Scoring!$I$30+M10*Scoring!$J$30+QB!N10*Scoring!$K$30,0)+C10*Scoring!$B$10*0.07+(C10-D10)*Scoring!$B$5</f>
        <v>306.39</v>
      </c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B10" s="1" t="s">
        <v>39</v>
      </c>
      <c r="C10" s="1">
        <v>519.6</v>
      </c>
      <c r="D10" s="1">
        <v>355.0</v>
      </c>
      <c r="E10" s="1">
        <v>4140.0</v>
      </c>
      <c r="F10" s="1">
        <v>29.0</v>
      </c>
      <c r="G10" s="1">
        <v>9.0</v>
      </c>
      <c r="H10" s="1">
        <v>101.0</v>
      </c>
      <c r="I10" s="1">
        <v>531.9</v>
      </c>
      <c r="J10" s="1">
        <v>4.1</v>
      </c>
      <c r="K10" s="1">
        <v>5.1</v>
      </c>
      <c r="L10" s="1">
        <v>349.0</v>
      </c>
      <c r="M10" s="18">
        <f t="shared" si="1"/>
        <v>197.1032847</v>
      </c>
      <c r="N10" s="18">
        <f t="shared" si="2"/>
        <v>40.24375472</v>
      </c>
      <c r="O10" s="30"/>
      <c r="P10" s="30"/>
      <c r="Q10" s="30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B11" s="1" t="s">
        <v>48</v>
      </c>
      <c r="C11" s="1">
        <v>474.0</v>
      </c>
      <c r="D11" s="1">
        <v>326.0</v>
      </c>
      <c r="E11" s="1">
        <v>3844.0</v>
      </c>
      <c r="F11" s="1">
        <v>27.0</v>
      </c>
      <c r="G11" s="1">
        <v>11.2</v>
      </c>
      <c r="H11" s="1">
        <v>96.0</v>
      </c>
      <c r="I11" s="1">
        <v>433.0</v>
      </c>
      <c r="J11" s="1">
        <v>3.0</v>
      </c>
      <c r="K11" s="1">
        <v>6.0</v>
      </c>
      <c r="L11" s="1">
        <v>319.4</v>
      </c>
      <c r="M11" s="18">
        <f t="shared" si="1"/>
        <v>183.0108759</v>
      </c>
      <c r="N11" s="18">
        <f t="shared" si="2"/>
        <v>32.7609434</v>
      </c>
      <c r="O11" s="30"/>
      <c r="P11" s="30"/>
      <c r="Q11" s="30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" t="s">
        <v>105</v>
      </c>
      <c r="B12" s="1" t="s">
        <v>106</v>
      </c>
      <c r="C12" s="1">
        <v>492.8</v>
      </c>
      <c r="D12" s="1">
        <v>321.9</v>
      </c>
      <c r="E12" s="1">
        <v>3629.6</v>
      </c>
      <c r="F12" s="1">
        <v>23.8</v>
      </c>
      <c r="G12" s="1">
        <v>11.0</v>
      </c>
      <c r="H12" s="1">
        <v>130.0</v>
      </c>
      <c r="I12" s="1">
        <v>686.0</v>
      </c>
      <c r="J12" s="1">
        <v>4.7</v>
      </c>
      <c r="K12" s="1">
        <v>2.8</v>
      </c>
      <c r="L12" s="1">
        <v>322.5</v>
      </c>
      <c r="M12" s="18">
        <f t="shared" si="1"/>
        <v>172.8034015</v>
      </c>
      <c r="N12" s="18">
        <f t="shared" si="2"/>
        <v>51.90301887</v>
      </c>
      <c r="O12" s="30">
        <f>MAX(QB!D14*Scoring!$B$30+QB!E14/Scoring!$C$30+QB!F14*Scoring!$D$30+QB!G14*Scoring!$E$30+QB!H14*Scoring!$F$30+QB!I14/Scoring!$G$30+QB!J14*Scoring!$H$30+QB!K14*Scoring!$I$30+M14*Scoring!$J$30+QB!N14*Scoring!$K$30,0)+C14*Scoring!$B$10*0.07+(C14-D14)*Scoring!$B$5</f>
        <v>259.56</v>
      </c>
      <c r="P12" s="30">
        <f>MAX(QB!D12*Scoring!$B$30+QB!E12/Scoring!$C$30+QB!F12*Scoring!$D$30+QB!G12*Scoring!$E$30+QB!H12*Scoring!$F$30+QB!I12/Scoring!$G$30+QB!J12*Scoring!$H$30+QB!K12*Scoring!$I$30+M12*Scoring!$J$30+QB!N12*Scoring!$K$30,0)+C12*Scoring!$B$10*0.07+(C12-D12)*Scoring!$B$5</f>
        <v>284.592</v>
      </c>
      <c r="Q12" s="30">
        <f>MAX(QB!D13*Scoring!$B$30+QB!E13/Scoring!$C$30+QB!F13*Scoring!$D$30+QB!G13*Scoring!$E$30+QB!H13*Scoring!$F$30+QB!I13/Scoring!$G$30+QB!J13*Scoring!$H$30+QB!K13*Scoring!$I$30+M13*Scoring!$J$30+QB!N13*Scoring!$K$30,0)+C13*Scoring!$B$10*0.07+(C13-D13)*Scoring!$B$5</f>
        <v>313.414</v>
      </c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B13" s="1" t="s">
        <v>39</v>
      </c>
      <c r="C13" s="1">
        <v>519.4</v>
      </c>
      <c r="D13" s="1">
        <v>346.8</v>
      </c>
      <c r="E13" s="1">
        <v>3800.7</v>
      </c>
      <c r="F13" s="1">
        <v>26.0</v>
      </c>
      <c r="G13" s="1">
        <v>9.9</v>
      </c>
      <c r="H13" s="1">
        <v>140.0</v>
      </c>
      <c r="I13" s="1">
        <v>746.0</v>
      </c>
      <c r="J13" s="1">
        <v>5.1</v>
      </c>
      <c r="K13" s="1">
        <v>2.0</v>
      </c>
      <c r="L13" s="1">
        <v>354.0</v>
      </c>
      <c r="M13" s="18">
        <f t="shared" si="1"/>
        <v>180.949385</v>
      </c>
      <c r="N13" s="18">
        <f t="shared" si="2"/>
        <v>56.44264151</v>
      </c>
      <c r="O13" s="30"/>
      <c r="P13" s="30"/>
      <c r="Q13" s="30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B14" s="1" t="s">
        <v>48</v>
      </c>
      <c r="C14" s="1">
        <v>463.0</v>
      </c>
      <c r="D14" s="1">
        <v>292.0</v>
      </c>
      <c r="E14" s="1">
        <v>3418.0</v>
      </c>
      <c r="F14" s="1">
        <v>22.4</v>
      </c>
      <c r="G14" s="1">
        <v>12.0</v>
      </c>
      <c r="H14" s="1">
        <v>119.0</v>
      </c>
      <c r="I14" s="1">
        <v>642.0</v>
      </c>
      <c r="J14" s="1">
        <v>4.0</v>
      </c>
      <c r="K14" s="1">
        <v>3.7</v>
      </c>
      <c r="L14" s="1">
        <v>318.4</v>
      </c>
      <c r="M14" s="18">
        <f t="shared" si="1"/>
        <v>162.7292336</v>
      </c>
      <c r="N14" s="18">
        <f t="shared" si="2"/>
        <v>48.57396226</v>
      </c>
      <c r="O14" s="30"/>
      <c r="P14" s="30"/>
      <c r="Q14" s="30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" t="s">
        <v>116</v>
      </c>
      <c r="B15" s="1" t="s">
        <v>117</v>
      </c>
      <c r="C15" s="1">
        <v>488.0</v>
      </c>
      <c r="D15" s="1">
        <v>317.2</v>
      </c>
      <c r="E15" s="1">
        <v>3570.6</v>
      </c>
      <c r="F15" s="1">
        <v>24.2</v>
      </c>
      <c r="G15" s="1">
        <v>7.4</v>
      </c>
      <c r="H15" s="1">
        <v>111.8</v>
      </c>
      <c r="I15" s="1">
        <v>461.3</v>
      </c>
      <c r="J15" s="1">
        <v>8.4</v>
      </c>
      <c r="K15" s="1">
        <v>4.0</v>
      </c>
      <c r="L15" s="1">
        <v>320.5</v>
      </c>
      <c r="M15" s="18">
        <f t="shared" si="1"/>
        <v>169.9944416</v>
      </c>
      <c r="N15" s="18">
        <f t="shared" si="2"/>
        <v>34.90213208</v>
      </c>
      <c r="O15" s="30">
        <f>MAX(QB!D17*Scoring!$B$30+QB!E17/Scoring!$C$30+QB!F17*Scoring!$D$30+QB!G17*Scoring!$E$30+QB!H17*Scoring!$F$30+QB!I17/Scoring!$G$30+QB!J17*Scoring!$H$30+QB!K17*Scoring!$I$30+M17*Scoring!$J$30+QB!N17*Scoring!$K$30,0)+C17*Scoring!$B$10*0.07+(C17-D17)*Scoring!$B$5</f>
        <v>270.72</v>
      </c>
      <c r="P15" s="30">
        <f>MAX(QB!D15*Scoring!$B$30+QB!E15/Scoring!$C$30+QB!F15*Scoring!$D$30+QB!G15*Scoring!$E$30+QB!H15*Scoring!$F$30+QB!I15/Scoring!$G$30+QB!J15*Scoring!$H$30+QB!K15*Scoring!$I$30+M15*Scoring!$J$30+QB!N15*Scoring!$K$30,0)+C15*Scoring!$B$10*0.07+(C15-D15)*Scoring!$B$5</f>
        <v>290.342</v>
      </c>
      <c r="Q15" s="30">
        <f>MAX(QB!D16*Scoring!$B$30+QB!E16/Scoring!$C$30+QB!F16*Scoring!$D$30+QB!G16*Scoring!$E$30+QB!H16*Scoring!$F$30+QB!I16/Scoring!$G$30+QB!J16*Scoring!$H$30+QB!K16*Scoring!$I$30+M16*Scoring!$J$30+QB!N16*Scoring!$K$30,0)+C16*Scoring!$B$10*0.07+(C16-D16)*Scoring!$B$5</f>
        <v>315.774</v>
      </c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B16" s="1" t="s">
        <v>39</v>
      </c>
      <c r="C16" s="1">
        <v>499.1</v>
      </c>
      <c r="D16" s="1">
        <v>327.6</v>
      </c>
      <c r="E16" s="1">
        <v>3778.7</v>
      </c>
      <c r="F16" s="1">
        <v>26.0</v>
      </c>
      <c r="G16" s="1">
        <v>6.0</v>
      </c>
      <c r="H16" s="1">
        <v>118.0</v>
      </c>
      <c r="I16" s="1">
        <v>490.0</v>
      </c>
      <c r="J16" s="1">
        <v>9.2</v>
      </c>
      <c r="K16" s="1">
        <v>4.0</v>
      </c>
      <c r="L16" s="1">
        <v>348.0</v>
      </c>
      <c r="M16" s="18">
        <f t="shared" si="1"/>
        <v>179.9019763</v>
      </c>
      <c r="N16" s="18">
        <f t="shared" si="2"/>
        <v>37.07358491</v>
      </c>
      <c r="O16" s="30"/>
      <c r="P16" s="30"/>
      <c r="Q16" s="30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B17" s="1" t="s">
        <v>48</v>
      </c>
      <c r="C17" s="1">
        <v>471.0</v>
      </c>
      <c r="D17" s="1">
        <v>303.0</v>
      </c>
      <c r="E17" s="1">
        <v>3377.0</v>
      </c>
      <c r="F17" s="1">
        <v>23.0</v>
      </c>
      <c r="G17" s="1">
        <v>9.2</v>
      </c>
      <c r="H17" s="1">
        <v>106.3</v>
      </c>
      <c r="I17" s="1">
        <v>437.8</v>
      </c>
      <c r="J17" s="1">
        <v>8.0</v>
      </c>
      <c r="K17" s="1">
        <v>4.1</v>
      </c>
      <c r="L17" s="1">
        <v>320.3</v>
      </c>
      <c r="M17" s="18">
        <f t="shared" si="1"/>
        <v>160.7772445</v>
      </c>
      <c r="N17" s="18">
        <f t="shared" si="2"/>
        <v>33.12411321</v>
      </c>
      <c r="O17" s="30"/>
      <c r="P17" s="30"/>
      <c r="Q17" s="30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" t="s">
        <v>126</v>
      </c>
      <c r="B18" s="1" t="s">
        <v>127</v>
      </c>
      <c r="C18" s="1">
        <v>591.3</v>
      </c>
      <c r="D18" s="1">
        <v>395.4</v>
      </c>
      <c r="E18" s="1">
        <v>4174.6</v>
      </c>
      <c r="F18" s="1">
        <v>33.3</v>
      </c>
      <c r="G18" s="1">
        <v>11.6</v>
      </c>
      <c r="H18" s="1">
        <v>48.2</v>
      </c>
      <c r="I18" s="1">
        <v>178.6</v>
      </c>
      <c r="J18" s="1">
        <v>1.4</v>
      </c>
      <c r="K18" s="1">
        <v>1.9</v>
      </c>
      <c r="L18" s="1">
        <v>310.9</v>
      </c>
      <c r="M18" s="18">
        <f t="shared" si="1"/>
        <v>198.750573</v>
      </c>
      <c r="N18" s="18">
        <f t="shared" si="2"/>
        <v>13.5129434</v>
      </c>
      <c r="O18" s="30">
        <f>MAX(QB!D20*Scoring!$B$30+QB!E20/Scoring!$C$30+QB!F20*Scoring!$D$30+QB!G20*Scoring!$E$30+QB!H20*Scoring!$F$30+QB!I20/Scoring!$G$30+QB!J20*Scoring!$H$30+QB!K20*Scoring!$I$30+M20*Scoring!$J$30+QB!N20*Scoring!$K$30,0)+C20*Scoring!$B$10*0.07+(C20-D20)*Scoring!$B$5</f>
        <v>269.26</v>
      </c>
      <c r="P18" s="30">
        <f>MAX(QB!D18*Scoring!$B$30+QB!E18/Scoring!$C$30+QB!F18*Scoring!$D$30+QB!G18*Scoring!$E$30+QB!H18*Scoring!$F$30+QB!I18/Scoring!$G$30+QB!J18*Scoring!$H$30+QB!K18*Scoring!$I$30+M18*Scoring!$J$30+QB!N18*Scoring!$K$30,0)+C18*Scoring!$B$10*0.07+(C18-D18)*Scoring!$B$5</f>
        <v>282.552</v>
      </c>
      <c r="Q18" s="30">
        <f>MAX(QB!D19*Scoring!$B$30+QB!E19/Scoring!$C$30+QB!F19*Scoring!$D$30+QB!G19*Scoring!$E$30+QB!H19*Scoring!$F$30+QB!I19/Scoring!$G$30+QB!J19*Scoring!$H$30+QB!K19*Scoring!$I$30+M19*Scoring!$J$30+QB!N19*Scoring!$K$30,0)+C19*Scoring!$B$10*0.07+(C19-D19)*Scoring!$B$5</f>
        <v>300.76</v>
      </c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B19" s="1" t="s">
        <v>39</v>
      </c>
      <c r="C19" s="1">
        <v>621.0</v>
      </c>
      <c r="D19" s="1">
        <v>409.0</v>
      </c>
      <c r="E19" s="1">
        <v>4364.0</v>
      </c>
      <c r="F19" s="1">
        <v>34.0</v>
      </c>
      <c r="G19" s="1">
        <v>10.0</v>
      </c>
      <c r="H19" s="1">
        <v>61.0</v>
      </c>
      <c r="I19" s="1">
        <v>188.8</v>
      </c>
      <c r="J19" s="1">
        <v>2.1</v>
      </c>
      <c r="K19" s="1">
        <v>1.0</v>
      </c>
      <c r="L19" s="1">
        <v>350.0</v>
      </c>
      <c r="M19" s="18">
        <f t="shared" si="1"/>
        <v>207.7678102</v>
      </c>
      <c r="N19" s="18">
        <f t="shared" si="2"/>
        <v>14.28467925</v>
      </c>
      <c r="O19" s="30"/>
      <c r="P19" s="30"/>
      <c r="Q19" s="30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B20" s="1" t="s">
        <v>48</v>
      </c>
      <c r="C20" s="1">
        <v>571.9</v>
      </c>
      <c r="D20" s="1">
        <v>387.2</v>
      </c>
      <c r="E20" s="1">
        <v>4128.0</v>
      </c>
      <c r="F20" s="1">
        <v>33.0</v>
      </c>
      <c r="G20" s="1">
        <v>14.0</v>
      </c>
      <c r="H20" s="1">
        <v>32.0</v>
      </c>
      <c r="I20" s="1">
        <v>165.0</v>
      </c>
      <c r="J20" s="1">
        <v>1.0</v>
      </c>
      <c r="K20" s="1">
        <v>2.9</v>
      </c>
      <c r="L20" s="1">
        <v>304.7</v>
      </c>
      <c r="M20" s="18">
        <f t="shared" si="1"/>
        <v>196.5319708</v>
      </c>
      <c r="N20" s="18">
        <f t="shared" si="2"/>
        <v>12.48396226</v>
      </c>
      <c r="O20" s="30"/>
      <c r="P20" s="30"/>
      <c r="Q20" s="30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" t="s">
        <v>133</v>
      </c>
      <c r="B21" s="1" t="s">
        <v>134</v>
      </c>
      <c r="C21" s="1">
        <v>510.0</v>
      </c>
      <c r="D21" s="1">
        <v>324.7</v>
      </c>
      <c r="E21" s="1">
        <v>3591.5</v>
      </c>
      <c r="F21" s="1">
        <v>22.3</v>
      </c>
      <c r="G21" s="1">
        <v>11.1</v>
      </c>
      <c r="H21" s="1">
        <v>100.9</v>
      </c>
      <c r="I21" s="1">
        <v>549.1</v>
      </c>
      <c r="J21" s="1">
        <v>6.5</v>
      </c>
      <c r="K21" s="1">
        <v>2.9</v>
      </c>
      <c r="L21" s="1">
        <v>309.9</v>
      </c>
      <c r="M21" s="18">
        <f t="shared" si="1"/>
        <v>170.9894799</v>
      </c>
      <c r="N21" s="18">
        <f t="shared" si="2"/>
        <v>41.54511321</v>
      </c>
      <c r="O21" s="30">
        <f>MAX(QB!D23*Scoring!$B$30+QB!E23/Scoring!$C$30+QB!F23*Scoring!$D$30+QB!G23*Scoring!$E$30+QB!H23*Scoring!$F$30+QB!I23/Scoring!$G$30+QB!J23*Scoring!$H$30+QB!K23*Scoring!$I$30+M23*Scoring!$J$30+QB!N23*Scoring!$K$30,0)+C23*Scoring!$B$10*0.07+(C23-D23)*Scoring!$B$5</f>
        <v>244.08</v>
      </c>
      <c r="P21" s="30">
        <f>MAX(QB!D21*Scoring!$B$30+QB!E21/Scoring!$C$30+QB!F21*Scoring!$D$30+QB!G21*Scoring!$E$30+QB!H21*Scoring!$F$30+QB!I21/Scoring!$G$30+QB!J21*Scoring!$H$30+QB!K21*Scoring!$I$30+M21*Scoring!$J$30+QB!N21*Scoring!$K$30,0)+C21*Scoring!$B$10*0.07+(C21-D21)*Scoring!$B$5</f>
        <v>271.54</v>
      </c>
      <c r="Q21" s="30">
        <f>MAX(QB!D22*Scoring!$B$30+QB!E22/Scoring!$C$30+QB!F22*Scoring!$D$30+QB!G22*Scoring!$E$30+QB!H22*Scoring!$F$30+QB!I22/Scoring!$G$30+QB!J22*Scoring!$H$30+QB!K22*Scoring!$I$30+M22*Scoring!$J$30+QB!N22*Scoring!$K$30,0)+C22*Scoring!$B$10*0.07+(C22-D22)*Scoring!$B$5</f>
        <v>306.108</v>
      </c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B22" s="1" t="s">
        <v>39</v>
      </c>
      <c r="C22" s="1">
        <v>517.0</v>
      </c>
      <c r="D22" s="1">
        <v>331.0</v>
      </c>
      <c r="E22" s="1">
        <v>3685.4</v>
      </c>
      <c r="F22" s="1">
        <v>26.0</v>
      </c>
      <c r="G22" s="1">
        <v>9.0</v>
      </c>
      <c r="H22" s="1">
        <v>103.0</v>
      </c>
      <c r="I22" s="1">
        <v>564.0</v>
      </c>
      <c r="J22" s="1">
        <v>7.0</v>
      </c>
      <c r="K22" s="1">
        <v>2.0</v>
      </c>
      <c r="L22" s="1">
        <v>346.0</v>
      </c>
      <c r="M22" s="18">
        <f t="shared" si="1"/>
        <v>175.4600109</v>
      </c>
      <c r="N22" s="18">
        <f t="shared" si="2"/>
        <v>42.67245283</v>
      </c>
      <c r="O22" s="30"/>
      <c r="P22" s="30"/>
      <c r="Q22" s="30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B23" s="1" t="s">
        <v>48</v>
      </c>
      <c r="C23" s="1">
        <v>504.0</v>
      </c>
      <c r="D23" s="1">
        <v>316.0</v>
      </c>
      <c r="E23" s="1">
        <v>3519.0</v>
      </c>
      <c r="F23" s="1">
        <v>20.0</v>
      </c>
      <c r="G23" s="1">
        <v>14.0</v>
      </c>
      <c r="H23" s="1">
        <v>99.0</v>
      </c>
      <c r="I23" s="1">
        <v>531.0</v>
      </c>
      <c r="J23" s="1">
        <v>6.0</v>
      </c>
      <c r="K23" s="1">
        <v>3.7</v>
      </c>
      <c r="L23" s="1">
        <v>300.3</v>
      </c>
      <c r="M23" s="18">
        <f t="shared" si="1"/>
        <v>167.537792</v>
      </c>
      <c r="N23" s="18">
        <f t="shared" si="2"/>
        <v>40.17566038</v>
      </c>
      <c r="O23" s="30"/>
      <c r="P23" s="30"/>
      <c r="Q23" s="30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" t="s">
        <v>139</v>
      </c>
      <c r="B24" s="1" t="s">
        <v>140</v>
      </c>
      <c r="C24" s="1">
        <v>547.9</v>
      </c>
      <c r="D24" s="1">
        <v>369.6</v>
      </c>
      <c r="E24" s="1">
        <v>4156.5</v>
      </c>
      <c r="F24" s="1">
        <v>27.7</v>
      </c>
      <c r="G24" s="1">
        <v>14.3</v>
      </c>
      <c r="H24" s="1">
        <v>70.5</v>
      </c>
      <c r="I24" s="1">
        <v>304.4</v>
      </c>
      <c r="J24" s="1">
        <v>3.8</v>
      </c>
      <c r="K24" s="1">
        <v>4.3</v>
      </c>
      <c r="L24" s="1">
        <v>307.5</v>
      </c>
      <c r="M24" s="18">
        <f t="shared" si="1"/>
        <v>197.8888412</v>
      </c>
      <c r="N24" s="18">
        <f t="shared" si="2"/>
        <v>23.03101887</v>
      </c>
      <c r="O24" s="30">
        <f>MAX(QB!D26*Scoring!$B$30+QB!E26/Scoring!$C$30+QB!F26*Scoring!$D$30+QB!G26*Scoring!$E$30+QB!H26*Scoring!$F$30+QB!I26/Scoring!$G$30+QB!J26*Scoring!$H$30+QB!K26*Scoring!$I$30+M26*Scoring!$J$30+QB!N26*Scoring!$K$30,0)+C26*Scoring!$B$10*0.07+(C26-D26)*Scoring!$B$5</f>
        <v>242.33</v>
      </c>
      <c r="P24" s="30">
        <f>MAX(QB!D24*Scoring!$B$30+QB!E24/Scoring!$C$30+QB!F24*Scoring!$D$30+QB!G24*Scoring!$E$30+QB!H24*Scoring!$F$30+QB!I24/Scoring!$G$30+QB!J24*Scoring!$H$30+QB!K24*Scoring!$I$30+M24*Scoring!$J$30+QB!N24*Scoring!$K$30,0)+C24*Scoring!$B$10*0.07+(C24-D24)*Scoring!$B$5</f>
        <v>265.37</v>
      </c>
      <c r="Q24" s="30">
        <f>MAX(QB!D25*Scoring!$B$30+QB!E25/Scoring!$C$30+QB!F25*Scoring!$D$30+QB!G25*Scoring!$E$30+QB!H25*Scoring!$F$30+QB!I25/Scoring!$G$30+QB!J25*Scoring!$H$30+QB!K25*Scoring!$I$30+M25*Scoring!$J$30+QB!N25*Scoring!$K$30,0)+C25*Scoring!$B$10*0.07+(C25-D25)*Scoring!$B$5</f>
        <v>295.212</v>
      </c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B25" s="1" t="s">
        <v>39</v>
      </c>
      <c r="C25" s="1">
        <v>559.0</v>
      </c>
      <c r="D25" s="1">
        <v>380.0</v>
      </c>
      <c r="E25" s="1">
        <v>4180.6</v>
      </c>
      <c r="F25" s="1">
        <v>30.0</v>
      </c>
      <c r="G25" s="1">
        <v>13.0</v>
      </c>
      <c r="H25" s="1">
        <v>81.0</v>
      </c>
      <c r="I25" s="1">
        <v>350.0</v>
      </c>
      <c r="J25" s="1">
        <v>5.0</v>
      </c>
      <c r="K25" s="1">
        <v>3.7</v>
      </c>
      <c r="L25" s="1">
        <v>350.0</v>
      </c>
      <c r="M25" s="18">
        <f t="shared" si="1"/>
        <v>199.0362299</v>
      </c>
      <c r="N25" s="18">
        <f t="shared" si="2"/>
        <v>26.48113208</v>
      </c>
      <c r="O25" s="30"/>
      <c r="P25" s="30"/>
      <c r="Q25" s="30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B26" s="1" t="s">
        <v>48</v>
      </c>
      <c r="C26" s="1">
        <v>529.6</v>
      </c>
      <c r="D26" s="1">
        <v>351.9</v>
      </c>
      <c r="E26" s="1">
        <v>4130.0</v>
      </c>
      <c r="F26" s="1">
        <v>26.0</v>
      </c>
      <c r="G26" s="1">
        <v>16.0</v>
      </c>
      <c r="H26" s="1">
        <v>65.0</v>
      </c>
      <c r="I26" s="1">
        <v>277.3</v>
      </c>
      <c r="J26" s="1">
        <v>3.0</v>
      </c>
      <c r="K26" s="1">
        <v>5.0</v>
      </c>
      <c r="L26" s="1">
        <v>292.5</v>
      </c>
      <c r="M26" s="18">
        <f t="shared" si="1"/>
        <v>196.6271898</v>
      </c>
      <c r="N26" s="18">
        <f t="shared" si="2"/>
        <v>20.98062264</v>
      </c>
      <c r="O26" s="30"/>
      <c r="P26" s="30"/>
      <c r="Q26" s="30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" t="s">
        <v>144</v>
      </c>
      <c r="B27" s="1" t="s">
        <v>145</v>
      </c>
      <c r="C27" s="1">
        <v>546.0</v>
      </c>
      <c r="D27" s="1">
        <v>336.1</v>
      </c>
      <c r="E27" s="1">
        <v>3908.5</v>
      </c>
      <c r="F27" s="1">
        <v>27.0</v>
      </c>
      <c r="G27" s="1">
        <v>13.0</v>
      </c>
      <c r="H27" s="1">
        <v>72.5</v>
      </c>
      <c r="I27" s="1">
        <v>321.9</v>
      </c>
      <c r="J27" s="1">
        <v>4.9</v>
      </c>
      <c r="K27" s="1">
        <v>3.4</v>
      </c>
      <c r="L27" s="1">
        <v>306.2</v>
      </c>
      <c r="M27" s="18">
        <f t="shared" si="1"/>
        <v>186.081688</v>
      </c>
      <c r="N27" s="18">
        <f t="shared" si="2"/>
        <v>24.35507547</v>
      </c>
      <c r="O27" s="30">
        <f>MAX(QB!D29*Scoring!$B$30+QB!E29/Scoring!$C$30+QB!F29*Scoring!$D$30+QB!G29*Scoring!$E$30+QB!H29*Scoring!$F$30+QB!I29/Scoring!$G$30+QB!J29*Scoring!$H$30+QB!K29*Scoring!$I$30+M29*Scoring!$J$30+QB!N29*Scoring!$K$30,0)+C29*Scoring!$B$10*0.07+(C29-D29)*Scoring!$B$5</f>
        <v>242.8</v>
      </c>
      <c r="P27" s="30">
        <f>MAX(QB!D27*Scoring!$B$30+QB!E27/Scoring!$C$30+QB!F27*Scoring!$D$30+QB!G27*Scoring!$E$30+QB!H27*Scoring!$F$30+QB!I27/Scoring!$G$30+QB!J27*Scoring!$H$30+QB!K27*Scoring!$I$30+M27*Scoring!$J$30+QB!N27*Scoring!$K$30,0)+C27*Scoring!$B$10*0.07+(C27-D27)*Scoring!$B$5</f>
        <v>268.96</v>
      </c>
      <c r="Q27" s="30">
        <f>MAX(QB!D28*Scoring!$B$30+QB!E28/Scoring!$C$30+QB!F28*Scoring!$D$30+QB!G28*Scoring!$E$30+QB!H28*Scoring!$F$30+QB!I28/Scoring!$G$30+QB!J28*Scoring!$H$30+QB!K28*Scoring!$I$30+M28*Scoring!$J$30+QB!N28*Scoring!$K$30,0)+C28*Scoring!$B$10*0.07+(C28-D28)*Scoring!$B$5</f>
        <v>306.44</v>
      </c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B28" s="1" t="s">
        <v>39</v>
      </c>
      <c r="C28" s="1">
        <v>560.0</v>
      </c>
      <c r="D28" s="1">
        <v>347.3</v>
      </c>
      <c r="E28" s="1">
        <v>3948.0</v>
      </c>
      <c r="F28" s="1">
        <v>31.0</v>
      </c>
      <c r="G28" s="1">
        <v>11.0</v>
      </c>
      <c r="H28" s="1">
        <v>77.0</v>
      </c>
      <c r="I28" s="1">
        <v>334.8</v>
      </c>
      <c r="J28" s="1">
        <v>6.0</v>
      </c>
      <c r="K28" s="1">
        <v>3.0</v>
      </c>
      <c r="L28" s="1">
        <v>357.0</v>
      </c>
      <c r="M28" s="18">
        <f t="shared" si="1"/>
        <v>187.9622628</v>
      </c>
      <c r="N28" s="18">
        <f t="shared" si="2"/>
        <v>25.33109434</v>
      </c>
      <c r="O28" s="30"/>
      <c r="P28" s="30"/>
      <c r="Q28" s="30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B29" s="1" t="s">
        <v>48</v>
      </c>
      <c r="C29" s="1">
        <v>537.0</v>
      </c>
      <c r="D29" s="1">
        <v>326.0</v>
      </c>
      <c r="E29" s="1">
        <v>3845.0</v>
      </c>
      <c r="F29" s="1">
        <v>24.9</v>
      </c>
      <c r="G29" s="1">
        <v>15.0</v>
      </c>
      <c r="H29" s="1">
        <v>67.0</v>
      </c>
      <c r="I29" s="1">
        <v>301.0</v>
      </c>
      <c r="J29" s="1">
        <v>4.0</v>
      </c>
      <c r="K29" s="1">
        <v>3.8</v>
      </c>
      <c r="L29" s="1">
        <v>288.3</v>
      </c>
      <c r="M29" s="18">
        <f t="shared" si="1"/>
        <v>183.0584854</v>
      </c>
      <c r="N29" s="18">
        <f t="shared" si="2"/>
        <v>22.77377358</v>
      </c>
      <c r="O29" s="30"/>
      <c r="P29" s="30"/>
      <c r="Q29" s="30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1" t="s">
        <v>149</v>
      </c>
      <c r="B30" s="1" t="s">
        <v>150</v>
      </c>
      <c r="C30" s="1">
        <v>581.4</v>
      </c>
      <c r="D30" s="1">
        <v>384.1</v>
      </c>
      <c r="E30" s="1">
        <v>4291.2</v>
      </c>
      <c r="F30" s="1">
        <v>30.9</v>
      </c>
      <c r="G30" s="1">
        <v>11.3</v>
      </c>
      <c r="H30" s="1">
        <v>49.1</v>
      </c>
      <c r="I30" s="1">
        <v>173.4</v>
      </c>
      <c r="J30" s="1">
        <v>1.7</v>
      </c>
      <c r="K30" s="1">
        <v>2.8</v>
      </c>
      <c r="L30" s="1">
        <v>306.2</v>
      </c>
      <c r="M30" s="18">
        <f t="shared" si="1"/>
        <v>204.3018394</v>
      </c>
      <c r="N30" s="18">
        <f t="shared" si="2"/>
        <v>13.11950943</v>
      </c>
      <c r="O30" s="30">
        <f>MAX(QB!D32*Scoring!$B$30+QB!E32/Scoring!$C$30+QB!F32*Scoring!$D$30+QB!G32*Scoring!$E$30+QB!H32*Scoring!$F$30+QB!I32/Scoring!$G$30+QB!J32*Scoring!$H$30+QB!K32*Scoring!$I$30+M32*Scoring!$J$30+QB!N32*Scoring!$K$30,0)+C32*Scoring!$B$10*0.07+(C32-D32)*Scoring!$B$5</f>
        <v>251.952</v>
      </c>
      <c r="P30" s="30">
        <f>MAX(QB!D30*Scoring!$B$30+QB!E30/Scoring!$C$30+QB!F30*Scoring!$D$30+QB!G30*Scoring!$E$30+QB!H30*Scoring!$F$30+QB!I30/Scoring!$G$30+QB!J30*Scoring!$H$30+QB!K30*Scoring!$I$30+M30*Scoring!$J$30+QB!N30*Scoring!$K$30,0)+C30*Scoring!$B$10*0.07+(C30-D30)*Scoring!$B$5</f>
        <v>270.564</v>
      </c>
      <c r="Q30" s="30">
        <f>MAX(QB!D31*Scoring!$B$30+QB!E31/Scoring!$C$30+QB!F31*Scoring!$D$30+QB!G31*Scoring!$E$30+QB!H31*Scoring!$F$30+QB!I31/Scoring!$G$30+QB!J31*Scoring!$H$30+QB!K31*Scoring!$I$30+M31*Scoring!$J$30+QB!N31*Scoring!$K$30,0)+C31*Scoring!$B$10*0.07+(C31-D31)*Scoring!$B$5</f>
        <v>293.87</v>
      </c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B31" s="1" t="s">
        <v>39</v>
      </c>
      <c r="C31" s="1">
        <v>614.0</v>
      </c>
      <c r="D31" s="1">
        <v>401.0</v>
      </c>
      <c r="E31" s="1">
        <v>4432.0</v>
      </c>
      <c r="F31" s="1">
        <v>33.0</v>
      </c>
      <c r="G31" s="1">
        <v>10.0</v>
      </c>
      <c r="H31" s="1">
        <v>51.3</v>
      </c>
      <c r="I31" s="1">
        <v>186.3</v>
      </c>
      <c r="J31" s="1">
        <v>2.1</v>
      </c>
      <c r="K31" s="1">
        <v>2.0</v>
      </c>
      <c r="L31" s="1">
        <v>361.0</v>
      </c>
      <c r="M31" s="18">
        <f t="shared" si="1"/>
        <v>211.0052555</v>
      </c>
      <c r="N31" s="18">
        <f t="shared" si="2"/>
        <v>14.0955283</v>
      </c>
      <c r="O31" s="30"/>
      <c r="P31" s="30"/>
      <c r="Q31" s="30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B32" s="1" t="s">
        <v>48</v>
      </c>
      <c r="C32" s="1">
        <v>553.2</v>
      </c>
      <c r="D32" s="1">
        <v>370.3</v>
      </c>
      <c r="E32" s="1">
        <v>4112.6</v>
      </c>
      <c r="F32" s="1">
        <v>29.8</v>
      </c>
      <c r="G32" s="1">
        <v>12.0</v>
      </c>
      <c r="H32" s="1">
        <v>45.0</v>
      </c>
      <c r="I32" s="1">
        <v>161.0</v>
      </c>
      <c r="J32" s="1">
        <v>1.0</v>
      </c>
      <c r="K32" s="1">
        <v>3.6</v>
      </c>
      <c r="L32" s="1">
        <v>286.8</v>
      </c>
      <c r="M32" s="18">
        <f t="shared" si="1"/>
        <v>195.7987847</v>
      </c>
      <c r="N32" s="18">
        <f t="shared" si="2"/>
        <v>12.18132075</v>
      </c>
      <c r="O32" s="30"/>
      <c r="P32" s="30"/>
      <c r="Q32" s="30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" t="s">
        <v>154</v>
      </c>
      <c r="B33" s="1" t="s">
        <v>155</v>
      </c>
      <c r="C33" s="1">
        <v>555.2</v>
      </c>
      <c r="D33" s="1">
        <v>354.1</v>
      </c>
      <c r="E33" s="1">
        <v>3839.6</v>
      </c>
      <c r="F33" s="1">
        <v>27.1</v>
      </c>
      <c r="G33" s="1">
        <v>11.6</v>
      </c>
      <c r="H33" s="1">
        <v>60.4</v>
      </c>
      <c r="I33" s="1">
        <v>359.7</v>
      </c>
      <c r="J33" s="1">
        <v>3.4</v>
      </c>
      <c r="K33" s="1">
        <v>2.0</v>
      </c>
      <c r="L33" s="1">
        <v>303.0</v>
      </c>
      <c r="M33" s="18">
        <f t="shared" si="1"/>
        <v>182.8013942</v>
      </c>
      <c r="N33" s="18">
        <f t="shared" si="2"/>
        <v>27.21503774</v>
      </c>
      <c r="O33" s="30">
        <f>MAX(QB!D35*Scoring!$B$30+QB!E35/Scoring!$C$30+QB!F35*Scoring!$D$30+QB!G35*Scoring!$E$30+QB!H35*Scoring!$F$30+QB!I35/Scoring!$G$30+QB!J35*Scoring!$H$30+QB!K35*Scoring!$I$30+M35*Scoring!$J$30+QB!N35*Scoring!$K$30,0)+C35*Scoring!$B$10*0.07+(C35-D35)*Scoring!$B$5</f>
        <v>249.24</v>
      </c>
      <c r="P33" s="30">
        <f>MAX(QB!D33*Scoring!$B$30+QB!E33/Scoring!$C$30+QB!F33*Scoring!$D$30+QB!G33*Scoring!$E$30+QB!H33*Scoring!$F$30+QB!I33/Scoring!$G$30+QB!J33*Scoring!$H$30+QB!K33*Scoring!$I$30+M33*Scoring!$J$30+QB!N33*Scoring!$K$30,0)+C33*Scoring!$B$10*0.07+(C33-D33)*Scoring!$B$5</f>
        <v>268.562</v>
      </c>
      <c r="Q33" s="30">
        <f>MAX(QB!D34*Scoring!$B$30+QB!E34/Scoring!$C$30+QB!F34*Scoring!$D$30+QB!G34*Scoring!$E$30+QB!H34*Scoring!$F$30+QB!I34/Scoring!$G$30+QB!J34*Scoring!$H$30+QB!K34*Scoring!$I$30+M34*Scoring!$J$30+QB!N34*Scoring!$K$30,0)+C34*Scoring!$B$10*0.07+(C34-D34)*Scoring!$B$5</f>
        <v>297.716</v>
      </c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B34" s="1" t="s">
        <v>39</v>
      </c>
      <c r="C34" s="1">
        <v>568.0</v>
      </c>
      <c r="D34" s="1">
        <v>358.2</v>
      </c>
      <c r="E34" s="1">
        <v>4000.8</v>
      </c>
      <c r="F34" s="1">
        <v>29.0</v>
      </c>
      <c r="G34" s="1">
        <v>11.0</v>
      </c>
      <c r="H34" s="1">
        <v>71.0</v>
      </c>
      <c r="I34" s="1">
        <v>437.0</v>
      </c>
      <c r="J34" s="1">
        <v>4.0</v>
      </c>
      <c r="K34" s="1">
        <v>1.0</v>
      </c>
      <c r="L34" s="1">
        <v>345.0</v>
      </c>
      <c r="M34" s="18">
        <f t="shared" si="1"/>
        <v>190.4760438</v>
      </c>
      <c r="N34" s="18">
        <f t="shared" si="2"/>
        <v>33.06358491</v>
      </c>
      <c r="O34" s="30"/>
      <c r="P34" s="30"/>
      <c r="Q34" s="30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B35" s="1" t="s">
        <v>48</v>
      </c>
      <c r="C35" s="1">
        <v>547.0</v>
      </c>
      <c r="D35" s="1">
        <v>350.0</v>
      </c>
      <c r="E35" s="1">
        <v>3687.0</v>
      </c>
      <c r="F35" s="1">
        <v>26.0</v>
      </c>
      <c r="G35" s="1">
        <v>12.0</v>
      </c>
      <c r="H35" s="1">
        <v>53.1</v>
      </c>
      <c r="I35" s="1">
        <v>315.0</v>
      </c>
      <c r="J35" s="1">
        <v>3.0</v>
      </c>
      <c r="K35" s="1">
        <v>3.0</v>
      </c>
      <c r="L35" s="1">
        <v>291.3</v>
      </c>
      <c r="M35" s="18">
        <f t="shared" si="1"/>
        <v>175.5361861</v>
      </c>
      <c r="N35" s="18">
        <f t="shared" si="2"/>
        <v>23.83301887</v>
      </c>
      <c r="O35" s="30"/>
      <c r="P35" s="30"/>
      <c r="Q35" s="30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" t="s">
        <v>158</v>
      </c>
      <c r="B36" s="1" t="s">
        <v>159</v>
      </c>
      <c r="C36" s="1">
        <v>548.8</v>
      </c>
      <c r="D36" s="1">
        <v>329.5</v>
      </c>
      <c r="E36" s="1">
        <v>3866.3</v>
      </c>
      <c r="F36" s="1">
        <v>27.4</v>
      </c>
      <c r="G36" s="1">
        <v>9.3</v>
      </c>
      <c r="H36" s="1">
        <v>79.4</v>
      </c>
      <c r="I36" s="1">
        <v>398.6</v>
      </c>
      <c r="J36" s="1">
        <v>2.1</v>
      </c>
      <c r="K36" s="1">
        <v>3.0</v>
      </c>
      <c r="L36" s="1">
        <v>301.4</v>
      </c>
      <c r="M36" s="18">
        <f t="shared" si="1"/>
        <v>184.0725675</v>
      </c>
      <c r="N36" s="18">
        <f t="shared" si="2"/>
        <v>30.15822642</v>
      </c>
      <c r="O36" s="30">
        <f>MAX(QB!D38*Scoring!$B$30+QB!E38/Scoring!$C$30+QB!F38*Scoring!$D$30+QB!G38*Scoring!$E$30+QB!H38*Scoring!$F$30+QB!I38/Scoring!$G$30+QB!J38*Scoring!$H$30+QB!K38*Scoring!$I$30+M38*Scoring!$J$30+QB!N38*Scoring!$K$30,0)+C38*Scoring!$B$10*0.07+(C38-D38)*Scoring!$B$5</f>
        <v>250.398</v>
      </c>
      <c r="P36" s="30">
        <f>MAX(QB!D36*Scoring!$B$30+QB!E36/Scoring!$C$30+QB!F36*Scoring!$D$30+QB!G36*Scoring!$E$30+QB!H36*Scoring!$F$30+QB!I36/Scoring!$G$30+QB!J36*Scoring!$H$30+QB!K36*Scoring!$I$30+M36*Scoring!$J$30+QB!N36*Scoring!$K$30,0)+C36*Scoring!$B$10*0.07+(C36-D36)*Scoring!$B$5</f>
        <v>269.586</v>
      </c>
      <c r="Q36" s="30">
        <f>MAX(QB!D37*Scoring!$B$30+QB!E37/Scoring!$C$30+QB!F37*Scoring!$D$30+QB!G37*Scoring!$E$30+QB!H37*Scoring!$F$30+QB!I37/Scoring!$G$30+QB!J37*Scoring!$H$30+QB!K37*Scoring!$I$30+M37*Scoring!$J$30+QB!N37*Scoring!$K$30,0)+C37*Scoring!$B$10*0.07+(C37-D37)*Scoring!$B$5</f>
        <v>293.14</v>
      </c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B37" s="1" t="s">
        <v>39</v>
      </c>
      <c r="C37" s="1">
        <v>580.0</v>
      </c>
      <c r="D37" s="1">
        <v>339.0</v>
      </c>
      <c r="E37" s="1">
        <v>3907.0</v>
      </c>
      <c r="F37" s="1">
        <v>30.0</v>
      </c>
      <c r="G37" s="1">
        <v>8.0</v>
      </c>
      <c r="H37" s="1">
        <v>88.0</v>
      </c>
      <c r="I37" s="1">
        <v>412.0</v>
      </c>
      <c r="J37" s="1">
        <v>2.3</v>
      </c>
      <c r="K37" s="1">
        <v>2.0</v>
      </c>
      <c r="L37" s="1">
        <v>349.0</v>
      </c>
      <c r="M37" s="18">
        <f t="shared" si="1"/>
        <v>186.0102737</v>
      </c>
      <c r="N37" s="18">
        <f t="shared" si="2"/>
        <v>31.17207547</v>
      </c>
      <c r="O37" s="30"/>
      <c r="P37" s="30"/>
      <c r="Q37" s="30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B38" s="1" t="s">
        <v>48</v>
      </c>
      <c r="C38" s="1">
        <v>528.4</v>
      </c>
      <c r="D38" s="1">
        <v>316.6</v>
      </c>
      <c r="E38" s="1">
        <v>3820.9</v>
      </c>
      <c r="F38" s="1">
        <v>25.3</v>
      </c>
      <c r="G38" s="1">
        <v>10.0</v>
      </c>
      <c r="H38" s="1">
        <v>71.1</v>
      </c>
      <c r="I38" s="1">
        <v>381.8</v>
      </c>
      <c r="J38" s="1">
        <v>2.0</v>
      </c>
      <c r="K38" s="1">
        <v>4.0</v>
      </c>
      <c r="L38" s="1">
        <v>281.7</v>
      </c>
      <c r="M38" s="18">
        <f t="shared" si="1"/>
        <v>181.9110967</v>
      </c>
      <c r="N38" s="18">
        <f t="shared" si="2"/>
        <v>28.88713208</v>
      </c>
      <c r="O38" s="30"/>
      <c r="P38" s="30"/>
      <c r="Q38" s="30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" t="s">
        <v>163</v>
      </c>
      <c r="B39" s="1" t="s">
        <v>164</v>
      </c>
      <c r="C39" s="1">
        <v>529.5</v>
      </c>
      <c r="D39" s="1">
        <v>349.8</v>
      </c>
      <c r="E39" s="1">
        <v>3858.0</v>
      </c>
      <c r="F39" s="1">
        <v>26.2</v>
      </c>
      <c r="G39" s="1">
        <v>11.7</v>
      </c>
      <c r="H39" s="1">
        <v>78.4</v>
      </c>
      <c r="I39" s="1">
        <v>450.2</v>
      </c>
      <c r="J39" s="1">
        <v>2.1</v>
      </c>
      <c r="K39" s="1">
        <v>2.8</v>
      </c>
      <c r="L39" s="1">
        <v>299.6</v>
      </c>
      <c r="M39" s="18">
        <f t="shared" si="1"/>
        <v>183.6774088</v>
      </c>
      <c r="N39" s="18">
        <f t="shared" si="2"/>
        <v>34.06230189</v>
      </c>
      <c r="O39" s="30">
        <f>MAX(QB!D41*Scoring!$B$30+QB!E41/Scoring!$C$30+QB!F41*Scoring!$D$30+QB!G41*Scoring!$E$30+QB!H41*Scoring!$F$30+QB!I41/Scoring!$G$30+QB!J41*Scoring!$H$30+QB!K41*Scoring!$I$30+M41*Scoring!$J$30+QB!N41*Scoring!$K$30,0)+C41*Scoring!$B$10*0.07+(C41-D41)*Scoring!$B$5</f>
        <v>244.89</v>
      </c>
      <c r="P39" s="30">
        <f>MAX(QB!D39*Scoring!$B$30+QB!E39/Scoring!$C$30+QB!F39*Scoring!$D$30+QB!G39*Scoring!$E$30+QB!H39*Scoring!$F$30+QB!I39/Scoring!$G$30+QB!J39*Scoring!$H$30+QB!K39*Scoring!$I$30+M39*Scoring!$J$30+QB!N39*Scoring!$K$30,0)+C39*Scoring!$B$10*0.07+(C39-D39)*Scoring!$B$5</f>
        <v>262.98</v>
      </c>
      <c r="Q39" s="30">
        <f>MAX(QB!D40*Scoring!$B$30+QB!E40/Scoring!$C$30+QB!F40*Scoring!$D$30+QB!G40*Scoring!$E$30+QB!H40*Scoring!$F$30+QB!I40/Scoring!$G$30+QB!J40*Scoring!$H$30+QB!K40*Scoring!$I$30+M40*Scoring!$J$30+QB!N40*Scoring!$K$30,0)+C40*Scoring!$B$10*0.07+(C40-D40)*Scoring!$B$5</f>
        <v>287.14</v>
      </c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B40" s="1" t="s">
        <v>39</v>
      </c>
      <c r="C40" s="1">
        <v>534.0</v>
      </c>
      <c r="D40" s="1">
        <v>352.0</v>
      </c>
      <c r="E40" s="1">
        <v>3952.0</v>
      </c>
      <c r="F40" s="1">
        <v>28.0</v>
      </c>
      <c r="G40" s="1">
        <v>11.0</v>
      </c>
      <c r="H40" s="1">
        <v>83.0</v>
      </c>
      <c r="I40" s="1">
        <v>517.0</v>
      </c>
      <c r="J40" s="1">
        <v>2.4</v>
      </c>
      <c r="K40" s="1">
        <v>2.0</v>
      </c>
      <c r="L40" s="1">
        <v>334.0</v>
      </c>
      <c r="M40" s="18">
        <f t="shared" si="1"/>
        <v>188.1527007</v>
      </c>
      <c r="N40" s="18">
        <f t="shared" si="2"/>
        <v>39.11641509</v>
      </c>
      <c r="O40" s="30"/>
      <c r="P40" s="30"/>
      <c r="Q40" s="30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B41" s="1" t="s">
        <v>48</v>
      </c>
      <c r="C41" s="1">
        <v>527.0</v>
      </c>
      <c r="D41" s="1">
        <v>345.4</v>
      </c>
      <c r="E41" s="1">
        <v>3772.0</v>
      </c>
      <c r="F41" s="1">
        <v>25.0</v>
      </c>
      <c r="G41" s="1">
        <v>13.0</v>
      </c>
      <c r="H41" s="1">
        <v>74.0</v>
      </c>
      <c r="I41" s="1">
        <v>406.5</v>
      </c>
      <c r="J41" s="1">
        <v>2.0</v>
      </c>
      <c r="K41" s="1">
        <v>3.6</v>
      </c>
      <c r="L41" s="1">
        <v>283.6</v>
      </c>
      <c r="M41" s="18">
        <f t="shared" si="1"/>
        <v>179.5829927</v>
      </c>
      <c r="N41" s="18">
        <f t="shared" si="2"/>
        <v>30.7559434</v>
      </c>
      <c r="O41" s="30"/>
      <c r="P41" s="30"/>
      <c r="Q41" s="30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1" t="s">
        <v>169</v>
      </c>
      <c r="B42" s="1" t="s">
        <v>170</v>
      </c>
      <c r="C42" s="1">
        <v>555.2</v>
      </c>
      <c r="D42" s="1">
        <v>355.0</v>
      </c>
      <c r="E42" s="1">
        <v>3744.8</v>
      </c>
      <c r="F42" s="1">
        <v>26.8</v>
      </c>
      <c r="G42" s="1">
        <v>11.0</v>
      </c>
      <c r="H42" s="1">
        <v>79.1</v>
      </c>
      <c r="I42" s="1">
        <v>341.4</v>
      </c>
      <c r="J42" s="1">
        <v>3.7</v>
      </c>
      <c r="K42" s="1">
        <v>2.0</v>
      </c>
      <c r="L42" s="1">
        <v>298.2</v>
      </c>
      <c r="M42" s="18">
        <f t="shared" si="1"/>
        <v>178.2880146</v>
      </c>
      <c r="N42" s="18">
        <f t="shared" si="2"/>
        <v>25.83045283</v>
      </c>
      <c r="O42" s="30">
        <f>MAX(QB!D44*Scoring!$B$30+QB!E44/Scoring!$C$30+QB!F44*Scoring!$D$30+QB!G44*Scoring!$E$30+QB!H44*Scoring!$F$30+QB!I44/Scoring!$G$30+QB!J44*Scoring!$H$30+QB!K44*Scoring!$I$30+M44*Scoring!$J$30+QB!N44*Scoring!$K$30,0)+C44*Scoring!$B$10*0.07+(C44-D44)*Scoring!$B$5</f>
        <v>247.54</v>
      </c>
      <c r="P42" s="30">
        <f>MAX(QB!D42*Scoring!$B$30+QB!E42/Scoring!$C$30+QB!F42*Scoring!$D$30+QB!G42*Scoring!$E$30+QB!H42*Scoring!$F$30+QB!I42/Scoring!$G$30+QB!J42*Scoring!$H$30+QB!K42*Scoring!$I$30+M42*Scoring!$J$30+QB!N42*Scoring!$K$30,0)+C42*Scoring!$B$10*0.07+(C42-D42)*Scoring!$B$5</f>
        <v>266.036</v>
      </c>
      <c r="Q42" s="30">
        <f>MAX(QB!D43*Scoring!$B$30+QB!E43/Scoring!$C$30+QB!F43*Scoring!$D$30+QB!G43*Scoring!$E$30+QB!H43*Scoring!$F$30+QB!I43/Scoring!$G$30+QB!J43*Scoring!$H$30+QB!K43*Scoring!$I$30+M43*Scoring!$J$30+QB!N43*Scoring!$K$30,0)+C43*Scoring!$B$10*0.07+(C43-D43)*Scoring!$B$5</f>
        <v>277.748</v>
      </c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B43" s="1" t="s">
        <v>39</v>
      </c>
      <c r="C43" s="1">
        <v>574.0</v>
      </c>
      <c r="D43" s="1">
        <v>363.9</v>
      </c>
      <c r="E43" s="1">
        <v>3877.4</v>
      </c>
      <c r="F43" s="1">
        <v>27.0</v>
      </c>
      <c r="G43" s="1">
        <v>10.0</v>
      </c>
      <c r="H43" s="1">
        <v>82.3</v>
      </c>
      <c r="I43" s="1">
        <v>362.0</v>
      </c>
      <c r="J43" s="1">
        <v>4.0</v>
      </c>
      <c r="K43" s="1">
        <v>1.0</v>
      </c>
      <c r="L43" s="1">
        <v>322.2</v>
      </c>
      <c r="M43" s="18">
        <f t="shared" si="1"/>
        <v>184.6010328</v>
      </c>
      <c r="N43" s="18">
        <f t="shared" si="2"/>
        <v>27.3890566</v>
      </c>
      <c r="O43" s="30"/>
      <c r="P43" s="30"/>
      <c r="Q43" s="30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B44" s="1" t="s">
        <v>48</v>
      </c>
      <c r="C44" s="1">
        <v>527.0</v>
      </c>
      <c r="D44" s="1">
        <v>338.0</v>
      </c>
      <c r="E44" s="1">
        <v>3507.0</v>
      </c>
      <c r="F44" s="1">
        <v>26.5</v>
      </c>
      <c r="G44" s="1">
        <v>12.0</v>
      </c>
      <c r="H44" s="1">
        <v>73.0</v>
      </c>
      <c r="I44" s="1">
        <v>306.0</v>
      </c>
      <c r="J44" s="1">
        <v>3.0</v>
      </c>
      <c r="K44" s="1">
        <v>3.1</v>
      </c>
      <c r="L44" s="1">
        <v>296.2</v>
      </c>
      <c r="M44" s="18">
        <f t="shared" si="1"/>
        <v>166.9664781</v>
      </c>
      <c r="N44" s="18">
        <f t="shared" si="2"/>
        <v>23.15207547</v>
      </c>
      <c r="O44" s="30"/>
      <c r="P44" s="30"/>
      <c r="Q44" s="30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" t="s">
        <v>175</v>
      </c>
      <c r="B45" s="1" t="s">
        <v>176</v>
      </c>
      <c r="C45" s="1">
        <v>546.9</v>
      </c>
      <c r="D45" s="1">
        <v>352.7</v>
      </c>
      <c r="E45" s="1">
        <v>4190.6</v>
      </c>
      <c r="F45" s="1">
        <v>34.0</v>
      </c>
      <c r="G45" s="1">
        <v>8.6</v>
      </c>
      <c r="H45" s="1">
        <v>23.7</v>
      </c>
      <c r="I45" s="1">
        <v>33.1</v>
      </c>
      <c r="J45" s="1">
        <v>0.2</v>
      </c>
      <c r="K45" s="1">
        <v>2.8</v>
      </c>
      <c r="L45" s="1">
        <v>294.0</v>
      </c>
      <c r="M45" s="18">
        <f t="shared" si="1"/>
        <v>199.5123248</v>
      </c>
      <c r="N45" s="18">
        <f t="shared" si="2"/>
        <v>2.504358491</v>
      </c>
      <c r="O45" s="30">
        <f>MAX(QB!D47*Scoring!$B$30+QB!E47/Scoring!$C$30+QB!F47*Scoring!$D$30+QB!G47*Scoring!$E$30+QB!H47*Scoring!$F$30+QB!I47/Scoring!$G$30+QB!J47*Scoring!$H$30+QB!K47*Scoring!$I$30+M47*Scoring!$J$30+QB!N47*Scoring!$K$30,0)+C47*Scoring!$B$10*0.07+(C47-D47)*Scoring!$B$5</f>
        <v>254.76</v>
      </c>
      <c r="P45" s="30">
        <f>MAX(QB!D45*Scoring!$B$30+QB!E45/Scoring!$C$30+QB!F45*Scoring!$D$30+QB!G45*Scoring!$E$30+QB!H45*Scoring!$F$30+QB!I45/Scoring!$G$30+QB!J45*Scoring!$H$30+QB!K45*Scoring!$I$30+M45*Scoring!$J$30+QB!N45*Scoring!$K$30,0)+C45*Scoring!$B$10*0.07+(C45-D45)*Scoring!$B$5</f>
        <v>269.522</v>
      </c>
      <c r="Q45" s="30">
        <f>MAX(QB!D46*Scoring!$B$30+QB!E46/Scoring!$C$30+QB!F46*Scoring!$D$30+QB!G46*Scoring!$E$30+QB!H46*Scoring!$F$30+QB!I46/Scoring!$G$30+QB!J46*Scoring!$H$30+QB!K46*Scoring!$I$30+M46*Scoring!$J$30+QB!N46*Scoring!$K$30,0)+C46*Scoring!$B$10*0.07+(C46-D46)*Scoring!$B$5</f>
        <v>284.574</v>
      </c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B46" s="1" t="s">
        <v>39</v>
      </c>
      <c r="C46" s="1">
        <v>557.8</v>
      </c>
      <c r="D46" s="1">
        <v>359.0</v>
      </c>
      <c r="E46" s="1">
        <v>4281.7</v>
      </c>
      <c r="F46" s="1">
        <v>34.9</v>
      </c>
      <c r="G46" s="1">
        <v>7.0</v>
      </c>
      <c r="H46" s="1">
        <v>27.0</v>
      </c>
      <c r="I46" s="1">
        <v>39.4</v>
      </c>
      <c r="J46" s="1">
        <v>0.6</v>
      </c>
      <c r="K46" s="1">
        <v>2.0</v>
      </c>
      <c r="L46" s="1">
        <v>341.0</v>
      </c>
      <c r="M46" s="18">
        <f t="shared" si="1"/>
        <v>203.8495493</v>
      </c>
      <c r="N46" s="18">
        <f t="shared" si="2"/>
        <v>2.981018868</v>
      </c>
      <c r="O46" s="30"/>
      <c r="P46" s="30"/>
      <c r="Q46" s="30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B47" s="1" t="s">
        <v>48</v>
      </c>
      <c r="C47" s="1">
        <v>539.0</v>
      </c>
      <c r="D47" s="1">
        <v>343.0</v>
      </c>
      <c r="E47" s="1">
        <v>4048.0</v>
      </c>
      <c r="F47" s="1">
        <v>33.0</v>
      </c>
      <c r="G47" s="1">
        <v>9.7</v>
      </c>
      <c r="H47" s="1">
        <v>17.0</v>
      </c>
      <c r="I47" s="1">
        <v>22.0</v>
      </c>
      <c r="J47" s="1">
        <v>0.0</v>
      </c>
      <c r="K47" s="1">
        <v>3.5</v>
      </c>
      <c r="L47" s="1">
        <v>293.2</v>
      </c>
      <c r="M47" s="18">
        <f t="shared" si="1"/>
        <v>192.7232117</v>
      </c>
      <c r="N47" s="18">
        <f t="shared" si="2"/>
        <v>1.664528302</v>
      </c>
      <c r="O47" s="30"/>
      <c r="P47" s="30"/>
      <c r="Q47" s="30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" t="s">
        <v>178</v>
      </c>
      <c r="B48" s="1" t="s">
        <v>179</v>
      </c>
      <c r="C48" s="1">
        <v>547.3</v>
      </c>
      <c r="D48" s="1">
        <v>373.8</v>
      </c>
      <c r="E48" s="1">
        <v>4308.0</v>
      </c>
      <c r="F48" s="1">
        <v>31.7</v>
      </c>
      <c r="G48" s="1">
        <v>10.0</v>
      </c>
      <c r="H48" s="1">
        <v>23.7</v>
      </c>
      <c r="I48" s="1">
        <v>48.2</v>
      </c>
      <c r="J48" s="1">
        <v>0.2</v>
      </c>
      <c r="K48" s="1">
        <v>3.7</v>
      </c>
      <c r="L48" s="1">
        <v>287.8</v>
      </c>
      <c r="M48" s="18">
        <f t="shared" si="1"/>
        <v>205.1016788</v>
      </c>
      <c r="N48" s="18">
        <f t="shared" si="2"/>
        <v>3.646830189</v>
      </c>
      <c r="O48" s="30">
        <f>MAX(QB!D50*Scoring!$B$30+QB!E50/Scoring!$C$30+QB!F50*Scoring!$D$30+QB!G50*Scoring!$E$30+QB!H50*Scoring!$F$30+QB!I50/Scoring!$G$30+QB!J50*Scoring!$H$30+QB!K50*Scoring!$I$30+M50*Scoring!$J$30+QB!N50*Scoring!$K$30,0)+C50*Scoring!$B$10*0.07+(C50-D50)*Scoring!$B$5</f>
        <v>235.422</v>
      </c>
      <c r="P48" s="30">
        <f>MAX(QB!D48*Scoring!$B$30+QB!E48/Scoring!$C$30+QB!F48*Scoring!$D$30+QB!G48*Scoring!$E$30+QB!H48*Scoring!$F$30+QB!I48/Scoring!$G$30+QB!J48*Scoring!$H$30+QB!K48*Scoring!$I$30+M48*Scoring!$J$30+QB!N48*Scoring!$K$30,0)+C48*Scoring!$B$10*0.07+(C48-D48)*Scoring!$B$5</f>
        <v>254.98</v>
      </c>
      <c r="Q48" s="30">
        <f>MAX(QB!D49*Scoring!$B$30+QB!E49/Scoring!$C$30+QB!F49*Scoring!$D$30+QB!G49*Scoring!$E$30+QB!H49*Scoring!$F$30+QB!I49/Scoring!$G$30+QB!J49*Scoring!$H$30+QB!K49*Scoring!$I$30+M49*Scoring!$J$30+QB!N49*Scoring!$K$30,0)+C49*Scoring!$B$10*0.07+(C49-D49)*Scoring!$B$5</f>
        <v>275.38</v>
      </c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B49" s="1" t="s">
        <v>39</v>
      </c>
      <c r="C49" s="1">
        <v>572.0</v>
      </c>
      <c r="D49" s="1">
        <v>383.0</v>
      </c>
      <c r="E49" s="1">
        <v>4459.0</v>
      </c>
      <c r="F49" s="1">
        <v>34.0</v>
      </c>
      <c r="G49" s="1">
        <v>10.0</v>
      </c>
      <c r="H49" s="1">
        <v>27.2</v>
      </c>
      <c r="I49" s="1">
        <v>50.0</v>
      </c>
      <c r="J49" s="1">
        <v>0.7</v>
      </c>
      <c r="K49" s="1">
        <v>3.5</v>
      </c>
      <c r="L49" s="1">
        <v>337.0</v>
      </c>
      <c r="M49" s="18">
        <f t="shared" si="1"/>
        <v>212.2907117</v>
      </c>
      <c r="N49" s="18">
        <f t="shared" si="2"/>
        <v>3.783018868</v>
      </c>
      <c r="O49" s="30"/>
      <c r="P49" s="30"/>
      <c r="Q49" s="30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B50" s="1" t="s">
        <v>48</v>
      </c>
      <c r="C50" s="1">
        <v>526.0</v>
      </c>
      <c r="D50" s="1">
        <v>367.0</v>
      </c>
      <c r="E50" s="1">
        <v>4216.1</v>
      </c>
      <c r="F50" s="1">
        <v>29.1</v>
      </c>
      <c r="G50" s="1">
        <v>10.0</v>
      </c>
      <c r="H50" s="1">
        <v>21.0</v>
      </c>
      <c r="I50" s="1">
        <v>45.0</v>
      </c>
      <c r="J50" s="1">
        <v>0.0</v>
      </c>
      <c r="K50" s="1">
        <v>4.0</v>
      </c>
      <c r="L50" s="1">
        <v>268.5</v>
      </c>
      <c r="M50" s="18">
        <f t="shared" si="1"/>
        <v>200.7263668</v>
      </c>
      <c r="N50" s="18">
        <f t="shared" si="2"/>
        <v>3.404716981</v>
      </c>
      <c r="O50" s="30"/>
      <c r="P50" s="30"/>
      <c r="Q50" s="30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" t="s">
        <v>181</v>
      </c>
      <c r="B51" s="1" t="s">
        <v>182</v>
      </c>
      <c r="C51" s="1">
        <v>550.7</v>
      </c>
      <c r="D51" s="1">
        <v>363.0</v>
      </c>
      <c r="E51" s="1">
        <v>3950.0</v>
      </c>
      <c r="F51" s="1">
        <v>22.2</v>
      </c>
      <c r="G51" s="1">
        <v>11.7</v>
      </c>
      <c r="H51" s="1">
        <v>78.2</v>
      </c>
      <c r="I51" s="1">
        <v>330.2</v>
      </c>
      <c r="J51" s="1">
        <v>4.1</v>
      </c>
      <c r="K51" s="1">
        <v>3.6</v>
      </c>
      <c r="L51" s="1">
        <v>285.4</v>
      </c>
      <c r="M51" s="18">
        <f t="shared" si="1"/>
        <v>188.0574818</v>
      </c>
      <c r="N51" s="18">
        <f t="shared" si="2"/>
        <v>24.9830566</v>
      </c>
      <c r="O51" s="30">
        <f>MAX(QB!D53*Scoring!$B$30+QB!E53/Scoring!$C$30+QB!F53*Scoring!$D$30+QB!G53*Scoring!$E$30+QB!H53*Scoring!$F$30+QB!I53/Scoring!$G$30+QB!J53*Scoring!$H$30+QB!K53*Scoring!$I$30+M53*Scoring!$J$30+QB!N53*Scoring!$K$30,0)+C53*Scoring!$B$10*0.07+(C53-D53)*Scoring!$B$5</f>
        <v>217.282</v>
      </c>
      <c r="P51" s="30">
        <f>MAX(QB!D51*Scoring!$B$30+QB!E51/Scoring!$C$30+QB!F51*Scoring!$D$30+QB!G51*Scoring!$E$30+QB!H51*Scoring!$F$30+QB!I51/Scoring!$G$30+QB!J51*Scoring!$H$30+QB!K51*Scoring!$I$30+M51*Scoring!$J$30+QB!N51*Scoring!$K$30,0)+C51*Scoring!$B$10*0.07+(C51-D51)*Scoring!$B$5</f>
        <v>239.22</v>
      </c>
      <c r="Q51" s="30">
        <f>MAX(QB!D52*Scoring!$B$30+QB!E52/Scoring!$C$30+QB!F52*Scoring!$D$30+QB!G52*Scoring!$E$30+QB!H52*Scoring!$F$30+QB!I52/Scoring!$G$30+QB!J52*Scoring!$H$30+QB!K52*Scoring!$I$30+M52*Scoring!$J$30+QB!N52*Scoring!$K$30,0)+C52*Scoring!$B$10*0.07+(C52-D52)*Scoring!$B$5</f>
        <v>261.36</v>
      </c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B52" s="1" t="s">
        <v>39</v>
      </c>
      <c r="C52" s="1">
        <v>558.0</v>
      </c>
      <c r="D52" s="1">
        <v>372.0</v>
      </c>
      <c r="E52" s="1">
        <v>4013.0</v>
      </c>
      <c r="F52" s="1">
        <v>24.0</v>
      </c>
      <c r="G52" s="1">
        <v>10.0</v>
      </c>
      <c r="H52" s="1">
        <v>94.0</v>
      </c>
      <c r="I52" s="1">
        <v>377.0</v>
      </c>
      <c r="J52" s="1">
        <v>4.3</v>
      </c>
      <c r="K52" s="1">
        <v>3.2</v>
      </c>
      <c r="L52" s="1">
        <v>308.0</v>
      </c>
      <c r="M52" s="18">
        <f t="shared" si="1"/>
        <v>191.0568796</v>
      </c>
      <c r="N52" s="18">
        <f t="shared" si="2"/>
        <v>28.52396226</v>
      </c>
      <c r="O52" s="30"/>
      <c r="P52" s="30"/>
      <c r="Q52" s="30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B53" s="1" t="s">
        <v>48</v>
      </c>
      <c r="C53" s="1">
        <v>545.2</v>
      </c>
      <c r="D53" s="1">
        <v>354.9</v>
      </c>
      <c r="E53" s="1">
        <v>3886.1</v>
      </c>
      <c r="F53" s="1">
        <v>20.5</v>
      </c>
      <c r="G53" s="1">
        <v>14.0</v>
      </c>
      <c r="H53" s="1">
        <v>65.7</v>
      </c>
      <c r="I53" s="1">
        <v>285.6</v>
      </c>
      <c r="J53" s="1">
        <v>4.0</v>
      </c>
      <c r="K53" s="1">
        <v>4.0</v>
      </c>
      <c r="L53" s="1">
        <v>266.0</v>
      </c>
      <c r="M53" s="18">
        <f t="shared" si="1"/>
        <v>185.0152354</v>
      </c>
      <c r="N53" s="18">
        <f t="shared" si="2"/>
        <v>21.60860377</v>
      </c>
      <c r="O53" s="30"/>
      <c r="P53" s="30"/>
      <c r="Q53" s="30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1" t="s">
        <v>185</v>
      </c>
      <c r="B54" s="1" t="s">
        <v>186</v>
      </c>
      <c r="C54" s="1">
        <v>541.5</v>
      </c>
      <c r="D54" s="1">
        <v>349.2</v>
      </c>
      <c r="E54" s="1">
        <v>3840.8</v>
      </c>
      <c r="F54" s="1">
        <v>25.9</v>
      </c>
      <c r="G54" s="1">
        <v>12.9</v>
      </c>
      <c r="H54" s="1">
        <v>57.7</v>
      </c>
      <c r="I54" s="1">
        <v>362.4</v>
      </c>
      <c r="J54" s="1">
        <v>1.5</v>
      </c>
      <c r="K54" s="1">
        <v>3.7</v>
      </c>
      <c r="L54" s="1">
        <v>281.8</v>
      </c>
      <c r="M54" s="18">
        <f t="shared" si="1"/>
        <v>182.8585255</v>
      </c>
      <c r="N54" s="18">
        <f t="shared" si="2"/>
        <v>27.41932075</v>
      </c>
      <c r="O54" s="30">
        <f>MAX(QB!D56*Scoring!$B$30+QB!E56/Scoring!$C$30+QB!F56*Scoring!$D$30+QB!G56*Scoring!$E$30+QB!H56*Scoring!$F$30+QB!I56/Scoring!$G$30+QB!J56*Scoring!$H$30+QB!K56*Scoring!$I$30+M56*Scoring!$J$30+QB!N56*Scoring!$K$30,0)+C56*Scoring!$B$10*0.07+(C56-D56)*Scoring!$B$5</f>
        <v>218.52</v>
      </c>
      <c r="P54" s="30">
        <f>MAX(QB!D54*Scoring!$B$30+QB!E54/Scoring!$C$30+QB!F54*Scoring!$D$30+QB!G54*Scoring!$E$30+QB!H54*Scoring!$F$30+QB!I54/Scoring!$G$30+QB!J54*Scoring!$H$30+QB!K54*Scoring!$I$30+M54*Scoring!$J$30+QB!N54*Scoring!$K$30,0)+C54*Scoring!$B$10*0.07+(C54-D54)*Scoring!$B$5</f>
        <v>244.256</v>
      </c>
      <c r="Q54" s="30">
        <f>MAX(QB!D55*Scoring!$B$30+QB!E55/Scoring!$C$30+QB!F55*Scoring!$D$30+QB!G55*Scoring!$E$30+QB!H55*Scoring!$F$30+QB!I55/Scoring!$G$30+QB!J55*Scoring!$H$30+QB!K55*Scoring!$I$30+M55*Scoring!$J$30+QB!N55*Scoring!$K$30,0)+C55*Scoring!$B$10*0.07+(C55-D55)*Scoring!$B$5</f>
        <v>275.58</v>
      </c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B55" s="1" t="s">
        <v>39</v>
      </c>
      <c r="C55" s="1">
        <v>555.0</v>
      </c>
      <c r="D55" s="1">
        <v>356.0</v>
      </c>
      <c r="E55" s="1">
        <v>3949.0</v>
      </c>
      <c r="F55" s="1">
        <v>29.0</v>
      </c>
      <c r="G55" s="1">
        <v>11.6</v>
      </c>
      <c r="H55" s="1">
        <v>60.0</v>
      </c>
      <c r="I55" s="1">
        <v>398.0</v>
      </c>
      <c r="J55" s="1">
        <v>2.0</v>
      </c>
      <c r="K55" s="1">
        <v>3.0</v>
      </c>
      <c r="L55" s="1">
        <v>333.0</v>
      </c>
      <c r="M55" s="18">
        <f t="shared" si="1"/>
        <v>188.0098723</v>
      </c>
      <c r="N55" s="18">
        <f t="shared" si="2"/>
        <v>30.11283019</v>
      </c>
      <c r="O55" s="30"/>
      <c r="P55" s="30"/>
      <c r="Q55" s="30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B56" s="1" t="s">
        <v>48</v>
      </c>
      <c r="C56" s="1">
        <v>526.6</v>
      </c>
      <c r="D56" s="1">
        <v>338.5</v>
      </c>
      <c r="E56" s="1">
        <v>3750.0</v>
      </c>
      <c r="F56" s="1">
        <v>24.0</v>
      </c>
      <c r="G56" s="1">
        <v>15.0</v>
      </c>
      <c r="H56" s="1">
        <v>54.1</v>
      </c>
      <c r="I56" s="1">
        <v>323.2</v>
      </c>
      <c r="J56" s="1">
        <v>1.0</v>
      </c>
      <c r="K56" s="1">
        <v>4.4</v>
      </c>
      <c r="L56" s="1">
        <v>264.8</v>
      </c>
      <c r="M56" s="18">
        <f t="shared" si="1"/>
        <v>178.5355839</v>
      </c>
      <c r="N56" s="18">
        <f t="shared" si="2"/>
        <v>24.45343396</v>
      </c>
      <c r="O56" s="30"/>
      <c r="P56" s="30"/>
      <c r="Q56" s="30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" t="s">
        <v>188</v>
      </c>
      <c r="B57" s="1" t="s">
        <v>189</v>
      </c>
      <c r="C57" s="1">
        <v>498.1</v>
      </c>
      <c r="D57" s="1">
        <v>329.9</v>
      </c>
      <c r="E57" s="1">
        <v>3499.1</v>
      </c>
      <c r="F57" s="1">
        <v>23.5</v>
      </c>
      <c r="G57" s="1">
        <v>14.0</v>
      </c>
      <c r="H57" s="1">
        <v>79.6</v>
      </c>
      <c r="I57" s="1">
        <v>476.6</v>
      </c>
      <c r="J57" s="1">
        <v>3.4</v>
      </c>
      <c r="K57" s="1">
        <v>3.8</v>
      </c>
      <c r="L57" s="1">
        <v>280.3</v>
      </c>
      <c r="M57" s="18">
        <f t="shared" si="1"/>
        <v>166.5903631</v>
      </c>
      <c r="N57" s="18">
        <f t="shared" si="2"/>
        <v>36.05973585</v>
      </c>
      <c r="O57" s="30">
        <f>MAX(QB!D59*Scoring!$B$30+QB!E59/Scoring!$C$30+QB!F59*Scoring!$D$30+QB!G59*Scoring!$E$30+QB!H59*Scoring!$F$30+QB!I59/Scoring!$G$30+QB!J59*Scoring!$H$30+QB!K59*Scoring!$I$30+M59*Scoring!$J$30+QB!N59*Scoring!$K$30,0)+C59*Scoring!$B$10*0.07+(C59-D59)*Scoring!$B$5</f>
        <v>198.326</v>
      </c>
      <c r="P57" s="30">
        <f>MAX(QB!D57*Scoring!$B$30+QB!E57/Scoring!$C$30+QB!F57*Scoring!$D$30+QB!G57*Scoring!$E$30+QB!H57*Scoring!$F$30+QB!I57/Scoring!$G$30+QB!J57*Scoring!$H$30+QB!K57*Scoring!$I$30+M57*Scoring!$J$30+QB!N57*Scoring!$K$30,0)+C57*Scoring!$B$10*0.07+(C57-D57)*Scoring!$B$5</f>
        <v>243.442</v>
      </c>
      <c r="Q57" s="30">
        <f>MAX(QB!D58*Scoring!$B$30+QB!E58/Scoring!$C$30+QB!F58*Scoring!$D$30+QB!G58*Scoring!$E$30+QB!H58*Scoring!$F$30+QB!I58/Scoring!$G$30+QB!J58*Scoring!$H$30+QB!K58*Scoring!$I$30+M58*Scoring!$J$30+QB!N58*Scoring!$K$30,0)+C58*Scoring!$B$10*0.07+(C58-D58)*Scoring!$B$5</f>
        <v>287.84</v>
      </c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B58" s="1" t="s">
        <v>39</v>
      </c>
      <c r="C58" s="1">
        <v>525.0</v>
      </c>
      <c r="D58" s="1">
        <v>346.0</v>
      </c>
      <c r="E58" s="1">
        <v>3672.0</v>
      </c>
      <c r="F58" s="1">
        <v>28.0</v>
      </c>
      <c r="G58" s="1">
        <v>10.0</v>
      </c>
      <c r="H58" s="1">
        <v>85.0</v>
      </c>
      <c r="I58" s="1">
        <v>494.0</v>
      </c>
      <c r="J58" s="1">
        <v>4.0</v>
      </c>
      <c r="K58" s="1">
        <v>3.5</v>
      </c>
      <c r="L58" s="1">
        <v>315.0</v>
      </c>
      <c r="M58" s="18">
        <f t="shared" si="1"/>
        <v>174.8220438</v>
      </c>
      <c r="N58" s="18">
        <f t="shared" si="2"/>
        <v>37.37622642</v>
      </c>
      <c r="O58" s="30"/>
      <c r="P58" s="30"/>
      <c r="Q58" s="30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B59" s="1" t="s">
        <v>48</v>
      </c>
      <c r="C59" s="1">
        <v>479.0</v>
      </c>
      <c r="D59" s="1">
        <v>313.0</v>
      </c>
      <c r="E59" s="1">
        <v>3347.3</v>
      </c>
      <c r="F59" s="1">
        <v>19.5</v>
      </c>
      <c r="G59" s="1">
        <v>20.0</v>
      </c>
      <c r="H59" s="1">
        <v>70.9</v>
      </c>
      <c r="I59" s="1">
        <v>443.8</v>
      </c>
      <c r="J59" s="1">
        <v>3.0</v>
      </c>
      <c r="K59" s="1">
        <v>4.0</v>
      </c>
      <c r="L59" s="1">
        <v>250.6</v>
      </c>
      <c r="M59" s="18">
        <f t="shared" si="1"/>
        <v>159.3632427</v>
      </c>
      <c r="N59" s="18">
        <f t="shared" si="2"/>
        <v>33.57807547</v>
      </c>
      <c r="O59" s="30"/>
      <c r="P59" s="30"/>
      <c r="Q59" s="30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" t="s">
        <v>192</v>
      </c>
      <c r="B60" s="1" t="s">
        <v>193</v>
      </c>
      <c r="C60" s="1">
        <v>513.4</v>
      </c>
      <c r="D60" s="1">
        <v>337.4</v>
      </c>
      <c r="E60" s="1">
        <v>3761.5</v>
      </c>
      <c r="F60" s="1">
        <v>23.5</v>
      </c>
      <c r="G60" s="1">
        <v>11.4</v>
      </c>
      <c r="H60" s="1">
        <v>66.0</v>
      </c>
      <c r="I60" s="1">
        <v>250.7</v>
      </c>
      <c r="J60" s="1">
        <v>4.0</v>
      </c>
      <c r="K60" s="1">
        <v>3.8</v>
      </c>
      <c r="L60" s="1">
        <v>274.6</v>
      </c>
      <c r="M60" s="18">
        <f t="shared" si="1"/>
        <v>179.0830931</v>
      </c>
      <c r="N60" s="18">
        <f t="shared" si="2"/>
        <v>18.9680566</v>
      </c>
      <c r="O60" s="30">
        <f>MAX(QB!D62*Scoring!$B$30+QB!E62/Scoring!$C$30+QB!F62*Scoring!$D$30+QB!G62*Scoring!$E$30+QB!H62*Scoring!$F$30+QB!I62/Scoring!$G$30+QB!J62*Scoring!$H$30+QB!K62*Scoring!$I$30+M62*Scoring!$J$30+QB!N62*Scoring!$K$30,0)+C62*Scoring!$B$10*0.07+(C62-D62)*Scoring!$B$5</f>
        <v>193.06</v>
      </c>
      <c r="P60" s="30">
        <f>MAX(QB!D60*Scoring!$B$30+QB!E60/Scoring!$C$30+QB!F60*Scoring!$D$30+QB!G60*Scoring!$E$30+QB!H60*Scoring!$F$30+QB!I60/Scoring!$G$30+QB!J60*Scoring!$H$30+QB!K60*Scoring!$I$30+M60*Scoring!$J$30+QB!N60*Scoring!$K$30,0)+C60*Scoring!$B$10*0.07+(C60-D60)*Scoring!$B$5</f>
        <v>234.9</v>
      </c>
      <c r="Q60" s="30">
        <f>MAX(QB!D61*Scoring!$B$30+QB!E61/Scoring!$C$30+QB!F61*Scoring!$D$30+QB!G61*Scoring!$E$30+QB!H61*Scoring!$F$30+QB!I61/Scoring!$G$30+QB!J61*Scoring!$H$30+QB!K61*Scoring!$I$30+M61*Scoring!$J$30+QB!N61*Scoring!$K$30,0)+C61*Scoring!$B$10*0.07+(C61-D61)*Scoring!$B$5</f>
        <v>295.04</v>
      </c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B61" s="1" t="s">
        <v>39</v>
      </c>
      <c r="C61" s="1">
        <v>529.1</v>
      </c>
      <c r="D61" s="1">
        <v>350.3</v>
      </c>
      <c r="E61" s="1">
        <v>3846.0</v>
      </c>
      <c r="F61" s="1">
        <v>30.0</v>
      </c>
      <c r="G61" s="1">
        <v>11.0</v>
      </c>
      <c r="H61" s="1">
        <v>73.0</v>
      </c>
      <c r="I61" s="1">
        <v>307.2</v>
      </c>
      <c r="J61" s="1">
        <v>5.9</v>
      </c>
      <c r="K61" s="1">
        <v>3.0</v>
      </c>
      <c r="L61" s="1">
        <v>324.0</v>
      </c>
      <c r="M61" s="18">
        <f t="shared" si="1"/>
        <v>183.1060949</v>
      </c>
      <c r="N61" s="18">
        <f t="shared" si="2"/>
        <v>23.24286792</v>
      </c>
      <c r="O61" s="30"/>
      <c r="P61" s="30"/>
      <c r="Q61" s="30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B62" s="1" t="s">
        <v>48</v>
      </c>
      <c r="C62" s="1">
        <v>492.0</v>
      </c>
      <c r="D62" s="1">
        <v>329.0</v>
      </c>
      <c r="E62" s="1">
        <v>3688.0</v>
      </c>
      <c r="F62" s="1">
        <v>19.6</v>
      </c>
      <c r="G62" s="1">
        <v>12.0</v>
      </c>
      <c r="H62" s="1">
        <v>52.0</v>
      </c>
      <c r="I62" s="1">
        <v>167.0</v>
      </c>
      <c r="J62" s="1">
        <v>3.0</v>
      </c>
      <c r="K62" s="1">
        <v>4.5</v>
      </c>
      <c r="L62" s="1">
        <v>267.2</v>
      </c>
      <c r="M62" s="18">
        <f t="shared" si="1"/>
        <v>175.5837956</v>
      </c>
      <c r="N62" s="18">
        <f t="shared" si="2"/>
        <v>12.63528302</v>
      </c>
      <c r="O62" s="30"/>
      <c r="P62" s="30"/>
      <c r="Q62" s="30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" t="s">
        <v>195</v>
      </c>
      <c r="B63" s="1" t="s">
        <v>196</v>
      </c>
      <c r="C63" s="1">
        <v>493.3</v>
      </c>
      <c r="D63" s="1">
        <v>317.9</v>
      </c>
      <c r="E63" s="1">
        <v>3370.4</v>
      </c>
      <c r="F63" s="1">
        <v>17.7</v>
      </c>
      <c r="G63" s="1">
        <v>12.5</v>
      </c>
      <c r="H63" s="1">
        <v>124.9</v>
      </c>
      <c r="I63" s="1">
        <v>642.8</v>
      </c>
      <c r="J63" s="1">
        <v>4.1</v>
      </c>
      <c r="K63" s="1">
        <v>6.1</v>
      </c>
      <c r="L63" s="1">
        <v>270.2</v>
      </c>
      <c r="M63" s="18">
        <f t="shared" si="1"/>
        <v>160.4630219</v>
      </c>
      <c r="N63" s="18">
        <f t="shared" si="2"/>
        <v>48.63449057</v>
      </c>
      <c r="O63" s="30">
        <f>MAX(QB!D65*Scoring!$B$30+QB!E65/Scoring!$C$30+QB!F65*Scoring!$D$30+QB!G65*Scoring!$E$30+QB!H65*Scoring!$F$30+QB!I65/Scoring!$G$30+QB!J65*Scoring!$H$30+QB!K65*Scoring!$I$30+M65*Scoring!$J$30+QB!N65*Scoring!$K$30,0)+C65*Scoring!$B$10*0.07+(C65-D65)*Scoring!$B$5</f>
        <v>169.85</v>
      </c>
      <c r="P63" s="30">
        <f>MAX(QB!D63*Scoring!$B$30+QB!E63/Scoring!$C$30+QB!F63*Scoring!$D$30+QB!G63*Scoring!$E$30+QB!H63*Scoring!$F$30+QB!I63/Scoring!$G$30+QB!J63*Scoring!$H$30+QB!K63*Scoring!$I$30+M63*Scoring!$J$30+QB!N63*Scoring!$K$30,0)+C63*Scoring!$B$10*0.07+(C63-D63)*Scoring!$B$5</f>
        <v>225.288</v>
      </c>
      <c r="Q63" s="30">
        <f>MAX(QB!D64*Scoring!$B$30+QB!E64/Scoring!$C$30+QB!F64*Scoring!$D$30+QB!G64*Scoring!$E$30+QB!H64*Scoring!$F$30+QB!I64/Scoring!$G$30+QB!J64*Scoring!$H$30+QB!K64*Scoring!$I$30+M64*Scoring!$J$30+QB!N64*Scoring!$K$30,0)+C64*Scoring!$B$10*0.07+(C64-D64)*Scoring!$B$5</f>
        <v>291.704</v>
      </c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B64" s="1" t="s">
        <v>39</v>
      </c>
      <c r="C64" s="1">
        <v>515.0</v>
      </c>
      <c r="D64" s="1">
        <v>322.6</v>
      </c>
      <c r="E64" s="1">
        <v>3560.2</v>
      </c>
      <c r="F64" s="1">
        <v>25.0</v>
      </c>
      <c r="G64" s="1">
        <v>10.0</v>
      </c>
      <c r="H64" s="1">
        <v>145.0</v>
      </c>
      <c r="I64" s="1">
        <v>725.0</v>
      </c>
      <c r="J64" s="1">
        <v>5.0</v>
      </c>
      <c r="K64" s="1">
        <v>6.0</v>
      </c>
      <c r="L64" s="1">
        <v>315.0</v>
      </c>
      <c r="M64" s="18">
        <f t="shared" si="1"/>
        <v>169.4993029</v>
      </c>
      <c r="N64" s="18">
        <f t="shared" si="2"/>
        <v>54.85377358</v>
      </c>
      <c r="O64" s="30"/>
      <c r="P64" s="30"/>
      <c r="Q64" s="30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B65" s="1" t="s">
        <v>48</v>
      </c>
      <c r="C65" s="1">
        <v>460.0</v>
      </c>
      <c r="D65" s="1">
        <v>312.0</v>
      </c>
      <c r="E65" s="1">
        <v>3101.0</v>
      </c>
      <c r="F65" s="1">
        <v>13.2</v>
      </c>
      <c r="G65" s="1">
        <v>17.0</v>
      </c>
      <c r="H65" s="1">
        <v>105.6</v>
      </c>
      <c r="I65" s="1">
        <v>546.3</v>
      </c>
      <c r="J65" s="1">
        <v>3.4</v>
      </c>
      <c r="K65" s="1">
        <v>6.2</v>
      </c>
      <c r="L65" s="1">
        <v>239.1</v>
      </c>
      <c r="M65" s="18">
        <f t="shared" si="1"/>
        <v>147.6370255</v>
      </c>
      <c r="N65" s="18">
        <f t="shared" si="2"/>
        <v>41.33326415</v>
      </c>
      <c r="O65" s="30"/>
      <c r="P65" s="30"/>
      <c r="Q65" s="30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1" t="s">
        <v>198</v>
      </c>
      <c r="B66" s="1" t="s">
        <v>199</v>
      </c>
      <c r="C66" s="1">
        <v>511.4</v>
      </c>
      <c r="D66" s="1">
        <v>331.6</v>
      </c>
      <c r="E66" s="1">
        <v>3846.2</v>
      </c>
      <c r="F66" s="1">
        <v>26.7</v>
      </c>
      <c r="G66" s="1">
        <v>10.2</v>
      </c>
      <c r="H66" s="1">
        <v>46.5</v>
      </c>
      <c r="I66" s="1">
        <v>194.9</v>
      </c>
      <c r="J66" s="1">
        <v>0.6</v>
      </c>
      <c r="K66" s="1">
        <v>3.0</v>
      </c>
      <c r="L66" s="1">
        <v>267.7</v>
      </c>
      <c r="M66" s="18">
        <f t="shared" si="1"/>
        <v>183.1156168</v>
      </c>
      <c r="N66" s="18">
        <f t="shared" si="2"/>
        <v>14.74620755</v>
      </c>
      <c r="O66" s="30">
        <f>MAX(QB!D68*Scoring!$B$30+QB!E68/Scoring!$C$30+QB!F68*Scoring!$D$30+QB!G68*Scoring!$E$30+QB!H68*Scoring!$F$30+QB!I68/Scoring!$G$30+QB!J68*Scoring!$H$30+QB!K68*Scoring!$I$30+M68*Scoring!$J$30+QB!N68*Scoring!$K$30,0)+C68*Scoring!$B$10*0.07+(C68-D68)*Scoring!$B$5</f>
        <v>212.94</v>
      </c>
      <c r="P66" s="30">
        <f>MAX(QB!D66*Scoring!$B$30+QB!E66/Scoring!$C$30+QB!F66*Scoring!$D$30+QB!G66*Scoring!$E$30+QB!H66*Scoring!$F$30+QB!I66/Scoring!$G$30+QB!J66*Scoring!$H$30+QB!K66*Scoring!$I$30+M66*Scoring!$J$30+QB!N66*Scoring!$K$30,0)+C66*Scoring!$B$10*0.07+(C66-D66)*Scoring!$B$5</f>
        <v>233.814</v>
      </c>
      <c r="Q66" s="30">
        <f>MAX(QB!D67*Scoring!$B$30+QB!E67/Scoring!$C$30+QB!F67*Scoring!$D$30+QB!G67*Scoring!$E$30+QB!H67*Scoring!$F$30+QB!I67/Scoring!$G$30+QB!J67*Scoring!$H$30+QB!K67*Scoring!$I$30+M67*Scoring!$J$30+QB!N67*Scoring!$K$30,0)+C67*Scoring!$B$10*0.07+(C67-D67)*Scoring!$B$5</f>
        <v>257.072</v>
      </c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B67" s="1" t="s">
        <v>39</v>
      </c>
      <c r="C67" s="1">
        <v>531.3</v>
      </c>
      <c r="D67" s="1">
        <v>343.0</v>
      </c>
      <c r="E67" s="1">
        <v>3990.6</v>
      </c>
      <c r="F67" s="1">
        <v>29.0</v>
      </c>
      <c r="G67" s="1">
        <v>10.0</v>
      </c>
      <c r="H67" s="1">
        <v>50.4</v>
      </c>
      <c r="I67" s="1">
        <v>212.6</v>
      </c>
      <c r="J67" s="1">
        <v>1.0</v>
      </c>
      <c r="K67" s="1">
        <v>2.0</v>
      </c>
      <c r="L67" s="1">
        <v>300.0</v>
      </c>
      <c r="M67" s="18">
        <f t="shared" si="1"/>
        <v>189.990427</v>
      </c>
      <c r="N67" s="18">
        <f t="shared" si="2"/>
        <v>16.08539623</v>
      </c>
      <c r="O67" s="30"/>
      <c r="P67" s="30"/>
      <c r="Q67" s="30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B68" s="1" t="s">
        <v>48</v>
      </c>
      <c r="C68" s="1">
        <v>475.0</v>
      </c>
      <c r="D68" s="1">
        <v>310.0</v>
      </c>
      <c r="E68" s="1">
        <v>3692.0</v>
      </c>
      <c r="F68" s="1">
        <v>25.0</v>
      </c>
      <c r="G68" s="1">
        <v>10.7</v>
      </c>
      <c r="H68" s="1">
        <v>43.0</v>
      </c>
      <c r="I68" s="1">
        <v>185.0</v>
      </c>
      <c r="J68" s="1">
        <v>0.0</v>
      </c>
      <c r="K68" s="1">
        <v>4.0</v>
      </c>
      <c r="L68" s="1">
        <v>259.0</v>
      </c>
      <c r="M68" s="18">
        <f t="shared" si="1"/>
        <v>175.7742336</v>
      </c>
      <c r="N68" s="18">
        <f t="shared" si="2"/>
        <v>13.99716981</v>
      </c>
      <c r="O68" s="30"/>
      <c r="P68" s="30"/>
      <c r="Q68" s="30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" t="s">
        <v>201</v>
      </c>
      <c r="B69" s="1" t="s">
        <v>202</v>
      </c>
      <c r="C69" s="1">
        <v>506.9</v>
      </c>
      <c r="D69" s="1">
        <v>337.0</v>
      </c>
      <c r="E69" s="1">
        <v>4091.4</v>
      </c>
      <c r="F69" s="1">
        <v>27.3</v>
      </c>
      <c r="G69" s="1">
        <v>12.8</v>
      </c>
      <c r="H69" s="1">
        <v>44.0</v>
      </c>
      <c r="I69" s="1">
        <v>131.9</v>
      </c>
      <c r="J69" s="1">
        <v>0.6</v>
      </c>
      <c r="K69" s="1">
        <v>5.3</v>
      </c>
      <c r="L69" s="1">
        <v>266.6</v>
      </c>
      <c r="M69" s="18">
        <f t="shared" si="1"/>
        <v>194.7894635</v>
      </c>
      <c r="N69" s="18">
        <f t="shared" si="2"/>
        <v>9.979603774</v>
      </c>
      <c r="O69" s="30">
        <f>MAX(QB!D71*Scoring!$B$30+QB!E71/Scoring!$C$30+QB!F71*Scoring!$D$30+QB!G71*Scoring!$E$30+QB!H71*Scoring!$F$30+QB!I71/Scoring!$G$30+QB!J71*Scoring!$H$30+QB!K71*Scoring!$I$30+M71*Scoring!$J$30+QB!N71*Scoring!$K$30,0)+C71*Scoring!$B$10*0.07+(C71-D71)*Scoring!$B$5</f>
        <v>198.764</v>
      </c>
      <c r="P69" s="30">
        <f>MAX(QB!D69*Scoring!$B$30+QB!E69/Scoring!$C$30+QB!F69*Scoring!$D$30+QB!G69*Scoring!$E$30+QB!H69*Scoring!$F$30+QB!I69/Scoring!$G$30+QB!J69*Scoring!$H$30+QB!K69*Scoring!$I$30+M69*Scoring!$J$30+QB!N69*Scoring!$K$30,0)+C69*Scoring!$B$10*0.07+(C69-D69)*Scoring!$B$5</f>
        <v>226.218</v>
      </c>
      <c r="Q69" s="30">
        <f>MAX(QB!D70*Scoring!$B$30+QB!E70/Scoring!$C$30+QB!F70*Scoring!$D$30+QB!G70*Scoring!$E$30+QB!H70*Scoring!$F$30+QB!I70/Scoring!$G$30+QB!J70*Scoring!$H$30+QB!K70*Scoring!$I$30+M70*Scoring!$J$30+QB!N70*Scoring!$K$30,0)+C70*Scoring!$B$10*0.07+(C70-D70)*Scoring!$B$5</f>
        <v>261.12</v>
      </c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B70" s="1" t="s">
        <v>39</v>
      </c>
      <c r="C70" s="1">
        <v>512.6</v>
      </c>
      <c r="D70" s="1">
        <v>339.0</v>
      </c>
      <c r="E70" s="1">
        <v>4131.0</v>
      </c>
      <c r="F70" s="1">
        <v>32.0</v>
      </c>
      <c r="G70" s="1">
        <v>12.4</v>
      </c>
      <c r="H70" s="1">
        <v>48.0</v>
      </c>
      <c r="I70" s="1">
        <v>145.0</v>
      </c>
      <c r="J70" s="1">
        <v>1.0</v>
      </c>
      <c r="K70" s="1">
        <v>4.6</v>
      </c>
      <c r="L70" s="1">
        <v>315.0</v>
      </c>
      <c r="M70" s="18">
        <f t="shared" si="1"/>
        <v>196.6747993</v>
      </c>
      <c r="N70" s="18">
        <f t="shared" si="2"/>
        <v>10.97075472</v>
      </c>
      <c r="O70" s="30"/>
      <c r="P70" s="30"/>
      <c r="Q70" s="30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B71" s="1" t="s">
        <v>48</v>
      </c>
      <c r="C71" s="1">
        <v>498.0</v>
      </c>
      <c r="D71" s="1">
        <v>335.1</v>
      </c>
      <c r="E71" s="1">
        <v>4013.2</v>
      </c>
      <c r="F71" s="1">
        <v>24.0</v>
      </c>
      <c r="G71" s="1">
        <v>13.0</v>
      </c>
      <c r="H71" s="1">
        <v>40.0</v>
      </c>
      <c r="I71" s="1">
        <v>125.0</v>
      </c>
      <c r="J71" s="1">
        <v>0.0</v>
      </c>
      <c r="K71" s="1">
        <v>6.0</v>
      </c>
      <c r="L71" s="1">
        <v>242.6</v>
      </c>
      <c r="M71" s="18">
        <f t="shared" si="1"/>
        <v>191.0664015</v>
      </c>
      <c r="N71" s="18">
        <f t="shared" si="2"/>
        <v>9.45754717</v>
      </c>
      <c r="O71" s="30"/>
      <c r="P71" s="30"/>
      <c r="Q71" s="30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" t="s">
        <v>204</v>
      </c>
      <c r="B72" s="1" t="s">
        <v>205</v>
      </c>
      <c r="C72" s="1">
        <v>550.6</v>
      </c>
      <c r="D72" s="1">
        <v>347.4</v>
      </c>
      <c r="E72" s="1">
        <v>3877.7</v>
      </c>
      <c r="F72" s="1">
        <v>23.5</v>
      </c>
      <c r="G72" s="1">
        <v>11.4</v>
      </c>
      <c r="H72" s="1">
        <v>54.4</v>
      </c>
      <c r="I72" s="1">
        <v>238.8</v>
      </c>
      <c r="J72" s="1">
        <v>1.0</v>
      </c>
      <c r="K72" s="1">
        <v>3.5</v>
      </c>
      <c r="L72" s="1">
        <v>260.8</v>
      </c>
      <c r="M72" s="18">
        <f t="shared" si="1"/>
        <v>184.6153157</v>
      </c>
      <c r="N72" s="18">
        <f t="shared" si="2"/>
        <v>18.06769811</v>
      </c>
      <c r="O72" s="30">
        <f>MAX(QB!D74*Scoring!$B$30+QB!E74/Scoring!$C$30+QB!F74*Scoring!$D$30+QB!G74*Scoring!$E$30+QB!H74*Scoring!$F$30+QB!I74/Scoring!$G$30+QB!J74*Scoring!$H$30+QB!K74*Scoring!$I$30+M74*Scoring!$J$30+QB!N74*Scoring!$K$30,0)+C74*Scoring!$B$10*0.07+(C74-D74)*Scoring!$B$5</f>
        <v>196.98</v>
      </c>
      <c r="P72" s="30">
        <f>MAX(QB!D72*Scoring!$B$30+QB!E72/Scoring!$C$30+QB!F72*Scoring!$D$30+QB!G72*Scoring!$E$30+QB!H72*Scoring!$F$30+QB!I72/Scoring!$G$30+QB!J72*Scoring!$H$30+QB!K72*Scoring!$I$30+M72*Scoring!$J$30+QB!N72*Scoring!$K$30,0)+C72*Scoring!$B$10*0.07+(C72-D72)*Scoring!$B$5</f>
        <v>218.634</v>
      </c>
      <c r="Q72" s="30">
        <f>MAX(QB!D73*Scoring!$B$30+QB!E73/Scoring!$C$30+QB!F73*Scoring!$D$30+QB!G73*Scoring!$E$30+QB!H73*Scoring!$F$30+QB!I73/Scoring!$G$30+QB!J73*Scoring!$H$30+QB!K73*Scoring!$I$30+M73*Scoring!$J$30+QB!N73*Scoring!$K$30,0)+C73*Scoring!$B$10*0.07+(C73-D73)*Scoring!$B$5</f>
        <v>252.532</v>
      </c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B73" s="1" t="s">
        <v>39</v>
      </c>
      <c r="C73" s="1">
        <v>572.0</v>
      </c>
      <c r="D73" s="1">
        <v>352.0</v>
      </c>
      <c r="E73" s="1">
        <v>3950.1</v>
      </c>
      <c r="F73" s="1">
        <v>28.0</v>
      </c>
      <c r="G73" s="1">
        <v>10.0</v>
      </c>
      <c r="H73" s="1">
        <v>57.1</v>
      </c>
      <c r="I73" s="1">
        <v>249.3</v>
      </c>
      <c r="J73" s="1">
        <v>1.1</v>
      </c>
      <c r="K73" s="1">
        <v>3.0</v>
      </c>
      <c r="L73" s="1">
        <v>310.0</v>
      </c>
      <c r="M73" s="18">
        <f t="shared" si="1"/>
        <v>188.0622427</v>
      </c>
      <c r="N73" s="18">
        <f t="shared" si="2"/>
        <v>18.86213208</v>
      </c>
      <c r="O73" s="30"/>
      <c r="P73" s="30"/>
      <c r="Q73" s="30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B74" s="1" t="s">
        <v>48</v>
      </c>
      <c r="C74" s="1">
        <v>529.0</v>
      </c>
      <c r="D74" s="1">
        <v>339.0</v>
      </c>
      <c r="E74" s="1">
        <v>3759.0</v>
      </c>
      <c r="F74" s="1">
        <v>21.0</v>
      </c>
      <c r="G74" s="1">
        <v>12.1</v>
      </c>
      <c r="H74" s="1">
        <v>51.0</v>
      </c>
      <c r="I74" s="1">
        <v>218.0</v>
      </c>
      <c r="J74" s="1">
        <v>1.0</v>
      </c>
      <c r="K74" s="1">
        <v>3.9</v>
      </c>
      <c r="L74" s="1">
        <v>246.6</v>
      </c>
      <c r="M74" s="18">
        <f t="shared" si="1"/>
        <v>178.9640693</v>
      </c>
      <c r="N74" s="18">
        <f t="shared" si="2"/>
        <v>16.49396226</v>
      </c>
      <c r="O74" s="30"/>
      <c r="P74" s="30"/>
      <c r="Q74" s="30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" t="s">
        <v>207</v>
      </c>
      <c r="B75" s="1" t="s">
        <v>208</v>
      </c>
      <c r="C75" s="1">
        <v>526.2</v>
      </c>
      <c r="D75" s="1">
        <v>334.6</v>
      </c>
      <c r="E75" s="1">
        <v>3459.3</v>
      </c>
      <c r="F75" s="1">
        <v>22.8</v>
      </c>
      <c r="G75" s="1">
        <v>12.0</v>
      </c>
      <c r="H75" s="1">
        <v>57.9</v>
      </c>
      <c r="I75" s="1">
        <v>261.4</v>
      </c>
      <c r="J75" s="1">
        <v>3.0</v>
      </c>
      <c r="K75" s="1">
        <v>3.0</v>
      </c>
      <c r="L75" s="1">
        <v>255.8</v>
      </c>
      <c r="M75" s="18">
        <f t="shared" si="1"/>
        <v>164.6955055</v>
      </c>
      <c r="N75" s="18">
        <f t="shared" si="2"/>
        <v>19.77762264</v>
      </c>
      <c r="O75" s="30">
        <f>MAX(QB!D77*Scoring!$B$30+QB!E77/Scoring!$C$30+QB!F77*Scoring!$D$30+QB!G77*Scoring!$E$30+QB!H77*Scoring!$F$30+QB!I77/Scoring!$G$30+QB!J77*Scoring!$H$30+QB!K77*Scoring!$I$30+M77*Scoring!$J$30+QB!N77*Scoring!$K$30,0)+C77*Scoring!$B$10*0.07+(C77-D77)*Scoring!$B$5</f>
        <v>188.4</v>
      </c>
      <c r="P75" s="30">
        <f>MAX(QB!D75*Scoring!$B$30+QB!E75/Scoring!$C$30+QB!F75*Scoring!$D$30+QB!G75*Scoring!$E$30+QB!H75*Scoring!$F$30+QB!I75/Scoring!$G$30+QB!J75*Scoring!$H$30+QB!K75*Scoring!$I$30+M75*Scoring!$J$30+QB!N75*Scoring!$K$30,0)+C75*Scoring!$B$10*0.07+(C75-D75)*Scoring!$B$5</f>
        <v>220.126</v>
      </c>
      <c r="Q75" s="30">
        <f>MAX(QB!D76*Scoring!$B$30+QB!E76/Scoring!$C$30+QB!F76*Scoring!$D$30+QB!G76*Scoring!$E$30+QB!H76*Scoring!$F$30+QB!I76/Scoring!$G$30+QB!J76*Scoring!$H$30+QB!K76*Scoring!$I$30+M76*Scoring!$J$30+QB!N76*Scoring!$K$30,0)+C76*Scoring!$B$10*0.07+(C76-D76)*Scoring!$B$5</f>
        <v>257.096</v>
      </c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B76" s="1" t="s">
        <v>39</v>
      </c>
      <c r="C76" s="1">
        <v>539.7</v>
      </c>
      <c r="D76" s="1">
        <v>336.0</v>
      </c>
      <c r="E76" s="1">
        <v>3639.8</v>
      </c>
      <c r="F76" s="1">
        <v>26.0</v>
      </c>
      <c r="G76" s="1">
        <v>10.0</v>
      </c>
      <c r="H76" s="1">
        <v>61.0</v>
      </c>
      <c r="I76" s="1">
        <v>283.0</v>
      </c>
      <c r="J76" s="1">
        <v>4.0</v>
      </c>
      <c r="K76" s="1">
        <v>2.0</v>
      </c>
      <c r="L76" s="1">
        <v>293.0</v>
      </c>
      <c r="M76" s="18">
        <f t="shared" si="1"/>
        <v>173.2890182</v>
      </c>
      <c r="N76" s="18">
        <f t="shared" si="2"/>
        <v>21.41188679</v>
      </c>
      <c r="O76" s="30"/>
      <c r="P76" s="30"/>
      <c r="Q76" s="30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B77" s="1" t="s">
        <v>48</v>
      </c>
      <c r="C77" s="1">
        <v>515.0</v>
      </c>
      <c r="D77" s="1">
        <v>332.0</v>
      </c>
      <c r="E77" s="1">
        <v>3355.0</v>
      </c>
      <c r="F77" s="1">
        <v>20.3</v>
      </c>
      <c r="G77" s="1">
        <v>14.0</v>
      </c>
      <c r="H77" s="1">
        <v>55.0</v>
      </c>
      <c r="I77" s="1">
        <v>229.0</v>
      </c>
      <c r="J77" s="1">
        <v>2.1</v>
      </c>
      <c r="K77" s="1">
        <v>4.0</v>
      </c>
      <c r="L77" s="1">
        <v>237.5</v>
      </c>
      <c r="M77" s="18">
        <f t="shared" si="1"/>
        <v>159.7298358</v>
      </c>
      <c r="N77" s="18">
        <f t="shared" si="2"/>
        <v>17.32622642</v>
      </c>
      <c r="O77" s="30"/>
      <c r="P77" s="30"/>
      <c r="Q77" s="30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1" t="s">
        <v>209</v>
      </c>
      <c r="B78" s="1" t="s">
        <v>210</v>
      </c>
      <c r="C78" s="1">
        <v>520.8</v>
      </c>
      <c r="D78" s="1">
        <v>340.7</v>
      </c>
      <c r="E78" s="1">
        <v>3459.4</v>
      </c>
      <c r="F78" s="1">
        <v>22.1</v>
      </c>
      <c r="G78" s="1">
        <v>14.8</v>
      </c>
      <c r="H78" s="1">
        <v>57.3</v>
      </c>
      <c r="I78" s="1">
        <v>210.7</v>
      </c>
      <c r="J78" s="1">
        <v>1.0</v>
      </c>
      <c r="K78" s="1">
        <v>2.2</v>
      </c>
      <c r="L78" s="1">
        <v>234.9</v>
      </c>
      <c r="M78" s="18">
        <f t="shared" si="1"/>
        <v>164.7002664</v>
      </c>
      <c r="N78" s="18">
        <f t="shared" si="2"/>
        <v>15.94164151</v>
      </c>
      <c r="O78" s="30">
        <f>MAX(QB!D80*Scoring!$B$30+QB!E80/Scoring!$C$30+QB!F80*Scoring!$D$30+QB!G80*Scoring!$E$30+QB!H80*Scoring!$F$30+QB!I80/Scoring!$G$30+QB!J80*Scoring!$H$30+QB!K80*Scoring!$I$30+M80*Scoring!$J$30+QB!N80*Scoring!$K$30,0)+C80*Scoring!$B$10*0.07+(C80-D80)*Scoring!$B$5</f>
        <v>164.18</v>
      </c>
      <c r="P78" s="30">
        <f>MAX(QB!D78*Scoring!$B$30+QB!E78/Scoring!$C$30+QB!F78*Scoring!$D$30+QB!G78*Scoring!$E$30+QB!H78*Scoring!$F$30+QB!I78/Scoring!$G$30+QB!J78*Scoring!$H$30+QB!K78*Scoring!$I$30+M78*Scoring!$J$30+QB!N78*Scoring!$K$30,0)+C78*Scoring!$B$10*0.07+(C78-D78)*Scoring!$B$5</f>
        <v>194.858</v>
      </c>
      <c r="Q78" s="30">
        <f>MAX(QB!D79*Scoring!$B$30+QB!E79/Scoring!$C$30+QB!F79*Scoring!$D$30+QB!G79*Scoring!$E$30+QB!H79*Scoring!$F$30+QB!I79/Scoring!$G$30+QB!J79*Scoring!$H$30+QB!K79*Scoring!$I$30+M79*Scoring!$J$30+QB!N79*Scoring!$K$30,0)+C79*Scoring!$B$10*0.07+(C79-D79)*Scoring!$B$5</f>
        <v>227.806</v>
      </c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B79" s="1" t="s">
        <v>39</v>
      </c>
      <c r="C79" s="1">
        <v>540.0</v>
      </c>
      <c r="D79" s="1">
        <v>361.2</v>
      </c>
      <c r="E79" s="1">
        <v>3815.3</v>
      </c>
      <c r="F79" s="1">
        <v>25.0</v>
      </c>
      <c r="G79" s="1">
        <v>14.0</v>
      </c>
      <c r="H79" s="1">
        <v>58.0</v>
      </c>
      <c r="I79" s="1">
        <v>255.0</v>
      </c>
      <c r="J79" s="1">
        <v>1.0</v>
      </c>
      <c r="K79" s="1">
        <v>1.0</v>
      </c>
      <c r="L79" s="1">
        <v>250.5</v>
      </c>
      <c r="M79" s="18">
        <f t="shared" si="1"/>
        <v>181.6444836</v>
      </c>
      <c r="N79" s="18">
        <f t="shared" si="2"/>
        <v>19.29339623</v>
      </c>
      <c r="O79" s="30"/>
      <c r="P79" s="30"/>
      <c r="Q79" s="30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B80" s="1" t="s">
        <v>48</v>
      </c>
      <c r="C80" s="1">
        <v>492.0</v>
      </c>
      <c r="D80" s="1">
        <v>310.0</v>
      </c>
      <c r="E80" s="1">
        <v>2944.0</v>
      </c>
      <c r="F80" s="1">
        <v>20.4</v>
      </c>
      <c r="G80" s="1">
        <v>16.0</v>
      </c>
      <c r="H80" s="1">
        <v>56.0</v>
      </c>
      <c r="I80" s="1">
        <v>157.0</v>
      </c>
      <c r="J80" s="1">
        <v>1.0</v>
      </c>
      <c r="K80" s="1">
        <v>3.4</v>
      </c>
      <c r="L80" s="1">
        <v>232.3</v>
      </c>
      <c r="M80" s="18">
        <f t="shared" si="1"/>
        <v>140.1623358</v>
      </c>
      <c r="N80" s="18">
        <f t="shared" si="2"/>
        <v>11.87867925</v>
      </c>
      <c r="O80" s="30"/>
      <c r="P80" s="30"/>
      <c r="Q80" s="30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" t="s">
        <v>213</v>
      </c>
      <c r="B81" s="1" t="s">
        <v>214</v>
      </c>
      <c r="C81" s="1">
        <v>563.6</v>
      </c>
      <c r="D81" s="1">
        <v>345.0</v>
      </c>
      <c r="E81" s="1">
        <v>3587.6</v>
      </c>
      <c r="F81" s="1">
        <v>19.9</v>
      </c>
      <c r="G81" s="1">
        <v>10.4</v>
      </c>
      <c r="H81" s="1">
        <v>44.2</v>
      </c>
      <c r="I81" s="1">
        <v>185.3</v>
      </c>
      <c r="J81" s="1">
        <v>2.0</v>
      </c>
      <c r="K81" s="1">
        <v>5.4</v>
      </c>
      <c r="L81" s="1">
        <v>232.4</v>
      </c>
      <c r="M81" s="18">
        <f t="shared" si="1"/>
        <v>170.8038029</v>
      </c>
      <c r="N81" s="18">
        <f t="shared" si="2"/>
        <v>14.01986792</v>
      </c>
      <c r="O81" s="30">
        <f>MAX(QB!D83*Scoring!$B$30+QB!E83/Scoring!$C$30+QB!F83*Scoring!$D$30+QB!G83*Scoring!$E$30+QB!H83*Scoring!$F$30+QB!I83/Scoring!$G$30+QB!J83*Scoring!$H$30+QB!K83*Scoring!$I$30+M83*Scoring!$J$30+QB!N83*Scoring!$K$30,0)+C83*Scoring!$B$10*0.07+(C83-D83)*Scoring!$B$5</f>
        <v>153.22</v>
      </c>
      <c r="P81" s="30">
        <f>MAX(QB!D81*Scoring!$B$30+QB!E81/Scoring!$C$30+QB!F81*Scoring!$D$30+QB!G81*Scoring!$E$30+QB!H81*Scoring!$F$30+QB!I81/Scoring!$G$30+QB!J81*Scoring!$H$30+QB!K81*Scoring!$I$30+M81*Scoring!$J$30+QB!N81*Scoring!$K$30,0)+C81*Scoring!$B$10*0.07+(C81-D81)*Scoring!$B$5</f>
        <v>190.082</v>
      </c>
      <c r="Q81" s="30">
        <f>MAX(QB!D82*Scoring!$B$30+QB!E82/Scoring!$C$30+QB!F82*Scoring!$D$30+QB!G82*Scoring!$E$30+QB!H82*Scoring!$F$30+QB!I82/Scoring!$G$30+QB!J82*Scoring!$H$30+QB!K82*Scoring!$I$30+M82*Scoring!$J$30+QB!N82*Scoring!$K$30,0)+C82*Scoring!$B$10*0.07+(C82-D82)*Scoring!$B$5</f>
        <v>228.298</v>
      </c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B82" s="1" t="s">
        <v>39</v>
      </c>
      <c r="C82" s="1">
        <v>572.0</v>
      </c>
      <c r="D82" s="1">
        <v>355.1</v>
      </c>
      <c r="E82" s="1">
        <v>3759.9</v>
      </c>
      <c r="F82" s="1">
        <v>24.0</v>
      </c>
      <c r="G82" s="1">
        <v>10.0</v>
      </c>
      <c r="H82" s="1">
        <v>49.0</v>
      </c>
      <c r="I82" s="1">
        <v>207.0</v>
      </c>
      <c r="J82" s="1">
        <v>3.0</v>
      </c>
      <c r="K82" s="1">
        <v>4.8</v>
      </c>
      <c r="L82" s="1">
        <v>259.0</v>
      </c>
      <c r="M82" s="18">
        <f t="shared" si="1"/>
        <v>179.0069179</v>
      </c>
      <c r="N82" s="18">
        <f t="shared" si="2"/>
        <v>15.66169811</v>
      </c>
      <c r="O82" s="30"/>
      <c r="P82" s="30"/>
      <c r="Q82" s="30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B83" s="1" t="s">
        <v>48</v>
      </c>
      <c r="C83" s="1">
        <v>557.7</v>
      </c>
      <c r="D83" s="1">
        <v>331.0</v>
      </c>
      <c r="E83" s="1">
        <v>3341.0</v>
      </c>
      <c r="F83" s="1">
        <v>16.6</v>
      </c>
      <c r="G83" s="1">
        <v>11.0</v>
      </c>
      <c r="H83" s="1">
        <v>37.0</v>
      </c>
      <c r="I83" s="1">
        <v>148.0</v>
      </c>
      <c r="J83" s="1">
        <v>1.0</v>
      </c>
      <c r="K83" s="1">
        <v>6.0</v>
      </c>
      <c r="L83" s="1">
        <v>219.9</v>
      </c>
      <c r="M83" s="18">
        <f t="shared" si="1"/>
        <v>159.0633029</v>
      </c>
      <c r="N83" s="18">
        <f t="shared" si="2"/>
        <v>11.19773585</v>
      </c>
      <c r="O83" s="30"/>
      <c r="P83" s="30"/>
      <c r="Q83" s="30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" t="s">
        <v>216</v>
      </c>
      <c r="B84" s="1" t="s">
        <v>217</v>
      </c>
      <c r="C84" s="1">
        <v>541.3</v>
      </c>
      <c r="D84" s="1">
        <v>347.3</v>
      </c>
      <c r="E84" s="1">
        <v>3590.8</v>
      </c>
      <c r="F84" s="1">
        <v>19.3</v>
      </c>
      <c r="G84" s="1">
        <v>10.4</v>
      </c>
      <c r="H84" s="1">
        <v>48.7</v>
      </c>
      <c r="I84" s="1">
        <v>214.3</v>
      </c>
      <c r="J84" s="1">
        <v>1.4</v>
      </c>
      <c r="K84" s="1">
        <v>4.8</v>
      </c>
      <c r="L84" s="1">
        <v>230.8</v>
      </c>
      <c r="M84" s="18">
        <f t="shared" si="1"/>
        <v>170.9561533</v>
      </c>
      <c r="N84" s="18">
        <f t="shared" si="2"/>
        <v>16.21401887</v>
      </c>
      <c r="O84" s="30">
        <f>MAX(QB!D86*Scoring!$B$30+QB!E86/Scoring!$C$30+QB!F86*Scoring!$D$30+QB!G86*Scoring!$E$30+QB!H86*Scoring!$F$30+QB!I86/Scoring!$G$30+QB!J86*Scoring!$H$30+QB!K86*Scoring!$I$30+M86*Scoring!$J$30+QB!N86*Scoring!$K$30,0)+C86*Scoring!$B$10*0.07+(C86-D86)*Scoring!$B$5</f>
        <v>144.29</v>
      </c>
      <c r="P84" s="30">
        <f>MAX(QB!D84*Scoring!$B$30+QB!E84/Scoring!$C$30+QB!F84*Scoring!$D$30+QB!G84*Scoring!$E$30+QB!H84*Scoring!$F$30+QB!I84/Scoring!$G$30+QB!J84*Scoring!$H$30+QB!K84*Scoring!$I$30+M84*Scoring!$J$30+QB!N84*Scoring!$K$30,0)+C84*Scoring!$B$10*0.07+(C84-D84)*Scoring!$B$5</f>
        <v>187.046</v>
      </c>
      <c r="Q84" s="30">
        <f>MAX(QB!D85*Scoring!$B$30+QB!E85/Scoring!$C$30+QB!F85*Scoring!$D$30+QB!G85*Scoring!$E$30+QB!H85*Scoring!$F$30+QB!I85/Scoring!$G$30+QB!J85*Scoring!$H$30+QB!K85*Scoring!$I$30+M85*Scoring!$J$30+QB!N85*Scoring!$K$30,0)+C85*Scoring!$B$10*0.07+(C85-D85)*Scoring!$B$5</f>
        <v>231.16</v>
      </c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B85" s="1" t="s">
        <v>39</v>
      </c>
      <c r="C85" s="1">
        <v>586.0</v>
      </c>
      <c r="D85" s="1">
        <v>377.0</v>
      </c>
      <c r="E85" s="1">
        <v>3773.0</v>
      </c>
      <c r="F85" s="1">
        <v>24.0</v>
      </c>
      <c r="G85" s="1">
        <v>9.2</v>
      </c>
      <c r="H85" s="1">
        <v>56.0</v>
      </c>
      <c r="I85" s="1">
        <v>255.0</v>
      </c>
      <c r="J85" s="1">
        <v>2.0</v>
      </c>
      <c r="K85" s="1">
        <v>3.7</v>
      </c>
      <c r="L85" s="1">
        <v>278.0</v>
      </c>
      <c r="M85" s="18">
        <f t="shared" si="1"/>
        <v>179.6306022</v>
      </c>
      <c r="N85" s="18">
        <f t="shared" si="2"/>
        <v>19.29339623</v>
      </c>
      <c r="O85" s="30"/>
      <c r="P85" s="30"/>
      <c r="Q85" s="30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B86" s="1" t="s">
        <v>48</v>
      </c>
      <c r="C86" s="1">
        <v>516.8</v>
      </c>
      <c r="D86" s="1">
        <v>326.8</v>
      </c>
      <c r="E86" s="1">
        <v>3354.5</v>
      </c>
      <c r="F86" s="1">
        <v>14.9</v>
      </c>
      <c r="G86" s="1">
        <v>12.0</v>
      </c>
      <c r="H86" s="1">
        <v>43.0</v>
      </c>
      <c r="I86" s="1">
        <v>178.0</v>
      </c>
      <c r="J86" s="1">
        <v>1.0</v>
      </c>
      <c r="K86" s="1">
        <v>6.0</v>
      </c>
      <c r="L86" s="1">
        <v>198.9</v>
      </c>
      <c r="M86" s="18">
        <f t="shared" si="1"/>
        <v>159.706031</v>
      </c>
      <c r="N86" s="18">
        <f t="shared" si="2"/>
        <v>13.46754717</v>
      </c>
      <c r="O86" s="30"/>
      <c r="P86" s="30"/>
      <c r="Q86" s="30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" t="s">
        <v>219</v>
      </c>
      <c r="B87" s="1" t="s">
        <v>220</v>
      </c>
      <c r="C87" s="1">
        <v>527.4</v>
      </c>
      <c r="D87" s="1">
        <v>339.3</v>
      </c>
      <c r="E87" s="1">
        <v>3485.5</v>
      </c>
      <c r="F87" s="1">
        <v>21.7</v>
      </c>
      <c r="G87" s="1">
        <v>9.4</v>
      </c>
      <c r="H87" s="1">
        <v>26.0</v>
      </c>
      <c r="I87" s="1">
        <v>82.6</v>
      </c>
      <c r="J87" s="1">
        <v>0.6</v>
      </c>
      <c r="K87" s="1">
        <v>2.7</v>
      </c>
      <c r="L87" s="1">
        <v>223.5</v>
      </c>
      <c r="M87" s="18">
        <f t="shared" si="1"/>
        <v>165.9428741</v>
      </c>
      <c r="N87" s="18">
        <f t="shared" si="2"/>
        <v>6.24954717</v>
      </c>
      <c r="O87" s="30">
        <f>MAX(QB!D89*Scoring!$B$30+QB!E89/Scoring!$C$30+QB!F89*Scoring!$D$30+QB!G89*Scoring!$E$30+QB!H89*Scoring!$F$30+QB!I89/Scoring!$G$30+QB!J89*Scoring!$H$30+QB!K89*Scoring!$I$30+M89*Scoring!$J$30+QB!N89*Scoring!$K$30,0)+C89*Scoring!$B$10*0.07+(C89-D89)*Scoring!$B$5</f>
        <v>159.5</v>
      </c>
      <c r="P87" s="30">
        <f>MAX(QB!D87*Scoring!$B$30+QB!E87/Scoring!$C$30+QB!F87*Scoring!$D$30+QB!G87*Scoring!$E$30+QB!H87*Scoring!$F$30+QB!I87/Scoring!$G$30+QB!J87*Scoring!$H$30+QB!K87*Scoring!$I$30+M87*Scoring!$J$30+QB!N87*Scoring!$K$30,0)+C87*Scoring!$B$10*0.07+(C87-D87)*Scoring!$B$5</f>
        <v>187.57</v>
      </c>
      <c r="Q87" s="30">
        <f>MAX(QB!D88*Scoring!$B$30+QB!E88/Scoring!$C$30+QB!F88*Scoring!$D$30+QB!G88*Scoring!$E$30+QB!H88*Scoring!$F$30+QB!I88/Scoring!$G$30+QB!J88*Scoring!$H$30+QB!K88*Scoring!$I$30+M88*Scoring!$J$30+QB!N88*Scoring!$K$30,0)+C88*Scoring!$B$10*0.07+(C88-D88)*Scoring!$B$5</f>
        <v>209.418</v>
      </c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B88" s="1" t="s">
        <v>39</v>
      </c>
      <c r="C88" s="1">
        <v>568.1</v>
      </c>
      <c r="D88" s="1">
        <v>362.8</v>
      </c>
      <c r="E88" s="1">
        <v>3772.4</v>
      </c>
      <c r="F88" s="1">
        <v>23.0</v>
      </c>
      <c r="G88" s="1">
        <v>8.0</v>
      </c>
      <c r="H88" s="1">
        <v>29.0</v>
      </c>
      <c r="I88" s="1">
        <v>99.7</v>
      </c>
      <c r="J88" s="1">
        <v>1.0</v>
      </c>
      <c r="K88" s="1">
        <v>2.0</v>
      </c>
      <c r="L88" s="1">
        <v>246.0</v>
      </c>
      <c r="M88" s="18">
        <f t="shared" si="1"/>
        <v>179.6020365</v>
      </c>
      <c r="N88" s="18">
        <f t="shared" si="2"/>
        <v>7.543339623</v>
      </c>
      <c r="O88" s="30"/>
      <c r="P88" s="30"/>
      <c r="Q88" s="30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B89" s="1" t="s">
        <v>48</v>
      </c>
      <c r="C89" s="1">
        <v>477.0</v>
      </c>
      <c r="D89" s="1">
        <v>301.0</v>
      </c>
      <c r="E89" s="1">
        <v>3035.0</v>
      </c>
      <c r="F89" s="1">
        <v>20.2</v>
      </c>
      <c r="G89" s="1">
        <v>11.1</v>
      </c>
      <c r="H89" s="1">
        <v>21.0</v>
      </c>
      <c r="I89" s="1">
        <v>68.0</v>
      </c>
      <c r="J89" s="1">
        <v>0.0</v>
      </c>
      <c r="K89" s="1">
        <v>3.5</v>
      </c>
      <c r="L89" s="1">
        <v>219.2</v>
      </c>
      <c r="M89" s="18">
        <f t="shared" si="1"/>
        <v>144.4947993</v>
      </c>
      <c r="N89" s="18">
        <f t="shared" si="2"/>
        <v>5.14490566</v>
      </c>
      <c r="O89" s="30"/>
      <c r="P89" s="30"/>
      <c r="Q89" s="30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1" t="s">
        <v>221</v>
      </c>
      <c r="B90" s="1" t="s">
        <v>222</v>
      </c>
      <c r="C90" s="1">
        <v>431.6</v>
      </c>
      <c r="D90" s="1">
        <v>276.2</v>
      </c>
      <c r="E90" s="1">
        <v>2882.0</v>
      </c>
      <c r="F90" s="1">
        <v>15.7</v>
      </c>
      <c r="G90" s="1">
        <v>12.2</v>
      </c>
      <c r="H90" s="1">
        <v>50.4</v>
      </c>
      <c r="I90" s="1">
        <v>233.4</v>
      </c>
      <c r="J90" s="1">
        <v>1.3</v>
      </c>
      <c r="K90" s="1">
        <v>2.7</v>
      </c>
      <c r="L90" s="1">
        <v>191.8</v>
      </c>
      <c r="M90" s="18">
        <f t="shared" si="1"/>
        <v>137.2105474</v>
      </c>
      <c r="N90" s="18">
        <f t="shared" si="2"/>
        <v>17.65913208</v>
      </c>
      <c r="O90" s="30">
        <f>MAX(QB!D92*Scoring!$B$30+QB!E92/Scoring!$C$30+QB!F92*Scoring!$D$30+QB!G92*Scoring!$E$30+QB!H92*Scoring!$F$30+QB!I92/Scoring!$G$30+QB!J92*Scoring!$H$30+QB!K92*Scoring!$I$30+M92*Scoring!$J$30+QB!N92*Scoring!$K$30,0)+C92*Scoring!$B$10*0.07+(C92-D92)*Scoring!$B$5</f>
        <v>126.26</v>
      </c>
      <c r="P90" s="30">
        <f>MAX(QB!D90*Scoring!$B$30+QB!E90/Scoring!$C$30+QB!F90*Scoring!$D$30+QB!G90*Scoring!$E$30+QB!H90*Scoring!$F$30+QB!I90/Scoring!$G$30+QB!J90*Scoring!$H$30+QB!K90*Scoring!$I$30+M90*Scoring!$J$30+QB!N90*Scoring!$K$30,0)+C90*Scoring!$B$10*0.07+(C90-D90)*Scoring!$B$5</f>
        <v>153.18</v>
      </c>
      <c r="Q90" s="30">
        <f>MAX(QB!D91*Scoring!$B$30+QB!E91/Scoring!$C$30+QB!F91*Scoring!$D$30+QB!G91*Scoring!$E$30+QB!H91*Scoring!$F$30+QB!I91/Scoring!$G$30+QB!J91*Scoring!$H$30+QB!K91*Scoring!$I$30+M91*Scoring!$J$30+QB!N91*Scoring!$K$30,0)+C91*Scoring!$B$10*0.07+(C91-D91)*Scoring!$B$5</f>
        <v>182.278</v>
      </c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B91" s="1" t="s">
        <v>39</v>
      </c>
      <c r="C91" s="1">
        <v>449.8</v>
      </c>
      <c r="D91" s="1">
        <v>284.6</v>
      </c>
      <c r="E91" s="1">
        <v>3058.9</v>
      </c>
      <c r="F91" s="1">
        <v>18.0</v>
      </c>
      <c r="G91" s="1">
        <v>10.0</v>
      </c>
      <c r="H91" s="1">
        <v>52.1</v>
      </c>
      <c r="I91" s="1">
        <v>257.0</v>
      </c>
      <c r="J91" s="1">
        <v>1.9</v>
      </c>
      <c r="K91" s="1">
        <v>2.0</v>
      </c>
      <c r="L91" s="1">
        <v>206.9</v>
      </c>
      <c r="M91" s="18">
        <f t="shared" si="1"/>
        <v>145.6326661</v>
      </c>
      <c r="N91" s="18">
        <f t="shared" si="2"/>
        <v>19.44471698</v>
      </c>
      <c r="O91" s="30"/>
      <c r="P91" s="30"/>
      <c r="Q91" s="30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B92" s="1" t="s">
        <v>48</v>
      </c>
      <c r="C92" s="1">
        <v>419.0</v>
      </c>
      <c r="D92" s="1">
        <v>264.0</v>
      </c>
      <c r="E92" s="1">
        <v>2608.0</v>
      </c>
      <c r="F92" s="1">
        <v>14.2</v>
      </c>
      <c r="G92" s="1">
        <v>16.0</v>
      </c>
      <c r="H92" s="1">
        <v>48.0</v>
      </c>
      <c r="I92" s="1">
        <v>217.0</v>
      </c>
      <c r="J92" s="1">
        <v>1.0</v>
      </c>
      <c r="K92" s="1">
        <v>3.4</v>
      </c>
      <c r="L92" s="1">
        <v>187.5</v>
      </c>
      <c r="M92" s="18">
        <f t="shared" si="1"/>
        <v>124.1655474</v>
      </c>
      <c r="N92" s="18">
        <f t="shared" si="2"/>
        <v>16.41830189</v>
      </c>
      <c r="O92" s="30"/>
      <c r="P92" s="30"/>
      <c r="Q92" s="30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" t="s">
        <v>225</v>
      </c>
      <c r="B93" s="1" t="s">
        <v>226</v>
      </c>
      <c r="C93" s="1">
        <v>342.8</v>
      </c>
      <c r="D93" s="1">
        <v>210.8</v>
      </c>
      <c r="E93" s="1">
        <v>2245.8</v>
      </c>
      <c r="F93" s="1">
        <v>11.8</v>
      </c>
      <c r="G93" s="1">
        <v>8.3</v>
      </c>
      <c r="H93" s="1">
        <v>49.7</v>
      </c>
      <c r="I93" s="1">
        <v>218.6</v>
      </c>
      <c r="J93" s="1">
        <v>1.3</v>
      </c>
      <c r="K93" s="1">
        <v>3.8</v>
      </c>
      <c r="L93" s="1">
        <v>150.7</v>
      </c>
      <c r="M93" s="18">
        <f t="shared" si="1"/>
        <v>106.9213905</v>
      </c>
      <c r="N93" s="18">
        <f t="shared" si="2"/>
        <v>16.53935849</v>
      </c>
      <c r="O93" s="30">
        <f>MAX(QB!D95*Scoring!$B$30+QB!E95/Scoring!$C$30+QB!F95*Scoring!$D$30+QB!G95*Scoring!$E$30+QB!H95*Scoring!$F$30+QB!I95/Scoring!$G$30+QB!J95*Scoring!$H$30+QB!K95*Scoring!$I$30+M95*Scoring!$J$30+QB!N95*Scoring!$K$30,0)+C95*Scoring!$B$10*0.07+(C95-D95)*Scoring!$B$5</f>
        <v>83.508</v>
      </c>
      <c r="P93" s="30">
        <f>MAX(QB!D93*Scoring!$B$30+QB!E93/Scoring!$C$30+QB!F93*Scoring!$D$30+QB!G93*Scoring!$E$30+QB!H93*Scoring!$F$30+QB!I93/Scoring!$G$30+QB!J93*Scoring!$H$30+QB!K93*Scoring!$I$30+M93*Scoring!$J$30+QB!N93*Scoring!$K$30,0)+C93*Scoring!$B$10*0.07+(C93-D93)*Scoring!$B$5</f>
        <v>121.176</v>
      </c>
      <c r="Q93" s="30">
        <f>MAX(QB!D94*Scoring!$B$30+QB!E94/Scoring!$C$30+QB!F94*Scoring!$D$30+QB!G94*Scoring!$E$30+QB!H94*Scoring!$F$30+QB!I94/Scoring!$G$30+QB!J94*Scoring!$H$30+QB!K94*Scoring!$I$30+M94*Scoring!$J$30+QB!N94*Scoring!$K$30,0)+C94*Scoring!$B$10*0.07+(C94-D94)*Scoring!$B$5</f>
        <v>173.24</v>
      </c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B94" s="1" t="s">
        <v>39</v>
      </c>
      <c r="C94" s="1">
        <v>429.0</v>
      </c>
      <c r="D94" s="1">
        <v>257.0</v>
      </c>
      <c r="E94" s="1">
        <v>2652.0</v>
      </c>
      <c r="F94" s="1">
        <v>17.0</v>
      </c>
      <c r="G94" s="1">
        <v>7.0</v>
      </c>
      <c r="H94" s="1">
        <v>60.0</v>
      </c>
      <c r="I94" s="1">
        <v>256.0</v>
      </c>
      <c r="J94" s="1">
        <v>2.0</v>
      </c>
      <c r="K94" s="1">
        <v>2.7</v>
      </c>
      <c r="L94" s="1">
        <v>200.0</v>
      </c>
      <c r="M94" s="18">
        <f t="shared" si="1"/>
        <v>126.260365</v>
      </c>
      <c r="N94" s="18">
        <f t="shared" si="2"/>
        <v>19.3690566</v>
      </c>
      <c r="O94" s="30"/>
      <c r="P94" s="30"/>
      <c r="Q94" s="30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B95" s="1" t="s">
        <v>48</v>
      </c>
      <c r="C95" s="1">
        <v>288.0</v>
      </c>
      <c r="D95" s="1">
        <v>184.0</v>
      </c>
      <c r="E95" s="1">
        <v>2040.4</v>
      </c>
      <c r="F95" s="1">
        <v>8.3</v>
      </c>
      <c r="G95" s="1">
        <v>11.0</v>
      </c>
      <c r="H95" s="1">
        <v>42.0</v>
      </c>
      <c r="I95" s="1">
        <v>189.0</v>
      </c>
      <c r="J95" s="1">
        <v>1.0</v>
      </c>
      <c r="K95" s="1">
        <v>5.0</v>
      </c>
      <c r="L95" s="1">
        <v>123.9</v>
      </c>
      <c r="M95" s="18">
        <f t="shared" si="1"/>
        <v>97.14240146</v>
      </c>
      <c r="N95" s="18">
        <f t="shared" si="2"/>
        <v>14.29981132</v>
      </c>
      <c r="O95" s="30"/>
      <c r="P95" s="30"/>
      <c r="Q95" s="30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" t="s">
        <v>228</v>
      </c>
      <c r="B96" s="1" t="s">
        <v>229</v>
      </c>
      <c r="C96" s="1">
        <v>293.6</v>
      </c>
      <c r="D96" s="1">
        <v>191.7</v>
      </c>
      <c r="E96" s="1">
        <v>2050.2</v>
      </c>
      <c r="F96" s="1">
        <v>11.1</v>
      </c>
      <c r="G96" s="1">
        <v>6.3</v>
      </c>
      <c r="H96" s="1">
        <v>15.0</v>
      </c>
      <c r="I96" s="1">
        <v>36.6</v>
      </c>
      <c r="J96" s="1">
        <v>0.1</v>
      </c>
      <c r="K96" s="1">
        <v>1.8</v>
      </c>
      <c r="L96" s="1">
        <v>120.9</v>
      </c>
      <c r="M96" s="18">
        <f t="shared" si="1"/>
        <v>97.60897445</v>
      </c>
      <c r="N96" s="18">
        <f t="shared" si="2"/>
        <v>2.769169811</v>
      </c>
      <c r="O96" s="30">
        <f>MAX(QB!D98*Scoring!$B$30+QB!E98/Scoring!$C$30+QB!F98*Scoring!$D$30+QB!G98*Scoring!$E$30+QB!H98*Scoring!$F$30+QB!I98/Scoring!$G$30+QB!J98*Scoring!$H$30+QB!K98*Scoring!$I$30+M98*Scoring!$J$30+QB!N98*Scoring!$K$30,0)+C98*Scoring!$B$10*0.07+(C98-D98)*Scoring!$B$5</f>
        <v>70.12</v>
      </c>
      <c r="P96" s="30">
        <f>MAX(QB!D96*Scoring!$B$30+QB!E96/Scoring!$C$30+QB!F96*Scoring!$D$30+QB!G96*Scoring!$E$30+QB!H96*Scoring!$F$30+QB!I96/Scoring!$G$30+QB!J96*Scoring!$H$30+QB!K96*Scoring!$I$30+M96*Scoring!$J$30+QB!N96*Scoring!$K$30,0)+C96*Scoring!$B$10*0.07+(C96-D96)*Scoring!$B$5</f>
        <v>95.664</v>
      </c>
      <c r="Q96" s="30">
        <f>MAX(QB!D97*Scoring!$B$30+QB!E97/Scoring!$C$30+QB!F97*Scoring!$D$30+QB!G97*Scoring!$E$30+QB!H97*Scoring!$F$30+QB!I97/Scoring!$G$30+QB!J97*Scoring!$H$30+QB!K97*Scoring!$I$30+M97*Scoring!$J$30+QB!N97*Scoring!$K$30,0)+C97*Scoring!$B$10*0.07+(C97-D97)*Scoring!$B$5</f>
        <v>125.07</v>
      </c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B97" s="1" t="s">
        <v>39</v>
      </c>
      <c r="C97" s="1">
        <v>369.0</v>
      </c>
      <c r="D97" s="1">
        <v>243.0</v>
      </c>
      <c r="E97" s="1">
        <v>2544.0</v>
      </c>
      <c r="F97" s="1">
        <v>13.0</v>
      </c>
      <c r="G97" s="1">
        <v>4.0</v>
      </c>
      <c r="H97" s="1">
        <v>18.0</v>
      </c>
      <c r="I97" s="1">
        <v>43.9</v>
      </c>
      <c r="J97" s="1">
        <v>0.3</v>
      </c>
      <c r="K97" s="1">
        <v>1.0</v>
      </c>
      <c r="L97" s="1">
        <v>158.0</v>
      </c>
      <c r="M97" s="18">
        <f t="shared" si="1"/>
        <v>121.1185401</v>
      </c>
      <c r="N97" s="18">
        <f t="shared" si="2"/>
        <v>3.321490566</v>
      </c>
      <c r="O97" s="30"/>
      <c r="P97" s="30"/>
      <c r="Q97" s="30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B98" s="1" t="s">
        <v>48</v>
      </c>
      <c r="C98" s="1">
        <v>210.0</v>
      </c>
      <c r="D98" s="1">
        <v>128.0</v>
      </c>
      <c r="E98" s="1">
        <v>1436.0</v>
      </c>
      <c r="F98" s="1">
        <v>10.0</v>
      </c>
      <c r="G98" s="1">
        <v>8.0</v>
      </c>
      <c r="H98" s="1">
        <v>11.0</v>
      </c>
      <c r="I98" s="1">
        <v>24.0</v>
      </c>
      <c r="J98" s="1">
        <v>0.0</v>
      </c>
      <c r="K98" s="1">
        <v>2.5</v>
      </c>
      <c r="L98" s="1">
        <v>101.0</v>
      </c>
      <c r="M98" s="18">
        <f t="shared" si="1"/>
        <v>68.36722628</v>
      </c>
      <c r="N98" s="18">
        <f t="shared" si="2"/>
        <v>1.815849057</v>
      </c>
      <c r="O98" s="30"/>
      <c r="P98" s="30"/>
      <c r="Q98" s="30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" t="s">
        <v>231</v>
      </c>
      <c r="B99" s="1" t="s">
        <v>229</v>
      </c>
      <c r="C99" s="1">
        <v>266.4</v>
      </c>
      <c r="D99" s="1">
        <v>165.4</v>
      </c>
      <c r="E99" s="1">
        <v>1864.8</v>
      </c>
      <c r="F99" s="1">
        <v>10.8</v>
      </c>
      <c r="G99" s="1">
        <v>5.0</v>
      </c>
      <c r="H99" s="1">
        <v>18.8</v>
      </c>
      <c r="I99" s="1">
        <v>62.9</v>
      </c>
      <c r="J99" s="1">
        <v>0.6</v>
      </c>
      <c r="K99" s="1">
        <v>2.0</v>
      </c>
      <c r="L99" s="1">
        <v>119.0</v>
      </c>
      <c r="M99" s="18">
        <f t="shared" si="1"/>
        <v>88.78217518</v>
      </c>
      <c r="N99" s="18">
        <f t="shared" si="2"/>
        <v>4.759037736</v>
      </c>
      <c r="O99" s="30">
        <f>MAX(QB!D101*Scoring!$B$30+QB!E101/Scoring!$C$30+QB!F101*Scoring!$D$30+QB!G101*Scoring!$E$30+QB!H101*Scoring!$F$30+QB!I101/Scoring!$G$30+QB!J101*Scoring!$H$30+QB!K101*Scoring!$I$30+M101*Scoring!$J$30+QB!N101*Scoring!$K$30,0)+C101*Scoring!$B$10*0.07+(C101-D101)*Scoring!$B$5</f>
        <v>67.7</v>
      </c>
      <c r="P99" s="30">
        <f>MAX(QB!D99*Scoring!$B$30+QB!E99/Scoring!$C$30+QB!F99*Scoring!$D$30+QB!G99*Scoring!$E$30+QB!H99*Scoring!$F$30+QB!I99/Scoring!$G$30+QB!J99*Scoring!$H$30+QB!K99*Scoring!$I$30+M99*Scoring!$J$30+QB!N99*Scoring!$K$30,0)+C99*Scoring!$B$10*0.07+(C99-D99)*Scoring!$B$5</f>
        <v>97.986</v>
      </c>
      <c r="Q99" s="30">
        <f>MAX(QB!D100*Scoring!$B$30+QB!E100/Scoring!$C$30+QB!F100*Scoring!$D$30+QB!G100*Scoring!$E$30+QB!H100*Scoring!$F$30+QB!I100/Scoring!$G$30+QB!J100*Scoring!$H$30+QB!K100*Scoring!$I$30+M100*Scoring!$J$30+QB!N100*Scoring!$K$30,0)+C100*Scoring!$B$10*0.07+(C100-D100)*Scoring!$B$5</f>
        <v>134.98</v>
      </c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B100" s="1" t="s">
        <v>39</v>
      </c>
      <c r="C100" s="1">
        <v>315.0</v>
      </c>
      <c r="D100" s="1">
        <v>192.0</v>
      </c>
      <c r="E100" s="1">
        <v>2155.0</v>
      </c>
      <c r="F100" s="1">
        <v>15.0</v>
      </c>
      <c r="G100" s="1">
        <v>4.0</v>
      </c>
      <c r="H100" s="1">
        <v>22.0</v>
      </c>
      <c r="I100" s="1">
        <v>76.8</v>
      </c>
      <c r="J100" s="1">
        <v>1.0</v>
      </c>
      <c r="K100" s="1">
        <v>1.9</v>
      </c>
      <c r="L100" s="1">
        <v>161.0</v>
      </c>
      <c r="M100" s="18">
        <f t="shared" si="1"/>
        <v>102.5984489</v>
      </c>
      <c r="N100" s="18">
        <f t="shared" si="2"/>
        <v>5.810716981</v>
      </c>
      <c r="O100" s="30"/>
      <c r="P100" s="30"/>
      <c r="Q100" s="30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B101" s="1" t="s">
        <v>48</v>
      </c>
      <c r="C101" s="1">
        <v>219.0</v>
      </c>
      <c r="D101" s="1">
        <v>136.0</v>
      </c>
      <c r="E101" s="1">
        <v>1555.0</v>
      </c>
      <c r="F101" s="1">
        <v>8.0</v>
      </c>
      <c r="G101" s="1">
        <v>6.0</v>
      </c>
      <c r="H101" s="1">
        <v>15.0</v>
      </c>
      <c r="I101" s="1">
        <v>46.0</v>
      </c>
      <c r="J101" s="1">
        <v>0.0</v>
      </c>
      <c r="K101" s="1">
        <v>2.0</v>
      </c>
      <c r="L101" s="1">
        <v>98.8</v>
      </c>
      <c r="M101" s="18">
        <f t="shared" si="1"/>
        <v>74.03275547</v>
      </c>
      <c r="N101" s="18">
        <f t="shared" si="2"/>
        <v>3.480377358</v>
      </c>
      <c r="O101" s="30"/>
      <c r="P101" s="30"/>
      <c r="Q101" s="30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1" t="s">
        <v>232</v>
      </c>
      <c r="B102" s="1" t="s">
        <v>226</v>
      </c>
      <c r="C102" s="1">
        <v>202.2</v>
      </c>
      <c r="D102" s="1">
        <v>122.4</v>
      </c>
      <c r="E102" s="1">
        <v>1364.1</v>
      </c>
      <c r="F102" s="1">
        <v>7.1</v>
      </c>
      <c r="G102" s="1">
        <v>5.5</v>
      </c>
      <c r="H102" s="1">
        <v>21.1</v>
      </c>
      <c r="I102" s="1">
        <v>122.3</v>
      </c>
      <c r="J102" s="1">
        <v>0.5</v>
      </c>
      <c r="K102" s="1">
        <v>1.2</v>
      </c>
      <c r="L102" s="1">
        <v>90.7</v>
      </c>
      <c r="M102" s="18">
        <f t="shared" si="1"/>
        <v>64.94410401</v>
      </c>
      <c r="N102" s="18">
        <f t="shared" si="2"/>
        <v>9.253264151</v>
      </c>
      <c r="O102" s="30">
        <f>MAX(QB!D104*Scoring!$B$30+QB!E104/Scoring!$C$30+QB!F104*Scoring!$D$30+QB!G104*Scoring!$E$30+QB!H104*Scoring!$F$30+QB!I104/Scoring!$G$30+QB!J104*Scoring!$H$30+QB!K104*Scoring!$I$30+M104*Scoring!$J$30+QB!N104*Scoring!$K$30,0)+C104*Scoring!$B$10*0.07+(C104-D104)*Scoring!$B$5</f>
        <v>24.96</v>
      </c>
      <c r="P102" s="30">
        <f>MAX(QB!D102*Scoring!$B$30+QB!E102/Scoring!$C$30+QB!F102*Scoring!$D$30+QB!G102*Scoring!$E$30+QB!H102*Scoring!$F$30+QB!I102/Scoring!$G$30+QB!J102*Scoring!$H$30+QB!K102*Scoring!$I$30+M102*Scoring!$J$30+QB!N102*Scoring!$K$30,0)+C102*Scoring!$B$10*0.07+(C102-D102)*Scoring!$B$5</f>
        <v>71.712</v>
      </c>
      <c r="Q102" s="30">
        <f>MAX(QB!D103*Scoring!$B$30+QB!E103/Scoring!$C$30+QB!F103*Scoring!$D$30+QB!G103*Scoring!$E$30+QB!H103*Scoring!$F$30+QB!I103/Scoring!$G$30+QB!J103*Scoring!$H$30+QB!K103*Scoring!$I$30+M103*Scoring!$J$30+QB!N103*Scoring!$K$30,0)+C103*Scoring!$B$10*0.07+(C103-D103)*Scoring!$B$5</f>
        <v>112.16</v>
      </c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B103" s="1" t="s">
        <v>39</v>
      </c>
      <c r="C103" s="1">
        <v>268.0</v>
      </c>
      <c r="D103" s="1">
        <v>156.0</v>
      </c>
      <c r="E103" s="1">
        <v>1798.0</v>
      </c>
      <c r="F103" s="1">
        <v>10.0</v>
      </c>
      <c r="G103" s="1">
        <v>3.0</v>
      </c>
      <c r="H103" s="1">
        <v>32.0</v>
      </c>
      <c r="I103" s="1">
        <v>182.0</v>
      </c>
      <c r="J103" s="1">
        <v>1.0</v>
      </c>
      <c r="K103" s="1">
        <v>1.0</v>
      </c>
      <c r="L103" s="1">
        <v>136.1</v>
      </c>
      <c r="M103" s="18">
        <f t="shared" si="1"/>
        <v>85.60186131</v>
      </c>
      <c r="N103" s="18">
        <f t="shared" si="2"/>
        <v>13.77018868</v>
      </c>
      <c r="O103" s="30"/>
      <c r="P103" s="30"/>
      <c r="Q103" s="30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B104" s="1" t="s">
        <v>48</v>
      </c>
      <c r="C104" s="1">
        <v>107.0</v>
      </c>
      <c r="D104" s="1">
        <v>64.0</v>
      </c>
      <c r="E104" s="1">
        <v>663.0</v>
      </c>
      <c r="F104" s="1">
        <v>4.0</v>
      </c>
      <c r="G104" s="1">
        <v>8.0</v>
      </c>
      <c r="H104" s="1">
        <v>10.0</v>
      </c>
      <c r="I104" s="1">
        <v>65.0</v>
      </c>
      <c r="J104" s="1">
        <v>0.0</v>
      </c>
      <c r="K104" s="1">
        <v>1.4</v>
      </c>
      <c r="L104" s="1">
        <v>36.0</v>
      </c>
      <c r="M104" s="18">
        <f t="shared" si="1"/>
        <v>31.56509124</v>
      </c>
      <c r="N104" s="18">
        <f t="shared" si="2"/>
        <v>4.917924528</v>
      </c>
      <c r="O104" s="30"/>
      <c r="P104" s="30"/>
      <c r="Q104" s="30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" t="s">
        <v>234</v>
      </c>
      <c r="B105" s="1" t="s">
        <v>222</v>
      </c>
      <c r="C105" s="1">
        <v>113.9</v>
      </c>
      <c r="D105" s="1">
        <v>74.2</v>
      </c>
      <c r="E105" s="1">
        <v>780.8</v>
      </c>
      <c r="F105" s="1">
        <v>5.0</v>
      </c>
      <c r="G105" s="1">
        <v>3.9</v>
      </c>
      <c r="H105" s="1">
        <v>5.2</v>
      </c>
      <c r="I105" s="1">
        <v>9.0</v>
      </c>
      <c r="J105" s="1">
        <v>0.1</v>
      </c>
      <c r="K105" s="1">
        <v>0.9</v>
      </c>
      <c r="L105" s="1">
        <v>47.0</v>
      </c>
      <c r="M105" s="18">
        <f t="shared" si="1"/>
        <v>37.17348905</v>
      </c>
      <c r="N105" s="18">
        <f t="shared" si="2"/>
        <v>0.6809433962</v>
      </c>
      <c r="O105" s="30">
        <f>MAX(QB!D107*Scoring!$B$30+QB!E107/Scoring!$C$30+QB!F107*Scoring!$D$30+QB!G107*Scoring!$E$30+QB!H107*Scoring!$F$30+QB!I107/Scoring!$G$30+QB!J107*Scoring!$H$30+QB!K107*Scoring!$I$30+M107*Scoring!$J$30+QB!N107*Scoring!$K$30,0)+C107*Scoring!$B$10*0.07+(C107-D107)*Scoring!$B$5</f>
        <v>26.62</v>
      </c>
      <c r="P105" s="30">
        <f>MAX(QB!D105*Scoring!$B$30+QB!E105/Scoring!$C$30+QB!F105*Scoring!$D$30+QB!G105*Scoring!$E$30+QB!H105*Scoring!$F$30+QB!I105/Scoring!$G$30+QB!J105*Scoring!$H$30+QB!K105*Scoring!$I$30+M105*Scoring!$J$30+QB!N105*Scoring!$K$30,0)+C105*Scoring!$B$10*0.07+(C105-D105)*Scoring!$B$5</f>
        <v>37.516</v>
      </c>
      <c r="Q105" s="30">
        <f>MAX(QB!D106*Scoring!$B$30+QB!E106/Scoring!$C$30+QB!F106*Scoring!$D$30+QB!G106*Scoring!$E$30+QB!H106*Scoring!$F$30+QB!I106/Scoring!$G$30+QB!J106*Scoring!$H$30+QB!K106*Scoring!$I$30+M106*Scoring!$J$30+QB!N106*Scoring!$K$30,0)+C106*Scoring!$B$10*0.07+(C106-D106)*Scoring!$B$5</f>
        <v>48.58</v>
      </c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B106" s="1" t="s">
        <v>39</v>
      </c>
      <c r="C106" s="1">
        <v>121.0</v>
      </c>
      <c r="D106" s="1">
        <v>78.7</v>
      </c>
      <c r="E106" s="1">
        <v>844.0</v>
      </c>
      <c r="F106" s="1">
        <v>6.0</v>
      </c>
      <c r="G106" s="1">
        <v>2.7</v>
      </c>
      <c r="H106" s="1">
        <v>7.0</v>
      </c>
      <c r="I106" s="1">
        <v>11.0</v>
      </c>
      <c r="J106" s="1">
        <v>0.3</v>
      </c>
      <c r="K106" s="1">
        <v>0.9</v>
      </c>
      <c r="L106" s="1">
        <v>58.5</v>
      </c>
      <c r="M106" s="18">
        <f t="shared" si="1"/>
        <v>40.18240876</v>
      </c>
      <c r="N106" s="18">
        <f t="shared" si="2"/>
        <v>0.8322641509</v>
      </c>
      <c r="O106" s="30"/>
      <c r="P106" s="30"/>
      <c r="Q106" s="30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B107" s="1" t="s">
        <v>48</v>
      </c>
      <c r="C107" s="1">
        <v>102.0</v>
      </c>
      <c r="D107" s="1">
        <v>69.0</v>
      </c>
      <c r="E107" s="1">
        <v>666.0</v>
      </c>
      <c r="F107" s="1">
        <v>4.1</v>
      </c>
      <c r="G107" s="1">
        <v>5.0</v>
      </c>
      <c r="H107" s="1">
        <v>3.0</v>
      </c>
      <c r="I107" s="1">
        <v>7.0</v>
      </c>
      <c r="J107" s="1">
        <v>0.0</v>
      </c>
      <c r="K107" s="1">
        <v>1.0</v>
      </c>
      <c r="L107" s="1">
        <v>38.0</v>
      </c>
      <c r="M107" s="18">
        <f t="shared" si="1"/>
        <v>31.70791971</v>
      </c>
      <c r="N107" s="18">
        <f t="shared" si="2"/>
        <v>0.5296226415</v>
      </c>
      <c r="O107" s="30"/>
      <c r="P107" s="30"/>
      <c r="Q107" s="30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" t="s">
        <v>236</v>
      </c>
      <c r="B108" s="1" t="s">
        <v>176</v>
      </c>
      <c r="C108" s="1">
        <v>40.9</v>
      </c>
      <c r="D108" s="1">
        <v>25.8</v>
      </c>
      <c r="E108" s="1">
        <v>298.2</v>
      </c>
      <c r="F108" s="1">
        <v>2.6</v>
      </c>
      <c r="G108" s="1">
        <v>0.8</v>
      </c>
      <c r="H108" s="1">
        <v>4.1</v>
      </c>
      <c r="I108" s="1">
        <v>18.4</v>
      </c>
      <c r="J108" s="1">
        <v>0.0</v>
      </c>
      <c r="K108" s="1">
        <v>0.1</v>
      </c>
      <c r="L108" s="1">
        <v>23.4</v>
      </c>
      <c r="M108" s="18">
        <f t="shared" si="1"/>
        <v>14.19714964</v>
      </c>
      <c r="N108" s="18">
        <f t="shared" si="2"/>
        <v>1.392150943</v>
      </c>
      <c r="O108" s="30">
        <f>MAX(QB!D110*Scoring!$B$30+QB!E110/Scoring!$C$30+QB!F110*Scoring!$D$30+QB!G110*Scoring!$E$30+QB!H110*Scoring!$F$30+QB!I110/Scoring!$G$30+QB!J110*Scoring!$H$30+QB!K110*Scoring!$I$30+M110*Scoring!$J$30+QB!N110*Scoring!$K$30,0)+C110*Scoring!$B$10*0.07+(C110-D110)*Scoring!$B$5</f>
        <v>8.208</v>
      </c>
      <c r="P108" s="30">
        <f>MAX(QB!D108*Scoring!$B$30+QB!E108/Scoring!$C$30+QB!F108*Scoring!$D$30+QB!G108*Scoring!$E$30+QB!H108*Scoring!$F$30+QB!I108/Scoring!$G$30+QB!J108*Scoring!$H$30+QB!K108*Scoring!$I$30+M108*Scoring!$J$30+QB!N108*Scoring!$K$30,0)+C108*Scoring!$B$10*0.07+(C108-D108)*Scoring!$B$5</f>
        <v>21.604</v>
      </c>
      <c r="Q108" s="30">
        <f>MAX(QB!D109*Scoring!$B$30+QB!E109/Scoring!$C$30+QB!F109*Scoring!$D$30+QB!G109*Scoring!$E$30+QB!H109*Scoring!$F$30+QB!I109/Scoring!$G$30+QB!J109*Scoring!$H$30+QB!K109*Scoring!$I$30+M109*Scoring!$J$30+QB!N109*Scoring!$K$30,0)+C109*Scoring!$B$10*0.07+(C109-D109)*Scoring!$B$5</f>
        <v>35.6</v>
      </c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B109" s="1" t="s">
        <v>39</v>
      </c>
      <c r="C109" s="1">
        <v>60.0</v>
      </c>
      <c r="D109" s="1">
        <v>38.0</v>
      </c>
      <c r="E109" s="1">
        <v>450.0</v>
      </c>
      <c r="F109" s="1">
        <v>4.0</v>
      </c>
      <c r="G109" s="1">
        <v>0.6</v>
      </c>
      <c r="H109" s="1">
        <v>7.0</v>
      </c>
      <c r="I109" s="1">
        <v>32.0</v>
      </c>
      <c r="J109" s="1">
        <v>0.1</v>
      </c>
      <c r="K109" s="1">
        <v>0.0</v>
      </c>
      <c r="L109" s="1">
        <v>34.0</v>
      </c>
      <c r="M109" s="18">
        <f t="shared" si="1"/>
        <v>21.42427007</v>
      </c>
      <c r="N109" s="18">
        <f t="shared" si="2"/>
        <v>2.421132075</v>
      </c>
      <c r="O109" s="30"/>
      <c r="P109" s="30"/>
      <c r="Q109" s="30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B110" s="1" t="s">
        <v>48</v>
      </c>
      <c r="C110" s="1">
        <v>21.9</v>
      </c>
      <c r="D110" s="1">
        <v>13.5</v>
      </c>
      <c r="E110" s="1">
        <v>146.4</v>
      </c>
      <c r="F110" s="1">
        <v>1.2</v>
      </c>
      <c r="G110" s="1">
        <v>1.0</v>
      </c>
      <c r="H110" s="1">
        <v>1.1</v>
      </c>
      <c r="I110" s="1">
        <v>4.8</v>
      </c>
      <c r="J110" s="1">
        <v>0.0</v>
      </c>
      <c r="K110" s="1">
        <v>0.2</v>
      </c>
      <c r="L110" s="1">
        <v>10.0</v>
      </c>
      <c r="M110" s="18">
        <f t="shared" si="1"/>
        <v>6.970029197</v>
      </c>
      <c r="N110" s="18">
        <f t="shared" si="2"/>
        <v>0.3631698113</v>
      </c>
      <c r="O110" s="30"/>
      <c r="P110" s="30"/>
      <c r="Q110" s="30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" t="s">
        <v>238</v>
      </c>
      <c r="B111" s="1" t="s">
        <v>217</v>
      </c>
      <c r="C111" s="1">
        <v>49.0</v>
      </c>
      <c r="D111" s="1">
        <v>30.9</v>
      </c>
      <c r="E111" s="1">
        <v>338.2</v>
      </c>
      <c r="F111" s="1">
        <v>2.2</v>
      </c>
      <c r="G111" s="1">
        <v>1.2</v>
      </c>
      <c r="H111" s="1">
        <v>5.2</v>
      </c>
      <c r="I111" s="1">
        <v>20.1</v>
      </c>
      <c r="J111" s="1">
        <v>0.1</v>
      </c>
      <c r="K111" s="1">
        <v>0.2</v>
      </c>
      <c r="L111" s="1">
        <v>23.2</v>
      </c>
      <c r="M111" s="18">
        <f t="shared" si="1"/>
        <v>16.1015292</v>
      </c>
      <c r="N111" s="18">
        <f t="shared" si="2"/>
        <v>1.520773585</v>
      </c>
      <c r="O111" s="30">
        <f>MAX(QB!D113*Scoring!$B$30+QB!E113/Scoring!$C$30+QB!F113*Scoring!$D$30+QB!G113*Scoring!$E$30+QB!H113*Scoring!$F$30+QB!I113/Scoring!$G$30+QB!J113*Scoring!$H$30+QB!K113*Scoring!$I$30+M113*Scoring!$J$30+QB!N113*Scoring!$K$30,0)+C113*Scoring!$B$10*0.07+(C113-D113)*Scoring!$B$5</f>
        <v>4</v>
      </c>
      <c r="P111" s="30">
        <f>MAX(QB!D111*Scoring!$B$30+QB!E111/Scoring!$C$30+QB!F111*Scoring!$D$30+QB!G111*Scoring!$E$30+QB!H111*Scoring!$F$30+QB!I111/Scoring!$G$30+QB!J111*Scoring!$H$30+QB!K111*Scoring!$I$30+M111*Scoring!$J$30+QB!N111*Scoring!$K$30,0)+C111*Scoring!$B$10*0.07+(C111-D111)*Scoring!$B$5</f>
        <v>19.774</v>
      </c>
      <c r="Q111" s="30">
        <f>MAX(QB!D112*Scoring!$B$30+QB!E112/Scoring!$C$30+QB!F112*Scoring!$D$30+QB!G112*Scoring!$E$30+QB!H112*Scoring!$F$30+QB!I112/Scoring!$G$30+QB!J112*Scoring!$H$30+QB!K112*Scoring!$I$30+M112*Scoring!$J$30+QB!N112*Scoring!$K$30,0)+C112*Scoring!$B$10*0.07+(C112-D112)*Scoring!$B$5</f>
        <v>31.75</v>
      </c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B112" s="1" t="s">
        <v>39</v>
      </c>
      <c r="C112" s="1">
        <v>66.1</v>
      </c>
      <c r="D112" s="1">
        <v>40.8</v>
      </c>
      <c r="E112" s="1">
        <v>450.5</v>
      </c>
      <c r="F112" s="1">
        <v>3.0</v>
      </c>
      <c r="G112" s="1">
        <v>0.0</v>
      </c>
      <c r="H112" s="1">
        <v>7.0</v>
      </c>
      <c r="I112" s="1">
        <v>29.4</v>
      </c>
      <c r="J112" s="1">
        <v>0.3</v>
      </c>
      <c r="K112" s="1">
        <v>0.0</v>
      </c>
      <c r="L112" s="1">
        <v>32.4</v>
      </c>
      <c r="M112" s="18">
        <f t="shared" si="1"/>
        <v>21.44807482</v>
      </c>
      <c r="N112" s="18">
        <f t="shared" si="2"/>
        <v>2.224415094</v>
      </c>
      <c r="O112" s="30"/>
      <c r="P112" s="30"/>
      <c r="Q112" s="30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B113" s="1" t="s">
        <v>48</v>
      </c>
      <c r="C113" s="1">
        <v>18.0</v>
      </c>
      <c r="D113" s="1">
        <v>12.0</v>
      </c>
      <c r="E113" s="1">
        <v>115.0</v>
      </c>
      <c r="F113" s="1">
        <v>1.0</v>
      </c>
      <c r="G113" s="1">
        <v>2.0</v>
      </c>
      <c r="H113" s="1">
        <v>2.0</v>
      </c>
      <c r="I113" s="1">
        <v>7.0</v>
      </c>
      <c r="J113" s="1">
        <v>0.0</v>
      </c>
      <c r="K113" s="1">
        <v>0.5</v>
      </c>
      <c r="L113" s="1">
        <v>8.0</v>
      </c>
      <c r="M113" s="18">
        <f t="shared" si="1"/>
        <v>5.475091241</v>
      </c>
      <c r="N113" s="18">
        <f t="shared" si="2"/>
        <v>0.5296226415</v>
      </c>
      <c r="O113" s="30"/>
      <c r="P113" s="30"/>
      <c r="Q113" s="30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1" t="s">
        <v>240</v>
      </c>
      <c r="B114" s="1" t="s">
        <v>189</v>
      </c>
      <c r="C114" s="1">
        <v>48.6</v>
      </c>
      <c r="D114" s="1">
        <v>30.2</v>
      </c>
      <c r="E114" s="1">
        <v>340.6</v>
      </c>
      <c r="F114" s="1">
        <v>1.8</v>
      </c>
      <c r="G114" s="1">
        <v>1.4</v>
      </c>
      <c r="H114" s="1">
        <v>5.9</v>
      </c>
      <c r="I114" s="1">
        <v>27.0</v>
      </c>
      <c r="J114" s="1">
        <v>0.2</v>
      </c>
      <c r="K114" s="1">
        <v>0.4</v>
      </c>
      <c r="L114" s="1">
        <v>22.5</v>
      </c>
      <c r="M114" s="18">
        <f t="shared" si="1"/>
        <v>16.21579197</v>
      </c>
      <c r="N114" s="18">
        <f t="shared" si="2"/>
        <v>2.042830189</v>
      </c>
      <c r="O114" s="30">
        <f>MAX(QB!D116*Scoring!$B$30+QB!E116/Scoring!$C$30+QB!F116*Scoring!$D$30+QB!G116*Scoring!$E$30+QB!H116*Scoring!$F$30+QB!I116/Scoring!$G$30+QB!J116*Scoring!$H$30+QB!K116*Scoring!$I$30+M116*Scoring!$J$30+QB!N116*Scoring!$K$30,0)+C116*Scoring!$B$10*0.07+(C116-D116)*Scoring!$B$5</f>
        <v>4.34</v>
      </c>
      <c r="P114" s="30">
        <f>MAX(QB!D114*Scoring!$B$30+QB!E114/Scoring!$C$30+QB!F114*Scoring!$D$30+QB!G114*Scoring!$E$30+QB!H114*Scoring!$F$30+QB!I114/Scoring!$G$30+QB!J114*Scoring!$H$30+QB!K114*Scoring!$I$30+M114*Scoring!$J$30+QB!N114*Scoring!$K$30,0)+C114*Scoring!$B$10*0.07+(C114-D114)*Scoring!$B$5</f>
        <v>17.912</v>
      </c>
      <c r="Q114" s="30">
        <f>MAX(QB!D115*Scoring!$B$30+QB!E115/Scoring!$C$30+QB!F115*Scoring!$D$30+QB!G115*Scoring!$E$30+QB!H115*Scoring!$F$30+QB!I115/Scoring!$G$30+QB!J115*Scoring!$H$30+QB!K115*Scoring!$I$30+M115*Scoring!$J$30+QB!N115*Scoring!$K$30,0)+C115*Scoring!$B$10*0.07+(C115-D115)*Scoring!$B$5</f>
        <v>38.366</v>
      </c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B115" s="1" t="s">
        <v>39</v>
      </c>
      <c r="C115" s="1">
        <v>85.7</v>
      </c>
      <c r="D115" s="1">
        <v>54.5</v>
      </c>
      <c r="E115" s="1">
        <v>598.8</v>
      </c>
      <c r="F115" s="1">
        <v>3.4</v>
      </c>
      <c r="G115" s="1">
        <v>1.0</v>
      </c>
      <c r="H115" s="1">
        <v>9.8</v>
      </c>
      <c r="I115" s="1">
        <v>43.9</v>
      </c>
      <c r="J115" s="1">
        <v>0.6</v>
      </c>
      <c r="K115" s="1">
        <v>0.0</v>
      </c>
      <c r="L115" s="1">
        <v>39.8</v>
      </c>
      <c r="M115" s="18">
        <f t="shared" si="1"/>
        <v>28.50856204</v>
      </c>
      <c r="N115" s="18">
        <f t="shared" si="2"/>
        <v>3.321490566</v>
      </c>
      <c r="O115" s="30"/>
      <c r="P115" s="30"/>
      <c r="Q115" s="30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B116" s="1" t="s">
        <v>48</v>
      </c>
      <c r="C116" s="1">
        <v>19.0</v>
      </c>
      <c r="D116" s="1">
        <v>12.0</v>
      </c>
      <c r="E116" s="1">
        <v>137.0</v>
      </c>
      <c r="F116" s="1">
        <v>1.0</v>
      </c>
      <c r="G116" s="1">
        <v>2.3</v>
      </c>
      <c r="H116" s="1">
        <v>4.0</v>
      </c>
      <c r="I116" s="1">
        <v>18.0</v>
      </c>
      <c r="J116" s="1">
        <v>0.0</v>
      </c>
      <c r="K116" s="1">
        <v>0.8</v>
      </c>
      <c r="L116" s="1">
        <v>7.0</v>
      </c>
      <c r="M116" s="18">
        <f t="shared" si="1"/>
        <v>6.5225</v>
      </c>
      <c r="N116" s="18">
        <f t="shared" si="2"/>
        <v>1.361886792</v>
      </c>
      <c r="O116" s="30"/>
      <c r="P116" s="30"/>
      <c r="Q116" s="30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" t="s">
        <v>242</v>
      </c>
      <c r="B117" s="1" t="s">
        <v>106</v>
      </c>
      <c r="C117" s="1">
        <v>34.3</v>
      </c>
      <c r="D117" s="1">
        <v>21.7</v>
      </c>
      <c r="E117" s="1">
        <v>254.0</v>
      </c>
      <c r="F117" s="1">
        <v>2.0</v>
      </c>
      <c r="G117" s="1">
        <v>0.8</v>
      </c>
      <c r="H117" s="1">
        <v>1.4</v>
      </c>
      <c r="I117" s="1">
        <v>7.9</v>
      </c>
      <c r="J117" s="1">
        <v>0.0</v>
      </c>
      <c r="K117" s="1">
        <v>0.1</v>
      </c>
      <c r="L117" s="1">
        <v>18.0</v>
      </c>
      <c r="M117" s="18">
        <f t="shared" si="1"/>
        <v>12.09281022</v>
      </c>
      <c r="N117" s="18">
        <f t="shared" si="2"/>
        <v>0.5977169811</v>
      </c>
      <c r="O117" s="30">
        <f>MAX(QB!D119*Scoring!$B$30+QB!E119/Scoring!$C$30+QB!F119*Scoring!$D$30+QB!G119*Scoring!$E$30+QB!H119*Scoring!$F$30+QB!I119/Scoring!$G$30+QB!J119*Scoring!$H$30+QB!K119*Scoring!$I$30+M119*Scoring!$J$30+QB!N119*Scoring!$K$30,0)+C119*Scoring!$B$10*0.07+(C119-D119)*Scoring!$B$5</f>
        <v>7.522</v>
      </c>
      <c r="P117" s="30">
        <f>MAX(QB!D117*Scoring!$B$30+QB!E117/Scoring!$C$30+QB!F117*Scoring!$D$30+QB!G117*Scoring!$E$30+QB!H117*Scoring!$F$30+QB!I117/Scoring!$G$30+QB!J117*Scoring!$H$30+QB!K117*Scoring!$I$30+M117*Scoring!$J$30+QB!N117*Scoring!$K$30,0)+C117*Scoring!$B$10*0.07+(C117-D117)*Scoring!$B$5</f>
        <v>16.07</v>
      </c>
      <c r="Q117" s="30">
        <f>MAX(QB!D118*Scoring!$B$30+QB!E118/Scoring!$C$30+QB!F118*Scoring!$D$30+QB!G118*Scoring!$E$30+QB!H118*Scoring!$F$30+QB!I118/Scoring!$G$30+QB!J118*Scoring!$H$30+QB!K118*Scoring!$I$30+M118*Scoring!$J$30+QB!N118*Scoring!$K$30,0)+C118*Scoring!$B$10*0.07+(C118-D118)*Scoring!$B$5</f>
        <v>25.02</v>
      </c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B118" s="1" t="s">
        <v>39</v>
      </c>
      <c r="C118" s="1">
        <v>46.0</v>
      </c>
      <c r="D118" s="1">
        <v>29.0</v>
      </c>
      <c r="E118" s="1">
        <v>342.0</v>
      </c>
      <c r="F118" s="1">
        <v>3.0</v>
      </c>
      <c r="G118" s="1">
        <v>0.7</v>
      </c>
      <c r="H118" s="1">
        <v>1.8</v>
      </c>
      <c r="I118" s="1">
        <v>9.8</v>
      </c>
      <c r="J118" s="1">
        <v>0.1</v>
      </c>
      <c r="K118" s="1">
        <v>0.0</v>
      </c>
      <c r="L118" s="1">
        <v>21.0</v>
      </c>
      <c r="M118" s="18">
        <f t="shared" si="1"/>
        <v>16.28244526</v>
      </c>
      <c r="N118" s="18">
        <f t="shared" si="2"/>
        <v>0.7414716981</v>
      </c>
      <c r="O118" s="30"/>
      <c r="P118" s="30"/>
      <c r="Q118" s="30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B119" s="1" t="s">
        <v>48</v>
      </c>
      <c r="C119" s="1">
        <v>22.6</v>
      </c>
      <c r="D119" s="1">
        <v>14.3</v>
      </c>
      <c r="E119" s="1">
        <v>166.1</v>
      </c>
      <c r="F119" s="1">
        <v>1.0</v>
      </c>
      <c r="G119" s="1">
        <v>1.0</v>
      </c>
      <c r="H119" s="1">
        <v>1.0</v>
      </c>
      <c r="I119" s="1">
        <v>6.0</v>
      </c>
      <c r="J119" s="1">
        <v>0.0</v>
      </c>
      <c r="K119" s="1">
        <v>0.2</v>
      </c>
      <c r="L119" s="1">
        <v>10.2</v>
      </c>
      <c r="M119" s="18">
        <f t="shared" si="1"/>
        <v>7.907936131</v>
      </c>
      <c r="N119" s="18">
        <f t="shared" si="2"/>
        <v>0.4539622642</v>
      </c>
      <c r="O119" s="30"/>
      <c r="P119" s="30"/>
      <c r="Q119" s="30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" t="s">
        <v>244</v>
      </c>
      <c r="B120" s="1" t="s">
        <v>193</v>
      </c>
      <c r="C120" s="1">
        <v>27.3</v>
      </c>
      <c r="D120" s="1">
        <v>17.2</v>
      </c>
      <c r="E120" s="1">
        <v>192.8</v>
      </c>
      <c r="F120" s="1">
        <v>1.3</v>
      </c>
      <c r="G120" s="1">
        <v>0.5</v>
      </c>
      <c r="H120" s="1">
        <v>2.7</v>
      </c>
      <c r="I120" s="1">
        <v>11.5</v>
      </c>
      <c r="J120" s="1">
        <v>0.0</v>
      </c>
      <c r="K120" s="1">
        <v>0.6</v>
      </c>
      <c r="L120" s="1">
        <v>12.4</v>
      </c>
      <c r="M120" s="18">
        <f t="shared" si="1"/>
        <v>9.179109489</v>
      </c>
      <c r="N120" s="18">
        <f t="shared" si="2"/>
        <v>0.8700943396</v>
      </c>
      <c r="O120" s="30">
        <f>MAX(QB!D122*Scoring!$B$30+QB!E122/Scoring!$C$30+QB!F122*Scoring!$D$30+QB!G122*Scoring!$E$30+QB!H122*Scoring!$F$30+QB!I122/Scoring!$G$30+QB!J122*Scoring!$H$30+QB!K122*Scoring!$I$30+M122*Scoring!$J$30+QB!N122*Scoring!$K$30,0)+C122*Scoring!$B$10*0.07+(C122-D122)*Scoring!$B$5</f>
        <v>4.52</v>
      </c>
      <c r="P120" s="30">
        <f>MAX(QB!D120*Scoring!$B$30+QB!E120/Scoring!$C$30+QB!F120*Scoring!$D$30+QB!G120*Scoring!$E$30+QB!H120*Scoring!$F$30+QB!I120/Scoring!$G$30+QB!J120*Scoring!$H$30+QB!K120*Scoring!$I$30+M120*Scoring!$J$30+QB!N120*Scoring!$K$30,0)+C120*Scoring!$B$10*0.07+(C120-D120)*Scoring!$B$5</f>
        <v>10.606</v>
      </c>
      <c r="Q120" s="30">
        <f>MAX(QB!D121*Scoring!$B$30+QB!E121/Scoring!$C$30+QB!F121*Scoring!$D$30+QB!G121*Scoring!$E$30+QB!H121*Scoring!$F$30+QB!I121/Scoring!$G$30+QB!J121*Scoring!$H$30+QB!K121*Scoring!$I$30+M121*Scoring!$J$30+QB!N121*Scoring!$K$30,0)+C121*Scoring!$B$10*0.07+(C121-D121)*Scoring!$B$5</f>
        <v>19.38</v>
      </c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B121" s="1" t="s">
        <v>39</v>
      </c>
      <c r="C121" s="1">
        <v>37.0</v>
      </c>
      <c r="D121" s="1">
        <v>23.0</v>
      </c>
      <c r="E121" s="1">
        <v>259.0</v>
      </c>
      <c r="F121" s="1">
        <v>2.0</v>
      </c>
      <c r="G121" s="1">
        <v>0.0</v>
      </c>
      <c r="H121" s="1">
        <v>5.0</v>
      </c>
      <c r="I121" s="1">
        <v>20.0</v>
      </c>
      <c r="J121" s="1">
        <v>0.1</v>
      </c>
      <c r="K121" s="1">
        <v>0.2</v>
      </c>
      <c r="L121" s="1">
        <v>19.3</v>
      </c>
      <c r="M121" s="18">
        <f t="shared" si="1"/>
        <v>12.33085766</v>
      </c>
      <c r="N121" s="18">
        <f t="shared" si="2"/>
        <v>1.513207547</v>
      </c>
      <c r="O121" s="30"/>
      <c r="P121" s="30"/>
      <c r="Q121" s="30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B122" s="1" t="s">
        <v>48</v>
      </c>
      <c r="C122" s="1">
        <v>22.0</v>
      </c>
      <c r="D122" s="1">
        <v>14.0</v>
      </c>
      <c r="E122" s="1">
        <v>158.5</v>
      </c>
      <c r="F122" s="1">
        <v>0.8</v>
      </c>
      <c r="G122" s="1">
        <v>1.0</v>
      </c>
      <c r="H122" s="1">
        <v>1.2</v>
      </c>
      <c r="I122" s="1">
        <v>5.5</v>
      </c>
      <c r="J122" s="1">
        <v>0.0</v>
      </c>
      <c r="K122" s="1">
        <v>1.0</v>
      </c>
      <c r="L122" s="1">
        <v>7.0</v>
      </c>
      <c r="M122" s="18">
        <f t="shared" si="1"/>
        <v>7.546104015</v>
      </c>
      <c r="N122" s="18">
        <f t="shared" si="2"/>
        <v>0.4161320755</v>
      </c>
      <c r="O122" s="30"/>
      <c r="P122" s="30"/>
      <c r="Q122" s="30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" t="s">
        <v>246</v>
      </c>
      <c r="B123" s="1" t="s">
        <v>155</v>
      </c>
      <c r="C123" s="1">
        <v>26.2</v>
      </c>
      <c r="D123" s="1">
        <v>16.3</v>
      </c>
      <c r="E123" s="1">
        <v>175.2</v>
      </c>
      <c r="F123" s="1">
        <v>1.0</v>
      </c>
      <c r="G123" s="1">
        <v>0.8</v>
      </c>
      <c r="H123" s="1">
        <v>3.6</v>
      </c>
      <c r="I123" s="1">
        <v>18.4</v>
      </c>
      <c r="J123" s="1">
        <v>0.1</v>
      </c>
      <c r="K123" s="1">
        <v>0.1</v>
      </c>
      <c r="L123" s="1">
        <v>12.1</v>
      </c>
      <c r="M123" s="18">
        <f t="shared" si="1"/>
        <v>8.341182482</v>
      </c>
      <c r="N123" s="18">
        <f t="shared" si="2"/>
        <v>1.392150943</v>
      </c>
      <c r="O123" s="30">
        <f>MAX(QB!D125*Scoring!$B$30+QB!E125/Scoring!$C$30+QB!F125*Scoring!$D$30+QB!G125*Scoring!$E$30+QB!H125*Scoring!$F$30+QB!I125/Scoring!$G$30+QB!J125*Scoring!$H$30+QB!K125*Scoring!$I$30+M125*Scoring!$J$30+QB!N125*Scoring!$K$30,0)+C125*Scoring!$B$10*0.07+(C125-D125)*Scoring!$B$5</f>
        <v>7.34</v>
      </c>
      <c r="P123" s="30">
        <f>MAX(QB!D123*Scoring!$B$30+QB!E123/Scoring!$C$30+QB!F123*Scoring!$D$30+QB!G123*Scoring!$E$30+QB!H123*Scoring!$F$30+QB!I123/Scoring!$G$30+QB!J123*Scoring!$H$30+QB!K123*Scoring!$I$30+M123*Scoring!$J$30+QB!N123*Scoring!$K$30,0)+C123*Scoring!$B$10*0.07+(C123-D123)*Scoring!$B$5</f>
        <v>10.144</v>
      </c>
      <c r="Q123" s="30">
        <f>MAX(QB!D124*Scoring!$B$30+QB!E124/Scoring!$C$30+QB!F124*Scoring!$D$30+QB!G124*Scoring!$E$30+QB!H124*Scoring!$F$30+QB!I124/Scoring!$G$30+QB!J124*Scoring!$H$30+QB!K124*Scoring!$I$30+M124*Scoring!$J$30+QB!N124*Scoring!$K$30,0)+C124*Scoring!$B$10*0.07+(C124-D124)*Scoring!$B$5</f>
        <v>13.24</v>
      </c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B124" s="1" t="s">
        <v>39</v>
      </c>
      <c r="C124" s="1">
        <v>35.0</v>
      </c>
      <c r="D124" s="1">
        <v>22.0</v>
      </c>
      <c r="E124" s="1">
        <v>237.0</v>
      </c>
      <c r="F124" s="1">
        <v>1.0</v>
      </c>
      <c r="G124" s="1">
        <v>0.4</v>
      </c>
      <c r="H124" s="1">
        <v>4.0</v>
      </c>
      <c r="I124" s="1">
        <v>21.0</v>
      </c>
      <c r="J124" s="1">
        <v>0.2</v>
      </c>
      <c r="K124" s="1">
        <v>0.0</v>
      </c>
      <c r="L124" s="1">
        <v>15.4</v>
      </c>
      <c r="M124" s="18">
        <f t="shared" si="1"/>
        <v>11.28344891</v>
      </c>
      <c r="N124" s="18">
        <f t="shared" si="2"/>
        <v>1.588867925</v>
      </c>
      <c r="O124" s="30"/>
      <c r="P124" s="30"/>
      <c r="Q124" s="30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B125" s="1" t="s">
        <v>48</v>
      </c>
      <c r="C125" s="1">
        <v>20.6</v>
      </c>
      <c r="D125" s="1">
        <v>12.8</v>
      </c>
      <c r="E125" s="1">
        <v>140.5</v>
      </c>
      <c r="F125" s="1">
        <v>0.9</v>
      </c>
      <c r="G125" s="1">
        <v>1.0</v>
      </c>
      <c r="H125" s="1">
        <v>2.8</v>
      </c>
      <c r="I125" s="1">
        <v>15.3</v>
      </c>
      <c r="J125" s="1">
        <v>0.0</v>
      </c>
      <c r="K125" s="1">
        <v>0.2</v>
      </c>
      <c r="L125" s="1">
        <v>7.0</v>
      </c>
      <c r="M125" s="18">
        <f t="shared" si="1"/>
        <v>6.689133212</v>
      </c>
      <c r="N125" s="18">
        <f t="shared" si="2"/>
        <v>1.157603774</v>
      </c>
      <c r="O125" s="30"/>
      <c r="P125" s="30"/>
      <c r="Q125" s="30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1" t="s">
        <v>248</v>
      </c>
      <c r="B126" s="1" t="s">
        <v>18</v>
      </c>
      <c r="C126" s="1">
        <v>20.0</v>
      </c>
      <c r="D126" s="1">
        <v>14.0</v>
      </c>
      <c r="E126" s="1">
        <v>151.0</v>
      </c>
      <c r="F126" s="1">
        <v>1.0</v>
      </c>
      <c r="G126" s="1">
        <v>0.0</v>
      </c>
      <c r="H126" s="1">
        <v>4.0</v>
      </c>
      <c r="I126" s="1">
        <v>20.0</v>
      </c>
      <c r="J126" s="1">
        <v>0.0</v>
      </c>
      <c r="K126" s="1">
        <v>0.0</v>
      </c>
      <c r="L126" s="1">
        <v>12.0</v>
      </c>
      <c r="M126" s="18">
        <f t="shared" si="1"/>
        <v>7.189032847</v>
      </c>
      <c r="N126" s="18">
        <f t="shared" si="2"/>
        <v>1.513207547</v>
      </c>
      <c r="O126" s="30">
        <f>MAX(QB!D128*Scoring!$B$30+QB!E128/Scoring!$C$30+QB!F128*Scoring!$D$30+QB!G128*Scoring!$E$30+QB!H128*Scoring!$F$30+QB!I128/Scoring!$G$30+QB!J128*Scoring!$H$30+QB!K128*Scoring!$I$30+M128*Scoring!$J$30+QB!N128*Scoring!$K$30,0)+C128*Scoring!$B$10*0.07+(C128-D128)*Scoring!$B$5</f>
        <v>11.02</v>
      </c>
      <c r="P126" s="30">
        <f>MAX(QB!D126*Scoring!$B$30+QB!E126/Scoring!$C$30+QB!F126*Scoring!$D$30+QB!G126*Scoring!$E$30+QB!H126*Scoring!$F$30+QB!I126/Scoring!$G$30+QB!J126*Scoring!$H$30+QB!K126*Scoring!$I$30+M126*Scoring!$J$30+QB!N126*Scoring!$K$30,0)+C126*Scoring!$B$10*0.07+(C126-D126)*Scoring!$B$5</f>
        <v>11.02</v>
      </c>
      <c r="Q126" s="30">
        <f>MAX(QB!D127*Scoring!$B$30+QB!E127/Scoring!$C$30+QB!F127*Scoring!$D$30+QB!G127*Scoring!$E$30+QB!H127*Scoring!$F$30+QB!I127/Scoring!$G$30+QB!J127*Scoring!$H$30+QB!K127*Scoring!$I$30+M127*Scoring!$J$30+QB!N127*Scoring!$K$30,0)+C127*Scoring!$B$10*0.07+(C127-D127)*Scoring!$B$5</f>
        <v>11.02</v>
      </c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B127" s="1" t="s">
        <v>39</v>
      </c>
      <c r="C127" s="1">
        <v>20.0</v>
      </c>
      <c r="D127" s="1">
        <v>14.0</v>
      </c>
      <c r="E127" s="1">
        <v>151.0</v>
      </c>
      <c r="F127" s="1">
        <v>1.0</v>
      </c>
      <c r="G127" s="1">
        <v>0.0</v>
      </c>
      <c r="H127" s="1">
        <v>4.0</v>
      </c>
      <c r="I127" s="1">
        <v>20.0</v>
      </c>
      <c r="J127" s="1">
        <v>0.0</v>
      </c>
      <c r="K127" s="1">
        <v>0.0</v>
      </c>
      <c r="L127" s="1">
        <v>9.0</v>
      </c>
      <c r="M127" s="18">
        <f t="shared" si="1"/>
        <v>7.189032847</v>
      </c>
      <c r="N127" s="18">
        <f t="shared" si="2"/>
        <v>1.513207547</v>
      </c>
      <c r="O127" s="30"/>
      <c r="P127" s="30"/>
      <c r="Q127" s="30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B128" s="1" t="s">
        <v>48</v>
      </c>
      <c r="C128" s="1">
        <v>20.0</v>
      </c>
      <c r="D128" s="1">
        <v>14.0</v>
      </c>
      <c r="E128" s="1">
        <v>151.0</v>
      </c>
      <c r="F128" s="1">
        <v>1.0</v>
      </c>
      <c r="G128" s="1">
        <v>0.0</v>
      </c>
      <c r="H128" s="1">
        <v>4.0</v>
      </c>
      <c r="I128" s="1">
        <v>20.0</v>
      </c>
      <c r="J128" s="1">
        <v>0.0</v>
      </c>
      <c r="K128" s="1">
        <v>0.0</v>
      </c>
      <c r="L128" s="1">
        <v>9.0</v>
      </c>
      <c r="M128" s="18">
        <f t="shared" si="1"/>
        <v>7.189032847</v>
      </c>
      <c r="N128" s="18">
        <f t="shared" si="2"/>
        <v>1.513207547</v>
      </c>
      <c r="O128" s="30"/>
      <c r="P128" s="30"/>
      <c r="Q128" s="30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1" t="s">
        <v>250</v>
      </c>
      <c r="B129" s="1" t="s">
        <v>134</v>
      </c>
      <c r="C129" s="1">
        <v>26.1</v>
      </c>
      <c r="D129" s="1">
        <v>15.5</v>
      </c>
      <c r="E129" s="1">
        <v>194.7</v>
      </c>
      <c r="F129" s="1">
        <v>1.3</v>
      </c>
      <c r="G129" s="1">
        <v>1.3</v>
      </c>
      <c r="H129" s="1">
        <v>2.6</v>
      </c>
      <c r="I129" s="1">
        <v>10.9</v>
      </c>
      <c r="J129" s="1">
        <v>0.0</v>
      </c>
      <c r="K129" s="1">
        <v>0.6</v>
      </c>
      <c r="L129" s="1">
        <v>11.7</v>
      </c>
      <c r="M129" s="18">
        <f t="shared" si="1"/>
        <v>9.269567518</v>
      </c>
      <c r="N129" s="18">
        <f t="shared" si="2"/>
        <v>0.8246981132</v>
      </c>
      <c r="O129" s="30">
        <f>MAX(QB!D131*Scoring!$B$30+QB!E131/Scoring!$C$30+QB!F131*Scoring!$D$30+QB!G131*Scoring!$E$30+QB!H131*Scoring!$F$30+QB!I131/Scoring!$G$30+QB!J131*Scoring!$H$30+QB!K131*Scoring!$I$30+M131*Scoring!$J$30+QB!N131*Scoring!$K$30,0)+C131*Scoring!$B$10*0.07+(C131-D131)*Scoring!$B$5</f>
        <v>2.55</v>
      </c>
      <c r="P129" s="30">
        <f>MAX(QB!D129*Scoring!$B$30+QB!E129/Scoring!$C$30+QB!F129*Scoring!$D$30+QB!G129*Scoring!$E$30+QB!H129*Scoring!$F$30+QB!I129/Scoring!$G$30+QB!J129*Scoring!$H$30+QB!K129*Scoring!$I$30+M129*Scoring!$J$30+QB!N129*Scoring!$K$30,0)+C129*Scoring!$B$10*0.07+(C129-D129)*Scoring!$B$5</f>
        <v>8.984</v>
      </c>
      <c r="Q129" s="30">
        <f>MAX(QB!D130*Scoring!$B$30+QB!E130/Scoring!$C$30+QB!F130*Scoring!$D$30+QB!G130*Scoring!$E$30+QB!H130*Scoring!$F$30+QB!I130/Scoring!$G$30+QB!J130*Scoring!$H$30+QB!K130*Scoring!$I$30+M130*Scoring!$J$30+QB!N130*Scoring!$K$30,0)+C130*Scoring!$B$10*0.07+(C130-D130)*Scoring!$B$5</f>
        <v>17.54</v>
      </c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B130" s="1" t="s">
        <v>39</v>
      </c>
      <c r="C130" s="1">
        <v>35.0</v>
      </c>
      <c r="D130" s="1">
        <v>20.0</v>
      </c>
      <c r="E130" s="1">
        <v>277.0</v>
      </c>
      <c r="F130" s="1">
        <v>2.0</v>
      </c>
      <c r="G130" s="1">
        <v>0.9</v>
      </c>
      <c r="H130" s="1">
        <v>5.0</v>
      </c>
      <c r="I130" s="1">
        <v>22.0</v>
      </c>
      <c r="J130" s="1">
        <v>0.0</v>
      </c>
      <c r="K130" s="1">
        <v>0.2</v>
      </c>
      <c r="L130" s="1">
        <v>19.9</v>
      </c>
      <c r="M130" s="18">
        <f t="shared" si="1"/>
        <v>13.18782847</v>
      </c>
      <c r="N130" s="18">
        <f t="shared" si="2"/>
        <v>1.664528302</v>
      </c>
      <c r="O130" s="30"/>
      <c r="P130" s="30"/>
      <c r="Q130" s="30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B131" s="1" t="s">
        <v>48</v>
      </c>
      <c r="C131" s="1">
        <v>21.0</v>
      </c>
      <c r="D131" s="1">
        <v>13.0</v>
      </c>
      <c r="E131" s="1">
        <v>144.0</v>
      </c>
      <c r="F131" s="1">
        <v>0.9</v>
      </c>
      <c r="G131" s="1">
        <v>2.0</v>
      </c>
      <c r="H131" s="1">
        <v>0.7</v>
      </c>
      <c r="I131" s="1">
        <v>2.7</v>
      </c>
      <c r="J131" s="1">
        <v>0.0</v>
      </c>
      <c r="K131" s="1">
        <v>1.0</v>
      </c>
      <c r="L131" s="1">
        <v>5.0</v>
      </c>
      <c r="M131" s="18">
        <f t="shared" si="1"/>
        <v>6.855766423</v>
      </c>
      <c r="N131" s="18">
        <f t="shared" si="2"/>
        <v>0.2042830189</v>
      </c>
      <c r="O131" s="30"/>
      <c r="P131" s="30"/>
      <c r="Q131" s="30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1" t="s">
        <v>252</v>
      </c>
      <c r="B132" s="1" t="s">
        <v>196</v>
      </c>
      <c r="C132" s="1">
        <v>24.5</v>
      </c>
      <c r="D132" s="1">
        <v>16.0</v>
      </c>
      <c r="E132" s="1">
        <v>167.7</v>
      </c>
      <c r="F132" s="1">
        <v>1.2</v>
      </c>
      <c r="G132" s="1">
        <v>0.9</v>
      </c>
      <c r="H132" s="1">
        <v>3.0</v>
      </c>
      <c r="I132" s="1">
        <v>11.7</v>
      </c>
      <c r="J132" s="1">
        <v>0.0</v>
      </c>
      <c r="K132" s="1">
        <v>0.1</v>
      </c>
      <c r="L132" s="1">
        <v>11.6</v>
      </c>
      <c r="M132" s="18">
        <f t="shared" si="1"/>
        <v>7.984111314</v>
      </c>
      <c r="N132" s="18">
        <f t="shared" si="2"/>
        <v>0.8852264151</v>
      </c>
      <c r="O132" s="30">
        <f>MAX(QB!D134*Scoring!$B$30+QB!E134/Scoring!$C$30+QB!F134*Scoring!$D$30+QB!G134*Scoring!$E$30+QB!H134*Scoring!$F$30+QB!I134/Scoring!$G$30+QB!J134*Scoring!$H$30+QB!K134*Scoring!$I$30+M134*Scoring!$J$30+QB!N134*Scoring!$K$30,0)+C134*Scoring!$B$10*0.07+(C134-D134)*Scoring!$B$5</f>
        <v>4.08</v>
      </c>
      <c r="P132" s="30">
        <f>MAX(QB!D132*Scoring!$B$30+QB!E132/Scoring!$C$30+QB!F132*Scoring!$D$30+QB!G132*Scoring!$E$30+QB!H132*Scoring!$F$30+QB!I132/Scoring!$G$30+QB!J132*Scoring!$H$30+QB!K132*Scoring!$I$30+M132*Scoring!$J$30+QB!N132*Scoring!$K$30,0)+C132*Scoring!$B$10*0.07+(C132-D132)*Scoring!$B$5</f>
        <v>9.724</v>
      </c>
      <c r="Q132" s="30">
        <f>MAX(QB!D133*Scoring!$B$30+QB!E133/Scoring!$C$30+QB!F133*Scoring!$D$30+QB!G133*Scoring!$E$30+QB!H133*Scoring!$F$30+QB!I133/Scoring!$G$30+QB!J133*Scoring!$H$30+QB!K133*Scoring!$I$30+M133*Scoring!$J$30+QB!N133*Scoring!$K$30,0)+C133*Scoring!$B$10*0.07+(C133-D133)*Scoring!$B$5</f>
        <v>17.22</v>
      </c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B133" s="1" t="s">
        <v>39</v>
      </c>
      <c r="C133" s="1">
        <v>32.0</v>
      </c>
      <c r="D133" s="1">
        <v>21.0</v>
      </c>
      <c r="E133" s="1">
        <v>226.0</v>
      </c>
      <c r="F133" s="1">
        <v>2.0</v>
      </c>
      <c r="G133" s="1">
        <v>0.6</v>
      </c>
      <c r="H133" s="1">
        <v>4.0</v>
      </c>
      <c r="I133" s="1">
        <v>19.0</v>
      </c>
      <c r="J133" s="1">
        <v>0.0</v>
      </c>
      <c r="K133" s="1">
        <v>0.0</v>
      </c>
      <c r="L133" s="1">
        <v>18.2</v>
      </c>
      <c r="M133" s="18">
        <f t="shared" si="1"/>
        <v>10.75974453</v>
      </c>
      <c r="N133" s="18">
        <f t="shared" si="2"/>
        <v>1.43754717</v>
      </c>
      <c r="O133" s="30"/>
      <c r="P133" s="30"/>
      <c r="Q133" s="30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B134" s="1" t="s">
        <v>48</v>
      </c>
      <c r="C134" s="1">
        <v>19.0</v>
      </c>
      <c r="D134" s="1">
        <v>13.0</v>
      </c>
      <c r="E134" s="1">
        <v>124.0</v>
      </c>
      <c r="F134" s="1">
        <v>0.6</v>
      </c>
      <c r="G134" s="1">
        <v>1.0</v>
      </c>
      <c r="H134" s="1">
        <v>1.0</v>
      </c>
      <c r="I134" s="1">
        <v>4.0</v>
      </c>
      <c r="J134" s="1">
        <v>0.0</v>
      </c>
      <c r="K134" s="1">
        <v>0.2</v>
      </c>
      <c r="L134" s="1">
        <v>7.0</v>
      </c>
      <c r="M134" s="18">
        <f t="shared" si="1"/>
        <v>5.903576642</v>
      </c>
      <c r="N134" s="18">
        <f t="shared" si="2"/>
        <v>0.3026415094</v>
      </c>
      <c r="O134" s="30"/>
      <c r="P134" s="30"/>
      <c r="Q134" s="30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1" t="s">
        <v>254</v>
      </c>
      <c r="B135" s="1" t="s">
        <v>159</v>
      </c>
      <c r="C135" s="1">
        <v>23.0</v>
      </c>
      <c r="D135" s="1">
        <v>15.1</v>
      </c>
      <c r="E135" s="1">
        <v>169.6</v>
      </c>
      <c r="F135" s="1">
        <v>1.0</v>
      </c>
      <c r="G135" s="1">
        <v>0.2</v>
      </c>
      <c r="H135" s="1">
        <v>2.8</v>
      </c>
      <c r="I135" s="1">
        <v>8.6</v>
      </c>
      <c r="J135" s="1">
        <v>0.0</v>
      </c>
      <c r="K135" s="1">
        <v>0.1</v>
      </c>
      <c r="L135" s="1">
        <v>11.5</v>
      </c>
      <c r="M135" s="18">
        <f t="shared" si="1"/>
        <v>8.074569343</v>
      </c>
      <c r="N135" s="18">
        <f t="shared" si="2"/>
        <v>0.6506792453</v>
      </c>
      <c r="O135" s="30">
        <f>MAX(QB!D137*Scoring!$B$30+QB!E137/Scoring!$C$30+QB!F137*Scoring!$D$30+QB!G137*Scoring!$E$30+QB!H137*Scoring!$F$30+QB!I137/Scoring!$G$30+QB!J137*Scoring!$H$30+QB!K137*Scoring!$I$30+M137*Scoring!$J$30+QB!N137*Scoring!$K$30,0)+C137*Scoring!$B$10*0.07+(C137-D137)*Scoring!$B$5</f>
        <v>8.108</v>
      </c>
      <c r="P135" s="30">
        <f>MAX(QB!D135*Scoring!$B$30+QB!E135/Scoring!$C$30+QB!F135*Scoring!$D$30+QB!G135*Scoring!$E$30+QB!H135*Scoring!$F$30+QB!I135/Scoring!$G$30+QB!J135*Scoring!$H$30+QB!K135*Scoring!$I$30+M135*Scoring!$J$30+QB!N135*Scoring!$K$30,0)+C135*Scoring!$B$10*0.07+(C135-D135)*Scoring!$B$5</f>
        <v>9.652</v>
      </c>
      <c r="Q135" s="30">
        <f>MAX(QB!D136*Scoring!$B$30+QB!E136/Scoring!$C$30+QB!F136*Scoring!$D$30+QB!G136*Scoring!$E$30+QB!H136*Scoring!$F$30+QB!I136/Scoring!$G$30+QB!J136*Scoring!$H$30+QB!K136*Scoring!$I$30+M136*Scoring!$J$30+QB!N136*Scoring!$K$30,0)+C136*Scoring!$B$10*0.07+(C136-D136)*Scoring!$B$5</f>
        <v>11.9</v>
      </c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B136" s="1" t="s">
        <v>39</v>
      </c>
      <c r="C136" s="1">
        <v>26.0</v>
      </c>
      <c r="D136" s="1">
        <v>17.0</v>
      </c>
      <c r="E136" s="1">
        <v>195.0</v>
      </c>
      <c r="F136" s="1">
        <v>1.0</v>
      </c>
      <c r="G136" s="1">
        <v>0.0</v>
      </c>
      <c r="H136" s="1">
        <v>5.0</v>
      </c>
      <c r="I136" s="1">
        <v>14.0</v>
      </c>
      <c r="J136" s="1">
        <v>0.1</v>
      </c>
      <c r="K136" s="1">
        <v>0.0</v>
      </c>
      <c r="L136" s="1">
        <v>12.4</v>
      </c>
      <c r="M136" s="18">
        <f t="shared" si="1"/>
        <v>9.283850365</v>
      </c>
      <c r="N136" s="18">
        <f t="shared" si="2"/>
        <v>1.059245283</v>
      </c>
      <c r="O136" s="30"/>
      <c r="P136" s="30"/>
      <c r="Q136" s="30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B137" s="1" t="s">
        <v>48</v>
      </c>
      <c r="C137" s="1">
        <v>21.0</v>
      </c>
      <c r="D137" s="1">
        <v>14.0</v>
      </c>
      <c r="E137" s="1">
        <v>155.9</v>
      </c>
      <c r="F137" s="1">
        <v>1.0</v>
      </c>
      <c r="G137" s="1">
        <v>0.6</v>
      </c>
      <c r="H137" s="1">
        <v>1.5</v>
      </c>
      <c r="I137" s="1">
        <v>5.9</v>
      </c>
      <c r="J137" s="1">
        <v>0.0</v>
      </c>
      <c r="K137" s="1">
        <v>0.2</v>
      </c>
      <c r="L137" s="1">
        <v>8.0</v>
      </c>
      <c r="M137" s="18">
        <f t="shared" si="1"/>
        <v>7.422319343</v>
      </c>
      <c r="N137" s="18">
        <f t="shared" si="2"/>
        <v>0.4463962264</v>
      </c>
      <c r="O137" s="30"/>
      <c r="P137" s="30"/>
      <c r="Q137" s="30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1" t="s">
        <v>256</v>
      </c>
      <c r="B138" s="1" t="s">
        <v>214</v>
      </c>
      <c r="C138" s="1">
        <v>23.0</v>
      </c>
      <c r="D138" s="1">
        <v>14.0</v>
      </c>
      <c r="E138" s="1">
        <v>136.0</v>
      </c>
      <c r="F138" s="1">
        <v>1.0</v>
      </c>
      <c r="G138" s="1">
        <v>0.0</v>
      </c>
      <c r="H138" s="1">
        <v>4.0</v>
      </c>
      <c r="I138" s="1">
        <v>19.0</v>
      </c>
      <c r="J138" s="1">
        <v>0.0</v>
      </c>
      <c r="K138" s="1">
        <v>0.0</v>
      </c>
      <c r="L138" s="1">
        <v>11.3</v>
      </c>
      <c r="M138" s="18">
        <f t="shared" si="1"/>
        <v>6.474890511</v>
      </c>
      <c r="N138" s="18">
        <f t="shared" si="2"/>
        <v>1.43754717</v>
      </c>
      <c r="O138" s="30">
        <f>MAX(QB!D140*Scoring!$B$30+QB!E140/Scoring!$C$30+QB!F140*Scoring!$D$30+QB!G140*Scoring!$E$30+QB!H140*Scoring!$F$30+QB!I140/Scoring!$G$30+QB!J140*Scoring!$H$30+QB!K140*Scoring!$I$30+M140*Scoring!$J$30+QB!N140*Scoring!$K$30,0)+C140*Scoring!$B$10*0.07+(C140-D140)*Scoring!$B$5</f>
        <v>10.62</v>
      </c>
      <c r="P138" s="30">
        <f>MAX(QB!D138*Scoring!$B$30+QB!E138/Scoring!$C$30+QB!F138*Scoring!$D$30+QB!G138*Scoring!$E$30+QB!H138*Scoring!$F$30+QB!I138/Scoring!$G$30+QB!J138*Scoring!$H$30+QB!K138*Scoring!$I$30+M138*Scoring!$J$30+QB!N138*Scoring!$K$30,0)+C138*Scoring!$B$10*0.07+(C138-D138)*Scoring!$B$5</f>
        <v>10.62</v>
      </c>
      <c r="Q138" s="30">
        <f>MAX(QB!D139*Scoring!$B$30+QB!E139/Scoring!$C$30+QB!F139*Scoring!$D$30+QB!G139*Scoring!$E$30+QB!H139*Scoring!$F$30+QB!I139/Scoring!$G$30+QB!J139*Scoring!$H$30+QB!K139*Scoring!$I$30+M139*Scoring!$J$30+QB!N139*Scoring!$K$30,0)+C139*Scoring!$B$10*0.07+(C139-D139)*Scoring!$B$5</f>
        <v>10.62</v>
      </c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B139" s="1" t="s">
        <v>39</v>
      </c>
      <c r="C139" s="1">
        <v>23.0</v>
      </c>
      <c r="D139" s="1">
        <v>14.0</v>
      </c>
      <c r="E139" s="1">
        <v>136.0</v>
      </c>
      <c r="F139" s="1">
        <v>1.0</v>
      </c>
      <c r="G139" s="1">
        <v>0.0</v>
      </c>
      <c r="H139" s="1">
        <v>4.0</v>
      </c>
      <c r="I139" s="1">
        <v>19.0</v>
      </c>
      <c r="J139" s="1">
        <v>0.0</v>
      </c>
      <c r="K139" s="1">
        <v>0.0</v>
      </c>
      <c r="L139" s="1">
        <v>9.0</v>
      </c>
      <c r="M139" s="18">
        <f t="shared" si="1"/>
        <v>6.474890511</v>
      </c>
      <c r="N139" s="18">
        <f t="shared" si="2"/>
        <v>1.43754717</v>
      </c>
      <c r="O139" s="30"/>
      <c r="P139" s="30"/>
      <c r="Q139" s="30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B140" s="1" t="s">
        <v>48</v>
      </c>
      <c r="C140" s="1">
        <v>23.0</v>
      </c>
      <c r="D140" s="1">
        <v>14.0</v>
      </c>
      <c r="E140" s="1">
        <v>136.0</v>
      </c>
      <c r="F140" s="1">
        <v>1.0</v>
      </c>
      <c r="G140" s="1">
        <v>0.0</v>
      </c>
      <c r="H140" s="1">
        <v>4.0</v>
      </c>
      <c r="I140" s="1">
        <v>19.0</v>
      </c>
      <c r="J140" s="1">
        <v>0.0</v>
      </c>
      <c r="K140" s="1">
        <v>0.0</v>
      </c>
      <c r="L140" s="1">
        <v>9.0</v>
      </c>
      <c r="M140" s="18">
        <f t="shared" si="1"/>
        <v>6.474890511</v>
      </c>
      <c r="N140" s="18">
        <f t="shared" si="2"/>
        <v>1.43754717</v>
      </c>
      <c r="O140" s="30"/>
      <c r="P140" s="30"/>
      <c r="Q140" s="30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1" t="s">
        <v>258</v>
      </c>
      <c r="B141" s="1" t="s">
        <v>186</v>
      </c>
      <c r="C141" s="1">
        <v>22.5</v>
      </c>
      <c r="D141" s="1">
        <v>14.3</v>
      </c>
      <c r="E141" s="1">
        <v>157.4</v>
      </c>
      <c r="F141" s="1">
        <v>1.0</v>
      </c>
      <c r="G141" s="1">
        <v>0.9</v>
      </c>
      <c r="H141" s="1">
        <v>3.1</v>
      </c>
      <c r="I141" s="1">
        <v>15.7</v>
      </c>
      <c r="J141" s="1">
        <v>0.0</v>
      </c>
      <c r="K141" s="1">
        <v>0.1</v>
      </c>
      <c r="L141" s="1">
        <v>11.2</v>
      </c>
      <c r="M141" s="18">
        <f t="shared" si="1"/>
        <v>7.493733577</v>
      </c>
      <c r="N141" s="18">
        <f t="shared" si="2"/>
        <v>1.187867925</v>
      </c>
      <c r="O141" s="30">
        <f>MAX(QB!D143*Scoring!$B$30+QB!E143/Scoring!$C$30+QB!F143*Scoring!$D$30+QB!G143*Scoring!$E$30+QB!H143*Scoring!$F$30+QB!I143/Scoring!$G$30+QB!J143*Scoring!$H$30+QB!K143*Scoring!$I$30+M143*Scoring!$J$30+QB!N143*Scoring!$K$30,0)+C143*Scoring!$B$10*0.07+(C143-D143)*Scoring!$B$5</f>
        <v>7.39</v>
      </c>
      <c r="P141" s="30">
        <f>MAX(QB!D141*Scoring!$B$30+QB!E141/Scoring!$C$30+QB!F141*Scoring!$D$30+QB!G141*Scoring!$E$30+QB!H141*Scoring!$F$30+QB!I141/Scoring!$G$30+QB!J141*Scoring!$H$30+QB!K141*Scoring!$I$30+M141*Scoring!$J$30+QB!N141*Scoring!$K$30,0)+C141*Scoring!$B$10*0.07+(C141-D141)*Scoring!$B$5</f>
        <v>8.718</v>
      </c>
      <c r="Q141" s="30">
        <f>MAX(QB!D142*Scoring!$B$30+QB!E142/Scoring!$C$30+QB!F142*Scoring!$D$30+QB!G142*Scoring!$E$30+QB!H142*Scoring!$F$30+QB!I142/Scoring!$G$30+QB!J142*Scoring!$H$30+QB!K142*Scoring!$I$30+M142*Scoring!$J$30+QB!N142*Scoring!$K$30,0)+C142*Scoring!$B$10*0.07+(C142-D142)*Scoring!$B$5</f>
        <v>11.654</v>
      </c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B142" s="1" t="s">
        <v>39</v>
      </c>
      <c r="C142" s="1">
        <v>23.0</v>
      </c>
      <c r="D142" s="1">
        <v>14.6</v>
      </c>
      <c r="E142" s="1">
        <v>162.7</v>
      </c>
      <c r="F142" s="1">
        <v>1.1</v>
      </c>
      <c r="G142" s="1">
        <v>0.7</v>
      </c>
      <c r="H142" s="1">
        <v>5.0</v>
      </c>
      <c r="I142" s="1">
        <v>26.0</v>
      </c>
      <c r="J142" s="1">
        <v>0.1</v>
      </c>
      <c r="K142" s="1">
        <v>0.0</v>
      </c>
      <c r="L142" s="1">
        <v>10.3</v>
      </c>
      <c r="M142" s="18">
        <f t="shared" si="1"/>
        <v>7.746063869</v>
      </c>
      <c r="N142" s="18">
        <f t="shared" si="2"/>
        <v>1.967169811</v>
      </c>
      <c r="O142" s="30"/>
      <c r="P142" s="30"/>
      <c r="Q142" s="30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B143" s="1" t="s">
        <v>48</v>
      </c>
      <c r="C143" s="1">
        <v>21.9</v>
      </c>
      <c r="D143" s="1">
        <v>14.0</v>
      </c>
      <c r="E143" s="1">
        <v>152.0</v>
      </c>
      <c r="F143" s="1">
        <v>1.0</v>
      </c>
      <c r="G143" s="1">
        <v>1.0</v>
      </c>
      <c r="H143" s="1">
        <v>1.3</v>
      </c>
      <c r="I143" s="1">
        <v>5.5</v>
      </c>
      <c r="J143" s="1">
        <v>0.0</v>
      </c>
      <c r="K143" s="1">
        <v>0.1</v>
      </c>
      <c r="L143" s="1">
        <v>7.0</v>
      </c>
      <c r="M143" s="18">
        <f t="shared" si="1"/>
        <v>7.236642336</v>
      </c>
      <c r="N143" s="18">
        <f t="shared" si="2"/>
        <v>0.4161320755</v>
      </c>
      <c r="O143" s="30"/>
      <c r="P143" s="30"/>
      <c r="Q143" s="30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1" t="s">
        <v>260</v>
      </c>
      <c r="B144" s="1" t="s">
        <v>170</v>
      </c>
      <c r="C144" s="1">
        <v>23.1</v>
      </c>
      <c r="D144" s="1">
        <v>14.4</v>
      </c>
      <c r="E144" s="1">
        <v>152.3</v>
      </c>
      <c r="F144" s="1">
        <v>1.1</v>
      </c>
      <c r="G144" s="1">
        <v>0.3</v>
      </c>
      <c r="H144" s="1">
        <v>3.3</v>
      </c>
      <c r="I144" s="1">
        <v>12.9</v>
      </c>
      <c r="J144" s="1">
        <v>0.0</v>
      </c>
      <c r="K144" s="1">
        <v>0.1</v>
      </c>
      <c r="L144" s="1">
        <v>11.2</v>
      </c>
      <c r="M144" s="18">
        <f t="shared" si="1"/>
        <v>7.250925182</v>
      </c>
      <c r="N144" s="18">
        <f t="shared" si="2"/>
        <v>0.9760188679</v>
      </c>
      <c r="O144" s="30">
        <f>MAX(QB!D146*Scoring!$B$30+QB!E146/Scoring!$C$30+QB!F146*Scoring!$D$30+QB!G146*Scoring!$E$30+QB!H146*Scoring!$F$30+QB!I146/Scoring!$G$30+QB!J146*Scoring!$H$30+QB!K146*Scoring!$I$30+M146*Scoring!$J$30+QB!N146*Scoring!$K$30,0)+C146*Scoring!$B$10*0.07+(C146-D146)*Scoring!$B$5</f>
        <v>7.94</v>
      </c>
      <c r="P144" s="30">
        <f>MAX(QB!D144*Scoring!$B$30+QB!E144/Scoring!$C$30+QB!F144*Scoring!$D$30+QB!G144*Scoring!$E$30+QB!H144*Scoring!$F$30+QB!I144/Scoring!$G$30+QB!J144*Scoring!$H$30+QB!K144*Scoring!$I$30+M144*Scoring!$J$30+QB!N144*Scoring!$K$30,0)+C144*Scoring!$B$10*0.07+(C144-D144)*Scoring!$B$5</f>
        <v>10.136</v>
      </c>
      <c r="Q144" s="30">
        <f>MAX(QB!D145*Scoring!$B$30+QB!E145/Scoring!$C$30+QB!F145*Scoring!$D$30+QB!G145*Scoring!$E$30+QB!H145*Scoring!$F$30+QB!I145/Scoring!$G$30+QB!J145*Scoring!$H$30+QB!K145*Scoring!$I$30+M145*Scoring!$J$30+QB!N145*Scoring!$K$30,0)+C145*Scoring!$B$10*0.07+(C145-D145)*Scoring!$B$5</f>
        <v>12.33</v>
      </c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B145" s="1" t="s">
        <v>39</v>
      </c>
      <c r="C145" s="1">
        <v>24.0</v>
      </c>
      <c r="D145" s="1">
        <v>15.0</v>
      </c>
      <c r="E145" s="1">
        <v>161.5</v>
      </c>
      <c r="F145" s="1">
        <v>1.1</v>
      </c>
      <c r="G145" s="1">
        <v>0.0</v>
      </c>
      <c r="H145" s="1">
        <v>5.0</v>
      </c>
      <c r="I145" s="1">
        <v>19.0</v>
      </c>
      <c r="J145" s="1">
        <v>0.1</v>
      </c>
      <c r="K145" s="1">
        <v>0.0</v>
      </c>
      <c r="L145" s="1">
        <v>10.4</v>
      </c>
      <c r="M145" s="18">
        <f t="shared" si="1"/>
        <v>7.688932482</v>
      </c>
      <c r="N145" s="18">
        <f t="shared" si="2"/>
        <v>1.43754717</v>
      </c>
      <c r="O145" s="30"/>
      <c r="P145" s="30"/>
      <c r="Q145" s="30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B146" s="1" t="s">
        <v>48</v>
      </c>
      <c r="C146" s="1">
        <v>22.2</v>
      </c>
      <c r="D146" s="1">
        <v>13.8</v>
      </c>
      <c r="E146" s="1">
        <v>143.0</v>
      </c>
      <c r="F146" s="1">
        <v>1.0</v>
      </c>
      <c r="G146" s="1">
        <v>0.6</v>
      </c>
      <c r="H146" s="1">
        <v>1.7</v>
      </c>
      <c r="I146" s="1">
        <v>6.8</v>
      </c>
      <c r="J146" s="1">
        <v>0.0</v>
      </c>
      <c r="K146" s="1">
        <v>0.2</v>
      </c>
      <c r="L146" s="1">
        <v>9.0</v>
      </c>
      <c r="M146" s="18">
        <f t="shared" si="1"/>
        <v>6.808156934</v>
      </c>
      <c r="N146" s="18">
        <f t="shared" si="2"/>
        <v>0.514490566</v>
      </c>
      <c r="O146" s="30"/>
      <c r="P146" s="30"/>
      <c r="Q146" s="30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1" t="s">
        <v>262</v>
      </c>
      <c r="B147" s="1" t="s">
        <v>205</v>
      </c>
      <c r="C147" s="1">
        <v>26.1</v>
      </c>
      <c r="D147" s="1">
        <v>16.0</v>
      </c>
      <c r="E147" s="1">
        <v>175.9</v>
      </c>
      <c r="F147" s="1">
        <v>0.9</v>
      </c>
      <c r="G147" s="1">
        <v>0.5</v>
      </c>
      <c r="H147" s="1">
        <v>2.7</v>
      </c>
      <c r="I147" s="1">
        <v>9.0</v>
      </c>
      <c r="J147" s="1">
        <v>0.0</v>
      </c>
      <c r="K147" s="1">
        <v>0.1</v>
      </c>
      <c r="L147" s="1">
        <v>11.1</v>
      </c>
      <c r="M147" s="18">
        <f t="shared" si="1"/>
        <v>8.374509124</v>
      </c>
      <c r="N147" s="18">
        <f t="shared" si="2"/>
        <v>0.6809433962</v>
      </c>
      <c r="O147" s="30">
        <f>MAX(QB!D149*Scoring!$B$30+QB!E149/Scoring!$C$30+QB!F149*Scoring!$D$30+QB!G149*Scoring!$E$30+QB!H149*Scoring!$F$30+QB!I149/Scoring!$G$30+QB!J149*Scoring!$H$30+QB!K149*Scoring!$I$30+M149*Scoring!$J$30+QB!N149*Scoring!$K$30,0)+C149*Scoring!$B$10*0.07+(C149-D149)*Scoring!$B$5</f>
        <v>5.922</v>
      </c>
      <c r="P147" s="30">
        <f>MAX(QB!D147*Scoring!$B$30+QB!E147/Scoring!$C$30+QB!F147*Scoring!$D$30+QB!G147*Scoring!$E$30+QB!H147*Scoring!$F$30+QB!I147/Scoring!$G$30+QB!J147*Scoring!$H$30+QB!K147*Scoring!$I$30+M147*Scoring!$J$30+QB!N147*Scoring!$K$30,0)+C147*Scoring!$B$10*0.07+(C147-D147)*Scoring!$B$5</f>
        <v>8.618</v>
      </c>
      <c r="Q147" s="30">
        <f>MAX(QB!D148*Scoring!$B$30+QB!E148/Scoring!$C$30+QB!F148*Scoring!$D$30+QB!G148*Scoring!$E$30+QB!H148*Scoring!$F$30+QB!I148/Scoring!$G$30+QB!J148*Scoring!$H$30+QB!K148*Scoring!$I$30+M148*Scoring!$J$30+QB!N148*Scoring!$K$30,0)+C148*Scoring!$B$10*0.07+(C148-D148)*Scoring!$B$5</f>
        <v>12.32</v>
      </c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B148" s="1" t="s">
        <v>39</v>
      </c>
      <c r="C148" s="1">
        <v>32.0</v>
      </c>
      <c r="D148" s="1">
        <v>20.0</v>
      </c>
      <c r="E148" s="1">
        <v>221.0</v>
      </c>
      <c r="F148" s="1">
        <v>1.0</v>
      </c>
      <c r="G148" s="1">
        <v>0.0</v>
      </c>
      <c r="H148" s="1">
        <v>5.0</v>
      </c>
      <c r="I148" s="1">
        <v>19.0</v>
      </c>
      <c r="J148" s="1">
        <v>0.0</v>
      </c>
      <c r="K148" s="1">
        <v>0.0</v>
      </c>
      <c r="L148" s="1">
        <v>13.2</v>
      </c>
      <c r="M148" s="18">
        <f t="shared" si="1"/>
        <v>10.52169708</v>
      </c>
      <c r="N148" s="18">
        <f t="shared" si="2"/>
        <v>1.43754717</v>
      </c>
      <c r="O148" s="30"/>
      <c r="P148" s="30"/>
      <c r="Q148" s="30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B149" s="1" t="s">
        <v>48</v>
      </c>
      <c r="C149" s="1">
        <v>23.0</v>
      </c>
      <c r="D149" s="1">
        <v>14.0</v>
      </c>
      <c r="E149" s="1">
        <v>146.6</v>
      </c>
      <c r="F149" s="1">
        <v>0.8</v>
      </c>
      <c r="G149" s="1">
        <v>1.0</v>
      </c>
      <c r="H149" s="1">
        <v>1.0</v>
      </c>
      <c r="I149" s="1">
        <v>3.9</v>
      </c>
      <c r="J149" s="1">
        <v>0.0</v>
      </c>
      <c r="K149" s="1">
        <v>0.1</v>
      </c>
      <c r="L149" s="1">
        <v>8.4</v>
      </c>
      <c r="M149" s="18">
        <f t="shared" si="1"/>
        <v>6.979551095</v>
      </c>
      <c r="N149" s="18">
        <f t="shared" si="2"/>
        <v>0.2950754717</v>
      </c>
      <c r="O149" s="30"/>
      <c r="P149" s="30"/>
      <c r="Q149" s="30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1" t="s">
        <v>264</v>
      </c>
      <c r="B150" s="1" t="s">
        <v>199</v>
      </c>
      <c r="C150" s="1">
        <v>25.0</v>
      </c>
      <c r="D150" s="1">
        <v>15.4</v>
      </c>
      <c r="E150" s="1">
        <v>173.5</v>
      </c>
      <c r="F150" s="1">
        <v>0.9</v>
      </c>
      <c r="G150" s="1">
        <v>0.8</v>
      </c>
      <c r="H150" s="1">
        <v>2.1</v>
      </c>
      <c r="I150" s="1">
        <v>10.7</v>
      </c>
      <c r="J150" s="1">
        <v>0.0</v>
      </c>
      <c r="K150" s="1">
        <v>0.2</v>
      </c>
      <c r="L150" s="1">
        <v>10.9</v>
      </c>
      <c r="M150" s="18">
        <f t="shared" si="1"/>
        <v>8.26024635</v>
      </c>
      <c r="N150" s="18">
        <f t="shared" si="2"/>
        <v>0.8095660377</v>
      </c>
      <c r="O150" s="30">
        <f>MAX(QB!D152*Scoring!$B$30+QB!E152/Scoring!$C$30+QB!F152*Scoring!$D$30+QB!G152*Scoring!$E$30+QB!H152*Scoring!$F$30+QB!I152/Scoring!$G$30+QB!J152*Scoring!$H$30+QB!K152*Scoring!$I$30+M152*Scoring!$J$30+QB!N152*Scoring!$K$30,0)+C152*Scoring!$B$10*0.07+(C152-D152)*Scoring!$B$5</f>
        <v>6.618</v>
      </c>
      <c r="P150" s="30">
        <f>MAX(QB!D150*Scoring!$B$30+QB!E150/Scoring!$C$30+QB!F150*Scoring!$D$30+QB!G150*Scoring!$E$30+QB!H150*Scoring!$F$30+QB!I150/Scoring!$G$30+QB!J150*Scoring!$H$30+QB!K150*Scoring!$I$30+M150*Scoring!$J$30+QB!N150*Scoring!$K$30,0)+C150*Scoring!$B$10*0.07+(C150-D150)*Scoring!$B$5</f>
        <v>7.94</v>
      </c>
      <c r="Q150" s="30">
        <f>MAX(QB!D151*Scoring!$B$30+QB!E151/Scoring!$C$30+QB!F151*Scoring!$D$30+QB!G151*Scoring!$E$30+QB!H151*Scoring!$F$30+QB!I151/Scoring!$G$30+QB!J151*Scoring!$H$30+QB!K151*Scoring!$I$30+M151*Scoring!$J$30+QB!N151*Scoring!$K$30,0)+C151*Scoring!$B$10*0.07+(C151-D151)*Scoring!$B$5</f>
        <v>10.66</v>
      </c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B151" s="1" t="s">
        <v>39</v>
      </c>
      <c r="C151" s="1">
        <v>30.0</v>
      </c>
      <c r="D151" s="1">
        <v>18.0</v>
      </c>
      <c r="E151" s="1">
        <v>211.0</v>
      </c>
      <c r="F151" s="1">
        <v>1.0</v>
      </c>
      <c r="G151" s="1">
        <v>0.5</v>
      </c>
      <c r="H151" s="1">
        <v>2.3</v>
      </c>
      <c r="I151" s="1">
        <v>12.4</v>
      </c>
      <c r="J151" s="1">
        <v>0.1</v>
      </c>
      <c r="K151" s="1">
        <v>0.2</v>
      </c>
      <c r="L151" s="1">
        <v>13.3</v>
      </c>
      <c r="M151" s="18">
        <f t="shared" si="1"/>
        <v>10.04560219</v>
      </c>
      <c r="N151" s="18">
        <f t="shared" si="2"/>
        <v>0.9381886792</v>
      </c>
      <c r="O151" s="30"/>
      <c r="P151" s="30"/>
      <c r="Q151" s="30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B152" s="1" t="s">
        <v>48</v>
      </c>
      <c r="C152" s="1">
        <v>20.0</v>
      </c>
      <c r="D152" s="1">
        <v>12.7</v>
      </c>
      <c r="E152" s="1">
        <v>135.9</v>
      </c>
      <c r="F152" s="1">
        <v>0.9</v>
      </c>
      <c r="G152" s="1">
        <v>1.0</v>
      </c>
      <c r="H152" s="1">
        <v>2.0</v>
      </c>
      <c r="I152" s="1">
        <v>9.0</v>
      </c>
      <c r="J152" s="1">
        <v>0.0</v>
      </c>
      <c r="K152" s="1">
        <v>0.2</v>
      </c>
      <c r="L152" s="1">
        <v>9.2</v>
      </c>
      <c r="M152" s="18">
        <f t="shared" si="1"/>
        <v>6.470129562</v>
      </c>
      <c r="N152" s="18">
        <f t="shared" si="2"/>
        <v>0.6809433962</v>
      </c>
      <c r="O152" s="30"/>
      <c r="P152" s="30"/>
      <c r="Q152" s="30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1" t="s">
        <v>266</v>
      </c>
      <c r="B153" s="1" t="s">
        <v>179</v>
      </c>
      <c r="C153" s="1">
        <v>21.7</v>
      </c>
      <c r="D153" s="1">
        <v>14.8</v>
      </c>
      <c r="E153" s="1">
        <v>156.5</v>
      </c>
      <c r="F153" s="1">
        <v>1.0</v>
      </c>
      <c r="G153" s="1">
        <v>0.3</v>
      </c>
      <c r="H153" s="1">
        <v>3.3</v>
      </c>
      <c r="I153" s="1">
        <v>7.9</v>
      </c>
      <c r="J153" s="1">
        <v>0.1</v>
      </c>
      <c r="K153" s="1">
        <v>0.1</v>
      </c>
      <c r="L153" s="1">
        <v>10.7</v>
      </c>
      <c r="M153" s="18">
        <f t="shared" si="1"/>
        <v>7.450885036</v>
      </c>
      <c r="N153" s="18">
        <f t="shared" si="2"/>
        <v>0.5977169811</v>
      </c>
      <c r="O153" s="30">
        <f>MAX(QB!D155*Scoring!$B$30+QB!E155/Scoring!$C$30+QB!F155*Scoring!$D$30+QB!G155*Scoring!$E$30+QB!H155*Scoring!$F$30+QB!I155/Scoring!$G$30+QB!J155*Scoring!$H$30+QB!K155*Scoring!$I$30+M155*Scoring!$J$30+QB!N155*Scoring!$K$30,0)+C155*Scoring!$B$10*0.07+(C155-D155)*Scoring!$B$5</f>
        <v>7.138</v>
      </c>
      <c r="P153" s="30">
        <f>MAX(QB!D153*Scoring!$B$30+QB!E153/Scoring!$C$30+QB!F153*Scoring!$D$30+QB!G153*Scoring!$E$30+QB!H153*Scoring!$F$30+QB!I153/Scoring!$G$30+QB!J153*Scoring!$H$30+QB!K153*Scoring!$I$30+M153*Scoring!$J$30+QB!N153*Scoring!$K$30,0)+C153*Scoring!$B$10*0.07+(C153-D153)*Scoring!$B$5</f>
        <v>9.72</v>
      </c>
      <c r="Q153" s="30">
        <f>MAX(QB!D154*Scoring!$B$30+QB!E154/Scoring!$C$30+QB!F154*Scoring!$D$30+QB!G154*Scoring!$E$30+QB!H154*Scoring!$F$30+QB!I154/Scoring!$G$30+QB!J154*Scoring!$H$30+QB!K154*Scoring!$I$30+M154*Scoring!$J$30+QB!N154*Scoring!$K$30,0)+C154*Scoring!$B$10*0.07+(C154-D154)*Scoring!$B$5</f>
        <v>11.1</v>
      </c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B154" s="1" t="s">
        <v>39</v>
      </c>
      <c r="C154" s="1">
        <v>22.0</v>
      </c>
      <c r="D154" s="1">
        <v>16.0</v>
      </c>
      <c r="E154" s="1">
        <v>180.0</v>
      </c>
      <c r="F154" s="1">
        <v>1.0</v>
      </c>
      <c r="G154" s="1">
        <v>0.0</v>
      </c>
      <c r="H154" s="1">
        <v>5.0</v>
      </c>
      <c r="I154" s="1">
        <v>9.0</v>
      </c>
      <c r="J154" s="1">
        <v>0.1</v>
      </c>
      <c r="K154" s="1">
        <v>0.0</v>
      </c>
      <c r="L154" s="1">
        <v>8.7</v>
      </c>
      <c r="M154" s="18">
        <f t="shared" si="1"/>
        <v>8.569708029</v>
      </c>
      <c r="N154" s="18">
        <f t="shared" si="2"/>
        <v>0.6809433962</v>
      </c>
      <c r="O154" s="30"/>
      <c r="P154" s="30"/>
      <c r="Q154" s="30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B155" s="1" t="s">
        <v>48</v>
      </c>
      <c r="C155" s="1">
        <v>21.3</v>
      </c>
      <c r="D155" s="1">
        <v>13.5</v>
      </c>
      <c r="E155" s="1">
        <v>132.9</v>
      </c>
      <c r="F155" s="1">
        <v>0.9</v>
      </c>
      <c r="G155" s="1">
        <v>0.6</v>
      </c>
      <c r="H155" s="1">
        <v>1.5</v>
      </c>
      <c r="I155" s="1">
        <v>6.8</v>
      </c>
      <c r="J155" s="1">
        <v>0.0</v>
      </c>
      <c r="K155" s="1">
        <v>0.2</v>
      </c>
      <c r="L155" s="1">
        <v>8.0</v>
      </c>
      <c r="M155" s="18">
        <f t="shared" si="1"/>
        <v>6.327301095</v>
      </c>
      <c r="N155" s="18">
        <f t="shared" si="2"/>
        <v>0.514490566</v>
      </c>
      <c r="O155" s="30"/>
      <c r="P155" s="30"/>
      <c r="Q155" s="30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1" t="s">
        <v>268</v>
      </c>
      <c r="B156" s="1" t="s">
        <v>94</v>
      </c>
      <c r="C156" s="1">
        <v>22.5</v>
      </c>
      <c r="D156" s="1">
        <v>14.7</v>
      </c>
      <c r="E156" s="1">
        <v>149.9</v>
      </c>
      <c r="F156" s="1">
        <v>1.0</v>
      </c>
      <c r="G156" s="1">
        <v>0.4</v>
      </c>
      <c r="H156" s="1">
        <v>1.9</v>
      </c>
      <c r="I156" s="1">
        <v>9.5</v>
      </c>
      <c r="J156" s="1">
        <v>0.1</v>
      </c>
      <c r="K156" s="1">
        <v>0.1</v>
      </c>
      <c r="L156" s="1">
        <v>10.6</v>
      </c>
      <c r="M156" s="18">
        <f t="shared" si="1"/>
        <v>7.136662409</v>
      </c>
      <c r="N156" s="18">
        <f t="shared" si="2"/>
        <v>0.7187735849</v>
      </c>
      <c r="O156" s="30">
        <f>MAX(QB!D158*Scoring!$B$30+QB!E158/Scoring!$C$30+QB!F158*Scoring!$D$30+QB!G158*Scoring!$E$30+QB!H158*Scoring!$F$30+QB!I158/Scoring!$G$30+QB!J158*Scoring!$H$30+QB!K158*Scoring!$I$30+M158*Scoring!$J$30+QB!N158*Scoring!$K$30,0)+C158*Scoring!$B$10*0.07+(C158-D158)*Scoring!$B$5</f>
        <v>9.548</v>
      </c>
      <c r="P156" s="30">
        <f>MAX(QB!D156*Scoring!$B$30+QB!E156/Scoring!$C$30+QB!F156*Scoring!$D$30+QB!G156*Scoring!$E$30+QB!H156*Scoring!$F$30+QB!I156/Scoring!$G$30+QB!J156*Scoring!$H$30+QB!K156*Scoring!$I$30+M156*Scoring!$J$30+QB!N156*Scoring!$K$30,0)+C156*Scoring!$B$10*0.07+(C156-D156)*Scoring!$B$5</f>
        <v>9.548</v>
      </c>
      <c r="Q156" s="30">
        <f>MAX(QB!D157*Scoring!$B$30+QB!E157/Scoring!$C$30+QB!F157*Scoring!$D$30+QB!G157*Scoring!$E$30+QB!H157*Scoring!$F$30+QB!I157/Scoring!$G$30+QB!J157*Scoring!$H$30+QB!K157*Scoring!$I$30+M157*Scoring!$J$30+QB!N157*Scoring!$K$30,0)+C157*Scoring!$B$10*0.07+(C157-D157)*Scoring!$B$5</f>
        <v>9.548</v>
      </c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B157" s="1" t="s">
        <v>39</v>
      </c>
      <c r="C157" s="1">
        <v>22.5</v>
      </c>
      <c r="D157" s="1">
        <v>14.7</v>
      </c>
      <c r="E157" s="1">
        <v>149.9</v>
      </c>
      <c r="F157" s="1">
        <v>1.0</v>
      </c>
      <c r="G157" s="1">
        <v>0.4</v>
      </c>
      <c r="H157" s="1">
        <v>1.9</v>
      </c>
      <c r="I157" s="1">
        <v>9.5</v>
      </c>
      <c r="J157" s="1">
        <v>0.1</v>
      </c>
      <c r="K157" s="1">
        <v>0.1</v>
      </c>
      <c r="L157" s="1">
        <v>10.3</v>
      </c>
      <c r="M157" s="18">
        <f t="shared" si="1"/>
        <v>7.136662409</v>
      </c>
      <c r="N157" s="18">
        <f t="shared" si="2"/>
        <v>0.7187735849</v>
      </c>
      <c r="O157" s="30"/>
      <c r="P157" s="30"/>
      <c r="Q157" s="30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B158" s="1" t="s">
        <v>48</v>
      </c>
      <c r="C158" s="1">
        <v>22.5</v>
      </c>
      <c r="D158" s="1">
        <v>14.7</v>
      </c>
      <c r="E158" s="1">
        <v>149.9</v>
      </c>
      <c r="F158" s="1">
        <v>1.0</v>
      </c>
      <c r="G158" s="1">
        <v>0.4</v>
      </c>
      <c r="H158" s="1">
        <v>1.9</v>
      </c>
      <c r="I158" s="1">
        <v>9.5</v>
      </c>
      <c r="J158" s="1">
        <v>0.1</v>
      </c>
      <c r="K158" s="1">
        <v>0.1</v>
      </c>
      <c r="L158" s="1">
        <v>10.3</v>
      </c>
      <c r="M158" s="18">
        <f t="shared" si="1"/>
        <v>7.136662409</v>
      </c>
      <c r="N158" s="18">
        <f t="shared" si="2"/>
        <v>0.7187735849</v>
      </c>
      <c r="O158" s="30"/>
      <c r="P158" s="30"/>
      <c r="Q158" s="30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1" t="s">
        <v>270</v>
      </c>
      <c r="B159" s="1" t="s">
        <v>61</v>
      </c>
      <c r="C159" s="1">
        <v>18.3</v>
      </c>
      <c r="D159" s="1">
        <v>11.8</v>
      </c>
      <c r="E159" s="1">
        <v>130.8</v>
      </c>
      <c r="F159" s="1">
        <v>0.9</v>
      </c>
      <c r="G159" s="1">
        <v>0.3</v>
      </c>
      <c r="H159" s="1">
        <v>3.5</v>
      </c>
      <c r="I159" s="1">
        <v>18.7</v>
      </c>
      <c r="J159" s="1">
        <v>0.0</v>
      </c>
      <c r="K159" s="1">
        <v>0.1</v>
      </c>
      <c r="L159" s="1">
        <v>10.6</v>
      </c>
      <c r="M159" s="18">
        <f t="shared" si="1"/>
        <v>6.227321168</v>
      </c>
      <c r="N159" s="18">
        <f t="shared" si="2"/>
        <v>1.414849057</v>
      </c>
      <c r="O159" s="30">
        <f>MAX(QB!D161*Scoring!$B$30+QB!E161/Scoring!$C$30+QB!F161*Scoring!$D$30+QB!G161*Scoring!$E$30+QB!H161*Scoring!$F$30+QB!I161/Scoring!$G$30+QB!J161*Scoring!$H$30+QB!K161*Scoring!$I$30+M161*Scoring!$J$30+QB!N161*Scoring!$K$30,0)+C161*Scoring!$B$10*0.07+(C161-D161)*Scoring!$B$5</f>
        <v>7.724</v>
      </c>
      <c r="P159" s="30">
        <f>MAX(QB!D159*Scoring!$B$30+QB!E159/Scoring!$C$30+QB!F159*Scoring!$D$30+QB!G159*Scoring!$E$30+QB!H159*Scoring!$F$30+QB!I159/Scoring!$G$30+QB!J159*Scoring!$H$30+QB!K159*Scoring!$I$30+M159*Scoring!$J$30+QB!N159*Scoring!$K$30,0)+C159*Scoring!$B$10*0.07+(C159-D159)*Scoring!$B$5</f>
        <v>9.086</v>
      </c>
      <c r="Q159" s="30">
        <f>MAX(QB!D160*Scoring!$B$30+QB!E160/Scoring!$C$30+QB!F160*Scoring!$D$30+QB!G160*Scoring!$E$30+QB!H160*Scoring!$F$30+QB!I160/Scoring!$G$30+QB!J160*Scoring!$H$30+QB!K160*Scoring!$I$30+M160*Scoring!$J$30+QB!N160*Scoring!$K$30,0)+C160*Scoring!$B$10*0.07+(C160-D160)*Scoring!$B$5</f>
        <v>12.06</v>
      </c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B160" s="1" t="s">
        <v>39</v>
      </c>
      <c r="C160" s="1">
        <v>19.5</v>
      </c>
      <c r="D160" s="1">
        <v>12.6</v>
      </c>
      <c r="E160" s="1">
        <v>133.0</v>
      </c>
      <c r="F160" s="1">
        <v>1.0</v>
      </c>
      <c r="G160" s="1">
        <v>0.0</v>
      </c>
      <c r="H160" s="1">
        <v>5.0</v>
      </c>
      <c r="I160" s="1">
        <v>28.0</v>
      </c>
      <c r="J160" s="1">
        <v>0.1</v>
      </c>
      <c r="K160" s="1">
        <v>0.0</v>
      </c>
      <c r="L160" s="1">
        <v>9.0</v>
      </c>
      <c r="M160" s="18">
        <f t="shared" si="1"/>
        <v>6.332062044</v>
      </c>
      <c r="N160" s="18">
        <f t="shared" si="2"/>
        <v>2.118490566</v>
      </c>
      <c r="O160" s="30"/>
      <c r="P160" s="30"/>
      <c r="Q160" s="30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B161" s="1" t="s">
        <v>48</v>
      </c>
      <c r="C161" s="1">
        <v>17.0</v>
      </c>
      <c r="D161" s="1">
        <v>11.0</v>
      </c>
      <c r="E161" s="1">
        <v>128.7</v>
      </c>
      <c r="F161" s="1">
        <v>0.9</v>
      </c>
      <c r="G161" s="1">
        <v>0.5</v>
      </c>
      <c r="H161" s="1">
        <v>2.0</v>
      </c>
      <c r="I161" s="1">
        <v>9.5</v>
      </c>
      <c r="J161" s="1">
        <v>0.0</v>
      </c>
      <c r="K161" s="1">
        <v>0.1</v>
      </c>
      <c r="L161" s="1">
        <v>8.7</v>
      </c>
      <c r="M161" s="18">
        <f t="shared" si="1"/>
        <v>6.127341241</v>
      </c>
      <c r="N161" s="18">
        <f t="shared" si="2"/>
        <v>0.7187735849</v>
      </c>
      <c r="O161" s="30"/>
      <c r="P161" s="30"/>
      <c r="Q161" s="30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1" t="s">
        <v>272</v>
      </c>
      <c r="B162" s="1" t="s">
        <v>140</v>
      </c>
      <c r="C162" s="1">
        <v>22.5</v>
      </c>
      <c r="D162" s="1">
        <v>14.9</v>
      </c>
      <c r="E162" s="1">
        <v>160.2</v>
      </c>
      <c r="F162" s="1">
        <v>1.0</v>
      </c>
      <c r="G162" s="1">
        <v>0.5</v>
      </c>
      <c r="H162" s="1">
        <v>2.7</v>
      </c>
      <c r="I162" s="1">
        <v>8.4</v>
      </c>
      <c r="J162" s="1">
        <v>0.0</v>
      </c>
      <c r="K162" s="1">
        <v>0.1</v>
      </c>
      <c r="L162" s="1">
        <v>10.5</v>
      </c>
      <c r="M162" s="18">
        <f t="shared" si="1"/>
        <v>7.627040146</v>
      </c>
      <c r="N162" s="18">
        <f t="shared" si="2"/>
        <v>0.6355471698</v>
      </c>
      <c r="O162" s="30">
        <f>MAX(QB!D164*Scoring!$B$30+QB!E164/Scoring!$C$30+QB!F164*Scoring!$D$30+QB!G164*Scoring!$E$30+QB!H164*Scoring!$F$30+QB!I164/Scoring!$G$30+QB!J164*Scoring!$H$30+QB!K164*Scoring!$I$30+M164*Scoring!$J$30+QB!N164*Scoring!$K$30,0)+C164*Scoring!$B$10*0.07+(C164-D164)*Scoring!$B$5</f>
        <v>6.934</v>
      </c>
      <c r="P162" s="30">
        <f>MAX(QB!D162*Scoring!$B$30+QB!E162/Scoring!$C$30+QB!F162*Scoring!$D$30+QB!G162*Scoring!$E$30+QB!H162*Scoring!$F$30+QB!I162/Scoring!$G$30+QB!J162*Scoring!$H$30+QB!K162*Scoring!$I$30+M162*Scoring!$J$30+QB!N162*Scoring!$K$30,0)+C162*Scoring!$B$10*0.07+(C162-D162)*Scoring!$B$5</f>
        <v>8.844</v>
      </c>
      <c r="Q162" s="30">
        <f>MAX(QB!D163*Scoring!$B$30+QB!E163/Scoring!$C$30+QB!F163*Scoring!$D$30+QB!G163*Scoring!$E$30+QB!H163*Scoring!$F$30+QB!I163/Scoring!$G$30+QB!J163*Scoring!$H$30+QB!K163*Scoring!$I$30+M163*Scoring!$J$30+QB!N163*Scoring!$K$30,0)+C163*Scoring!$B$10*0.07+(C163-D163)*Scoring!$B$5</f>
        <v>11.16</v>
      </c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B163" s="1" t="s">
        <v>39</v>
      </c>
      <c r="C163" s="1">
        <v>23.0</v>
      </c>
      <c r="D163" s="1">
        <v>15.0</v>
      </c>
      <c r="E163" s="1">
        <v>168.0</v>
      </c>
      <c r="F163" s="1">
        <v>1.0</v>
      </c>
      <c r="G163" s="1">
        <v>0.0</v>
      </c>
      <c r="H163" s="1">
        <v>5.0</v>
      </c>
      <c r="I163" s="1">
        <v>18.0</v>
      </c>
      <c r="J163" s="1">
        <v>0.0</v>
      </c>
      <c r="K163" s="1">
        <v>0.0</v>
      </c>
      <c r="L163" s="1">
        <v>11.2</v>
      </c>
      <c r="M163" s="18">
        <f t="shared" si="1"/>
        <v>7.998394161</v>
      </c>
      <c r="N163" s="18">
        <f t="shared" si="2"/>
        <v>1.361886792</v>
      </c>
      <c r="O163" s="30"/>
      <c r="P163" s="30"/>
      <c r="Q163" s="30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B164" s="1" t="s">
        <v>48</v>
      </c>
      <c r="C164" s="1">
        <v>22.0</v>
      </c>
      <c r="D164" s="1">
        <v>14.8</v>
      </c>
      <c r="E164" s="1">
        <v>145.7</v>
      </c>
      <c r="F164" s="1">
        <v>1.0</v>
      </c>
      <c r="G164" s="1">
        <v>1.0</v>
      </c>
      <c r="H164" s="1">
        <v>1.0</v>
      </c>
      <c r="I164" s="1">
        <v>2.2</v>
      </c>
      <c r="J164" s="1">
        <v>0.0</v>
      </c>
      <c r="K164" s="1">
        <v>0.1</v>
      </c>
      <c r="L164" s="1">
        <v>7.0</v>
      </c>
      <c r="M164" s="18">
        <f t="shared" si="1"/>
        <v>6.936702555</v>
      </c>
      <c r="N164" s="18">
        <f t="shared" si="2"/>
        <v>0.1664528302</v>
      </c>
      <c r="O164" s="30"/>
      <c r="P164" s="30"/>
      <c r="Q164" s="30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1" t="s">
        <v>273</v>
      </c>
      <c r="B165" s="1" t="s">
        <v>164</v>
      </c>
      <c r="C165" s="1">
        <v>22.2</v>
      </c>
      <c r="D165" s="1">
        <v>13.6</v>
      </c>
      <c r="E165" s="1">
        <v>148.3</v>
      </c>
      <c r="F165" s="1">
        <v>1.0</v>
      </c>
      <c r="G165" s="1">
        <v>0.8</v>
      </c>
      <c r="H165" s="1">
        <v>2.7</v>
      </c>
      <c r="I165" s="1">
        <v>12.9</v>
      </c>
      <c r="J165" s="1">
        <v>0.0</v>
      </c>
      <c r="K165" s="1">
        <v>0.1</v>
      </c>
      <c r="L165" s="1">
        <v>10.4</v>
      </c>
      <c r="M165" s="18">
        <f t="shared" si="1"/>
        <v>7.060487226</v>
      </c>
      <c r="N165" s="18">
        <f t="shared" si="2"/>
        <v>0.9760188679</v>
      </c>
      <c r="O165" s="30">
        <f>MAX(QB!D167*Scoring!$B$30+QB!E167/Scoring!$C$30+QB!F167*Scoring!$D$30+QB!G167*Scoring!$E$30+QB!H167*Scoring!$F$30+QB!I167/Scoring!$G$30+QB!J167*Scoring!$H$30+QB!K167*Scoring!$I$30+M167*Scoring!$J$30+QB!N167*Scoring!$K$30,0)+C167*Scoring!$B$10*0.07+(C167-D167)*Scoring!$B$5</f>
        <v>7.43</v>
      </c>
      <c r="P165" s="30">
        <f>MAX(QB!D165*Scoring!$B$30+QB!E165/Scoring!$C$30+QB!F165*Scoring!$D$30+QB!G165*Scoring!$E$30+QB!H165*Scoring!$F$30+QB!I165/Scoring!$G$30+QB!J165*Scoring!$H$30+QB!K165*Scoring!$I$30+M165*Scoring!$J$30+QB!N165*Scoring!$K$30,0)+C165*Scoring!$B$10*0.07+(C165-D165)*Scoring!$B$5</f>
        <v>8.456</v>
      </c>
      <c r="Q165" s="30">
        <f>MAX(QB!D166*Scoring!$B$30+QB!E166/Scoring!$C$30+QB!F166*Scoring!$D$30+QB!G166*Scoring!$E$30+QB!H166*Scoring!$F$30+QB!I166/Scoring!$G$30+QB!J166*Scoring!$H$30+QB!K166*Scoring!$I$30+M166*Scoring!$J$30+QB!N166*Scoring!$K$30,0)+C166*Scoring!$B$10*0.07+(C166-D166)*Scoring!$B$5</f>
        <v>10.28</v>
      </c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B166" s="1" t="s">
        <v>39</v>
      </c>
      <c r="C166" s="1">
        <v>22.4</v>
      </c>
      <c r="D166" s="1">
        <v>14.0</v>
      </c>
      <c r="E166" s="1">
        <v>149.0</v>
      </c>
      <c r="F166" s="1">
        <v>1.0</v>
      </c>
      <c r="G166" s="1">
        <v>0.6</v>
      </c>
      <c r="H166" s="1">
        <v>4.0</v>
      </c>
      <c r="I166" s="1">
        <v>19.0</v>
      </c>
      <c r="J166" s="1">
        <v>0.1</v>
      </c>
      <c r="K166" s="1">
        <v>0.0</v>
      </c>
      <c r="L166" s="1">
        <v>9.4</v>
      </c>
      <c r="M166" s="18">
        <f t="shared" si="1"/>
        <v>7.093813869</v>
      </c>
      <c r="N166" s="18">
        <f t="shared" si="2"/>
        <v>1.43754717</v>
      </c>
      <c r="O166" s="30"/>
      <c r="P166" s="30"/>
      <c r="Q166" s="30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B167" s="1" t="s">
        <v>48</v>
      </c>
      <c r="C167" s="1">
        <v>22.0</v>
      </c>
      <c r="D167" s="1">
        <v>13.2</v>
      </c>
      <c r="E167" s="1">
        <v>147.5</v>
      </c>
      <c r="F167" s="1">
        <v>1.0</v>
      </c>
      <c r="G167" s="1">
        <v>1.0</v>
      </c>
      <c r="H167" s="1">
        <v>1.5</v>
      </c>
      <c r="I167" s="1">
        <v>6.8</v>
      </c>
      <c r="J167" s="1">
        <v>0.0</v>
      </c>
      <c r="K167" s="1">
        <v>0.1</v>
      </c>
      <c r="L167" s="1">
        <v>7.0</v>
      </c>
      <c r="M167" s="18">
        <f t="shared" si="1"/>
        <v>7.022399635</v>
      </c>
      <c r="N167" s="18">
        <f t="shared" si="2"/>
        <v>0.514490566</v>
      </c>
      <c r="O167" s="30"/>
      <c r="P167" s="30"/>
      <c r="Q167" s="30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1" t="s">
        <v>275</v>
      </c>
      <c r="B168" s="1" t="s">
        <v>193</v>
      </c>
      <c r="C168" s="1">
        <v>16.0</v>
      </c>
      <c r="D168" s="1">
        <v>10.0</v>
      </c>
      <c r="E168" s="1">
        <v>109.0</v>
      </c>
      <c r="F168" s="1">
        <v>1.0</v>
      </c>
      <c r="G168" s="1">
        <v>0.0</v>
      </c>
      <c r="H168" s="1">
        <v>5.0</v>
      </c>
      <c r="I168" s="1">
        <v>20.0</v>
      </c>
      <c r="J168" s="1">
        <v>0.0</v>
      </c>
      <c r="K168" s="1">
        <v>0.0</v>
      </c>
      <c r="L168" s="1">
        <v>10.4</v>
      </c>
      <c r="M168" s="18">
        <f t="shared" si="1"/>
        <v>5.189434307</v>
      </c>
      <c r="N168" s="18">
        <f t="shared" si="2"/>
        <v>1.513207547</v>
      </c>
      <c r="O168" s="30">
        <f>MAX(QB!D170*Scoring!$B$30+QB!E170/Scoring!$C$30+QB!F170*Scoring!$D$30+QB!G170*Scoring!$E$30+QB!H170*Scoring!$F$30+QB!I170/Scoring!$G$30+QB!J170*Scoring!$H$30+QB!K170*Scoring!$I$30+M170*Scoring!$J$30+QB!N170*Scoring!$K$30,0)+C170*Scoring!$B$10*0.07+(C170-D170)*Scoring!$B$5</f>
        <v>10.18</v>
      </c>
      <c r="P168" s="30">
        <f>MAX(QB!D168*Scoring!$B$30+QB!E168/Scoring!$C$30+QB!F168*Scoring!$D$30+QB!G168*Scoring!$E$30+QB!H168*Scoring!$F$30+QB!I168/Scoring!$G$30+QB!J168*Scoring!$H$30+QB!K168*Scoring!$I$30+M168*Scoring!$J$30+QB!N168*Scoring!$K$30,0)+C168*Scoring!$B$10*0.07+(C168-D168)*Scoring!$B$5</f>
        <v>10.18</v>
      </c>
      <c r="Q168" s="30">
        <f>MAX(QB!D169*Scoring!$B$30+QB!E169/Scoring!$C$30+QB!F169*Scoring!$D$30+QB!G169*Scoring!$E$30+QB!H169*Scoring!$F$30+QB!I169/Scoring!$G$30+QB!J169*Scoring!$H$30+QB!K169*Scoring!$I$30+M169*Scoring!$J$30+QB!N169*Scoring!$K$30,0)+C169*Scoring!$B$10*0.07+(C169-D169)*Scoring!$B$5</f>
        <v>10.18</v>
      </c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B169" s="1" t="s">
        <v>39</v>
      </c>
      <c r="C169" s="1">
        <v>16.0</v>
      </c>
      <c r="D169" s="1">
        <v>10.0</v>
      </c>
      <c r="E169" s="1">
        <v>109.0</v>
      </c>
      <c r="F169" s="1">
        <v>1.0</v>
      </c>
      <c r="G169" s="1">
        <v>0.0</v>
      </c>
      <c r="H169" s="1">
        <v>5.0</v>
      </c>
      <c r="I169" s="1">
        <v>20.0</v>
      </c>
      <c r="J169" s="1">
        <v>0.0</v>
      </c>
      <c r="K169" s="1">
        <v>0.0</v>
      </c>
      <c r="L169" s="1">
        <v>8.0</v>
      </c>
      <c r="M169" s="18">
        <f t="shared" si="1"/>
        <v>5.189434307</v>
      </c>
      <c r="N169" s="18">
        <f t="shared" si="2"/>
        <v>1.513207547</v>
      </c>
      <c r="O169" s="30"/>
      <c r="P169" s="30"/>
      <c r="Q169" s="30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B170" s="1" t="s">
        <v>48</v>
      </c>
      <c r="C170" s="1">
        <v>16.0</v>
      </c>
      <c r="D170" s="1">
        <v>10.0</v>
      </c>
      <c r="E170" s="1">
        <v>109.0</v>
      </c>
      <c r="F170" s="1">
        <v>1.0</v>
      </c>
      <c r="G170" s="1">
        <v>0.0</v>
      </c>
      <c r="H170" s="1">
        <v>5.0</v>
      </c>
      <c r="I170" s="1">
        <v>20.0</v>
      </c>
      <c r="J170" s="1">
        <v>0.0</v>
      </c>
      <c r="K170" s="1">
        <v>0.0</v>
      </c>
      <c r="L170" s="1">
        <v>8.0</v>
      </c>
      <c r="M170" s="18">
        <f t="shared" si="1"/>
        <v>5.189434307</v>
      </c>
      <c r="N170" s="18">
        <f t="shared" si="2"/>
        <v>1.513207547</v>
      </c>
      <c r="O170" s="30"/>
      <c r="P170" s="30"/>
      <c r="Q170" s="30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1" t="s">
        <v>278</v>
      </c>
      <c r="B171" s="1" t="s">
        <v>127</v>
      </c>
      <c r="C171" s="1">
        <v>24.9</v>
      </c>
      <c r="D171" s="1">
        <v>16.1</v>
      </c>
      <c r="E171" s="1">
        <v>169.4</v>
      </c>
      <c r="F171" s="1">
        <v>1.2</v>
      </c>
      <c r="G171" s="1">
        <v>0.8</v>
      </c>
      <c r="H171" s="1">
        <v>2.2</v>
      </c>
      <c r="I171" s="1">
        <v>8.6</v>
      </c>
      <c r="J171" s="1">
        <v>0.0</v>
      </c>
      <c r="K171" s="1">
        <v>0.6</v>
      </c>
      <c r="L171" s="1">
        <v>10.3</v>
      </c>
      <c r="M171" s="18">
        <f t="shared" si="1"/>
        <v>8.065047445</v>
      </c>
      <c r="N171" s="18">
        <f t="shared" si="2"/>
        <v>0.6506792453</v>
      </c>
      <c r="O171" s="30">
        <f>MAX(QB!D173*Scoring!$B$30+QB!E173/Scoring!$C$30+QB!F173*Scoring!$D$30+QB!G173*Scoring!$E$30+QB!H173*Scoring!$F$30+QB!I173/Scoring!$G$30+QB!J173*Scoring!$H$30+QB!K173*Scoring!$I$30+M173*Scoring!$J$30+QB!N173*Scoring!$K$30,0)+C173*Scoring!$B$10*0.07+(C173-D173)*Scoring!$B$5</f>
        <v>5.416</v>
      </c>
      <c r="P171" s="30">
        <f>MAX(QB!D171*Scoring!$B$30+QB!E171/Scoring!$C$30+QB!F171*Scoring!$D$30+QB!G171*Scoring!$E$30+QB!H171*Scoring!$F$30+QB!I171/Scoring!$G$30+QB!J171*Scoring!$H$30+QB!K171*Scoring!$I$30+M171*Scoring!$J$30+QB!N171*Scoring!$K$30,0)+C171*Scoring!$B$10*0.07+(C171-D171)*Scoring!$B$5</f>
        <v>8.648</v>
      </c>
      <c r="Q171" s="30">
        <f>MAX(QB!D172*Scoring!$B$30+QB!E172/Scoring!$C$30+QB!F172*Scoring!$D$30+QB!G172*Scoring!$E$30+QB!H172*Scoring!$F$30+QB!I172/Scoring!$G$30+QB!J172*Scoring!$H$30+QB!K172*Scoring!$I$30+M172*Scoring!$J$30+QB!N172*Scoring!$K$30,0)+C172*Scoring!$B$10*0.07+(C172-D172)*Scoring!$B$5</f>
        <v>11.08</v>
      </c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B172" s="1" t="s">
        <v>39</v>
      </c>
      <c r="C172" s="1">
        <v>25.0</v>
      </c>
      <c r="D172" s="1">
        <v>17.0</v>
      </c>
      <c r="E172" s="1">
        <v>174.0</v>
      </c>
      <c r="F172" s="1">
        <v>1.3</v>
      </c>
      <c r="G172" s="1">
        <v>0.7</v>
      </c>
      <c r="H172" s="1">
        <v>4.0</v>
      </c>
      <c r="I172" s="1">
        <v>16.0</v>
      </c>
      <c r="J172" s="1">
        <v>0.0</v>
      </c>
      <c r="K172" s="1">
        <v>0.2</v>
      </c>
      <c r="L172" s="1">
        <v>10.5</v>
      </c>
      <c r="M172" s="18">
        <f t="shared" si="1"/>
        <v>8.284051095</v>
      </c>
      <c r="N172" s="18">
        <f t="shared" si="2"/>
        <v>1.210566038</v>
      </c>
      <c r="O172" s="30"/>
      <c r="P172" s="30"/>
      <c r="Q172" s="30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B173" s="1" t="s">
        <v>48</v>
      </c>
      <c r="C173" s="1">
        <v>24.7</v>
      </c>
      <c r="D173" s="1">
        <v>15.3</v>
      </c>
      <c r="E173" s="1">
        <v>164.8</v>
      </c>
      <c r="F173" s="1">
        <v>1.0</v>
      </c>
      <c r="G173" s="1">
        <v>1.0</v>
      </c>
      <c r="H173" s="1">
        <v>0.4</v>
      </c>
      <c r="I173" s="1">
        <v>1.2</v>
      </c>
      <c r="J173" s="1">
        <v>0.0</v>
      </c>
      <c r="K173" s="1">
        <v>1.0</v>
      </c>
      <c r="L173" s="1">
        <v>4.0</v>
      </c>
      <c r="M173" s="18">
        <f t="shared" si="1"/>
        <v>7.846043796</v>
      </c>
      <c r="N173" s="18">
        <f t="shared" si="2"/>
        <v>0.09079245283</v>
      </c>
      <c r="O173" s="30"/>
      <c r="P173" s="30"/>
      <c r="Q173" s="30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1" t="s">
        <v>280</v>
      </c>
      <c r="B174" s="1" t="s">
        <v>117</v>
      </c>
      <c r="C174" s="1">
        <v>20.3</v>
      </c>
      <c r="D174" s="1">
        <v>12.8</v>
      </c>
      <c r="E174" s="1">
        <v>141.0</v>
      </c>
      <c r="F174" s="1">
        <v>1.0</v>
      </c>
      <c r="G174" s="1">
        <v>0.2</v>
      </c>
      <c r="H174" s="1">
        <v>3.0</v>
      </c>
      <c r="I174" s="1">
        <v>9.9</v>
      </c>
      <c r="J174" s="1">
        <v>0.0</v>
      </c>
      <c r="K174" s="1">
        <v>0.0</v>
      </c>
      <c r="L174" s="1">
        <v>10.3</v>
      </c>
      <c r="M174" s="18">
        <f t="shared" si="1"/>
        <v>6.712937956</v>
      </c>
      <c r="N174" s="18">
        <f t="shared" si="2"/>
        <v>0.7490377358</v>
      </c>
      <c r="O174" s="30">
        <f>MAX(QB!D176*Scoring!$B$30+QB!E176/Scoring!$C$30+QB!F176*Scoring!$D$30+QB!G176*Scoring!$E$30+QB!H176*Scoring!$F$30+QB!I176/Scoring!$G$30+QB!J176*Scoring!$H$30+QB!K176*Scoring!$I$30+M176*Scoring!$J$30+QB!N176*Scoring!$K$30,0)+C176*Scoring!$B$10*0.07+(C176-D176)*Scoring!$B$5</f>
        <v>7.75</v>
      </c>
      <c r="P174" s="30">
        <f>MAX(QB!D174*Scoring!$B$30+QB!E174/Scoring!$C$30+QB!F174*Scoring!$D$30+QB!G174*Scoring!$E$30+QB!H174*Scoring!$F$30+QB!I174/Scoring!$G$30+QB!J174*Scoring!$H$30+QB!K174*Scoring!$I$30+M174*Scoring!$J$30+QB!N174*Scoring!$K$30,0)+C174*Scoring!$B$10*0.07+(C174-D174)*Scoring!$B$5</f>
        <v>9.41</v>
      </c>
      <c r="Q174" s="30">
        <f>MAX(QB!D175*Scoring!$B$30+QB!E175/Scoring!$C$30+QB!F175*Scoring!$D$30+QB!G175*Scoring!$E$30+QB!H175*Scoring!$F$30+QB!I175/Scoring!$G$30+QB!J175*Scoring!$H$30+QB!K175*Scoring!$I$30+M175*Scoring!$J$30+QB!N175*Scoring!$K$30,0)+C175*Scoring!$B$10*0.07+(C175-D175)*Scoring!$B$5</f>
        <v>10.66</v>
      </c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B175" s="1" t="s">
        <v>39</v>
      </c>
      <c r="C175" s="1">
        <v>21.7</v>
      </c>
      <c r="D175" s="1">
        <v>13.7</v>
      </c>
      <c r="E175" s="1">
        <v>153.0</v>
      </c>
      <c r="F175" s="1">
        <v>1.0</v>
      </c>
      <c r="G175" s="1">
        <v>0.0</v>
      </c>
      <c r="H175" s="1">
        <v>5.0</v>
      </c>
      <c r="I175" s="1">
        <v>16.0</v>
      </c>
      <c r="J175" s="1">
        <v>0.0</v>
      </c>
      <c r="K175" s="1">
        <v>0.0</v>
      </c>
      <c r="L175" s="1">
        <v>9.5</v>
      </c>
      <c r="M175" s="18">
        <f t="shared" si="1"/>
        <v>7.284251825</v>
      </c>
      <c r="N175" s="18">
        <f t="shared" si="2"/>
        <v>1.210566038</v>
      </c>
      <c r="O175" s="30"/>
      <c r="P175" s="30"/>
      <c r="Q175" s="30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B176" s="1" t="s">
        <v>48</v>
      </c>
      <c r="C176" s="1">
        <v>19.0</v>
      </c>
      <c r="D176" s="1">
        <v>12.0</v>
      </c>
      <c r="E176" s="1">
        <v>129.0</v>
      </c>
      <c r="F176" s="1">
        <v>1.0</v>
      </c>
      <c r="G176" s="1">
        <v>0.5</v>
      </c>
      <c r="H176" s="1">
        <v>1.0</v>
      </c>
      <c r="I176" s="1">
        <v>3.7</v>
      </c>
      <c r="J176" s="1">
        <v>0.0</v>
      </c>
      <c r="K176" s="1">
        <v>0.1</v>
      </c>
      <c r="L176" s="1">
        <v>8.0</v>
      </c>
      <c r="M176" s="18">
        <f t="shared" si="1"/>
        <v>6.141624088</v>
      </c>
      <c r="N176" s="18">
        <f t="shared" si="2"/>
        <v>0.2799433962</v>
      </c>
      <c r="O176" s="30"/>
      <c r="P176" s="30"/>
      <c r="Q176" s="30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1" t="s">
        <v>281</v>
      </c>
      <c r="B177" s="1" t="s">
        <v>208</v>
      </c>
      <c r="C177" s="1">
        <v>22.9</v>
      </c>
      <c r="D177" s="1">
        <v>14.4</v>
      </c>
      <c r="E177" s="1">
        <v>157.9</v>
      </c>
      <c r="F177" s="1">
        <v>1.0</v>
      </c>
      <c r="G177" s="1">
        <v>0.8</v>
      </c>
      <c r="H177" s="1">
        <v>2.8</v>
      </c>
      <c r="I177" s="1">
        <v>10.6</v>
      </c>
      <c r="J177" s="1">
        <v>0.0</v>
      </c>
      <c r="K177" s="1">
        <v>0.1</v>
      </c>
      <c r="L177" s="1">
        <v>10.3</v>
      </c>
      <c r="M177" s="18">
        <f t="shared" si="1"/>
        <v>7.517538321</v>
      </c>
      <c r="N177" s="18">
        <f t="shared" si="2"/>
        <v>0.802</v>
      </c>
      <c r="O177" s="30">
        <f>MAX(QB!D179*Scoring!$B$30+QB!E179/Scoring!$C$30+QB!F179*Scoring!$D$30+QB!G179*Scoring!$E$30+QB!H179*Scoring!$F$30+QB!I179/Scoring!$G$30+QB!J179*Scoring!$H$30+QB!K179*Scoring!$I$30+M179*Scoring!$J$30+QB!N179*Scoring!$K$30,0)+C179*Scoring!$B$10*0.07+(C179-D179)*Scoring!$B$5</f>
        <v>6.07</v>
      </c>
      <c r="P177" s="30">
        <f>MAX(QB!D177*Scoring!$B$30+QB!E177/Scoring!$C$30+QB!F177*Scoring!$D$30+QB!G177*Scoring!$E$30+QB!H177*Scoring!$F$30+QB!I177/Scoring!$G$30+QB!J177*Scoring!$H$30+QB!K177*Scoring!$I$30+M177*Scoring!$J$30+QB!N177*Scoring!$K$30,0)+C177*Scoring!$B$10*0.07+(C177-D177)*Scoring!$B$5</f>
        <v>8.418</v>
      </c>
      <c r="Q177" s="30">
        <f>MAX(QB!D178*Scoring!$B$30+QB!E178/Scoring!$C$30+QB!F178*Scoring!$D$30+QB!G178*Scoring!$E$30+QB!H178*Scoring!$F$30+QB!I178/Scoring!$G$30+QB!J178*Scoring!$H$30+QB!K178*Scoring!$I$30+M178*Scoring!$J$30+QB!N178*Scoring!$K$30,0)+C178*Scoring!$B$10*0.07+(C178-D178)*Scoring!$B$5</f>
        <v>10.9</v>
      </c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B178" s="1" t="s">
        <v>39</v>
      </c>
      <c r="C178" s="1">
        <v>25.0</v>
      </c>
      <c r="D178" s="1">
        <v>16.0</v>
      </c>
      <c r="E178" s="1">
        <v>185.0</v>
      </c>
      <c r="F178" s="1">
        <v>1.0</v>
      </c>
      <c r="G178" s="1">
        <v>0.5</v>
      </c>
      <c r="H178" s="1">
        <v>4.0</v>
      </c>
      <c r="I178" s="1">
        <v>22.0</v>
      </c>
      <c r="J178" s="1">
        <v>0.0</v>
      </c>
      <c r="K178" s="1">
        <v>0.0</v>
      </c>
      <c r="L178" s="1">
        <v>12.0</v>
      </c>
      <c r="M178" s="18">
        <f t="shared" si="1"/>
        <v>8.807755474</v>
      </c>
      <c r="N178" s="18">
        <f t="shared" si="2"/>
        <v>1.664528302</v>
      </c>
      <c r="O178" s="30"/>
      <c r="P178" s="30"/>
      <c r="Q178" s="30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B179" s="1" t="s">
        <v>48</v>
      </c>
      <c r="C179" s="1">
        <v>21.0</v>
      </c>
      <c r="D179" s="1">
        <v>13.0</v>
      </c>
      <c r="E179" s="1">
        <v>135.0</v>
      </c>
      <c r="F179" s="1">
        <v>0.9</v>
      </c>
      <c r="G179" s="1">
        <v>1.0</v>
      </c>
      <c r="H179" s="1">
        <v>1.3</v>
      </c>
      <c r="I179" s="1">
        <v>3.7</v>
      </c>
      <c r="J179" s="1">
        <v>0.0</v>
      </c>
      <c r="K179" s="1">
        <v>0.2</v>
      </c>
      <c r="L179" s="1">
        <v>7.0</v>
      </c>
      <c r="M179" s="18">
        <f t="shared" si="1"/>
        <v>6.427281022</v>
      </c>
      <c r="N179" s="18">
        <f t="shared" si="2"/>
        <v>0.2799433962</v>
      </c>
      <c r="O179" s="30"/>
      <c r="P179" s="30"/>
      <c r="Q179" s="30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1" t="s">
        <v>283</v>
      </c>
      <c r="B180" s="1" t="s">
        <v>182</v>
      </c>
      <c r="C180" s="1">
        <v>22.9</v>
      </c>
      <c r="D180" s="1">
        <v>14.9</v>
      </c>
      <c r="E180" s="1">
        <v>156.7</v>
      </c>
      <c r="F180" s="1">
        <v>0.9</v>
      </c>
      <c r="G180" s="1">
        <v>0.8</v>
      </c>
      <c r="H180" s="1">
        <v>2.7</v>
      </c>
      <c r="I180" s="1">
        <v>12.1</v>
      </c>
      <c r="J180" s="1">
        <v>0.0</v>
      </c>
      <c r="K180" s="1">
        <v>0.1</v>
      </c>
      <c r="L180" s="1">
        <v>10.2</v>
      </c>
      <c r="M180" s="18">
        <f t="shared" si="1"/>
        <v>7.460406934</v>
      </c>
      <c r="N180" s="18">
        <f t="shared" si="2"/>
        <v>0.915490566</v>
      </c>
      <c r="O180" s="30">
        <f>MAX(QB!D182*Scoring!$B$30+QB!E182/Scoring!$C$30+QB!F182*Scoring!$D$30+QB!G182*Scoring!$E$30+QB!H182*Scoring!$F$30+QB!I182/Scoring!$G$30+QB!J182*Scoring!$H$30+QB!K182*Scoring!$I$30+M182*Scoring!$J$30+QB!N182*Scoring!$K$30,0)+C182*Scoring!$B$10*0.07+(C182-D182)*Scoring!$B$5</f>
        <v>6.18</v>
      </c>
      <c r="P180" s="30">
        <f>MAX(QB!D180*Scoring!$B$30+QB!E180/Scoring!$C$30+QB!F180*Scoring!$D$30+QB!G180*Scoring!$E$30+QB!H180*Scoring!$F$30+QB!I180/Scoring!$G$30+QB!J180*Scoring!$H$30+QB!K180*Scoring!$I$30+M180*Scoring!$J$30+QB!N180*Scoring!$K$30,0)+C180*Scoring!$B$10*0.07+(C180-D180)*Scoring!$B$5</f>
        <v>7.944</v>
      </c>
      <c r="Q180" s="30">
        <f>MAX(QB!D181*Scoring!$B$30+QB!E181/Scoring!$C$30+QB!F181*Scoring!$D$30+QB!G181*Scoring!$E$30+QB!H181*Scoring!$F$30+QB!I181/Scoring!$G$30+QB!J181*Scoring!$H$30+QB!K181*Scoring!$I$30+M181*Scoring!$J$30+QB!N181*Scoring!$K$30,0)+C181*Scoring!$B$10*0.07+(C181-D181)*Scoring!$B$5</f>
        <v>9.9</v>
      </c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B181" s="1" t="s">
        <v>39</v>
      </c>
      <c r="C181" s="1">
        <v>23.0</v>
      </c>
      <c r="D181" s="1">
        <v>15.0</v>
      </c>
      <c r="E181" s="1">
        <v>160.0</v>
      </c>
      <c r="F181" s="1">
        <v>1.0</v>
      </c>
      <c r="G181" s="1">
        <v>0.5</v>
      </c>
      <c r="H181" s="1">
        <v>4.0</v>
      </c>
      <c r="I181" s="1">
        <v>17.0</v>
      </c>
      <c r="J181" s="1">
        <v>0.0</v>
      </c>
      <c r="K181" s="1">
        <v>0.0</v>
      </c>
      <c r="L181" s="1">
        <v>9.0</v>
      </c>
      <c r="M181" s="18">
        <f t="shared" si="1"/>
        <v>7.617518248</v>
      </c>
      <c r="N181" s="18">
        <f t="shared" si="2"/>
        <v>1.286226415</v>
      </c>
      <c r="O181" s="30"/>
      <c r="P181" s="30"/>
      <c r="Q181" s="30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B182" s="1" t="s">
        <v>48</v>
      </c>
      <c r="C182" s="1">
        <v>22.8</v>
      </c>
      <c r="D182" s="1">
        <v>14.9</v>
      </c>
      <c r="E182" s="1">
        <v>153.5</v>
      </c>
      <c r="F182" s="1">
        <v>0.8</v>
      </c>
      <c r="G182" s="1">
        <v>1.0</v>
      </c>
      <c r="H182" s="1">
        <v>1.3</v>
      </c>
      <c r="I182" s="1">
        <v>7.1</v>
      </c>
      <c r="J182" s="1">
        <v>0.0</v>
      </c>
      <c r="K182" s="1">
        <v>0.2</v>
      </c>
      <c r="L182" s="1">
        <v>7.0</v>
      </c>
      <c r="M182" s="18">
        <f t="shared" si="1"/>
        <v>7.308056569</v>
      </c>
      <c r="N182" s="18">
        <f t="shared" si="2"/>
        <v>0.5371886792</v>
      </c>
      <c r="O182" s="30"/>
      <c r="P182" s="30"/>
      <c r="Q182" s="30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1" t="s">
        <v>285</v>
      </c>
      <c r="B183" s="1" t="s">
        <v>150</v>
      </c>
      <c r="C183" s="1">
        <v>21.9</v>
      </c>
      <c r="D183" s="1">
        <v>13.8</v>
      </c>
      <c r="E183" s="1">
        <v>144.5</v>
      </c>
      <c r="F183" s="1">
        <v>1.1</v>
      </c>
      <c r="G183" s="1">
        <v>0.7</v>
      </c>
      <c r="H183" s="1">
        <v>1.3</v>
      </c>
      <c r="I183" s="1">
        <v>6.9</v>
      </c>
      <c r="J183" s="1">
        <v>0.1</v>
      </c>
      <c r="K183" s="1">
        <v>0.1</v>
      </c>
      <c r="L183" s="1">
        <v>10.2</v>
      </c>
      <c r="M183" s="18">
        <f t="shared" si="1"/>
        <v>6.879571168</v>
      </c>
      <c r="N183" s="18">
        <f t="shared" si="2"/>
        <v>0.5220566038</v>
      </c>
      <c r="O183" s="30">
        <f>MAX(QB!D185*Scoring!$B$30+QB!E185/Scoring!$C$30+QB!F185*Scoring!$D$30+QB!G185*Scoring!$E$30+QB!H185*Scoring!$F$30+QB!I185/Scoring!$G$30+QB!J185*Scoring!$H$30+QB!K185*Scoring!$I$30+M185*Scoring!$J$30+QB!N185*Scoring!$K$30,0)+C185*Scoring!$B$10*0.07+(C185-D185)*Scoring!$B$5</f>
        <v>9.18</v>
      </c>
      <c r="P183" s="30">
        <f>MAX(QB!D183*Scoring!$B$30+QB!E183/Scoring!$C$30+QB!F183*Scoring!$D$30+QB!G183*Scoring!$E$30+QB!H183*Scoring!$F$30+QB!I183/Scoring!$G$30+QB!J183*Scoring!$H$30+QB!K183*Scoring!$I$30+M183*Scoring!$J$30+QB!N183*Scoring!$K$30,0)+C183*Scoring!$B$10*0.07+(C183-D183)*Scoring!$B$5</f>
        <v>9.18</v>
      </c>
      <c r="Q183" s="30">
        <f>MAX(QB!D184*Scoring!$B$30+QB!E184/Scoring!$C$30+QB!F184*Scoring!$D$30+QB!G184*Scoring!$E$30+QB!H184*Scoring!$F$30+QB!I184/Scoring!$G$30+QB!J184*Scoring!$H$30+QB!K184*Scoring!$I$30+M184*Scoring!$J$30+QB!N184*Scoring!$K$30,0)+C184*Scoring!$B$10*0.07+(C184-D184)*Scoring!$B$5</f>
        <v>9.18</v>
      </c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B184" s="1" t="s">
        <v>39</v>
      </c>
      <c r="C184" s="1">
        <v>21.9</v>
      </c>
      <c r="D184" s="1">
        <v>13.8</v>
      </c>
      <c r="E184" s="1">
        <v>144.5</v>
      </c>
      <c r="F184" s="1">
        <v>1.1</v>
      </c>
      <c r="G184" s="1">
        <v>0.7</v>
      </c>
      <c r="H184" s="1">
        <v>1.3</v>
      </c>
      <c r="I184" s="1">
        <v>6.9</v>
      </c>
      <c r="J184" s="1">
        <v>0.1</v>
      </c>
      <c r="K184" s="1">
        <v>0.1</v>
      </c>
      <c r="L184" s="1">
        <v>9.6</v>
      </c>
      <c r="M184" s="18">
        <f t="shared" si="1"/>
        <v>6.879571168</v>
      </c>
      <c r="N184" s="18">
        <f t="shared" si="2"/>
        <v>0.5220566038</v>
      </c>
      <c r="O184" s="30"/>
      <c r="P184" s="30"/>
      <c r="Q184" s="30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B185" s="1" t="s">
        <v>48</v>
      </c>
      <c r="C185" s="1">
        <v>21.9</v>
      </c>
      <c r="D185" s="1">
        <v>13.8</v>
      </c>
      <c r="E185" s="1">
        <v>144.5</v>
      </c>
      <c r="F185" s="1">
        <v>1.1</v>
      </c>
      <c r="G185" s="1">
        <v>0.7</v>
      </c>
      <c r="H185" s="1">
        <v>1.3</v>
      </c>
      <c r="I185" s="1">
        <v>6.9</v>
      </c>
      <c r="J185" s="1">
        <v>0.1</v>
      </c>
      <c r="K185" s="1">
        <v>0.1</v>
      </c>
      <c r="L185" s="1">
        <v>9.6</v>
      </c>
      <c r="M185" s="18">
        <f t="shared" si="1"/>
        <v>6.879571168</v>
      </c>
      <c r="N185" s="18">
        <f t="shared" si="2"/>
        <v>0.5220566038</v>
      </c>
      <c r="O185" s="30"/>
      <c r="P185" s="30"/>
      <c r="Q185" s="30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1" t="s">
        <v>288</v>
      </c>
      <c r="B186" s="1" t="s">
        <v>202</v>
      </c>
      <c r="C186" s="1">
        <v>20.6</v>
      </c>
      <c r="D186" s="1">
        <v>13.0</v>
      </c>
      <c r="E186" s="1">
        <v>146.7</v>
      </c>
      <c r="F186" s="1">
        <v>0.9</v>
      </c>
      <c r="G186" s="1">
        <v>0.8</v>
      </c>
      <c r="H186" s="1">
        <v>3.1</v>
      </c>
      <c r="I186" s="1">
        <v>13.1</v>
      </c>
      <c r="J186" s="1">
        <v>0.0</v>
      </c>
      <c r="K186" s="1">
        <v>0.1</v>
      </c>
      <c r="L186" s="1">
        <v>10.0</v>
      </c>
      <c r="M186" s="18">
        <f t="shared" si="1"/>
        <v>6.984312044</v>
      </c>
      <c r="N186" s="18">
        <f t="shared" si="2"/>
        <v>0.9911509434</v>
      </c>
      <c r="O186" s="30">
        <f>MAX(QB!D188*Scoring!$B$30+QB!E188/Scoring!$C$30+QB!F188*Scoring!$D$30+QB!G188*Scoring!$E$30+QB!H188*Scoring!$F$30+QB!I188/Scoring!$G$30+QB!J188*Scoring!$H$30+QB!K188*Scoring!$I$30+M188*Scoring!$J$30+QB!N188*Scoring!$K$30,0)+C188*Scoring!$B$10*0.07+(C188-D188)*Scoring!$B$5</f>
        <v>5.606</v>
      </c>
      <c r="P186" s="30">
        <f>MAX(QB!D186*Scoring!$B$30+QB!E186/Scoring!$C$30+QB!F186*Scoring!$D$30+QB!G186*Scoring!$E$30+QB!H186*Scoring!$F$30+QB!I186/Scoring!$G$30+QB!J186*Scoring!$H$30+QB!K186*Scoring!$I$30+M186*Scoring!$J$30+QB!N186*Scoring!$K$30,0)+C186*Scoring!$B$10*0.07+(C186-D186)*Scoring!$B$5</f>
        <v>7.844</v>
      </c>
      <c r="Q186" s="30">
        <f>MAX(QB!D187*Scoring!$B$30+QB!E187/Scoring!$C$30+QB!F187*Scoring!$D$30+QB!G187*Scoring!$E$30+QB!H187*Scoring!$F$30+QB!I187/Scoring!$G$30+QB!J187*Scoring!$H$30+QB!K187*Scoring!$I$30+M187*Scoring!$J$30+QB!N187*Scoring!$K$30,0)+C187*Scoring!$B$10*0.07+(C187-D187)*Scoring!$B$5</f>
        <v>10.68</v>
      </c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B187" s="1" t="s">
        <v>39</v>
      </c>
      <c r="C187" s="1">
        <v>21.2</v>
      </c>
      <c r="D187" s="1">
        <v>13.0</v>
      </c>
      <c r="E187" s="1">
        <v>159.0</v>
      </c>
      <c r="F187" s="1">
        <v>1.0</v>
      </c>
      <c r="G187" s="1">
        <v>0.6</v>
      </c>
      <c r="H187" s="1">
        <v>5.0</v>
      </c>
      <c r="I187" s="1">
        <v>21.0</v>
      </c>
      <c r="J187" s="1">
        <v>0.1</v>
      </c>
      <c r="K187" s="1">
        <v>0.0</v>
      </c>
      <c r="L187" s="1">
        <v>8.0</v>
      </c>
      <c r="M187" s="18">
        <f t="shared" si="1"/>
        <v>7.569908759</v>
      </c>
      <c r="N187" s="18">
        <f t="shared" si="2"/>
        <v>1.588867925</v>
      </c>
      <c r="O187" s="30"/>
      <c r="P187" s="30"/>
      <c r="Q187" s="30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B188" s="1" t="s">
        <v>48</v>
      </c>
      <c r="C188" s="1">
        <v>20.0</v>
      </c>
      <c r="D188" s="1">
        <v>12.9</v>
      </c>
      <c r="E188" s="1">
        <v>134.3</v>
      </c>
      <c r="F188" s="1">
        <v>0.8</v>
      </c>
      <c r="G188" s="1">
        <v>1.0</v>
      </c>
      <c r="H188" s="1">
        <v>1.2</v>
      </c>
      <c r="I188" s="1">
        <v>5.2</v>
      </c>
      <c r="J188" s="1">
        <v>0.0</v>
      </c>
      <c r="K188" s="1">
        <v>0.2</v>
      </c>
      <c r="L188" s="1">
        <v>7.0</v>
      </c>
      <c r="M188" s="18">
        <f t="shared" si="1"/>
        <v>6.39395438</v>
      </c>
      <c r="N188" s="18">
        <f t="shared" si="2"/>
        <v>0.3934339623</v>
      </c>
      <c r="O188" s="30"/>
      <c r="P188" s="30"/>
      <c r="Q188" s="30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1" t="s">
        <v>289</v>
      </c>
      <c r="B189" s="1" t="s">
        <v>117</v>
      </c>
      <c r="C189" s="1">
        <v>19.0</v>
      </c>
      <c r="D189" s="1">
        <v>13.0</v>
      </c>
      <c r="E189" s="1">
        <v>140.0</v>
      </c>
      <c r="F189" s="1">
        <v>1.0</v>
      </c>
      <c r="G189" s="1">
        <v>0.0</v>
      </c>
      <c r="H189" s="1">
        <v>5.0</v>
      </c>
      <c r="I189" s="1">
        <v>23.0</v>
      </c>
      <c r="J189" s="1">
        <v>0.0</v>
      </c>
      <c r="K189" s="1">
        <v>1.0</v>
      </c>
      <c r="L189" s="1">
        <v>9.9</v>
      </c>
      <c r="M189" s="18">
        <f t="shared" si="1"/>
        <v>6.665328467</v>
      </c>
      <c r="N189" s="18">
        <f t="shared" si="2"/>
        <v>1.740188679</v>
      </c>
      <c r="O189" s="30">
        <f>MAX(QB!D191*Scoring!$B$30+QB!E191/Scoring!$C$30+QB!F191*Scoring!$D$30+QB!G191*Scoring!$E$30+QB!H191*Scoring!$F$30+QB!I191/Scoring!$G$30+QB!J191*Scoring!$H$30+QB!K191*Scoring!$I$30+M191*Scoring!$J$30+QB!N191*Scoring!$K$30,0)+C191*Scoring!$B$10*0.07+(C191-D191)*Scoring!$B$5</f>
        <v>9.1</v>
      </c>
      <c r="P189" s="30">
        <f>MAX(QB!D189*Scoring!$B$30+QB!E189/Scoring!$C$30+QB!F189*Scoring!$D$30+QB!G189*Scoring!$E$30+QB!H189*Scoring!$F$30+QB!I189/Scoring!$G$30+QB!J189*Scoring!$H$30+QB!K189*Scoring!$I$30+M189*Scoring!$J$30+QB!N189*Scoring!$K$30,0)+C189*Scoring!$B$10*0.07+(C189-D189)*Scoring!$B$5</f>
        <v>9.1</v>
      </c>
      <c r="Q189" s="30">
        <f>MAX(QB!D190*Scoring!$B$30+QB!E190/Scoring!$C$30+QB!F190*Scoring!$D$30+QB!G190*Scoring!$E$30+QB!H190*Scoring!$F$30+QB!I190/Scoring!$G$30+QB!J190*Scoring!$H$30+QB!K190*Scoring!$I$30+M190*Scoring!$J$30+QB!N190*Scoring!$K$30,0)+C190*Scoring!$B$10*0.07+(C190-D190)*Scoring!$B$5</f>
        <v>9.1</v>
      </c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B190" s="1" t="s">
        <v>39</v>
      </c>
      <c r="C190" s="1">
        <v>19.0</v>
      </c>
      <c r="D190" s="1">
        <v>13.0</v>
      </c>
      <c r="E190" s="1">
        <v>140.0</v>
      </c>
      <c r="F190" s="1">
        <v>1.0</v>
      </c>
      <c r="G190" s="1">
        <v>0.0</v>
      </c>
      <c r="H190" s="1">
        <v>5.0</v>
      </c>
      <c r="I190" s="1">
        <v>23.0</v>
      </c>
      <c r="J190" s="1">
        <v>0.0</v>
      </c>
      <c r="K190" s="1">
        <v>1.0</v>
      </c>
      <c r="L190" s="1">
        <v>7.0</v>
      </c>
      <c r="M190" s="18">
        <f t="shared" si="1"/>
        <v>6.665328467</v>
      </c>
      <c r="N190" s="18">
        <f t="shared" si="2"/>
        <v>1.740188679</v>
      </c>
      <c r="O190" s="30"/>
      <c r="P190" s="30"/>
      <c r="Q190" s="30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B191" s="1" t="s">
        <v>48</v>
      </c>
      <c r="C191" s="1">
        <v>19.0</v>
      </c>
      <c r="D191" s="1">
        <v>13.0</v>
      </c>
      <c r="E191" s="1">
        <v>140.0</v>
      </c>
      <c r="F191" s="1">
        <v>1.0</v>
      </c>
      <c r="G191" s="1">
        <v>0.0</v>
      </c>
      <c r="H191" s="1">
        <v>5.0</v>
      </c>
      <c r="I191" s="1">
        <v>23.0</v>
      </c>
      <c r="J191" s="1">
        <v>0.0</v>
      </c>
      <c r="K191" s="1">
        <v>1.0</v>
      </c>
      <c r="L191" s="1">
        <v>7.0</v>
      </c>
      <c r="M191" s="18">
        <f t="shared" si="1"/>
        <v>6.665328467</v>
      </c>
      <c r="N191" s="18">
        <f t="shared" si="2"/>
        <v>1.740188679</v>
      </c>
      <c r="O191" s="30"/>
      <c r="P191" s="30"/>
      <c r="Q191" s="30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1" t="s">
        <v>291</v>
      </c>
      <c r="B192" s="1" t="s">
        <v>145</v>
      </c>
      <c r="C192" s="1">
        <v>19.3</v>
      </c>
      <c r="D192" s="1">
        <v>13.2</v>
      </c>
      <c r="E192" s="1">
        <v>140.7</v>
      </c>
      <c r="F192" s="1">
        <v>1.1</v>
      </c>
      <c r="G192" s="1">
        <v>0.4</v>
      </c>
      <c r="H192" s="1">
        <v>3.1</v>
      </c>
      <c r="I192" s="1">
        <v>3.7</v>
      </c>
      <c r="J192" s="1">
        <v>0.0</v>
      </c>
      <c r="K192" s="1">
        <v>0.1</v>
      </c>
      <c r="L192" s="1">
        <v>9.8</v>
      </c>
      <c r="M192" s="18">
        <f t="shared" si="1"/>
        <v>6.698655109</v>
      </c>
      <c r="N192" s="18">
        <f t="shared" si="2"/>
        <v>0.2799433962</v>
      </c>
      <c r="O192" s="30">
        <f>MAX(QB!D194*Scoring!$B$30+QB!E194/Scoring!$C$30+QB!F194*Scoring!$D$30+QB!G194*Scoring!$E$30+QB!H194*Scoring!$F$30+QB!I194/Scoring!$G$30+QB!J194*Scoring!$H$30+QB!K194*Scoring!$I$30+M194*Scoring!$J$30+QB!N194*Scoring!$K$30,0)+C194*Scoring!$B$10*0.07+(C194-D194)*Scoring!$B$5</f>
        <v>6.18</v>
      </c>
      <c r="P192" s="30">
        <f>MAX(QB!D192*Scoring!$B$30+QB!E192/Scoring!$C$30+QB!F192*Scoring!$D$30+QB!G192*Scoring!$E$30+QB!H192*Scoring!$F$30+QB!I192/Scoring!$G$30+QB!J192*Scoring!$H$30+QB!K192*Scoring!$I$30+M192*Scoring!$J$30+QB!N192*Scoring!$K$30,0)+C192*Scoring!$B$10*0.07+(C192-D192)*Scoring!$B$5</f>
        <v>8.784</v>
      </c>
      <c r="Q192" s="30">
        <f>MAX(QB!D193*Scoring!$B$30+QB!E193/Scoring!$C$30+QB!F193*Scoring!$D$30+QB!G193*Scoring!$E$30+QB!H193*Scoring!$F$30+QB!I193/Scoring!$G$30+QB!J193*Scoring!$H$30+QB!K193*Scoring!$I$30+M193*Scoring!$J$30+QB!N193*Scoring!$K$30,0)+C193*Scoring!$B$10*0.07+(C193-D193)*Scoring!$B$5</f>
        <v>10.59</v>
      </c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B193" s="1" t="s">
        <v>39</v>
      </c>
      <c r="C193" s="1">
        <v>23.7</v>
      </c>
      <c r="D193" s="1">
        <v>15.4</v>
      </c>
      <c r="E193" s="1">
        <v>179.5</v>
      </c>
      <c r="F193" s="1">
        <v>1.1</v>
      </c>
      <c r="G193" s="1">
        <v>0.0</v>
      </c>
      <c r="H193" s="1">
        <v>5.0</v>
      </c>
      <c r="I193" s="1">
        <v>4.0</v>
      </c>
      <c r="J193" s="1">
        <v>0.0</v>
      </c>
      <c r="K193" s="1">
        <v>0.0</v>
      </c>
      <c r="L193" s="1">
        <v>10.3</v>
      </c>
      <c r="M193" s="18">
        <f t="shared" si="1"/>
        <v>8.545903285</v>
      </c>
      <c r="N193" s="18">
        <f t="shared" si="2"/>
        <v>0.3026415094</v>
      </c>
      <c r="O193" s="30"/>
      <c r="P193" s="30"/>
      <c r="Q193" s="30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B194" s="1" t="s">
        <v>48</v>
      </c>
      <c r="C194" s="1">
        <v>15.0</v>
      </c>
      <c r="D194" s="1">
        <v>11.0</v>
      </c>
      <c r="E194" s="1">
        <v>102.0</v>
      </c>
      <c r="F194" s="1">
        <v>1.0</v>
      </c>
      <c r="G194" s="1">
        <v>0.9</v>
      </c>
      <c r="H194" s="1">
        <v>1.1</v>
      </c>
      <c r="I194" s="1">
        <v>3.4</v>
      </c>
      <c r="J194" s="1">
        <v>0.0</v>
      </c>
      <c r="K194" s="1">
        <v>0.2</v>
      </c>
      <c r="L194" s="1">
        <v>8.0</v>
      </c>
      <c r="M194" s="18">
        <f t="shared" si="1"/>
        <v>4.856167883</v>
      </c>
      <c r="N194" s="18">
        <f t="shared" si="2"/>
        <v>0.257245283</v>
      </c>
      <c r="O194" s="30"/>
      <c r="P194" s="30"/>
      <c r="Q194" s="30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1" t="s">
        <v>293</v>
      </c>
      <c r="B195" s="1" t="s">
        <v>155</v>
      </c>
      <c r="C195" s="1">
        <v>23.0</v>
      </c>
      <c r="D195" s="1">
        <v>14.0</v>
      </c>
      <c r="E195" s="1">
        <v>148.0</v>
      </c>
      <c r="F195" s="1">
        <v>1.0</v>
      </c>
      <c r="G195" s="1">
        <v>0.0</v>
      </c>
      <c r="H195" s="1">
        <v>4.0</v>
      </c>
      <c r="I195" s="1">
        <v>18.0</v>
      </c>
      <c r="J195" s="1">
        <v>0.0</v>
      </c>
      <c r="K195" s="1">
        <v>1.0</v>
      </c>
      <c r="L195" s="1">
        <v>9.7</v>
      </c>
      <c r="M195" s="18">
        <f t="shared" si="1"/>
        <v>7.04620438</v>
      </c>
      <c r="N195" s="18">
        <f t="shared" si="2"/>
        <v>1.361886792</v>
      </c>
      <c r="O195" s="30">
        <f>MAX(QB!D197*Scoring!$B$30+QB!E197/Scoring!$C$30+QB!F197*Scoring!$D$30+QB!G197*Scoring!$E$30+QB!H197*Scoring!$F$30+QB!I197/Scoring!$G$30+QB!J197*Scoring!$H$30+QB!K197*Scoring!$I$30+M197*Scoring!$J$30+QB!N197*Scoring!$K$30,0)+C197*Scoring!$B$10*0.07+(C197-D197)*Scoring!$B$5</f>
        <v>8.76</v>
      </c>
      <c r="P195" s="30">
        <f>MAX(QB!D195*Scoring!$B$30+QB!E195/Scoring!$C$30+QB!F195*Scoring!$D$30+QB!G195*Scoring!$E$30+QB!H195*Scoring!$F$30+QB!I195/Scoring!$G$30+QB!J195*Scoring!$H$30+QB!K195*Scoring!$I$30+M195*Scoring!$J$30+QB!N195*Scoring!$K$30,0)+C195*Scoring!$B$10*0.07+(C195-D195)*Scoring!$B$5</f>
        <v>8.76</v>
      </c>
      <c r="Q195" s="30">
        <f>MAX(QB!D196*Scoring!$B$30+QB!E196/Scoring!$C$30+QB!F196*Scoring!$D$30+QB!G196*Scoring!$E$30+QB!H196*Scoring!$F$30+QB!I196/Scoring!$G$30+QB!J196*Scoring!$H$30+QB!K196*Scoring!$I$30+M196*Scoring!$J$30+QB!N196*Scoring!$K$30,0)+C196*Scoring!$B$10*0.07+(C196-D196)*Scoring!$B$5</f>
        <v>8.76</v>
      </c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B196" s="1" t="s">
        <v>39</v>
      </c>
      <c r="C196" s="1">
        <v>23.0</v>
      </c>
      <c r="D196" s="1">
        <v>14.0</v>
      </c>
      <c r="E196" s="1">
        <v>148.0</v>
      </c>
      <c r="F196" s="1">
        <v>1.0</v>
      </c>
      <c r="G196" s="1">
        <v>0.0</v>
      </c>
      <c r="H196" s="1">
        <v>4.0</v>
      </c>
      <c r="I196" s="1">
        <v>18.0</v>
      </c>
      <c r="J196" s="1">
        <v>0.0</v>
      </c>
      <c r="K196" s="1">
        <v>1.0</v>
      </c>
      <c r="L196" s="1">
        <v>7.0</v>
      </c>
      <c r="M196" s="18">
        <f t="shared" si="1"/>
        <v>7.04620438</v>
      </c>
      <c r="N196" s="18">
        <f t="shared" si="2"/>
        <v>1.361886792</v>
      </c>
      <c r="O196" s="30"/>
      <c r="P196" s="30"/>
      <c r="Q196" s="30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B197" s="1" t="s">
        <v>48</v>
      </c>
      <c r="C197" s="1">
        <v>23.0</v>
      </c>
      <c r="D197" s="1">
        <v>14.0</v>
      </c>
      <c r="E197" s="1">
        <v>148.0</v>
      </c>
      <c r="F197" s="1">
        <v>1.0</v>
      </c>
      <c r="G197" s="1">
        <v>0.0</v>
      </c>
      <c r="H197" s="1">
        <v>4.0</v>
      </c>
      <c r="I197" s="1">
        <v>18.0</v>
      </c>
      <c r="J197" s="1">
        <v>0.0</v>
      </c>
      <c r="K197" s="1">
        <v>1.0</v>
      </c>
      <c r="L197" s="1">
        <v>7.0</v>
      </c>
      <c r="M197" s="18">
        <f t="shared" si="1"/>
        <v>7.04620438</v>
      </c>
      <c r="N197" s="18">
        <f t="shared" si="2"/>
        <v>1.361886792</v>
      </c>
      <c r="O197" s="30"/>
      <c r="P197" s="30"/>
      <c r="Q197" s="30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1" t="s">
        <v>295</v>
      </c>
      <c r="B198" s="1" t="s">
        <v>217</v>
      </c>
      <c r="C198" s="1">
        <v>22.9</v>
      </c>
      <c r="D198" s="1">
        <v>14.3</v>
      </c>
      <c r="E198" s="1">
        <v>147.8</v>
      </c>
      <c r="F198" s="1">
        <v>0.8</v>
      </c>
      <c r="G198" s="1">
        <v>0.3</v>
      </c>
      <c r="H198" s="1">
        <v>2.4</v>
      </c>
      <c r="I198" s="1">
        <v>9.3</v>
      </c>
      <c r="J198" s="1">
        <v>0.0</v>
      </c>
      <c r="K198" s="1">
        <v>0.1</v>
      </c>
      <c r="L198" s="1">
        <v>9.7</v>
      </c>
      <c r="M198" s="18">
        <f t="shared" si="1"/>
        <v>7.036682482</v>
      </c>
      <c r="N198" s="18">
        <f t="shared" si="2"/>
        <v>0.7036415094</v>
      </c>
      <c r="O198" s="30">
        <f>MAX(QB!D200*Scoring!$B$30+QB!E200/Scoring!$C$30+QB!F200*Scoring!$D$30+QB!G200*Scoring!$E$30+QB!H200*Scoring!$F$30+QB!I200/Scoring!$G$30+QB!J200*Scoring!$H$30+QB!K200*Scoring!$I$30+M200*Scoring!$J$30+QB!N200*Scoring!$K$30,0)+C200*Scoring!$B$10*0.07+(C200-D200)*Scoring!$B$5</f>
        <v>5.092</v>
      </c>
      <c r="P198" s="30">
        <f>MAX(QB!D198*Scoring!$B$30+QB!E198/Scoring!$C$30+QB!F198*Scoring!$D$30+QB!G198*Scoring!$E$30+QB!H198*Scoring!$F$30+QB!I198/Scoring!$G$30+QB!J198*Scoring!$H$30+QB!K198*Scoring!$I$30+M198*Scoring!$J$30+QB!N198*Scoring!$K$30,0)+C198*Scoring!$B$10*0.07+(C198-D198)*Scoring!$B$5</f>
        <v>7.886</v>
      </c>
      <c r="Q198" s="30">
        <f>MAX(QB!D199*Scoring!$B$30+QB!E199/Scoring!$C$30+QB!F199*Scoring!$D$30+QB!G199*Scoring!$E$30+QB!H199*Scoring!$F$30+QB!I199/Scoring!$G$30+QB!J199*Scoring!$H$30+QB!K199*Scoring!$I$30+M199*Scoring!$J$30+QB!N199*Scoring!$K$30,0)+C199*Scoring!$B$10*0.07+(C199-D199)*Scoring!$B$5</f>
        <v>10.68</v>
      </c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B199" s="1" t="s">
        <v>39</v>
      </c>
      <c r="C199" s="1">
        <v>24.0</v>
      </c>
      <c r="D199" s="1">
        <v>15.0</v>
      </c>
      <c r="E199" s="1">
        <v>154.0</v>
      </c>
      <c r="F199" s="1">
        <v>1.0</v>
      </c>
      <c r="G199" s="1">
        <v>0.0</v>
      </c>
      <c r="H199" s="1">
        <v>4.0</v>
      </c>
      <c r="I199" s="1">
        <v>16.0</v>
      </c>
      <c r="J199" s="1">
        <v>0.0</v>
      </c>
      <c r="K199" s="1">
        <v>0.0</v>
      </c>
      <c r="L199" s="1">
        <v>8.0</v>
      </c>
      <c r="M199" s="18">
        <f t="shared" si="1"/>
        <v>7.331861314</v>
      </c>
      <c r="N199" s="18">
        <f t="shared" si="2"/>
        <v>1.210566038</v>
      </c>
      <c r="O199" s="30"/>
      <c r="P199" s="30"/>
      <c r="Q199" s="30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B200" s="1" t="s">
        <v>48</v>
      </c>
      <c r="C200" s="1">
        <v>21.7</v>
      </c>
      <c r="D200" s="1">
        <v>13.6</v>
      </c>
      <c r="E200" s="1">
        <v>141.6</v>
      </c>
      <c r="F200" s="1">
        <v>0.6</v>
      </c>
      <c r="G200" s="1">
        <v>0.6</v>
      </c>
      <c r="H200" s="1">
        <v>0.9</v>
      </c>
      <c r="I200" s="1">
        <v>2.6</v>
      </c>
      <c r="J200" s="1">
        <v>0.0</v>
      </c>
      <c r="K200" s="1">
        <v>0.2</v>
      </c>
      <c r="L200" s="1">
        <v>7.2</v>
      </c>
      <c r="M200" s="18">
        <f t="shared" si="1"/>
        <v>6.74150365</v>
      </c>
      <c r="N200" s="18">
        <f t="shared" si="2"/>
        <v>0.1967169811</v>
      </c>
      <c r="O200" s="30"/>
      <c r="P200" s="30"/>
      <c r="Q200" s="30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1" t="s">
        <v>297</v>
      </c>
      <c r="B201" s="1" t="s">
        <v>94</v>
      </c>
      <c r="C201" s="1">
        <v>15.0</v>
      </c>
      <c r="D201" s="1">
        <v>10.0</v>
      </c>
      <c r="E201" s="1">
        <v>118.0</v>
      </c>
      <c r="F201" s="1">
        <v>1.0</v>
      </c>
      <c r="G201" s="1">
        <v>0.0</v>
      </c>
      <c r="H201" s="1">
        <v>2.0</v>
      </c>
      <c r="I201" s="1">
        <v>9.0</v>
      </c>
      <c r="J201" s="1">
        <v>0.0</v>
      </c>
      <c r="K201" s="1">
        <v>0.0</v>
      </c>
      <c r="L201" s="1">
        <v>9.6</v>
      </c>
      <c r="M201" s="18">
        <f t="shared" si="1"/>
        <v>5.617919708</v>
      </c>
      <c r="N201" s="18">
        <f t="shared" si="2"/>
        <v>0.6809433962</v>
      </c>
      <c r="O201" s="30">
        <f>MAX(QB!D203*Scoring!$B$30+QB!E203/Scoring!$C$30+QB!F203*Scoring!$D$30+QB!G203*Scoring!$E$30+QB!H203*Scoring!$F$30+QB!I203/Scoring!$G$30+QB!J203*Scoring!$H$30+QB!K203*Scoring!$I$30+M203*Scoring!$J$30+QB!N203*Scoring!$K$30,0)+C203*Scoring!$B$10*0.07+(C203-D203)*Scoring!$B$5</f>
        <v>9.26</v>
      </c>
      <c r="P201" s="30">
        <f>MAX(QB!D201*Scoring!$B$30+QB!E201/Scoring!$C$30+QB!F201*Scoring!$D$30+QB!G201*Scoring!$E$30+QB!H201*Scoring!$F$30+QB!I201/Scoring!$G$30+QB!J201*Scoring!$H$30+QB!K201*Scoring!$I$30+M201*Scoring!$J$30+QB!N201*Scoring!$K$30,0)+C201*Scoring!$B$10*0.07+(C201-D201)*Scoring!$B$5</f>
        <v>9.26</v>
      </c>
      <c r="Q201" s="30">
        <f>MAX(QB!D202*Scoring!$B$30+QB!E202/Scoring!$C$30+QB!F202*Scoring!$D$30+QB!G202*Scoring!$E$30+QB!H202*Scoring!$F$30+QB!I202/Scoring!$G$30+QB!J202*Scoring!$H$30+QB!K202*Scoring!$I$30+M202*Scoring!$J$30+QB!N202*Scoring!$K$30,0)+C202*Scoring!$B$10*0.07+(C202-D202)*Scoring!$B$5</f>
        <v>9.26</v>
      </c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B202" s="1" t="s">
        <v>39</v>
      </c>
      <c r="C202" s="1">
        <v>15.0</v>
      </c>
      <c r="D202" s="1">
        <v>10.0</v>
      </c>
      <c r="E202" s="1">
        <v>118.0</v>
      </c>
      <c r="F202" s="1">
        <v>1.0</v>
      </c>
      <c r="G202" s="1">
        <v>0.0</v>
      </c>
      <c r="H202" s="1">
        <v>2.0</v>
      </c>
      <c r="I202" s="1">
        <v>9.0</v>
      </c>
      <c r="J202" s="1">
        <v>0.0</v>
      </c>
      <c r="K202" s="1">
        <v>0.0</v>
      </c>
      <c r="L202" s="1">
        <v>8.0</v>
      </c>
      <c r="M202" s="18">
        <f t="shared" si="1"/>
        <v>5.617919708</v>
      </c>
      <c r="N202" s="18">
        <f t="shared" si="2"/>
        <v>0.6809433962</v>
      </c>
      <c r="O202" s="30"/>
      <c r="P202" s="30"/>
      <c r="Q202" s="30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B203" s="1" t="s">
        <v>48</v>
      </c>
      <c r="C203" s="1">
        <v>15.0</v>
      </c>
      <c r="D203" s="1">
        <v>10.0</v>
      </c>
      <c r="E203" s="1">
        <v>118.0</v>
      </c>
      <c r="F203" s="1">
        <v>1.0</v>
      </c>
      <c r="G203" s="1">
        <v>0.0</v>
      </c>
      <c r="H203" s="1">
        <v>2.0</v>
      </c>
      <c r="I203" s="1">
        <v>9.0</v>
      </c>
      <c r="J203" s="1">
        <v>0.0</v>
      </c>
      <c r="K203" s="1">
        <v>0.0</v>
      </c>
      <c r="L203" s="1">
        <v>8.0</v>
      </c>
      <c r="M203" s="18">
        <f t="shared" si="1"/>
        <v>5.617919708</v>
      </c>
      <c r="N203" s="18">
        <f t="shared" si="2"/>
        <v>0.6809433962</v>
      </c>
      <c r="O203" s="30"/>
      <c r="P203" s="30"/>
      <c r="Q203" s="30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1" t="s">
        <v>299</v>
      </c>
      <c r="B204" s="1" t="s">
        <v>210</v>
      </c>
      <c r="C204" s="1">
        <v>20.6</v>
      </c>
      <c r="D204" s="1">
        <v>13.0</v>
      </c>
      <c r="E204" s="1">
        <v>136.8</v>
      </c>
      <c r="F204" s="1">
        <v>0.9</v>
      </c>
      <c r="G204" s="1">
        <v>0.6</v>
      </c>
      <c r="H204" s="1">
        <v>1.8</v>
      </c>
      <c r="I204" s="1">
        <v>8.2</v>
      </c>
      <c r="J204" s="1">
        <v>0.0</v>
      </c>
      <c r="K204" s="1">
        <v>0.1</v>
      </c>
      <c r="L204" s="1">
        <v>9.4</v>
      </c>
      <c r="M204" s="18">
        <f t="shared" si="1"/>
        <v>6.512978102</v>
      </c>
      <c r="N204" s="18">
        <f t="shared" si="2"/>
        <v>0.6204150943</v>
      </c>
      <c r="O204" s="30">
        <f>MAX(QB!D206*Scoring!$B$30+QB!E206/Scoring!$C$30+QB!F206*Scoring!$D$30+QB!G206*Scoring!$E$30+QB!H206*Scoring!$F$30+QB!I206/Scoring!$G$30+QB!J206*Scoring!$H$30+QB!K206*Scoring!$I$30+M206*Scoring!$J$30+QB!N206*Scoring!$K$30,0)+C206*Scoring!$B$10*0.07+(C206-D206)*Scoring!$B$5</f>
        <v>4.87</v>
      </c>
      <c r="P204" s="30">
        <f>MAX(QB!D204*Scoring!$B$30+QB!E204/Scoring!$C$30+QB!F204*Scoring!$D$30+QB!G204*Scoring!$E$30+QB!H204*Scoring!$F$30+QB!I204/Scoring!$G$30+QB!J204*Scoring!$H$30+QB!K204*Scoring!$I$30+M204*Scoring!$J$30+QB!N204*Scoring!$K$30,0)+C204*Scoring!$B$10*0.07+(C204-D204)*Scoring!$B$5</f>
        <v>7.556</v>
      </c>
      <c r="Q204" s="30">
        <f>MAX(QB!D205*Scoring!$B$30+QB!E205/Scoring!$C$30+QB!F205*Scoring!$D$30+QB!G205*Scoring!$E$30+QB!H205*Scoring!$F$30+QB!I205/Scoring!$G$30+QB!J205*Scoring!$H$30+QB!K205*Scoring!$I$30+M205*Scoring!$J$30+QB!N205*Scoring!$K$30,0)+C205*Scoring!$B$10*0.07+(C205-D205)*Scoring!$B$5</f>
        <v>11.04</v>
      </c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B205" s="1" t="s">
        <v>39</v>
      </c>
      <c r="C205" s="1">
        <v>25.0</v>
      </c>
      <c r="D205" s="1">
        <v>16.0</v>
      </c>
      <c r="E205" s="1">
        <v>177.0</v>
      </c>
      <c r="F205" s="1">
        <v>1.0</v>
      </c>
      <c r="G205" s="1">
        <v>0.0</v>
      </c>
      <c r="H205" s="1">
        <v>2.0</v>
      </c>
      <c r="I205" s="1">
        <v>9.0</v>
      </c>
      <c r="J205" s="1">
        <v>0.1</v>
      </c>
      <c r="K205" s="1">
        <v>0.0</v>
      </c>
      <c r="L205" s="1">
        <v>12.0</v>
      </c>
      <c r="M205" s="18">
        <f t="shared" si="1"/>
        <v>8.426879562</v>
      </c>
      <c r="N205" s="18">
        <f t="shared" si="2"/>
        <v>0.6809433962</v>
      </c>
      <c r="O205" s="30"/>
      <c r="P205" s="30"/>
      <c r="Q205" s="30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B206" s="1" t="s">
        <v>48</v>
      </c>
      <c r="C206" s="1">
        <v>15.0</v>
      </c>
      <c r="D206" s="1">
        <v>10.0</v>
      </c>
      <c r="E206" s="1">
        <v>90.0</v>
      </c>
      <c r="F206" s="1">
        <v>0.8</v>
      </c>
      <c r="G206" s="1">
        <v>1.0</v>
      </c>
      <c r="H206" s="1">
        <v>1.5</v>
      </c>
      <c r="I206" s="1">
        <v>6.7</v>
      </c>
      <c r="J206" s="1">
        <v>0.0</v>
      </c>
      <c r="K206" s="1">
        <v>0.2</v>
      </c>
      <c r="L206" s="1">
        <v>7.0</v>
      </c>
      <c r="M206" s="18">
        <f t="shared" si="1"/>
        <v>4.284854015</v>
      </c>
      <c r="N206" s="18">
        <f t="shared" si="2"/>
        <v>0.5069245283</v>
      </c>
      <c r="O206" s="30"/>
      <c r="P206" s="30"/>
      <c r="Q206" s="30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1" t="s">
        <v>301</v>
      </c>
      <c r="B207" s="1" t="s">
        <v>220</v>
      </c>
      <c r="C207" s="1">
        <v>19.5</v>
      </c>
      <c r="D207" s="1">
        <v>12.5</v>
      </c>
      <c r="E207" s="1">
        <v>130.7</v>
      </c>
      <c r="F207" s="1">
        <v>0.9</v>
      </c>
      <c r="G207" s="1">
        <v>0.3</v>
      </c>
      <c r="H207" s="1">
        <v>1.6</v>
      </c>
      <c r="I207" s="1">
        <v>6.8</v>
      </c>
      <c r="J207" s="1">
        <v>0.0</v>
      </c>
      <c r="K207" s="1">
        <v>0.1</v>
      </c>
      <c r="L207" s="1">
        <v>9.4</v>
      </c>
      <c r="M207" s="18">
        <f t="shared" si="1"/>
        <v>6.222560219</v>
      </c>
      <c r="N207" s="18">
        <f t="shared" si="2"/>
        <v>0.514490566</v>
      </c>
      <c r="O207" s="30">
        <f>MAX(QB!D209*Scoring!$B$30+QB!E209/Scoring!$C$30+QB!F209*Scoring!$D$30+QB!G209*Scoring!$E$30+QB!H209*Scoring!$F$30+QB!I209/Scoring!$G$30+QB!J209*Scoring!$H$30+QB!K209*Scoring!$I$30+M209*Scoring!$J$30+QB!N209*Scoring!$K$30,0)+C209*Scoring!$B$10*0.07+(C209-D209)*Scoring!$B$5</f>
        <v>6.59</v>
      </c>
      <c r="P207" s="30">
        <f>MAX(QB!D207*Scoring!$B$30+QB!E207/Scoring!$C$30+QB!F207*Scoring!$D$30+QB!G207*Scoring!$E$30+QB!H207*Scoring!$F$30+QB!I207/Scoring!$G$30+QB!J207*Scoring!$H$30+QB!K207*Scoring!$I$30+M207*Scoring!$J$30+QB!N207*Scoring!$K$30,0)+C207*Scoring!$B$10*0.07+(C207-D207)*Scoring!$B$5</f>
        <v>7.894</v>
      </c>
      <c r="Q207" s="30">
        <f>MAX(QB!D208*Scoring!$B$30+QB!E208/Scoring!$C$30+QB!F208*Scoring!$D$30+QB!G208*Scoring!$E$30+QB!H208*Scoring!$F$30+QB!I208/Scoring!$G$30+QB!J208*Scoring!$H$30+QB!K208*Scoring!$I$30+M208*Scoring!$J$30+QB!N208*Scoring!$K$30,0)+C208*Scoring!$B$10*0.07+(C208-D208)*Scoring!$B$5</f>
        <v>10.606</v>
      </c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B208" s="1" t="s">
        <v>39</v>
      </c>
      <c r="C208" s="1">
        <v>23.0</v>
      </c>
      <c r="D208" s="1">
        <v>14.9</v>
      </c>
      <c r="E208" s="1">
        <v>160.3</v>
      </c>
      <c r="F208" s="1">
        <v>1.0</v>
      </c>
      <c r="G208" s="1">
        <v>0.0</v>
      </c>
      <c r="H208" s="1">
        <v>2.0</v>
      </c>
      <c r="I208" s="1">
        <v>8.0</v>
      </c>
      <c r="J208" s="1">
        <v>0.1</v>
      </c>
      <c r="K208" s="1">
        <v>0.0</v>
      </c>
      <c r="L208" s="1">
        <v>9.5</v>
      </c>
      <c r="M208" s="18">
        <f t="shared" si="1"/>
        <v>7.631801095</v>
      </c>
      <c r="N208" s="18">
        <f t="shared" si="2"/>
        <v>0.6052830189</v>
      </c>
      <c r="O208" s="30"/>
      <c r="P208" s="30"/>
      <c r="Q208" s="30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B209" s="1" t="s">
        <v>48</v>
      </c>
      <c r="C209" s="1">
        <v>16.0</v>
      </c>
      <c r="D209" s="1">
        <v>10.0</v>
      </c>
      <c r="E209" s="1">
        <v>101.0</v>
      </c>
      <c r="F209" s="1">
        <v>0.9</v>
      </c>
      <c r="G209" s="1">
        <v>0.5</v>
      </c>
      <c r="H209" s="1">
        <v>1.3</v>
      </c>
      <c r="I209" s="1">
        <v>5.7</v>
      </c>
      <c r="J209" s="1">
        <v>0.0</v>
      </c>
      <c r="K209" s="1">
        <v>0.2</v>
      </c>
      <c r="L209" s="1">
        <v>7.0</v>
      </c>
      <c r="M209" s="18">
        <f t="shared" si="1"/>
        <v>4.808558394</v>
      </c>
      <c r="N209" s="18">
        <f t="shared" si="2"/>
        <v>0.4312641509</v>
      </c>
      <c r="O209" s="30"/>
      <c r="P209" s="30"/>
      <c r="Q209" s="30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1" t="s">
        <v>303</v>
      </c>
      <c r="B210" s="1" t="s">
        <v>140</v>
      </c>
      <c r="C210" s="1">
        <v>16.0</v>
      </c>
      <c r="D210" s="1">
        <v>11.0</v>
      </c>
      <c r="E210" s="1">
        <v>115.0</v>
      </c>
      <c r="F210" s="1">
        <v>1.0</v>
      </c>
      <c r="G210" s="1">
        <v>0.0</v>
      </c>
      <c r="H210" s="1">
        <v>3.0</v>
      </c>
      <c r="I210" s="1">
        <v>7.0</v>
      </c>
      <c r="J210" s="1">
        <v>0.0</v>
      </c>
      <c r="K210" s="1">
        <v>0.0</v>
      </c>
      <c r="L210" s="1">
        <v>9.3</v>
      </c>
      <c r="M210" s="18">
        <f t="shared" si="1"/>
        <v>5.475091241</v>
      </c>
      <c r="N210" s="18">
        <f t="shared" si="2"/>
        <v>0.5296226415</v>
      </c>
      <c r="O210" s="30">
        <f>MAX(QB!D212*Scoring!$B$30+QB!E212/Scoring!$C$30+QB!F212*Scoring!$D$30+QB!G212*Scoring!$E$30+QB!H212*Scoring!$F$30+QB!I212/Scoring!$G$30+QB!J212*Scoring!$H$30+QB!K212*Scoring!$I$30+M212*Scoring!$J$30+QB!N212*Scoring!$K$30,0)+C212*Scoring!$B$10*0.07+(C212-D212)*Scoring!$B$5</f>
        <v>9</v>
      </c>
      <c r="P210" s="30">
        <f>MAX(QB!D210*Scoring!$B$30+QB!E210/Scoring!$C$30+QB!F210*Scoring!$D$30+QB!G210*Scoring!$E$30+QB!H210*Scoring!$F$30+QB!I210/Scoring!$G$30+QB!J210*Scoring!$H$30+QB!K210*Scoring!$I$30+M210*Scoring!$J$30+QB!N210*Scoring!$K$30,0)+C210*Scoring!$B$10*0.07+(C210-D210)*Scoring!$B$5</f>
        <v>9</v>
      </c>
      <c r="Q210" s="30">
        <f>MAX(QB!D211*Scoring!$B$30+QB!E211/Scoring!$C$30+QB!F211*Scoring!$D$30+QB!G211*Scoring!$E$30+QB!H211*Scoring!$F$30+QB!I211/Scoring!$G$30+QB!J211*Scoring!$H$30+QB!K211*Scoring!$I$30+M211*Scoring!$J$30+QB!N211*Scoring!$K$30,0)+C211*Scoring!$B$10*0.07+(C211-D211)*Scoring!$B$5</f>
        <v>9</v>
      </c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B211" s="1" t="s">
        <v>39</v>
      </c>
      <c r="C211" s="1">
        <v>16.0</v>
      </c>
      <c r="D211" s="1">
        <v>11.0</v>
      </c>
      <c r="E211" s="1">
        <v>115.0</v>
      </c>
      <c r="F211" s="1">
        <v>1.0</v>
      </c>
      <c r="G211" s="1">
        <v>0.0</v>
      </c>
      <c r="H211" s="1">
        <v>3.0</v>
      </c>
      <c r="I211" s="1">
        <v>7.0</v>
      </c>
      <c r="J211" s="1">
        <v>0.0</v>
      </c>
      <c r="K211" s="1">
        <v>0.0</v>
      </c>
      <c r="L211" s="1">
        <v>8.0</v>
      </c>
      <c r="M211" s="18">
        <f t="shared" si="1"/>
        <v>5.475091241</v>
      </c>
      <c r="N211" s="18">
        <f t="shared" si="2"/>
        <v>0.5296226415</v>
      </c>
      <c r="O211" s="30"/>
      <c r="P211" s="30"/>
      <c r="Q211" s="30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B212" s="1" t="s">
        <v>48</v>
      </c>
      <c r="C212" s="1">
        <v>16.0</v>
      </c>
      <c r="D212" s="1">
        <v>11.0</v>
      </c>
      <c r="E212" s="1">
        <v>115.0</v>
      </c>
      <c r="F212" s="1">
        <v>1.0</v>
      </c>
      <c r="G212" s="1">
        <v>0.0</v>
      </c>
      <c r="H212" s="1">
        <v>3.0</v>
      </c>
      <c r="I212" s="1">
        <v>7.0</v>
      </c>
      <c r="J212" s="1">
        <v>0.0</v>
      </c>
      <c r="K212" s="1">
        <v>0.0</v>
      </c>
      <c r="L212" s="1">
        <v>8.0</v>
      </c>
      <c r="M212" s="18">
        <f t="shared" si="1"/>
        <v>5.475091241</v>
      </c>
      <c r="N212" s="18">
        <f t="shared" si="2"/>
        <v>0.5296226415</v>
      </c>
      <c r="O212" s="30"/>
      <c r="P212" s="30"/>
      <c r="Q212" s="30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1" t="s">
        <v>305</v>
      </c>
      <c r="B213" s="1" t="s">
        <v>155</v>
      </c>
      <c r="C213" s="1">
        <v>17.0</v>
      </c>
      <c r="D213" s="1">
        <v>11.0</v>
      </c>
      <c r="E213" s="1">
        <v>111.0</v>
      </c>
      <c r="F213" s="1">
        <v>1.0</v>
      </c>
      <c r="G213" s="1">
        <v>0.0</v>
      </c>
      <c r="H213" s="1">
        <v>2.0</v>
      </c>
      <c r="I213" s="1">
        <v>8.0</v>
      </c>
      <c r="J213" s="1">
        <v>0.0</v>
      </c>
      <c r="K213" s="1">
        <v>0.0</v>
      </c>
      <c r="L213" s="1">
        <v>9.2</v>
      </c>
      <c r="M213" s="18">
        <f t="shared" si="1"/>
        <v>5.284653285</v>
      </c>
      <c r="N213" s="18">
        <f t="shared" si="2"/>
        <v>0.6052830189</v>
      </c>
      <c r="O213" s="30">
        <f>MAX(QB!D215*Scoring!$B$30+QB!E215/Scoring!$C$30+QB!F215*Scoring!$D$30+QB!G215*Scoring!$E$30+QB!H215*Scoring!$F$30+QB!I215/Scoring!$G$30+QB!J215*Scoring!$H$30+QB!K215*Scoring!$I$30+M215*Scoring!$J$30+QB!N215*Scoring!$K$30,0)+C215*Scoring!$B$10*0.07+(C215-D215)*Scoring!$B$5</f>
        <v>9.02</v>
      </c>
      <c r="P213" s="30">
        <f>MAX(QB!D213*Scoring!$B$30+QB!E213/Scoring!$C$30+QB!F213*Scoring!$D$30+QB!G213*Scoring!$E$30+QB!H213*Scoring!$F$30+QB!I213/Scoring!$G$30+QB!J213*Scoring!$H$30+QB!K213*Scoring!$I$30+M213*Scoring!$J$30+QB!N213*Scoring!$K$30,0)+C213*Scoring!$B$10*0.07+(C213-D213)*Scoring!$B$5</f>
        <v>9.02</v>
      </c>
      <c r="Q213" s="30">
        <f>MAX(QB!D214*Scoring!$B$30+QB!E214/Scoring!$C$30+QB!F214*Scoring!$D$30+QB!G214*Scoring!$E$30+QB!H214*Scoring!$F$30+QB!I214/Scoring!$G$30+QB!J214*Scoring!$H$30+QB!K214*Scoring!$I$30+M214*Scoring!$J$30+QB!N214*Scoring!$K$30,0)+C214*Scoring!$B$10*0.07+(C214-D214)*Scoring!$B$5</f>
        <v>9.02</v>
      </c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B214" s="1" t="s">
        <v>39</v>
      </c>
      <c r="C214" s="1">
        <v>17.0</v>
      </c>
      <c r="D214" s="1">
        <v>11.0</v>
      </c>
      <c r="E214" s="1">
        <v>111.0</v>
      </c>
      <c r="F214" s="1">
        <v>1.0</v>
      </c>
      <c r="G214" s="1">
        <v>0.0</v>
      </c>
      <c r="H214" s="1">
        <v>2.0</v>
      </c>
      <c r="I214" s="1">
        <v>8.0</v>
      </c>
      <c r="J214" s="1">
        <v>0.0</v>
      </c>
      <c r="K214" s="1">
        <v>0.0</v>
      </c>
      <c r="L214" s="1">
        <v>8.0</v>
      </c>
      <c r="M214" s="18">
        <f t="shared" si="1"/>
        <v>5.284653285</v>
      </c>
      <c r="N214" s="18">
        <f t="shared" si="2"/>
        <v>0.6052830189</v>
      </c>
      <c r="O214" s="30"/>
      <c r="P214" s="30"/>
      <c r="Q214" s="30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B215" s="1" t="s">
        <v>48</v>
      </c>
      <c r="C215" s="1">
        <v>17.0</v>
      </c>
      <c r="D215" s="1">
        <v>11.0</v>
      </c>
      <c r="E215" s="1">
        <v>111.0</v>
      </c>
      <c r="F215" s="1">
        <v>1.0</v>
      </c>
      <c r="G215" s="1">
        <v>0.0</v>
      </c>
      <c r="H215" s="1">
        <v>2.0</v>
      </c>
      <c r="I215" s="1">
        <v>8.0</v>
      </c>
      <c r="J215" s="1">
        <v>0.0</v>
      </c>
      <c r="K215" s="1">
        <v>0.0</v>
      </c>
      <c r="L215" s="1">
        <v>8.0</v>
      </c>
      <c r="M215" s="18">
        <f t="shared" si="1"/>
        <v>5.284653285</v>
      </c>
      <c r="N215" s="18">
        <f t="shared" si="2"/>
        <v>0.6052830189</v>
      </c>
      <c r="O215" s="30"/>
      <c r="P215" s="30"/>
      <c r="Q215" s="30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1" t="s">
        <v>307</v>
      </c>
      <c r="B216" s="1" t="s">
        <v>117</v>
      </c>
      <c r="C216" s="1">
        <v>14.0</v>
      </c>
      <c r="D216" s="1">
        <v>9.0</v>
      </c>
      <c r="E216" s="1">
        <v>105.0</v>
      </c>
      <c r="F216" s="1">
        <v>1.0</v>
      </c>
      <c r="G216" s="1">
        <v>0.0</v>
      </c>
      <c r="H216" s="1">
        <v>2.0</v>
      </c>
      <c r="I216" s="1">
        <v>10.0</v>
      </c>
      <c r="J216" s="1">
        <v>0.0</v>
      </c>
      <c r="K216" s="1">
        <v>0.0</v>
      </c>
      <c r="L216" s="1">
        <v>9.2</v>
      </c>
      <c r="M216" s="18">
        <f t="shared" si="1"/>
        <v>4.99899635</v>
      </c>
      <c r="N216" s="18">
        <f t="shared" si="2"/>
        <v>0.7566037736</v>
      </c>
      <c r="O216" s="30">
        <f>MAX(QB!D218*Scoring!$B$30+QB!E218/Scoring!$C$30+QB!F218*Scoring!$D$30+QB!G218*Scoring!$E$30+QB!H218*Scoring!$F$30+QB!I218/Scoring!$G$30+QB!J218*Scoring!$H$30+QB!K218*Scoring!$I$30+M218*Scoring!$J$30+QB!N218*Scoring!$K$30,0)+C218*Scoring!$B$10*0.07+(C218-D218)*Scoring!$B$5</f>
        <v>9.1</v>
      </c>
      <c r="P216" s="30">
        <f>MAX(QB!D216*Scoring!$B$30+QB!E216/Scoring!$C$30+QB!F216*Scoring!$D$30+QB!G216*Scoring!$E$30+QB!H216*Scoring!$F$30+QB!I216/Scoring!$G$30+QB!J216*Scoring!$H$30+QB!K216*Scoring!$I$30+M216*Scoring!$J$30+QB!N216*Scoring!$K$30,0)+C216*Scoring!$B$10*0.07+(C216-D216)*Scoring!$B$5</f>
        <v>9.1</v>
      </c>
      <c r="Q216" s="30">
        <f>MAX(QB!D217*Scoring!$B$30+QB!E217/Scoring!$C$30+QB!F217*Scoring!$D$30+QB!G217*Scoring!$E$30+QB!H217*Scoring!$F$30+QB!I217/Scoring!$G$30+QB!J217*Scoring!$H$30+QB!K217*Scoring!$I$30+M217*Scoring!$J$30+QB!N217*Scoring!$K$30,0)+C217*Scoring!$B$10*0.07+(C217-D217)*Scoring!$B$5</f>
        <v>9.1</v>
      </c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B217" s="1" t="s">
        <v>39</v>
      </c>
      <c r="C217" s="1">
        <v>14.0</v>
      </c>
      <c r="D217" s="1">
        <v>9.0</v>
      </c>
      <c r="E217" s="1">
        <v>105.0</v>
      </c>
      <c r="F217" s="1">
        <v>1.0</v>
      </c>
      <c r="G217" s="1">
        <v>0.0</v>
      </c>
      <c r="H217" s="1">
        <v>2.0</v>
      </c>
      <c r="I217" s="1">
        <v>10.0</v>
      </c>
      <c r="J217" s="1">
        <v>0.0</v>
      </c>
      <c r="K217" s="1">
        <v>0.0</v>
      </c>
      <c r="L217" s="1">
        <v>8.0</v>
      </c>
      <c r="M217" s="18">
        <f t="shared" si="1"/>
        <v>4.99899635</v>
      </c>
      <c r="N217" s="18">
        <f t="shared" si="2"/>
        <v>0.7566037736</v>
      </c>
      <c r="O217" s="30"/>
      <c r="P217" s="30"/>
      <c r="Q217" s="30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B218" s="1" t="s">
        <v>48</v>
      </c>
      <c r="C218" s="1">
        <v>14.0</v>
      </c>
      <c r="D218" s="1">
        <v>9.0</v>
      </c>
      <c r="E218" s="1">
        <v>105.0</v>
      </c>
      <c r="F218" s="1">
        <v>1.0</v>
      </c>
      <c r="G218" s="1">
        <v>0.0</v>
      </c>
      <c r="H218" s="1">
        <v>2.0</v>
      </c>
      <c r="I218" s="1">
        <v>10.0</v>
      </c>
      <c r="J218" s="1">
        <v>0.0</v>
      </c>
      <c r="K218" s="1">
        <v>0.0</v>
      </c>
      <c r="L218" s="1">
        <v>8.0</v>
      </c>
      <c r="M218" s="18">
        <f t="shared" si="1"/>
        <v>4.99899635</v>
      </c>
      <c r="N218" s="18">
        <f t="shared" si="2"/>
        <v>0.7566037736</v>
      </c>
      <c r="O218" s="30"/>
      <c r="P218" s="30"/>
      <c r="Q218" s="30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1" t="s">
        <v>309</v>
      </c>
      <c r="B219" s="1" t="s">
        <v>202</v>
      </c>
      <c r="C219" s="1">
        <v>11.0</v>
      </c>
      <c r="D219" s="1">
        <v>7.0</v>
      </c>
      <c r="E219" s="1">
        <v>90.0</v>
      </c>
      <c r="F219" s="1">
        <v>1.0</v>
      </c>
      <c r="G219" s="1">
        <v>0.0</v>
      </c>
      <c r="H219" s="1">
        <v>5.0</v>
      </c>
      <c r="I219" s="1">
        <v>15.0</v>
      </c>
      <c r="J219" s="1">
        <v>0.0</v>
      </c>
      <c r="K219" s="1">
        <v>0.0</v>
      </c>
      <c r="L219" s="1">
        <v>9.1</v>
      </c>
      <c r="M219" s="18">
        <f t="shared" si="1"/>
        <v>4.284854015</v>
      </c>
      <c r="N219" s="18">
        <f t="shared" si="2"/>
        <v>1.13490566</v>
      </c>
      <c r="O219" s="30">
        <f>MAX(QB!D221*Scoring!$B$30+QB!E221/Scoring!$C$30+QB!F221*Scoring!$D$30+QB!G221*Scoring!$E$30+QB!H221*Scoring!$F$30+QB!I221/Scoring!$G$30+QB!J221*Scoring!$H$30+QB!K221*Scoring!$I$30+M221*Scoring!$J$30+QB!N221*Scoring!$K$30,0)+C221*Scoring!$B$10*0.07+(C221-D221)*Scoring!$B$5</f>
        <v>9.3</v>
      </c>
      <c r="P219" s="30">
        <f>MAX(QB!D219*Scoring!$B$30+QB!E219/Scoring!$C$30+QB!F219*Scoring!$D$30+QB!G219*Scoring!$E$30+QB!H219*Scoring!$F$30+QB!I219/Scoring!$G$30+QB!J219*Scoring!$H$30+QB!K219*Scoring!$I$30+M219*Scoring!$J$30+QB!N219*Scoring!$K$30,0)+C219*Scoring!$B$10*0.07+(C219-D219)*Scoring!$B$5</f>
        <v>9.3</v>
      </c>
      <c r="Q219" s="30">
        <f>MAX(QB!D220*Scoring!$B$30+QB!E220/Scoring!$C$30+QB!F220*Scoring!$D$30+QB!G220*Scoring!$E$30+QB!H220*Scoring!$F$30+QB!I220/Scoring!$G$30+QB!J220*Scoring!$H$30+QB!K220*Scoring!$I$30+M220*Scoring!$J$30+QB!N220*Scoring!$K$30,0)+C220*Scoring!$B$10*0.07+(C220-D220)*Scoring!$B$5</f>
        <v>9.3</v>
      </c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B220" s="1" t="s">
        <v>39</v>
      </c>
      <c r="C220" s="1">
        <v>11.0</v>
      </c>
      <c r="D220" s="1">
        <v>7.0</v>
      </c>
      <c r="E220" s="1">
        <v>90.0</v>
      </c>
      <c r="F220" s="1">
        <v>1.0</v>
      </c>
      <c r="G220" s="1">
        <v>0.0</v>
      </c>
      <c r="H220" s="1">
        <v>5.0</v>
      </c>
      <c r="I220" s="1">
        <v>15.0</v>
      </c>
      <c r="J220" s="1">
        <v>0.0</v>
      </c>
      <c r="K220" s="1">
        <v>0.0</v>
      </c>
      <c r="L220" s="1">
        <v>7.0</v>
      </c>
      <c r="M220" s="18">
        <f t="shared" si="1"/>
        <v>4.284854015</v>
      </c>
      <c r="N220" s="18">
        <f t="shared" si="2"/>
        <v>1.13490566</v>
      </c>
      <c r="O220" s="30"/>
      <c r="P220" s="30"/>
      <c r="Q220" s="30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B221" s="1" t="s">
        <v>48</v>
      </c>
      <c r="C221" s="1">
        <v>11.0</v>
      </c>
      <c r="D221" s="1">
        <v>7.0</v>
      </c>
      <c r="E221" s="1">
        <v>90.0</v>
      </c>
      <c r="F221" s="1">
        <v>1.0</v>
      </c>
      <c r="G221" s="1">
        <v>0.0</v>
      </c>
      <c r="H221" s="1">
        <v>5.0</v>
      </c>
      <c r="I221" s="1">
        <v>15.0</v>
      </c>
      <c r="J221" s="1">
        <v>0.0</v>
      </c>
      <c r="K221" s="1">
        <v>0.0</v>
      </c>
      <c r="L221" s="1">
        <v>7.0</v>
      </c>
      <c r="M221" s="18">
        <f t="shared" si="1"/>
        <v>4.284854015</v>
      </c>
      <c r="N221" s="18">
        <f t="shared" si="2"/>
        <v>1.13490566</v>
      </c>
      <c r="O221" s="30"/>
      <c r="P221" s="30"/>
      <c r="Q221" s="30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1" t="s">
        <v>311</v>
      </c>
      <c r="B222" s="1" t="s">
        <v>18</v>
      </c>
      <c r="C222" s="1">
        <v>21.0</v>
      </c>
      <c r="D222" s="1">
        <v>12.4</v>
      </c>
      <c r="E222" s="1">
        <v>138.4</v>
      </c>
      <c r="F222" s="1">
        <v>1.0</v>
      </c>
      <c r="G222" s="1">
        <v>0.6</v>
      </c>
      <c r="H222" s="1">
        <v>2.0</v>
      </c>
      <c r="I222" s="1">
        <v>3.6</v>
      </c>
      <c r="J222" s="1">
        <v>0.0</v>
      </c>
      <c r="K222" s="1">
        <v>0.1</v>
      </c>
      <c r="L222" s="1">
        <v>9.1</v>
      </c>
      <c r="M222" s="18">
        <f t="shared" si="1"/>
        <v>6.589153285</v>
      </c>
      <c r="N222" s="18">
        <f t="shared" si="2"/>
        <v>0.2723773585</v>
      </c>
      <c r="O222" s="30">
        <f>MAX(QB!D224*Scoring!$B$30+QB!E224/Scoring!$C$30+QB!F224*Scoring!$D$30+QB!G224*Scoring!$E$30+QB!H224*Scoring!$F$30+QB!I224/Scoring!$G$30+QB!J224*Scoring!$H$30+QB!K224*Scoring!$I$30+M224*Scoring!$J$30+QB!N224*Scoring!$K$30,0)+C224*Scoring!$B$10*0.07+(C224-D224)*Scoring!$B$5</f>
        <v>5.12</v>
      </c>
      <c r="P222" s="30">
        <f>MAX(QB!D222*Scoring!$B$30+QB!E222/Scoring!$C$30+QB!F222*Scoring!$D$30+QB!G222*Scoring!$E$30+QB!H222*Scoring!$F$30+QB!I222/Scoring!$G$30+QB!J222*Scoring!$H$30+QB!K222*Scoring!$I$30+M222*Scoring!$J$30+QB!N222*Scoring!$K$30,0)+C222*Scoring!$B$10*0.07+(C222-D222)*Scoring!$B$5</f>
        <v>7.728</v>
      </c>
      <c r="Q222" s="30">
        <f>MAX(QB!D223*Scoring!$B$30+QB!E223/Scoring!$C$30+QB!F223*Scoring!$D$30+QB!G223*Scoring!$E$30+QB!H223*Scoring!$F$30+QB!I223/Scoring!$G$30+QB!J223*Scoring!$H$30+QB!K223*Scoring!$I$30+M223*Scoring!$J$30+QB!N223*Scoring!$K$30,0)+C223*Scoring!$B$10*0.07+(C223-D223)*Scoring!$B$5</f>
        <v>10.22</v>
      </c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B223" s="1" t="s">
        <v>39</v>
      </c>
      <c r="C223" s="1">
        <v>26.0</v>
      </c>
      <c r="D223" s="1">
        <v>16.0</v>
      </c>
      <c r="E223" s="1">
        <v>181.0</v>
      </c>
      <c r="F223" s="1">
        <v>1.0</v>
      </c>
      <c r="G223" s="1">
        <v>0.0</v>
      </c>
      <c r="H223" s="1">
        <v>3.0</v>
      </c>
      <c r="I223" s="1">
        <v>6.0</v>
      </c>
      <c r="J223" s="1">
        <v>0.0</v>
      </c>
      <c r="K223" s="1">
        <v>0.0</v>
      </c>
      <c r="L223" s="1">
        <v>11.8</v>
      </c>
      <c r="M223" s="18">
        <f t="shared" si="1"/>
        <v>8.617317518</v>
      </c>
      <c r="N223" s="18">
        <f t="shared" si="2"/>
        <v>0.4539622642</v>
      </c>
      <c r="O223" s="30"/>
      <c r="P223" s="30"/>
      <c r="Q223" s="30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B224" s="1" t="s">
        <v>48</v>
      </c>
      <c r="C224" s="1">
        <v>15.0</v>
      </c>
      <c r="D224" s="1">
        <v>8.0</v>
      </c>
      <c r="E224" s="1">
        <v>96.0</v>
      </c>
      <c r="F224" s="1">
        <v>0.9</v>
      </c>
      <c r="G224" s="1">
        <v>1.0</v>
      </c>
      <c r="H224" s="1">
        <v>1.1</v>
      </c>
      <c r="I224" s="1">
        <v>2.0</v>
      </c>
      <c r="J224" s="1">
        <v>0.0</v>
      </c>
      <c r="K224" s="1">
        <v>0.2</v>
      </c>
      <c r="L224" s="1">
        <v>7.0</v>
      </c>
      <c r="M224" s="18">
        <f t="shared" si="1"/>
        <v>4.570510949</v>
      </c>
      <c r="N224" s="18">
        <f t="shared" si="2"/>
        <v>0.1513207547</v>
      </c>
      <c r="O224" s="30"/>
      <c r="P224" s="30"/>
      <c r="Q224" s="30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1" t="s">
        <v>313</v>
      </c>
      <c r="B225" s="1" t="s">
        <v>214</v>
      </c>
      <c r="C225" s="1">
        <v>23.3</v>
      </c>
      <c r="D225" s="1">
        <v>13.5</v>
      </c>
      <c r="E225" s="1">
        <v>138.6</v>
      </c>
      <c r="F225" s="1">
        <v>0.8</v>
      </c>
      <c r="G225" s="1">
        <v>0.4</v>
      </c>
      <c r="H225" s="1">
        <v>2.6</v>
      </c>
      <c r="I225" s="1">
        <v>4.8</v>
      </c>
      <c r="J225" s="1">
        <v>0.0</v>
      </c>
      <c r="K225" s="1">
        <v>0.1</v>
      </c>
      <c r="L225" s="1">
        <v>9.0</v>
      </c>
      <c r="M225" s="18">
        <f t="shared" si="1"/>
        <v>6.598675182</v>
      </c>
      <c r="N225" s="18">
        <f t="shared" si="2"/>
        <v>0.3631698113</v>
      </c>
      <c r="O225" s="30">
        <f>MAX(QB!D227*Scoring!$B$30+QB!E227/Scoring!$C$30+QB!F227*Scoring!$D$30+QB!G227*Scoring!$E$30+QB!H227*Scoring!$F$30+QB!I227/Scoring!$G$30+QB!J227*Scoring!$H$30+QB!K227*Scoring!$I$30+M227*Scoring!$J$30+QB!N227*Scoring!$K$30,0)+C227*Scoring!$B$10*0.07+(C227-D227)*Scoring!$B$5</f>
        <v>5.31</v>
      </c>
      <c r="P225" s="30">
        <f>MAX(QB!D225*Scoring!$B$30+QB!E225/Scoring!$C$30+QB!F225*Scoring!$D$30+QB!G225*Scoring!$E$30+QB!H225*Scoring!$F$30+QB!I225/Scoring!$G$30+QB!J225*Scoring!$H$30+QB!K225*Scoring!$I$30+M225*Scoring!$J$30+QB!N225*Scoring!$K$30,0)+C225*Scoring!$B$10*0.07+(C225-D225)*Scoring!$B$5</f>
        <v>7.052</v>
      </c>
      <c r="Q225" s="30">
        <f>MAX(QB!D226*Scoring!$B$30+QB!E226/Scoring!$C$30+QB!F226*Scoring!$D$30+QB!G226*Scoring!$E$30+QB!H226*Scoring!$F$30+QB!I226/Scoring!$G$30+QB!J226*Scoring!$H$30+QB!K226*Scoring!$I$30+M226*Scoring!$J$30+QB!N226*Scoring!$K$30,0)+C226*Scoring!$B$10*0.07+(C226-D226)*Scoring!$B$5</f>
        <v>10.384</v>
      </c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B226" s="1" t="s">
        <v>39</v>
      </c>
      <c r="C226" s="1">
        <v>23.6</v>
      </c>
      <c r="D226" s="1">
        <v>15.0</v>
      </c>
      <c r="E226" s="1">
        <v>154.2</v>
      </c>
      <c r="F226" s="1">
        <v>1.0</v>
      </c>
      <c r="G226" s="1">
        <v>0.0</v>
      </c>
      <c r="H226" s="1">
        <v>4.0</v>
      </c>
      <c r="I226" s="1">
        <v>7.0</v>
      </c>
      <c r="J226" s="1">
        <v>0.1</v>
      </c>
      <c r="K226" s="1">
        <v>0.0</v>
      </c>
      <c r="L226" s="1">
        <v>8.0</v>
      </c>
      <c r="M226" s="18">
        <f t="shared" si="1"/>
        <v>7.341383212</v>
      </c>
      <c r="N226" s="18">
        <f t="shared" si="2"/>
        <v>0.5296226415</v>
      </c>
      <c r="O226" s="30"/>
      <c r="P226" s="30"/>
      <c r="Q226" s="30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B227" s="1" t="s">
        <v>48</v>
      </c>
      <c r="C227" s="1">
        <v>23.0</v>
      </c>
      <c r="D227" s="1">
        <v>12.0</v>
      </c>
      <c r="E227" s="1">
        <v>123.0</v>
      </c>
      <c r="F227" s="1">
        <v>0.7</v>
      </c>
      <c r="G227" s="1">
        <v>0.7</v>
      </c>
      <c r="H227" s="1">
        <v>1.1</v>
      </c>
      <c r="I227" s="1">
        <v>2.5</v>
      </c>
      <c r="J227" s="1">
        <v>0.0</v>
      </c>
      <c r="K227" s="1">
        <v>0.1</v>
      </c>
      <c r="L227" s="1">
        <v>7.8</v>
      </c>
      <c r="M227" s="18">
        <f t="shared" si="1"/>
        <v>5.855967153</v>
      </c>
      <c r="N227" s="18">
        <f t="shared" si="2"/>
        <v>0.1891509434</v>
      </c>
      <c r="O227" s="30"/>
      <c r="P227" s="30"/>
      <c r="Q227" s="30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1" t="s">
        <v>314</v>
      </c>
      <c r="B228" s="1" t="s">
        <v>150</v>
      </c>
      <c r="C228" s="1">
        <v>16.3</v>
      </c>
      <c r="D228" s="1">
        <v>10.3</v>
      </c>
      <c r="E228" s="1">
        <v>119.3</v>
      </c>
      <c r="F228" s="1">
        <v>0.7</v>
      </c>
      <c r="G228" s="1">
        <v>0.3</v>
      </c>
      <c r="H228" s="1">
        <v>3.0</v>
      </c>
      <c r="I228" s="1">
        <v>14.3</v>
      </c>
      <c r="J228" s="1">
        <v>0.0</v>
      </c>
      <c r="K228" s="1">
        <v>0.0</v>
      </c>
      <c r="L228" s="1">
        <v>8.5</v>
      </c>
      <c r="M228" s="18">
        <f t="shared" si="1"/>
        <v>5.679812044</v>
      </c>
      <c r="N228" s="18">
        <f t="shared" si="2"/>
        <v>1.081943396</v>
      </c>
      <c r="O228" s="30">
        <f>MAX(QB!D230*Scoring!$B$30+QB!E230/Scoring!$C$30+QB!F230*Scoring!$D$30+QB!G230*Scoring!$E$30+QB!H230*Scoring!$F$30+QB!I230/Scoring!$G$30+QB!J230*Scoring!$H$30+QB!K230*Scoring!$I$30+M230*Scoring!$J$30+QB!N230*Scoring!$K$30,0)+C230*Scoring!$B$10*0.07+(C230-D230)*Scoring!$B$5</f>
        <v>0</v>
      </c>
      <c r="P228" s="30">
        <f>MAX(QB!D228*Scoring!$B$30+QB!E228/Scoring!$C$30+QB!F228*Scoring!$D$30+QB!G228*Scoring!$E$30+QB!H228*Scoring!$F$30+QB!I228/Scoring!$G$30+QB!J228*Scoring!$H$30+QB!K228*Scoring!$I$30+M228*Scoring!$J$30+QB!N228*Scoring!$K$30,0)+C228*Scoring!$B$10*0.07+(C228-D228)*Scoring!$B$5</f>
        <v>7.416</v>
      </c>
      <c r="Q228" s="30">
        <f>MAX(QB!D229*Scoring!$B$30+QB!E229/Scoring!$C$30+QB!F229*Scoring!$D$30+QB!G229*Scoring!$E$30+QB!H229*Scoring!$F$30+QB!I229/Scoring!$G$30+QB!J229*Scoring!$H$30+QB!K229*Scoring!$I$30+M229*Scoring!$J$30+QB!N229*Scoring!$K$30,0)+C229*Scoring!$B$10*0.07+(C229-D229)*Scoring!$B$5</f>
        <v>11.82</v>
      </c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B229" s="1" t="s">
        <v>39</v>
      </c>
      <c r="C229" s="1">
        <v>25.0</v>
      </c>
      <c r="D229" s="1">
        <v>16.0</v>
      </c>
      <c r="E229" s="1">
        <v>181.0</v>
      </c>
      <c r="F229" s="1">
        <v>1.0</v>
      </c>
      <c r="G229" s="1">
        <v>0.0</v>
      </c>
      <c r="H229" s="1">
        <v>5.0</v>
      </c>
      <c r="I229" s="1">
        <v>22.0</v>
      </c>
      <c r="J229" s="1">
        <v>0.0</v>
      </c>
      <c r="K229" s="1">
        <v>0.0</v>
      </c>
      <c r="L229" s="1">
        <v>13.3</v>
      </c>
      <c r="M229" s="18">
        <f t="shared" si="1"/>
        <v>8.617317518</v>
      </c>
      <c r="N229" s="18">
        <f t="shared" si="2"/>
        <v>1.664528302</v>
      </c>
      <c r="O229" s="30"/>
      <c r="P229" s="30"/>
      <c r="Q229" s="30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B230" s="1" t="s">
        <v>48</v>
      </c>
      <c r="C230" s="1">
        <v>0.0</v>
      </c>
      <c r="D230" s="1">
        <v>0.0</v>
      </c>
      <c r="E230" s="1">
        <v>0.0</v>
      </c>
      <c r="F230" s="1">
        <v>0.0</v>
      </c>
      <c r="G230" s="1">
        <v>1.0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8">
        <f t="shared" si="1"/>
        <v>0</v>
      </c>
      <c r="N230" s="18">
        <f t="shared" si="2"/>
        <v>0</v>
      </c>
      <c r="O230" s="30"/>
      <c r="P230" s="30"/>
      <c r="Q230" s="30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1" t="s">
        <v>316</v>
      </c>
      <c r="B231" s="1" t="s">
        <v>220</v>
      </c>
      <c r="C231" s="1">
        <v>14.0</v>
      </c>
      <c r="D231" s="1">
        <v>8.7</v>
      </c>
      <c r="E231" s="1">
        <v>95.7</v>
      </c>
      <c r="F231" s="1">
        <v>0.7</v>
      </c>
      <c r="G231" s="1">
        <v>0.3</v>
      </c>
      <c r="H231" s="1">
        <v>1.3</v>
      </c>
      <c r="I231" s="1">
        <v>5.0</v>
      </c>
      <c r="J231" s="1">
        <v>0.0</v>
      </c>
      <c r="K231" s="1">
        <v>0.0</v>
      </c>
      <c r="L231" s="1">
        <v>6.7</v>
      </c>
      <c r="M231" s="18">
        <f t="shared" si="1"/>
        <v>4.556228102</v>
      </c>
      <c r="N231" s="18">
        <f t="shared" si="2"/>
        <v>0.3783018868</v>
      </c>
      <c r="O231" s="30">
        <f>MAX(QB!D233*Scoring!$B$30+QB!E233/Scoring!$C$30+QB!F233*Scoring!$D$30+QB!G233*Scoring!$E$30+QB!H233*Scoring!$F$30+QB!I233/Scoring!$G$30+QB!J233*Scoring!$H$30+QB!K233*Scoring!$I$30+M233*Scoring!$J$30+QB!N233*Scoring!$K$30,0)+C233*Scoring!$B$10*0.07+(C233-D233)*Scoring!$B$5</f>
        <v>0</v>
      </c>
      <c r="P231" s="30">
        <f>MAX(QB!D231*Scoring!$B$30+QB!E231/Scoring!$C$30+QB!F231*Scoring!$D$30+QB!G231*Scoring!$E$30+QB!H231*Scoring!$F$30+QB!I231/Scoring!$G$30+QB!J231*Scoring!$H$30+QB!K231*Scoring!$I$30+M231*Scoring!$J$30+QB!N231*Scoring!$K$30,0)+C231*Scoring!$B$10*0.07+(C231-D231)*Scoring!$B$5</f>
        <v>6.014</v>
      </c>
      <c r="Q231" s="30">
        <f>MAX(QB!D232*Scoring!$B$30+QB!E232/Scoring!$C$30+QB!F232*Scoring!$D$30+QB!G232*Scoring!$E$30+QB!H232*Scoring!$F$30+QB!I232/Scoring!$G$30+QB!J232*Scoring!$H$30+QB!K232*Scoring!$I$30+M232*Scoring!$J$30+QB!N232*Scoring!$K$30,0)+C232*Scoring!$B$10*0.07+(C232-D232)*Scoring!$B$5</f>
        <v>10.52</v>
      </c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B232" s="1" t="s">
        <v>39</v>
      </c>
      <c r="C232" s="1">
        <v>26.0</v>
      </c>
      <c r="D232" s="1">
        <v>16.0</v>
      </c>
      <c r="E232" s="1">
        <v>186.0</v>
      </c>
      <c r="F232" s="1">
        <v>1.0</v>
      </c>
      <c r="G232" s="1">
        <v>0.0</v>
      </c>
      <c r="H232" s="1">
        <v>2.0</v>
      </c>
      <c r="I232" s="1">
        <v>8.0</v>
      </c>
      <c r="J232" s="1">
        <v>0.0</v>
      </c>
      <c r="K232" s="1">
        <v>0.0</v>
      </c>
      <c r="L232" s="1">
        <v>12.1</v>
      </c>
      <c r="M232" s="18">
        <f t="shared" si="1"/>
        <v>8.855364964</v>
      </c>
      <c r="N232" s="18">
        <f t="shared" si="2"/>
        <v>0.6052830189</v>
      </c>
      <c r="O232" s="30"/>
      <c r="P232" s="30"/>
      <c r="Q232" s="30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B233" s="1" t="s">
        <v>48</v>
      </c>
      <c r="C233" s="1">
        <v>0.0</v>
      </c>
      <c r="D233" s="1">
        <v>0.0</v>
      </c>
      <c r="E233" s="1">
        <v>0.0</v>
      </c>
      <c r="F233" s="1">
        <v>0.0</v>
      </c>
      <c r="G233" s="1">
        <v>1.0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8">
        <f t="shared" si="1"/>
        <v>0</v>
      </c>
      <c r="N233" s="18">
        <f t="shared" si="2"/>
        <v>0</v>
      </c>
      <c r="O233" s="30"/>
      <c r="P233" s="30"/>
      <c r="Q233" s="30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1" t="s">
        <v>318</v>
      </c>
      <c r="B234" s="1" t="s">
        <v>220</v>
      </c>
      <c r="C234" s="1">
        <v>10.5</v>
      </c>
      <c r="D234" s="1">
        <v>6.5</v>
      </c>
      <c r="E234" s="1">
        <v>67.5</v>
      </c>
      <c r="F234" s="1">
        <v>0.5</v>
      </c>
      <c r="G234" s="1">
        <v>0.0</v>
      </c>
      <c r="H234" s="1">
        <v>2.0</v>
      </c>
      <c r="I234" s="1">
        <v>8.5</v>
      </c>
      <c r="J234" s="1">
        <v>0.0</v>
      </c>
      <c r="K234" s="1">
        <v>0.0</v>
      </c>
      <c r="L234" s="1">
        <v>5.6</v>
      </c>
      <c r="M234" s="18">
        <f t="shared" si="1"/>
        <v>3.213640511</v>
      </c>
      <c r="N234" s="18">
        <f t="shared" si="2"/>
        <v>0.6431132075</v>
      </c>
      <c r="O234" s="30">
        <f>MAX(QB!D236*Scoring!$B$30+QB!E236/Scoring!$C$30+QB!F236*Scoring!$D$30+QB!G236*Scoring!$E$30+QB!H236*Scoring!$F$30+QB!I236/Scoring!$G$30+QB!J236*Scoring!$H$30+QB!K236*Scoring!$I$30+M236*Scoring!$J$30+QB!N236*Scoring!$K$30,0)+C236*Scoring!$B$10*0.07+(C236-D236)*Scoring!$B$5</f>
        <v>0</v>
      </c>
      <c r="P234" s="30">
        <f>MAX(QB!D234*Scoring!$B$30+QB!E234/Scoring!$C$30+QB!F234*Scoring!$D$30+QB!G234*Scoring!$E$30+QB!H234*Scoring!$F$30+QB!I234/Scoring!$G$30+QB!J234*Scoring!$H$30+QB!K234*Scoring!$I$30+M234*Scoring!$J$30+QB!N234*Scoring!$K$30,0)+C234*Scoring!$B$10*0.07+(C234-D234)*Scoring!$B$5</f>
        <v>5.2</v>
      </c>
      <c r="Q234" s="30">
        <f>MAX(QB!D235*Scoring!$B$30+QB!E235/Scoring!$C$30+QB!F235*Scoring!$D$30+QB!G235*Scoring!$E$30+QB!H235*Scoring!$F$30+QB!I235/Scoring!$G$30+QB!J235*Scoring!$H$30+QB!K235*Scoring!$I$30+M235*Scoring!$J$30+QB!N235*Scoring!$K$30,0)+C235*Scoring!$B$10*0.07+(C235-D235)*Scoring!$B$5</f>
        <v>10.4</v>
      </c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B235" s="1" t="s">
        <v>39</v>
      </c>
      <c r="C235" s="1">
        <v>21.0</v>
      </c>
      <c r="D235" s="1">
        <v>13.0</v>
      </c>
      <c r="E235" s="1">
        <v>135.0</v>
      </c>
      <c r="F235" s="1">
        <v>1.0</v>
      </c>
      <c r="G235" s="1">
        <v>0.0</v>
      </c>
      <c r="H235" s="1">
        <v>4.0</v>
      </c>
      <c r="I235" s="1">
        <v>17.0</v>
      </c>
      <c r="J235" s="1">
        <v>0.0</v>
      </c>
      <c r="K235" s="1">
        <v>0.0</v>
      </c>
      <c r="L235" s="1">
        <v>9.0</v>
      </c>
      <c r="M235" s="18">
        <f t="shared" si="1"/>
        <v>6.427281022</v>
      </c>
      <c r="N235" s="18">
        <f t="shared" si="2"/>
        <v>1.286226415</v>
      </c>
      <c r="O235" s="30"/>
      <c r="P235" s="30"/>
      <c r="Q235" s="30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B236" s="1" t="s">
        <v>48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8">
        <f t="shared" si="1"/>
        <v>0</v>
      </c>
      <c r="N236" s="18">
        <f t="shared" si="2"/>
        <v>0</v>
      </c>
      <c r="O236" s="30"/>
      <c r="P236" s="30"/>
      <c r="Q236" s="30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1" t="s">
        <v>321</v>
      </c>
      <c r="B237" s="1" t="s">
        <v>210</v>
      </c>
      <c r="C237" s="1">
        <v>10.0</v>
      </c>
      <c r="D237" s="1">
        <v>6.5</v>
      </c>
      <c r="E237" s="1">
        <v>60.0</v>
      </c>
      <c r="F237" s="1">
        <v>0.5</v>
      </c>
      <c r="G237" s="1">
        <v>0.5</v>
      </c>
      <c r="H237" s="1">
        <v>2.0</v>
      </c>
      <c r="I237" s="1">
        <v>10.5</v>
      </c>
      <c r="J237" s="1">
        <v>0.0</v>
      </c>
      <c r="K237" s="1">
        <v>0.0</v>
      </c>
      <c r="L237" s="1">
        <v>5.0</v>
      </c>
      <c r="M237" s="18">
        <f t="shared" si="1"/>
        <v>2.856569343</v>
      </c>
      <c r="N237" s="18">
        <f t="shared" si="2"/>
        <v>0.7944339623</v>
      </c>
      <c r="O237" s="30">
        <f>MAX(QB!D239*Scoring!$B$30+QB!E239/Scoring!$C$30+QB!F239*Scoring!$D$30+QB!G239*Scoring!$E$30+QB!H239*Scoring!$F$30+QB!I239/Scoring!$G$30+QB!J239*Scoring!$H$30+QB!K239*Scoring!$I$30+M239*Scoring!$J$30+QB!N239*Scoring!$K$30,0)+C239*Scoring!$B$10*0.07+(C239-D239)*Scoring!$B$5</f>
        <v>0</v>
      </c>
      <c r="P237" s="30">
        <f>MAX(QB!D237*Scoring!$B$30+QB!E237/Scoring!$C$30+QB!F237*Scoring!$D$30+QB!G237*Scoring!$E$30+QB!H237*Scoring!$F$30+QB!I237/Scoring!$G$30+QB!J237*Scoring!$H$30+QB!K237*Scoring!$I$30+M237*Scoring!$J$30+QB!N237*Scoring!$K$30,0)+C237*Scoring!$B$10*0.07+(C237-D237)*Scoring!$B$5</f>
        <v>4.25</v>
      </c>
      <c r="Q237" s="30">
        <f>MAX(QB!D238*Scoring!$B$30+QB!E238/Scoring!$C$30+QB!F238*Scoring!$D$30+QB!G238*Scoring!$E$30+QB!H238*Scoring!$F$30+QB!I238/Scoring!$G$30+QB!J238*Scoring!$H$30+QB!K238*Scoring!$I$30+M238*Scoring!$J$30+QB!N238*Scoring!$K$30,0)+C238*Scoring!$B$10*0.07+(C238-D238)*Scoring!$B$5</f>
        <v>10.5</v>
      </c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B238" s="1" t="s">
        <v>39</v>
      </c>
      <c r="C238" s="1">
        <v>20.0</v>
      </c>
      <c r="D238" s="1">
        <v>13.0</v>
      </c>
      <c r="E238" s="1">
        <v>120.0</v>
      </c>
      <c r="F238" s="1">
        <v>1.0</v>
      </c>
      <c r="G238" s="1">
        <v>0.0</v>
      </c>
      <c r="H238" s="1">
        <v>4.0</v>
      </c>
      <c r="I238" s="1">
        <v>21.0</v>
      </c>
      <c r="J238" s="1">
        <v>0.0</v>
      </c>
      <c r="K238" s="1">
        <v>0.0</v>
      </c>
      <c r="L238" s="1">
        <v>7.0</v>
      </c>
      <c r="M238" s="18">
        <f t="shared" si="1"/>
        <v>5.713138686</v>
      </c>
      <c r="N238" s="18">
        <f t="shared" si="2"/>
        <v>1.588867925</v>
      </c>
      <c r="O238" s="30"/>
      <c r="P238" s="30"/>
      <c r="Q238" s="30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B239" s="1" t="s">
        <v>48</v>
      </c>
      <c r="C239" s="1">
        <v>0.0</v>
      </c>
      <c r="D239" s="1">
        <v>0.0</v>
      </c>
      <c r="E239" s="1">
        <v>0.0</v>
      </c>
      <c r="F239" s="1">
        <v>0.0</v>
      </c>
      <c r="G239" s="1">
        <v>1.0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8">
        <f t="shared" si="1"/>
        <v>0</v>
      </c>
      <c r="N239" s="18">
        <f t="shared" si="2"/>
        <v>0</v>
      </c>
      <c r="O239" s="30"/>
      <c r="P239" s="30"/>
      <c r="Q239" s="30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1" t="s">
        <v>322</v>
      </c>
      <c r="B240" s="1" t="s">
        <v>127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8">
        <f t="shared" si="1"/>
        <v>0</v>
      </c>
      <c r="N240" s="18">
        <f t="shared" si="2"/>
        <v>0</v>
      </c>
      <c r="O240" s="30">
        <f>MAX(QB!D242*Scoring!$B$30+QB!E242/Scoring!$C$30+QB!F242*Scoring!$D$30+QB!G242*Scoring!$E$30+QB!H242*Scoring!$F$30+QB!I242/Scoring!$G$30+QB!J242*Scoring!$H$30+QB!K242*Scoring!$I$30+M242*Scoring!$J$30+QB!N242*Scoring!$K$30,0)+C242*Scoring!$B$10*0.07+(C242-D242)*Scoring!$B$5</f>
        <v>0</v>
      </c>
      <c r="P240" s="30">
        <f>MAX(QB!D240*Scoring!$B$30+QB!E240/Scoring!$C$30+QB!F240*Scoring!$D$30+QB!G240*Scoring!$E$30+QB!H240*Scoring!$F$30+QB!I240/Scoring!$G$30+QB!J240*Scoring!$H$30+QB!K240*Scoring!$I$30+M240*Scoring!$J$30+QB!N240*Scoring!$K$30,0)+C240*Scoring!$B$10*0.07+(C240-D240)*Scoring!$B$5</f>
        <v>0</v>
      </c>
      <c r="Q240" s="30">
        <f>MAX(QB!D241*Scoring!$B$30+QB!E241/Scoring!$C$30+QB!F241*Scoring!$D$30+QB!G241*Scoring!$E$30+QB!H241*Scoring!$F$30+QB!I241/Scoring!$G$30+QB!J241*Scoring!$H$30+QB!K241*Scoring!$I$30+M241*Scoring!$J$30+QB!N241*Scoring!$K$30,0)+C241*Scoring!$B$10*0.07+(C241-D241)*Scoring!$B$5</f>
        <v>0</v>
      </c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B241" s="1" t="s">
        <v>39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8">
        <f t="shared" si="1"/>
        <v>0</v>
      </c>
      <c r="N241" s="18">
        <f t="shared" si="2"/>
        <v>0</v>
      </c>
      <c r="O241" s="30"/>
      <c r="P241" s="30"/>
      <c r="Q241" s="30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B242" s="1" t="s">
        <v>48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8">
        <f t="shared" si="1"/>
        <v>0</v>
      </c>
      <c r="N242" s="18">
        <f t="shared" si="2"/>
        <v>0</v>
      </c>
      <c r="O242" s="30"/>
      <c r="P242" s="30"/>
      <c r="Q242" s="30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1" t="s">
        <v>324</v>
      </c>
      <c r="B243" s="1" t="s">
        <v>176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8">
        <f t="shared" si="1"/>
        <v>0</v>
      </c>
      <c r="N243" s="18">
        <f t="shared" si="2"/>
        <v>0</v>
      </c>
      <c r="O243" s="30">
        <f>MAX(QB!D245*Scoring!$B$30+QB!E245/Scoring!$C$30+QB!F245*Scoring!$D$30+QB!G245*Scoring!$E$30+QB!H245*Scoring!$F$30+QB!I245/Scoring!$G$30+QB!J245*Scoring!$H$30+QB!K245*Scoring!$I$30+M245*Scoring!$J$30+QB!N245*Scoring!$K$30,0)+C245*Scoring!$B$10*0.07+(C245-D245)*Scoring!$B$5</f>
        <v>0</v>
      </c>
      <c r="P243" s="30">
        <f>MAX(QB!D243*Scoring!$B$30+QB!E243/Scoring!$C$30+QB!F243*Scoring!$D$30+QB!G243*Scoring!$E$30+QB!H243*Scoring!$F$30+QB!I243/Scoring!$G$30+QB!J243*Scoring!$H$30+QB!K243*Scoring!$I$30+M243*Scoring!$J$30+QB!N243*Scoring!$K$30,0)+C243*Scoring!$B$10*0.07+(C243-D243)*Scoring!$B$5</f>
        <v>0</v>
      </c>
      <c r="Q243" s="30">
        <f>MAX(QB!D244*Scoring!$B$30+QB!E244/Scoring!$C$30+QB!F244*Scoring!$D$30+QB!G244*Scoring!$E$30+QB!H244*Scoring!$F$30+QB!I244/Scoring!$G$30+QB!J244*Scoring!$H$30+QB!K244*Scoring!$I$30+M244*Scoring!$J$30+QB!N244*Scoring!$K$30,0)+C244*Scoring!$B$10*0.07+(C244-D244)*Scoring!$B$5</f>
        <v>0</v>
      </c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B244" s="1" t="s">
        <v>39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8">
        <f t="shared" si="1"/>
        <v>0</v>
      </c>
      <c r="N244" s="18">
        <f t="shared" si="2"/>
        <v>0</v>
      </c>
      <c r="O244" s="30"/>
      <c r="P244" s="30"/>
      <c r="Q244" s="30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B245" s="1" t="s">
        <v>48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8">
        <f t="shared" si="1"/>
        <v>0</v>
      </c>
      <c r="N245" s="18">
        <f t="shared" si="2"/>
        <v>0</v>
      </c>
      <c r="O245" s="30"/>
      <c r="P245" s="30"/>
      <c r="Q245" s="30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1" t="s">
        <v>326</v>
      </c>
      <c r="B246" s="1" t="s">
        <v>222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8">
        <f t="shared" si="1"/>
        <v>0</v>
      </c>
      <c r="N246" s="18">
        <f t="shared" si="2"/>
        <v>0</v>
      </c>
      <c r="O246" s="30">
        <f>MAX(QB!D248*Scoring!$B$30+QB!E248/Scoring!$C$30+QB!F248*Scoring!$D$30+QB!G248*Scoring!$E$30+QB!H248*Scoring!$F$30+QB!I248/Scoring!$G$30+QB!J248*Scoring!$H$30+QB!K248*Scoring!$I$30+M248*Scoring!$J$30+QB!N248*Scoring!$K$30,0)+C248*Scoring!$B$10*0.07+(C248-D248)*Scoring!$B$5</f>
        <v>0</v>
      </c>
      <c r="P246" s="30">
        <f>MAX(QB!D246*Scoring!$B$30+QB!E246/Scoring!$C$30+QB!F246*Scoring!$D$30+QB!G246*Scoring!$E$30+QB!H246*Scoring!$F$30+QB!I246/Scoring!$G$30+QB!J246*Scoring!$H$30+QB!K246*Scoring!$I$30+M246*Scoring!$J$30+QB!N246*Scoring!$K$30,0)+C246*Scoring!$B$10*0.07+(C246-D246)*Scoring!$B$5</f>
        <v>0</v>
      </c>
      <c r="Q246" s="30">
        <f>MAX(QB!D247*Scoring!$B$30+QB!E247/Scoring!$C$30+QB!F247*Scoring!$D$30+QB!G247*Scoring!$E$30+QB!H247*Scoring!$F$30+QB!I247/Scoring!$G$30+QB!J247*Scoring!$H$30+QB!K247*Scoring!$I$30+M247*Scoring!$J$30+QB!N247*Scoring!$K$30,0)+C247*Scoring!$B$10*0.07+(C247-D247)*Scoring!$B$5</f>
        <v>0</v>
      </c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B247" s="1" t="s">
        <v>39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8">
        <f t="shared" si="1"/>
        <v>0</v>
      </c>
      <c r="N247" s="18">
        <f t="shared" si="2"/>
        <v>0</v>
      </c>
      <c r="O247" s="30"/>
      <c r="P247" s="30"/>
      <c r="Q247" s="30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B248" s="1" t="s">
        <v>48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8">
        <f t="shared" si="1"/>
        <v>0</v>
      </c>
      <c r="N248" s="18">
        <f t="shared" si="2"/>
        <v>0</v>
      </c>
      <c r="O248" s="30"/>
      <c r="P248" s="30"/>
      <c r="Q248" s="30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M249" s="18">
        <f t="shared" si="1"/>
        <v>0</v>
      </c>
      <c r="N249" s="18">
        <f t="shared" si="2"/>
        <v>0</v>
      </c>
      <c r="O249" s="30">
        <f>MAX(QB!D251*Scoring!$B$30+QB!E251/Scoring!$C$30+QB!F251*Scoring!$D$30+QB!G251*Scoring!$E$30+QB!H251*Scoring!$F$30+QB!I251/Scoring!$G$30+QB!J251*Scoring!$H$30+QB!K251*Scoring!$I$30+M251*Scoring!$J$30+QB!N251*Scoring!$K$30,0)+C251*Scoring!$B$10*0.07+(C251-D251)*Scoring!$B$5</f>
        <v>0</v>
      </c>
      <c r="P249" s="30">
        <f>MAX(QB!D249*Scoring!$B$30+QB!E249/Scoring!$C$30+QB!F249*Scoring!$D$30+QB!G249*Scoring!$E$30+QB!H249*Scoring!$F$30+QB!I249/Scoring!$G$30+QB!J249*Scoring!$H$30+QB!K249*Scoring!$I$30+M249*Scoring!$J$30+QB!N249*Scoring!$K$30,0)+C249*Scoring!$B$10*0.07+(C249-D249)*Scoring!$B$5</f>
        <v>0</v>
      </c>
      <c r="Q249" s="30">
        <f>MAX(QB!D250*Scoring!$B$30+QB!E250/Scoring!$C$30+QB!F250*Scoring!$D$30+QB!G250*Scoring!$E$30+QB!H250*Scoring!$F$30+QB!I250/Scoring!$G$30+QB!J250*Scoring!$H$30+QB!K250*Scoring!$I$30+M250*Scoring!$J$30+QB!N250*Scoring!$K$30,0)+C250*Scoring!$B$10*0.07+(C250-D250)*Scoring!$B$5</f>
        <v>0</v>
      </c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M250" s="18">
        <f t="shared" si="1"/>
        <v>0</v>
      </c>
      <c r="N250" s="18">
        <f t="shared" si="2"/>
        <v>0</v>
      </c>
      <c r="O250" s="30"/>
      <c r="P250" s="30"/>
      <c r="Q250" s="30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M251" s="18">
        <f t="shared" si="1"/>
        <v>0</v>
      </c>
      <c r="N251" s="18">
        <f t="shared" si="2"/>
        <v>0</v>
      </c>
      <c r="O251" s="30"/>
      <c r="P251" s="30"/>
      <c r="Q251" s="30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M252" s="18">
        <f t="shared" si="1"/>
        <v>0</v>
      </c>
      <c r="N252" s="18">
        <f t="shared" si="2"/>
        <v>0</v>
      </c>
      <c r="O252" s="30">
        <f>MAX(QB!D254*Scoring!$B$30+QB!E254/Scoring!$C$30+QB!F254*Scoring!$D$30+QB!G254*Scoring!$E$30+QB!H254*Scoring!$F$30+QB!I254/Scoring!$G$30+QB!J254*Scoring!$H$30+QB!K254*Scoring!$I$30+M254*Scoring!$J$30+QB!N254*Scoring!$K$30,0)+C254*Scoring!$B$10*0.07+(C254-D254)*Scoring!$B$5</f>
        <v>0</v>
      </c>
      <c r="P252" s="30">
        <f>MAX(QB!D252*Scoring!$B$30+QB!E252/Scoring!$C$30+QB!F252*Scoring!$D$30+QB!G252*Scoring!$E$30+QB!H252*Scoring!$F$30+QB!I252/Scoring!$G$30+QB!J252*Scoring!$H$30+QB!K252*Scoring!$I$30+M252*Scoring!$J$30+QB!N252*Scoring!$K$30,0)+C252*Scoring!$B$10*0.07+(C252-D252)*Scoring!$B$5</f>
        <v>0</v>
      </c>
      <c r="Q252" s="30">
        <f>MAX(QB!D253*Scoring!$B$30+QB!E253/Scoring!$C$30+QB!F253*Scoring!$D$30+QB!G253*Scoring!$E$30+QB!H253*Scoring!$F$30+QB!I253/Scoring!$G$30+QB!J253*Scoring!$H$30+QB!K253*Scoring!$I$30+M253*Scoring!$J$30+QB!N253*Scoring!$K$30,0)+C253*Scoring!$B$10*0.07+(C253-D253)*Scoring!$B$5</f>
        <v>0</v>
      </c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M253" s="18">
        <f t="shared" si="1"/>
        <v>0</v>
      </c>
      <c r="N253" s="18">
        <f t="shared" si="2"/>
        <v>0</v>
      </c>
      <c r="O253" s="30"/>
      <c r="P253" s="30"/>
      <c r="Q253" s="30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M254" s="18">
        <f t="shared" si="1"/>
        <v>0</v>
      </c>
      <c r="N254" s="18">
        <f t="shared" si="2"/>
        <v>0</v>
      </c>
      <c r="O254" s="30"/>
      <c r="P254" s="30"/>
      <c r="Q254" s="30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M255" s="18">
        <f t="shared" si="1"/>
        <v>0</v>
      </c>
      <c r="N255" s="18">
        <f t="shared" si="2"/>
        <v>0</v>
      </c>
      <c r="O255" s="30">
        <f>MAX(QB!D257*Scoring!$B$30+QB!E257/Scoring!$C$30+QB!F257*Scoring!$D$30+QB!G257*Scoring!$E$30+QB!H257*Scoring!$F$30+QB!I257/Scoring!$G$30+QB!J257*Scoring!$H$30+QB!K257*Scoring!$I$30+M257*Scoring!$J$30+QB!N257*Scoring!$K$30,0)+C257*Scoring!$B$10*0.07+(C257-D257)*Scoring!$B$5</f>
        <v>0</v>
      </c>
      <c r="P255" s="30">
        <f>MAX(QB!D255*Scoring!$B$30+QB!E255/Scoring!$C$30+QB!F255*Scoring!$D$30+QB!G255*Scoring!$E$30+QB!H255*Scoring!$F$30+QB!I255/Scoring!$G$30+QB!J255*Scoring!$H$30+QB!K255*Scoring!$I$30+M255*Scoring!$J$30+QB!N255*Scoring!$K$30,0)+C255*Scoring!$B$10*0.07+(C255-D255)*Scoring!$B$5</f>
        <v>0</v>
      </c>
      <c r="Q255" s="30">
        <f>MAX(QB!D256*Scoring!$B$30+QB!E256/Scoring!$C$30+QB!F256*Scoring!$D$30+QB!G256*Scoring!$E$30+QB!H256*Scoring!$F$30+QB!I256/Scoring!$G$30+QB!J256*Scoring!$H$30+QB!K256*Scoring!$I$30+M256*Scoring!$J$30+QB!N256*Scoring!$K$30,0)+C256*Scoring!$B$10*0.07+(C256-D256)*Scoring!$B$5</f>
        <v>0</v>
      </c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M256" s="18">
        <f t="shared" si="1"/>
        <v>0</v>
      </c>
      <c r="N256" s="18">
        <f t="shared" si="2"/>
        <v>0</v>
      </c>
      <c r="O256" s="30"/>
      <c r="P256" s="30"/>
      <c r="Q256" s="30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M257" s="18">
        <f t="shared" si="1"/>
        <v>0</v>
      </c>
      <c r="N257" s="18">
        <f t="shared" si="2"/>
        <v>0</v>
      </c>
      <c r="O257" s="30"/>
      <c r="P257" s="30"/>
      <c r="Q257" s="30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M258" s="18">
        <f t="shared" si="1"/>
        <v>0</v>
      </c>
      <c r="N258" s="18">
        <f t="shared" si="2"/>
        <v>0</v>
      </c>
      <c r="O258" s="30">
        <f>MAX(QB!D260*Scoring!$B$30+QB!E260/Scoring!$C$30+QB!F260*Scoring!$D$30+QB!G260*Scoring!$E$30+QB!H260*Scoring!$F$30+QB!I260/Scoring!$G$30+QB!J260*Scoring!$H$30+QB!K260*Scoring!$I$30+M260*Scoring!$J$30+QB!N260*Scoring!$K$30,0)+C260*Scoring!$B$10*0.07+(C260-D260)*Scoring!$B$5</f>
        <v>0</v>
      </c>
      <c r="P258" s="30">
        <f>MAX(QB!D258*Scoring!$B$30+QB!E258/Scoring!$C$30+QB!F258*Scoring!$D$30+QB!G258*Scoring!$E$30+QB!H258*Scoring!$F$30+QB!I258/Scoring!$G$30+QB!J258*Scoring!$H$30+QB!K258*Scoring!$I$30+M258*Scoring!$J$30+QB!N258*Scoring!$K$30,0)+C258*Scoring!$B$10*0.07+(C258-D258)*Scoring!$B$5</f>
        <v>0</v>
      </c>
      <c r="Q258" s="30">
        <f>MAX(QB!D259*Scoring!$B$30+QB!E259/Scoring!$C$30+QB!F259*Scoring!$D$30+QB!G259*Scoring!$E$30+QB!H259*Scoring!$F$30+QB!I259/Scoring!$G$30+QB!J259*Scoring!$H$30+QB!K259*Scoring!$I$30+M259*Scoring!$J$30+QB!N259*Scoring!$K$30,0)+C259*Scoring!$B$10*0.07+(C259-D259)*Scoring!$B$5</f>
        <v>0</v>
      </c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M259" s="18">
        <f t="shared" si="1"/>
        <v>0</v>
      </c>
      <c r="N259" s="18">
        <f t="shared" si="2"/>
        <v>0</v>
      </c>
      <c r="O259" s="30"/>
      <c r="P259" s="30"/>
      <c r="Q259" s="30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M260" s="18">
        <f t="shared" si="1"/>
        <v>0</v>
      </c>
      <c r="N260" s="18">
        <f t="shared" si="2"/>
        <v>0</v>
      </c>
      <c r="O260" s="30"/>
      <c r="P260" s="30"/>
      <c r="Q260" s="30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M261" s="18">
        <f t="shared" si="1"/>
        <v>0</v>
      </c>
      <c r="N261" s="18">
        <f t="shared" si="2"/>
        <v>0</v>
      </c>
      <c r="O261" s="30">
        <f>MAX(QB!D263*Scoring!$B$30+QB!E263/Scoring!$C$30+QB!F263*Scoring!$D$30+QB!G263*Scoring!$E$30+QB!H263*Scoring!$F$30+QB!I263/Scoring!$G$30+QB!J263*Scoring!$H$30+QB!K263*Scoring!$I$30+M263*Scoring!$J$30+QB!N263*Scoring!$K$30,0)+C263*Scoring!$B$10*0.07+(C263-D263)*Scoring!$B$5</f>
        <v>0</v>
      </c>
      <c r="P261" s="30">
        <f>MAX(QB!D261*Scoring!$B$30+QB!E261/Scoring!$C$30+QB!F261*Scoring!$D$30+QB!G261*Scoring!$E$30+QB!H261*Scoring!$F$30+QB!I261/Scoring!$G$30+QB!J261*Scoring!$H$30+QB!K261*Scoring!$I$30+M261*Scoring!$J$30+QB!N261*Scoring!$K$30,0)+C261*Scoring!$B$10*0.07+(C261-D261)*Scoring!$B$5</f>
        <v>0</v>
      </c>
      <c r="Q261" s="30">
        <f>MAX(QB!D262*Scoring!$B$30+QB!E262/Scoring!$C$30+QB!F262*Scoring!$D$30+QB!G262*Scoring!$E$30+QB!H262*Scoring!$F$30+QB!I262/Scoring!$G$30+QB!J262*Scoring!$H$30+QB!K262*Scoring!$I$30+M262*Scoring!$J$30+QB!N262*Scoring!$K$30,0)+C262*Scoring!$B$10*0.07+(C262-D262)*Scoring!$B$5</f>
        <v>0</v>
      </c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M262" s="18">
        <f t="shared" si="1"/>
        <v>0</v>
      </c>
      <c r="N262" s="18">
        <f t="shared" si="2"/>
        <v>0</v>
      </c>
      <c r="O262" s="30"/>
      <c r="P262" s="30"/>
      <c r="Q262" s="30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M263" s="18">
        <f t="shared" si="1"/>
        <v>0</v>
      </c>
      <c r="N263" s="18">
        <f t="shared" si="2"/>
        <v>0</v>
      </c>
      <c r="O263" s="30"/>
      <c r="P263" s="30"/>
      <c r="Q263" s="30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M264" s="18">
        <f t="shared" si="1"/>
        <v>0</v>
      </c>
      <c r="N264" s="18">
        <f t="shared" si="2"/>
        <v>0</v>
      </c>
      <c r="O264" s="30">
        <f>MAX(QB!D266*Scoring!$B$30+QB!E266/Scoring!$C$30+QB!F266*Scoring!$D$30+QB!G266*Scoring!$E$30+QB!H266*Scoring!$F$30+QB!I266/Scoring!$G$30+QB!J266*Scoring!$H$30+QB!K266*Scoring!$I$30+M266*Scoring!$J$30+QB!N266*Scoring!$K$30,0)+C266*Scoring!$B$10*0.07+(C266-D266)*Scoring!$B$5</f>
        <v>0</v>
      </c>
      <c r="P264" s="30">
        <f>MAX(QB!D264*Scoring!$B$30+QB!E264/Scoring!$C$30+QB!F264*Scoring!$D$30+QB!G264*Scoring!$E$30+QB!H264*Scoring!$F$30+QB!I264/Scoring!$G$30+QB!J264*Scoring!$H$30+QB!K264*Scoring!$I$30+M264*Scoring!$J$30+QB!N264*Scoring!$K$30,0)+C264*Scoring!$B$10*0.07+(C264-D264)*Scoring!$B$5</f>
        <v>0</v>
      </c>
      <c r="Q264" s="30">
        <f>MAX(QB!D265*Scoring!$B$30+QB!E265/Scoring!$C$30+QB!F265*Scoring!$D$30+QB!G265*Scoring!$E$30+QB!H265*Scoring!$F$30+QB!I265/Scoring!$G$30+QB!J265*Scoring!$H$30+QB!K265*Scoring!$I$30+M265*Scoring!$J$30+QB!N265*Scoring!$K$30,0)+C265*Scoring!$B$10*0.07+(C265-D265)*Scoring!$B$5</f>
        <v>0</v>
      </c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M265" s="18">
        <f t="shared" si="1"/>
        <v>0</v>
      </c>
      <c r="N265" s="18">
        <f t="shared" si="2"/>
        <v>0</v>
      </c>
      <c r="O265" s="30"/>
      <c r="P265" s="30"/>
      <c r="Q265" s="30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M266" s="18">
        <f t="shared" si="1"/>
        <v>0</v>
      </c>
      <c r="N266" s="18">
        <f t="shared" si="2"/>
        <v>0</v>
      </c>
      <c r="O266" s="30"/>
      <c r="P266" s="30"/>
      <c r="Q266" s="30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M267" s="18">
        <f t="shared" si="1"/>
        <v>0</v>
      </c>
      <c r="N267" s="18">
        <f t="shared" si="2"/>
        <v>0</v>
      </c>
      <c r="O267" s="30">
        <f>MAX(QB!D269*Scoring!$B$30+QB!E269/Scoring!$C$30+QB!F269*Scoring!$D$30+QB!G269*Scoring!$E$30+QB!H269*Scoring!$F$30+QB!I269/Scoring!$G$30+QB!J269*Scoring!$H$30+QB!K269*Scoring!$I$30+M269*Scoring!$J$30+QB!N269*Scoring!$K$30,0)+C269*Scoring!$B$10*0.07+(C269-D269)*Scoring!$B$5</f>
        <v>0</v>
      </c>
      <c r="P267" s="30">
        <f>MAX(QB!D267*Scoring!$B$30+QB!E267/Scoring!$C$30+QB!F267*Scoring!$D$30+QB!G267*Scoring!$E$30+QB!H267*Scoring!$F$30+QB!I267/Scoring!$G$30+QB!J267*Scoring!$H$30+QB!K267*Scoring!$I$30+M267*Scoring!$J$30+QB!N267*Scoring!$K$30,0)+C267*Scoring!$B$10*0.07+(C267-D267)*Scoring!$B$5</f>
        <v>0</v>
      </c>
      <c r="Q267" s="30">
        <f>MAX(QB!D268*Scoring!$B$30+QB!E268/Scoring!$C$30+QB!F268*Scoring!$D$30+QB!G268*Scoring!$E$30+QB!H268*Scoring!$F$30+QB!I268/Scoring!$G$30+QB!J268*Scoring!$H$30+QB!K268*Scoring!$I$30+M268*Scoring!$J$30+QB!N268*Scoring!$K$30,0)+C268*Scoring!$B$10*0.07+(C268-D268)*Scoring!$B$5</f>
        <v>0</v>
      </c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M268" s="18">
        <f t="shared" si="1"/>
        <v>0</v>
      </c>
      <c r="N268" s="18">
        <f t="shared" si="2"/>
        <v>0</v>
      </c>
      <c r="O268" s="30"/>
      <c r="P268" s="30"/>
      <c r="Q268" s="30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M269" s="18">
        <f t="shared" si="1"/>
        <v>0</v>
      </c>
      <c r="N269" s="18">
        <f t="shared" si="2"/>
        <v>0</v>
      </c>
      <c r="O269" s="30"/>
      <c r="P269" s="30"/>
      <c r="Q269" s="30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M270" s="18">
        <f t="shared" si="1"/>
        <v>0</v>
      </c>
      <c r="N270" s="18">
        <f t="shared" si="2"/>
        <v>0</v>
      </c>
      <c r="O270" s="30">
        <f>MAX(QB!D272*Scoring!$B$30+QB!E272/Scoring!$C$30+QB!F272*Scoring!$D$30+QB!G272*Scoring!$E$30+QB!H272*Scoring!$F$30+QB!I272/Scoring!$G$30+QB!J272*Scoring!$H$30+QB!K272*Scoring!$I$30+M272*Scoring!$J$30+QB!N272*Scoring!$K$30,0)+C272*Scoring!$B$10*0.07+(C272-D272)*Scoring!$B$5</f>
        <v>0</v>
      </c>
      <c r="P270" s="30">
        <f>MAX(QB!D270*Scoring!$B$30+QB!E270/Scoring!$C$30+QB!F270*Scoring!$D$30+QB!G270*Scoring!$E$30+QB!H270*Scoring!$F$30+QB!I270/Scoring!$G$30+QB!J270*Scoring!$H$30+QB!K270*Scoring!$I$30+M270*Scoring!$J$30+QB!N270*Scoring!$K$30,0)+C270*Scoring!$B$10*0.07+(C270-D270)*Scoring!$B$5</f>
        <v>0</v>
      </c>
      <c r="Q270" s="30">
        <f>MAX(QB!D271*Scoring!$B$30+QB!E271/Scoring!$C$30+QB!F271*Scoring!$D$30+QB!G271*Scoring!$E$30+QB!H271*Scoring!$F$30+QB!I271/Scoring!$G$30+QB!J271*Scoring!$H$30+QB!K271*Scoring!$I$30+M271*Scoring!$J$30+QB!N271*Scoring!$K$30,0)+C271*Scoring!$B$10*0.07+(C271-D271)*Scoring!$B$5</f>
        <v>0</v>
      </c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M271" s="18">
        <f t="shared" si="1"/>
        <v>0</v>
      </c>
      <c r="N271" s="18">
        <f t="shared" si="2"/>
        <v>0</v>
      </c>
      <c r="O271" s="30"/>
      <c r="P271" s="30"/>
      <c r="Q271" s="30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M272" s="18">
        <f t="shared" si="1"/>
        <v>0</v>
      </c>
      <c r="N272" s="18">
        <f t="shared" si="2"/>
        <v>0</v>
      </c>
      <c r="O272" s="30"/>
      <c r="P272" s="30"/>
      <c r="Q272" s="30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M273" s="18">
        <f t="shared" si="1"/>
        <v>0</v>
      </c>
      <c r="N273" s="18">
        <f t="shared" si="2"/>
        <v>0</v>
      </c>
      <c r="O273" s="30">
        <f>MAX(QB!D275*Scoring!$B$30+QB!E275/Scoring!$C$30+QB!F275*Scoring!$D$30+QB!G275*Scoring!$E$30+QB!H275*Scoring!$F$30+QB!I275/Scoring!$G$30+QB!J275*Scoring!$H$30+QB!K275*Scoring!$I$30+M275*Scoring!$J$30+QB!N275*Scoring!$K$30,0)+C275*Scoring!$B$10*0.07+(C275-D275)*Scoring!$B$5</f>
        <v>0</v>
      </c>
      <c r="P273" s="30">
        <f>MAX(QB!D273*Scoring!$B$30+QB!E273/Scoring!$C$30+QB!F273*Scoring!$D$30+QB!G273*Scoring!$E$30+QB!H273*Scoring!$F$30+QB!I273/Scoring!$G$30+QB!J273*Scoring!$H$30+QB!K273*Scoring!$I$30+M273*Scoring!$J$30+QB!N273*Scoring!$K$30,0)+C273*Scoring!$B$10*0.07+(C273-D273)*Scoring!$B$5</f>
        <v>0</v>
      </c>
      <c r="Q273" s="30">
        <f>MAX(QB!D274*Scoring!$B$30+QB!E274/Scoring!$C$30+QB!F274*Scoring!$D$30+QB!G274*Scoring!$E$30+QB!H274*Scoring!$F$30+QB!I274/Scoring!$G$30+QB!J274*Scoring!$H$30+QB!K274*Scoring!$I$30+M274*Scoring!$J$30+QB!N274*Scoring!$K$30,0)+C274*Scoring!$B$10*0.07+(C274-D274)*Scoring!$B$5</f>
        <v>0</v>
      </c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M274" s="18">
        <f t="shared" si="1"/>
        <v>0</v>
      </c>
      <c r="N274" s="18">
        <f t="shared" si="2"/>
        <v>0</v>
      </c>
      <c r="O274" s="30"/>
      <c r="P274" s="30"/>
      <c r="Q274" s="30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M275" s="18">
        <f t="shared" si="1"/>
        <v>0</v>
      </c>
      <c r="N275" s="18">
        <f t="shared" si="2"/>
        <v>0</v>
      </c>
      <c r="O275" s="30"/>
      <c r="P275" s="30"/>
      <c r="Q275" s="30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M276" s="18">
        <f t="shared" si="1"/>
        <v>0</v>
      </c>
      <c r="N276" s="18">
        <f t="shared" si="2"/>
        <v>0</v>
      </c>
      <c r="O276" s="30">
        <f>MAX(QB!D278*Scoring!$B$30+QB!E278/Scoring!$C$30+QB!F278*Scoring!$D$30+QB!G278*Scoring!$E$30+QB!H278*Scoring!$F$30+QB!I278/Scoring!$G$30+QB!J278*Scoring!$H$30+QB!K278*Scoring!$I$30+M278*Scoring!$J$30+QB!N278*Scoring!$K$30,0)+C278*Scoring!$B$10*0.07+(C278-D278)*Scoring!$B$5</f>
        <v>0</v>
      </c>
      <c r="P276" s="30">
        <f>MAX(QB!D276*Scoring!$B$30+QB!E276/Scoring!$C$30+QB!F276*Scoring!$D$30+QB!G276*Scoring!$E$30+QB!H276*Scoring!$F$30+QB!I276/Scoring!$G$30+QB!J276*Scoring!$H$30+QB!K276*Scoring!$I$30+M276*Scoring!$J$30+QB!N276*Scoring!$K$30,0)+C276*Scoring!$B$10*0.07+(C276-D276)*Scoring!$B$5</f>
        <v>0</v>
      </c>
      <c r="Q276" s="30">
        <f>MAX(QB!D277*Scoring!$B$30+QB!E277/Scoring!$C$30+QB!F277*Scoring!$D$30+QB!G277*Scoring!$E$30+QB!H277*Scoring!$F$30+QB!I277/Scoring!$G$30+QB!J277*Scoring!$H$30+QB!K277*Scoring!$I$30+M277*Scoring!$J$30+QB!N277*Scoring!$K$30,0)+C277*Scoring!$B$10*0.07+(C277-D277)*Scoring!$B$5</f>
        <v>0</v>
      </c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M277" s="18">
        <f t="shared" si="1"/>
        <v>0</v>
      </c>
      <c r="N277" s="18">
        <f t="shared" si="2"/>
        <v>0</v>
      </c>
      <c r="O277" s="30"/>
      <c r="P277" s="30"/>
      <c r="Q277" s="30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M278" s="18">
        <f t="shared" si="1"/>
        <v>0</v>
      </c>
      <c r="N278" s="18">
        <f t="shared" si="2"/>
        <v>0</v>
      </c>
      <c r="O278" s="30"/>
      <c r="P278" s="30"/>
      <c r="Q278" s="30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M279" s="18">
        <f t="shared" si="1"/>
        <v>0</v>
      </c>
      <c r="N279" s="18">
        <f t="shared" si="2"/>
        <v>0</v>
      </c>
      <c r="O279" s="30">
        <f>MAX(QB!D281*Scoring!$B$30+QB!E281/Scoring!$C$30+QB!F281*Scoring!$D$30+QB!G281*Scoring!$E$30+QB!H281*Scoring!$F$30+QB!I281/Scoring!$G$30+QB!J281*Scoring!$H$30+QB!K281*Scoring!$I$30+M281*Scoring!$J$30+QB!N281*Scoring!$K$30,0)+C281*Scoring!$B$10*0.07+(C281-D281)*Scoring!$B$5</f>
        <v>0</v>
      </c>
      <c r="P279" s="30">
        <f>MAX(QB!D279*Scoring!$B$30+QB!E279/Scoring!$C$30+QB!F279*Scoring!$D$30+QB!G279*Scoring!$E$30+QB!H279*Scoring!$F$30+QB!I279/Scoring!$G$30+QB!J279*Scoring!$H$30+QB!K279*Scoring!$I$30+M279*Scoring!$J$30+QB!N279*Scoring!$K$30,0)+C279*Scoring!$B$10*0.07+(C279-D279)*Scoring!$B$5</f>
        <v>0</v>
      </c>
      <c r="Q279" s="30">
        <f>MAX(QB!D280*Scoring!$B$30+QB!E280/Scoring!$C$30+QB!F280*Scoring!$D$30+QB!G280*Scoring!$E$30+QB!H280*Scoring!$F$30+QB!I280/Scoring!$G$30+QB!J280*Scoring!$H$30+QB!K280*Scoring!$I$30+M280*Scoring!$J$30+QB!N280*Scoring!$K$30,0)+C280*Scoring!$B$10*0.07+(C280-D280)*Scoring!$B$5</f>
        <v>0</v>
      </c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M280" s="18">
        <f t="shared" si="1"/>
        <v>0</v>
      </c>
      <c r="N280" s="18">
        <f t="shared" si="2"/>
        <v>0</v>
      </c>
      <c r="O280" s="30"/>
      <c r="P280" s="30"/>
      <c r="Q280" s="30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M281" s="18">
        <f t="shared" si="1"/>
        <v>0</v>
      </c>
      <c r="N281" s="18">
        <f t="shared" si="2"/>
        <v>0</v>
      </c>
      <c r="O281" s="30"/>
      <c r="P281" s="30"/>
      <c r="Q281" s="30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M282" s="18">
        <f t="shared" si="1"/>
        <v>0</v>
      </c>
      <c r="N282" s="18">
        <f t="shared" si="2"/>
        <v>0</v>
      </c>
      <c r="O282" s="30">
        <f>MAX(QB!D284*Scoring!$B$30+QB!E284/Scoring!$C$30+QB!F284*Scoring!$D$30+QB!G284*Scoring!$E$30+QB!H284*Scoring!$F$30+QB!I284/Scoring!$G$30+QB!J284*Scoring!$H$30+QB!K284*Scoring!$I$30+M284*Scoring!$J$30+QB!N284*Scoring!$K$30,0)+C284*Scoring!$B$10*0.07+(C284-D284)*Scoring!$B$5</f>
        <v>0</v>
      </c>
      <c r="P282" s="30">
        <f>MAX(QB!D282*Scoring!$B$30+QB!E282/Scoring!$C$30+QB!F282*Scoring!$D$30+QB!G282*Scoring!$E$30+QB!H282*Scoring!$F$30+QB!I282/Scoring!$G$30+QB!J282*Scoring!$H$30+QB!K282*Scoring!$I$30+M282*Scoring!$J$30+QB!N282*Scoring!$K$30,0)+C282*Scoring!$B$10*0.07+(C282-D282)*Scoring!$B$5</f>
        <v>0</v>
      </c>
      <c r="Q282" s="30">
        <f>MAX(QB!D283*Scoring!$B$30+QB!E283/Scoring!$C$30+QB!F283*Scoring!$D$30+QB!G283*Scoring!$E$30+QB!H283*Scoring!$F$30+QB!I283/Scoring!$G$30+QB!J283*Scoring!$H$30+QB!K283*Scoring!$I$30+M283*Scoring!$J$30+QB!N283*Scoring!$K$30,0)+C283*Scoring!$B$10*0.07+(C283-D283)*Scoring!$B$5</f>
        <v>0</v>
      </c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M283" s="18">
        <f t="shared" si="1"/>
        <v>0</v>
      </c>
      <c r="N283" s="18">
        <f t="shared" si="2"/>
        <v>0</v>
      </c>
      <c r="O283" s="30"/>
      <c r="P283" s="30"/>
      <c r="Q283" s="30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M284" s="18">
        <f t="shared" si="1"/>
        <v>0</v>
      </c>
      <c r="N284" s="18">
        <f t="shared" si="2"/>
        <v>0</v>
      </c>
      <c r="O284" s="30"/>
      <c r="P284" s="30"/>
      <c r="Q284" s="30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M285" s="18">
        <f t="shared" si="1"/>
        <v>0</v>
      </c>
      <c r="N285" s="18">
        <f t="shared" si="2"/>
        <v>0</v>
      </c>
      <c r="O285" s="30">
        <f>MAX(QB!D287*Scoring!$B$30+QB!E287/Scoring!$C$30+QB!F287*Scoring!$D$30+QB!G287*Scoring!$E$30+QB!H287*Scoring!$F$30+QB!I287/Scoring!$G$30+QB!J287*Scoring!$H$30+QB!K287*Scoring!$I$30+M287*Scoring!$J$30+QB!N287*Scoring!$K$30,0)+C287*Scoring!$B$10*0.07+(C287-D287)*Scoring!$B$5</f>
        <v>0</v>
      </c>
      <c r="P285" s="30">
        <f>MAX(QB!D285*Scoring!$B$30+QB!E285/Scoring!$C$30+QB!F285*Scoring!$D$30+QB!G285*Scoring!$E$30+QB!H285*Scoring!$F$30+QB!I285/Scoring!$G$30+QB!J285*Scoring!$H$30+QB!K285*Scoring!$I$30+M285*Scoring!$J$30+QB!N285*Scoring!$K$30,0)+C285*Scoring!$B$10*0.07+(C285-D285)*Scoring!$B$5</f>
        <v>0</v>
      </c>
      <c r="Q285" s="30">
        <f>MAX(QB!D286*Scoring!$B$30+QB!E286/Scoring!$C$30+QB!F286*Scoring!$D$30+QB!G286*Scoring!$E$30+QB!H286*Scoring!$F$30+QB!I286/Scoring!$G$30+QB!J286*Scoring!$H$30+QB!K286*Scoring!$I$30+M286*Scoring!$J$30+QB!N286*Scoring!$K$30,0)+C286*Scoring!$B$10*0.07+(C286-D286)*Scoring!$B$5</f>
        <v>0</v>
      </c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M286" s="18">
        <f t="shared" si="1"/>
        <v>0</v>
      </c>
      <c r="N286" s="18">
        <f t="shared" si="2"/>
        <v>0</v>
      </c>
      <c r="O286" s="30"/>
      <c r="P286" s="30"/>
      <c r="Q286" s="30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M287" s="18">
        <f t="shared" si="1"/>
        <v>0</v>
      </c>
      <c r="N287" s="18">
        <f t="shared" si="2"/>
        <v>0</v>
      </c>
      <c r="O287" s="30"/>
      <c r="P287" s="30"/>
      <c r="Q287" s="30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M288" s="18">
        <f t="shared" si="1"/>
        <v>0</v>
      </c>
      <c r="N288" s="18">
        <f t="shared" si="2"/>
        <v>0</v>
      </c>
      <c r="O288" s="30">
        <f>MAX(QB!D290*Scoring!$B$30+QB!E290/Scoring!$C$30+QB!F290*Scoring!$D$30+QB!G290*Scoring!$E$30+QB!H290*Scoring!$F$30+QB!I290/Scoring!$G$30+QB!J290*Scoring!$H$30+QB!K290*Scoring!$I$30+M290*Scoring!$J$30+QB!N290*Scoring!$K$30,0)+C290*Scoring!$B$10*0.07+(C290-D290)*Scoring!$B$5</f>
        <v>0</v>
      </c>
      <c r="P288" s="30">
        <f>MAX(QB!D288*Scoring!$B$30+QB!E288/Scoring!$C$30+QB!F288*Scoring!$D$30+QB!G288*Scoring!$E$30+QB!H288*Scoring!$F$30+QB!I288/Scoring!$G$30+QB!J288*Scoring!$H$30+QB!K288*Scoring!$I$30+M288*Scoring!$J$30+QB!N288*Scoring!$K$30,0)+C288*Scoring!$B$10*0.07+(C288-D288)*Scoring!$B$5</f>
        <v>0</v>
      </c>
      <c r="Q288" s="30">
        <f>MAX(QB!D289*Scoring!$B$30+QB!E289/Scoring!$C$30+QB!F289*Scoring!$D$30+QB!G289*Scoring!$E$30+QB!H289*Scoring!$F$30+QB!I289/Scoring!$G$30+QB!J289*Scoring!$H$30+QB!K289*Scoring!$I$30+M289*Scoring!$J$30+QB!N289*Scoring!$K$30,0)+C289*Scoring!$B$10*0.07+(C289-D289)*Scoring!$B$5</f>
        <v>0</v>
      </c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M289" s="18">
        <f t="shared" si="1"/>
        <v>0</v>
      </c>
      <c r="N289" s="18">
        <f t="shared" si="2"/>
        <v>0</v>
      </c>
      <c r="O289" s="30"/>
      <c r="P289" s="30"/>
      <c r="Q289" s="30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M290" s="18">
        <f t="shared" si="1"/>
        <v>0</v>
      </c>
      <c r="N290" s="18">
        <f t="shared" si="2"/>
        <v>0</v>
      </c>
      <c r="O290" s="30"/>
      <c r="P290" s="30"/>
      <c r="Q290" s="30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M291" s="18">
        <f t="shared" si="1"/>
        <v>0</v>
      </c>
      <c r="N291" s="18">
        <f t="shared" si="2"/>
        <v>0</v>
      </c>
      <c r="O291" s="30">
        <f>MAX(QB!D293*Scoring!$B$30+QB!E293/Scoring!$C$30+QB!F293*Scoring!$D$30+QB!G293*Scoring!$E$30+QB!H293*Scoring!$F$30+QB!I293/Scoring!$G$30+QB!J293*Scoring!$H$30+QB!K293*Scoring!$I$30+M293*Scoring!$J$30+QB!N293*Scoring!$K$30,0)+C293*Scoring!$B$10*0.07+(C293-D293)*Scoring!$B$5</f>
        <v>0</v>
      </c>
      <c r="P291" s="30">
        <f>MAX(QB!D291*Scoring!$B$30+QB!E291/Scoring!$C$30+QB!F291*Scoring!$D$30+QB!G291*Scoring!$E$30+QB!H291*Scoring!$F$30+QB!I291/Scoring!$G$30+QB!J291*Scoring!$H$30+QB!K291*Scoring!$I$30+M291*Scoring!$J$30+QB!N291*Scoring!$K$30,0)+C291*Scoring!$B$10*0.07+(C291-D291)*Scoring!$B$5</f>
        <v>0</v>
      </c>
      <c r="Q291" s="30">
        <f>MAX(QB!D292*Scoring!$B$30+QB!E292/Scoring!$C$30+QB!F292*Scoring!$D$30+QB!G292*Scoring!$E$30+QB!H292*Scoring!$F$30+QB!I292/Scoring!$G$30+QB!J292*Scoring!$H$30+QB!K292*Scoring!$I$30+M292*Scoring!$J$30+QB!N292*Scoring!$K$30,0)+C292*Scoring!$B$10*0.07+(C292-D292)*Scoring!$B$5</f>
        <v>0</v>
      </c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M292" s="18">
        <f t="shared" si="1"/>
        <v>0</v>
      </c>
      <c r="N292" s="18">
        <f t="shared" si="2"/>
        <v>0</v>
      </c>
      <c r="O292" s="30"/>
      <c r="P292" s="30"/>
      <c r="Q292" s="30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M293" s="18">
        <f t="shared" si="1"/>
        <v>0</v>
      </c>
      <c r="N293" s="18">
        <f t="shared" si="2"/>
        <v>0</v>
      </c>
      <c r="O293" s="30"/>
      <c r="P293" s="30"/>
      <c r="Q293" s="30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M294" s="18">
        <f t="shared" si="1"/>
        <v>0</v>
      </c>
      <c r="N294" s="18">
        <f t="shared" si="2"/>
        <v>0</v>
      </c>
      <c r="O294" s="30">
        <f>MAX(QB!D296*Scoring!$B$30+QB!E296/Scoring!$C$30+QB!F296*Scoring!$D$30+QB!G296*Scoring!$E$30+QB!H296*Scoring!$F$30+QB!I296/Scoring!$G$30+QB!J296*Scoring!$H$30+QB!K296*Scoring!$I$30+M296*Scoring!$J$30+QB!N296*Scoring!$K$30,0)+C296*Scoring!$B$10*0.07+(C296-D296)*Scoring!$B$5</f>
        <v>0</v>
      </c>
      <c r="P294" s="30">
        <f>MAX(QB!D294*Scoring!$B$30+QB!E294/Scoring!$C$30+QB!F294*Scoring!$D$30+QB!G294*Scoring!$E$30+QB!H294*Scoring!$F$30+QB!I294/Scoring!$G$30+QB!J294*Scoring!$H$30+QB!K294*Scoring!$I$30+M294*Scoring!$J$30+QB!N294*Scoring!$K$30,0)+C294*Scoring!$B$10*0.07+(C294-D294)*Scoring!$B$5</f>
        <v>0</v>
      </c>
      <c r="Q294" s="30">
        <f>MAX(QB!D295*Scoring!$B$30+QB!E295/Scoring!$C$30+QB!F295*Scoring!$D$30+QB!G295*Scoring!$E$30+QB!H295*Scoring!$F$30+QB!I295/Scoring!$G$30+QB!J295*Scoring!$H$30+QB!K295*Scoring!$I$30+M295*Scoring!$J$30+QB!N295*Scoring!$K$30,0)+C295*Scoring!$B$10*0.07+(C295-D295)*Scoring!$B$5</f>
        <v>0</v>
      </c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M295" s="18">
        <f t="shared" si="1"/>
        <v>0</v>
      </c>
      <c r="N295" s="18">
        <f t="shared" si="2"/>
        <v>0</v>
      </c>
      <c r="O295" s="30"/>
      <c r="P295" s="30"/>
      <c r="Q295" s="30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M296" s="18">
        <f t="shared" si="1"/>
        <v>0</v>
      </c>
      <c r="N296" s="18">
        <f t="shared" si="2"/>
        <v>0</v>
      </c>
      <c r="O296" s="30"/>
      <c r="P296" s="30"/>
      <c r="Q296" s="30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M297" s="18">
        <f t="shared" si="1"/>
        <v>0</v>
      </c>
      <c r="N297" s="18">
        <f t="shared" si="2"/>
        <v>0</v>
      </c>
      <c r="O297" s="30">
        <f>MAX(QB!D299*Scoring!$B$30+QB!E299/Scoring!$C$30+QB!F299*Scoring!$D$30+QB!G299*Scoring!$E$30+QB!H299*Scoring!$F$30+QB!I299/Scoring!$G$30+QB!J299*Scoring!$H$30+QB!K299*Scoring!$I$30+M299*Scoring!$J$30+QB!N299*Scoring!$K$30,0)+C299*Scoring!$B$10*0.07+(C299-D299)*Scoring!$B$5</f>
        <v>0</v>
      </c>
      <c r="P297" s="30">
        <f>MAX(QB!D297*Scoring!$B$30+QB!E297/Scoring!$C$30+QB!F297*Scoring!$D$30+QB!G297*Scoring!$E$30+QB!H297*Scoring!$F$30+QB!I297/Scoring!$G$30+QB!J297*Scoring!$H$30+QB!K297*Scoring!$I$30+M297*Scoring!$J$30+QB!N297*Scoring!$K$30,0)+C297*Scoring!$B$10*0.07+(C297-D297)*Scoring!$B$5</f>
        <v>0</v>
      </c>
      <c r="Q297" s="30">
        <f>MAX(QB!D298*Scoring!$B$30+QB!E298/Scoring!$C$30+QB!F298*Scoring!$D$30+QB!G298*Scoring!$E$30+QB!H298*Scoring!$F$30+QB!I298/Scoring!$G$30+QB!J298*Scoring!$H$30+QB!K298*Scoring!$I$30+M298*Scoring!$J$30+QB!N298*Scoring!$K$30,0)+C298*Scoring!$B$10*0.07+(C298-D298)*Scoring!$B$5</f>
        <v>0</v>
      </c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M298" s="18">
        <f t="shared" si="1"/>
        <v>0</v>
      </c>
      <c r="N298" s="18">
        <f t="shared" si="2"/>
        <v>0</v>
      </c>
      <c r="O298" s="30"/>
      <c r="P298" s="30"/>
      <c r="Q298" s="30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M299" s="18">
        <f t="shared" si="1"/>
        <v>0</v>
      </c>
      <c r="N299" s="18">
        <f t="shared" si="2"/>
        <v>0</v>
      </c>
      <c r="O299" s="30"/>
      <c r="P299" s="30"/>
      <c r="Q299" s="30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M300" s="18">
        <f t="shared" si="1"/>
        <v>0</v>
      </c>
      <c r="N300" s="18">
        <f t="shared" si="2"/>
        <v>0</v>
      </c>
      <c r="O300" s="30">
        <f>MAX(QB!D302*Scoring!$B$30+QB!E302/Scoring!$C$30+QB!F302*Scoring!$D$30+QB!G302*Scoring!$E$30+QB!H302*Scoring!$F$30+QB!I302/Scoring!$G$30+QB!J302*Scoring!$H$30+QB!K302*Scoring!$I$30+M302*Scoring!$J$30+QB!N302*Scoring!$K$30,0)+C302*Scoring!$B$10*0.07+(C302-D302)*Scoring!$B$5</f>
        <v>0</v>
      </c>
      <c r="P300" s="30">
        <f>MAX(QB!D300*Scoring!$B$30+QB!E300/Scoring!$C$30+QB!F300*Scoring!$D$30+QB!G300*Scoring!$E$30+QB!H300*Scoring!$F$30+QB!I300/Scoring!$G$30+QB!J300*Scoring!$H$30+QB!K300*Scoring!$I$30+M300*Scoring!$J$30+QB!N300*Scoring!$K$30,0)+C300*Scoring!$B$10*0.07+(C300-D300)*Scoring!$B$5</f>
        <v>0</v>
      </c>
      <c r="Q300" s="30">
        <f>MAX(QB!D301*Scoring!$B$30+QB!E301/Scoring!$C$30+QB!F301*Scoring!$D$30+QB!G301*Scoring!$E$30+QB!H301*Scoring!$F$30+QB!I301/Scoring!$G$30+QB!J301*Scoring!$H$30+QB!K301*Scoring!$I$30+M301*Scoring!$J$30+QB!N301*Scoring!$K$30,0)+C301*Scoring!$B$10*0.07+(C301-D301)*Scoring!$B$5</f>
        <v>0</v>
      </c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M301" s="18">
        <f t="shared" si="1"/>
        <v>0</v>
      </c>
      <c r="N301" s="18">
        <f t="shared" si="2"/>
        <v>0</v>
      </c>
      <c r="O301" s="30"/>
      <c r="P301" s="30"/>
      <c r="Q301" s="30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M302" s="18">
        <f t="shared" si="1"/>
        <v>0</v>
      </c>
      <c r="N302" s="18">
        <f t="shared" si="2"/>
        <v>0</v>
      </c>
      <c r="O302" s="30"/>
      <c r="P302" s="30"/>
      <c r="Q302" s="30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M303" s="4"/>
      <c r="N303" s="4"/>
      <c r="O303" s="30">
        <f>MAX(QB!D305*Scoring!$B$30+QB!E305/Scoring!$C$30+QB!F305*Scoring!$D$30+QB!G305*Scoring!$E$30+QB!H305*Scoring!$F$30+QB!I305/Scoring!$G$30+QB!J305*Scoring!$H$30+QB!K305*Scoring!$I$30+M305*Scoring!$J$30+QB!N305*Scoring!$K$30,0)+C305*Scoring!$B$10*0.07+(C305-D305)*Scoring!$B$5</f>
        <v>0</v>
      </c>
      <c r="P303" s="30">
        <f>MAX(QB!D303*Scoring!$B$30+QB!E303/Scoring!$C$30+QB!F303*Scoring!$D$30+QB!G303*Scoring!$E$30+QB!H303*Scoring!$F$30+QB!I303/Scoring!$G$30+QB!J303*Scoring!$H$30+QB!K303*Scoring!$I$30+M303*Scoring!$J$30+QB!N303*Scoring!$K$30,0)+C303*Scoring!$B$10*0.07+(C303-D303)*Scoring!$B$5</f>
        <v>0</v>
      </c>
      <c r="Q303" s="30">
        <f>MAX(QB!D304*Scoring!$B$30+QB!E304/Scoring!$C$30+QB!F304*Scoring!$D$30+QB!G304*Scoring!$E$30+QB!H304*Scoring!$F$30+QB!I304/Scoring!$G$30+QB!J304*Scoring!$H$30+QB!K304*Scoring!$I$30+M304*Scoring!$J$30+QB!N304*Scoring!$K$30,0)+C304*Scoring!$B$10*0.07+(C304-D304)*Scoring!$B$5</f>
        <v>0</v>
      </c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M304" s="4"/>
      <c r="N304" s="4"/>
      <c r="O304" s="30"/>
      <c r="P304" s="30"/>
      <c r="Q304" s="30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M305" s="4"/>
      <c r="N305" s="4"/>
      <c r="O305" s="30"/>
      <c r="P305" s="30"/>
      <c r="Q305" s="30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M306" s="4"/>
      <c r="N306" s="4"/>
      <c r="O306" s="30">
        <f>MAX(QB!D308*Scoring!$B$30+QB!E308/Scoring!$C$30+QB!F308*Scoring!$D$30+QB!G308*Scoring!$E$30+QB!H308*Scoring!$F$30+QB!I308/Scoring!$G$30+QB!J308*Scoring!$H$30+QB!K308*Scoring!$I$30+M308*Scoring!$J$30+QB!N308*Scoring!$K$30,0)+C308*Scoring!$B$10*0.07+(C308-D308)*Scoring!$B$5</f>
        <v>0</v>
      </c>
      <c r="P306" s="30">
        <f>MAX(QB!D306*Scoring!$B$30+QB!E306/Scoring!$C$30+QB!F306*Scoring!$D$30+QB!G306*Scoring!$E$30+QB!H306*Scoring!$F$30+QB!I306/Scoring!$G$30+QB!J306*Scoring!$H$30+QB!K306*Scoring!$I$30+M306*Scoring!$J$30+QB!N306*Scoring!$K$30,0)+C306*Scoring!$B$10*0.07+(C306-D306)*Scoring!$B$5</f>
        <v>0</v>
      </c>
      <c r="Q306" s="30">
        <f>MAX(QB!D307*Scoring!$B$30+QB!E307/Scoring!$C$30+QB!F307*Scoring!$D$30+QB!G307*Scoring!$E$30+QB!H307*Scoring!$F$30+QB!I307/Scoring!$G$30+QB!J307*Scoring!$H$30+QB!K307*Scoring!$I$30+M307*Scoring!$J$30+QB!N307*Scoring!$K$30,0)+C307*Scoring!$B$10*0.07+(C307-D307)*Scoring!$B$5</f>
        <v>0</v>
      </c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M307" s="4"/>
      <c r="N307" s="4"/>
      <c r="O307" s="30"/>
      <c r="P307" s="30"/>
      <c r="Q307" s="30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M308" s="4"/>
      <c r="N308" s="4"/>
      <c r="O308" s="30"/>
      <c r="P308" s="30"/>
      <c r="Q308" s="30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M309" s="4"/>
      <c r="N309" s="4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M310" s="4"/>
      <c r="N310" s="4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M311" s="4"/>
      <c r="N311" s="4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M312" s="4"/>
      <c r="N312" s="4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M313" s="4"/>
      <c r="N313" s="4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M314" s="4"/>
      <c r="N314" s="4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M315" s="4"/>
      <c r="N315" s="4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M316" s="4"/>
      <c r="N316" s="4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M317" s="4"/>
      <c r="N317" s="4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M318" s="4"/>
      <c r="N318" s="4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M319" s="4"/>
      <c r="N319" s="4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M320" s="4"/>
      <c r="N320" s="4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M321" s="4"/>
      <c r="N321" s="4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M322" s="4"/>
      <c r="N322" s="4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M323" s="4"/>
      <c r="N323" s="4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M324" s="4"/>
      <c r="N324" s="4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M325" s="4"/>
      <c r="N325" s="4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M326" s="4"/>
      <c r="N326" s="4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M327" s="4"/>
      <c r="N327" s="4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M328" s="4"/>
      <c r="N328" s="4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M329" s="4"/>
      <c r="N329" s="4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M330" s="4"/>
      <c r="N330" s="4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M331" s="4"/>
      <c r="N331" s="4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M332" s="4"/>
      <c r="N332" s="4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M333" s="4"/>
      <c r="N333" s="4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M334" s="4"/>
      <c r="N334" s="4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M335" s="4"/>
      <c r="N335" s="4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M336" s="4"/>
      <c r="N336" s="4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M337" s="4"/>
      <c r="N337" s="4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M338" s="4"/>
      <c r="N338" s="4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M339" s="4"/>
      <c r="N339" s="4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M340" s="4"/>
      <c r="N340" s="4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M341" s="4"/>
      <c r="N341" s="4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M342" s="4"/>
      <c r="N342" s="4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M343" s="4"/>
      <c r="N343" s="4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M344" s="4"/>
      <c r="N344" s="4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M345" s="4"/>
      <c r="N345" s="4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M346" s="4"/>
      <c r="N346" s="4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M347" s="4"/>
      <c r="N347" s="4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M348" s="4"/>
      <c r="N348" s="4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M349" s="4"/>
      <c r="N349" s="4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M350" s="4"/>
      <c r="N350" s="4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M351" s="4"/>
      <c r="N351" s="4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M352" s="4"/>
      <c r="N352" s="4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M353" s="4"/>
      <c r="N353" s="4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M354" s="4"/>
      <c r="N354" s="4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M355" s="4"/>
      <c r="N355" s="4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M356" s="4"/>
      <c r="N356" s="4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M357" s="4"/>
      <c r="N357" s="4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M358" s="4"/>
      <c r="N358" s="4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M359" s="4"/>
      <c r="N359" s="4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M360" s="4"/>
      <c r="N360" s="4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M361" s="4"/>
      <c r="N361" s="4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M362" s="4"/>
      <c r="N362" s="4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M363" s="4"/>
      <c r="N363" s="4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M364" s="4"/>
      <c r="N364" s="4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M365" s="4"/>
      <c r="N365" s="4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M366" s="4"/>
      <c r="N366" s="4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M367" s="4"/>
      <c r="N367" s="4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M368" s="4"/>
      <c r="N368" s="4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M369" s="4"/>
      <c r="N369" s="4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M370" s="4"/>
      <c r="N370" s="4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M371" s="4"/>
      <c r="N371" s="4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M372" s="4"/>
      <c r="N372" s="4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M373" s="4"/>
      <c r="N373" s="4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M374" s="4"/>
      <c r="N374" s="4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M375" s="4"/>
      <c r="N375" s="4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M376" s="4"/>
      <c r="N376" s="4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M377" s="4"/>
      <c r="N377" s="4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M378" s="4"/>
      <c r="N378" s="4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M379" s="4"/>
      <c r="N379" s="4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M380" s="4"/>
      <c r="N380" s="4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M381" s="4"/>
      <c r="N381" s="4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M382" s="4"/>
      <c r="N382" s="4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M383" s="4"/>
      <c r="N383" s="4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M384" s="4"/>
      <c r="N384" s="4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M385" s="4"/>
      <c r="N385" s="4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M386" s="4"/>
      <c r="N386" s="4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M387" s="4"/>
      <c r="N387" s="4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M388" s="4"/>
      <c r="N388" s="4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M389" s="4"/>
      <c r="N389" s="4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M390" s="4"/>
      <c r="N390" s="4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M391" s="4"/>
      <c r="N391" s="4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M392" s="4"/>
      <c r="N392" s="4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M393" s="4"/>
      <c r="N393" s="4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M394" s="4"/>
      <c r="N394" s="4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M395" s="4"/>
      <c r="N395" s="4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M396" s="4"/>
      <c r="N396" s="4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M397" s="4"/>
      <c r="N397" s="4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M398" s="4"/>
      <c r="N398" s="4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M399" s="4"/>
      <c r="N399" s="4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M400" s="4"/>
      <c r="N400" s="4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M401" s="4"/>
      <c r="N401" s="4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M402" s="4"/>
      <c r="N402" s="4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M403" s="4"/>
      <c r="N403" s="4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M404" s="4"/>
      <c r="N404" s="4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M405" s="4"/>
      <c r="N405" s="4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M406" s="4"/>
      <c r="N406" s="4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M407" s="4"/>
      <c r="N407" s="4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M408" s="4"/>
      <c r="N408" s="4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M409" s="4"/>
      <c r="N409" s="4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M410" s="4"/>
      <c r="N410" s="4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M411" s="4"/>
      <c r="N411" s="4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M412" s="4"/>
      <c r="N412" s="4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M413" s="4"/>
      <c r="N413" s="4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M414" s="4"/>
      <c r="N414" s="4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M415" s="4"/>
      <c r="N415" s="4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M416" s="4"/>
      <c r="N416" s="4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M417" s="4"/>
      <c r="N417" s="4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M418" s="4"/>
      <c r="N418" s="4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M419" s="4"/>
      <c r="N419" s="4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M420" s="4"/>
      <c r="N420" s="4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M421" s="4"/>
      <c r="N421" s="4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M422" s="4"/>
      <c r="N422" s="4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M423" s="4"/>
      <c r="N423" s="4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M424" s="4"/>
      <c r="N424" s="4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M425" s="4"/>
      <c r="N425" s="4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M426" s="4"/>
      <c r="N426" s="4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M427" s="4"/>
      <c r="N427" s="4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M428" s="4"/>
      <c r="N428" s="4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M429" s="4"/>
      <c r="N429" s="4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M430" s="4"/>
      <c r="N430" s="4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M431" s="4"/>
      <c r="N431" s="4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M432" s="4"/>
      <c r="N432" s="4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M433" s="4"/>
      <c r="N433" s="4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M434" s="4"/>
      <c r="N434" s="4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M435" s="4"/>
      <c r="N435" s="4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M436" s="4"/>
      <c r="N436" s="4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M437" s="4"/>
      <c r="N437" s="4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M438" s="4"/>
      <c r="N438" s="4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M439" s="4"/>
      <c r="N439" s="4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M440" s="4"/>
      <c r="N440" s="4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M441" s="4"/>
      <c r="N441" s="4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M442" s="4"/>
      <c r="N442" s="4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M443" s="4"/>
      <c r="N443" s="4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M444" s="4"/>
      <c r="N444" s="4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M445" s="4"/>
      <c r="N445" s="4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M446" s="4"/>
      <c r="N446" s="4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M447" s="4"/>
      <c r="N447" s="4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M448" s="4"/>
      <c r="N448" s="4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M449" s="4"/>
      <c r="N449" s="4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M450" s="4"/>
      <c r="N450" s="4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M451" s="4"/>
      <c r="N451" s="4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M452" s="4"/>
      <c r="N452" s="4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M453" s="4"/>
      <c r="N453" s="4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M454" s="4"/>
      <c r="N454" s="4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M455" s="4"/>
      <c r="N455" s="4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M456" s="4"/>
      <c r="N456" s="4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M457" s="4"/>
      <c r="N457" s="4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M458" s="4"/>
      <c r="N458" s="4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M459" s="4"/>
      <c r="N459" s="4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M460" s="4"/>
      <c r="N460" s="4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M461" s="4"/>
      <c r="N461" s="4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M462" s="4"/>
      <c r="N462" s="4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M463" s="4"/>
      <c r="N463" s="4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M464" s="4"/>
      <c r="N464" s="4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M465" s="4"/>
      <c r="N465" s="4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M466" s="4"/>
      <c r="N466" s="4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M467" s="4"/>
      <c r="N467" s="4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M468" s="4"/>
      <c r="N468" s="4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M469" s="4"/>
      <c r="N469" s="4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M470" s="4"/>
      <c r="N470" s="4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M471" s="4"/>
      <c r="N471" s="4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M472" s="4"/>
      <c r="N472" s="4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M473" s="4"/>
      <c r="N473" s="4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M474" s="4"/>
      <c r="N474" s="4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M475" s="4"/>
      <c r="N475" s="4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M476" s="4"/>
      <c r="N476" s="4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M477" s="4"/>
      <c r="N477" s="4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M478" s="4"/>
      <c r="N478" s="4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M479" s="4"/>
      <c r="N479" s="4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M480" s="4"/>
      <c r="N480" s="4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M481" s="4"/>
      <c r="N481" s="4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M482" s="4"/>
      <c r="N482" s="4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M483" s="4"/>
      <c r="N483" s="4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M484" s="4"/>
      <c r="N484" s="4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M485" s="4"/>
      <c r="N485" s="4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M486" s="4"/>
      <c r="N486" s="4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M487" s="4"/>
      <c r="N487" s="4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M488" s="4"/>
      <c r="N488" s="4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M489" s="4"/>
      <c r="N489" s="4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M490" s="4"/>
      <c r="N490" s="4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M491" s="4"/>
      <c r="N491" s="4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M492" s="4"/>
      <c r="N492" s="4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M493" s="4"/>
      <c r="N493" s="4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M494" s="4"/>
      <c r="N494" s="4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M495" s="4"/>
      <c r="N495" s="4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M496" s="4"/>
      <c r="N496" s="4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M497" s="4"/>
      <c r="N497" s="4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M498" s="4"/>
      <c r="N498" s="4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M499" s="4"/>
      <c r="N499" s="4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M500" s="4"/>
      <c r="N500" s="4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M501" s="4"/>
      <c r="N501" s="4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M502" s="4"/>
      <c r="N502" s="4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M503" s="4"/>
      <c r="N503" s="4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M504" s="4"/>
      <c r="N504" s="4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M505" s="4"/>
      <c r="N505" s="4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M506" s="4"/>
      <c r="N506" s="4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M507" s="4"/>
      <c r="N507" s="4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M508" s="4"/>
      <c r="N508" s="4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M509" s="4"/>
      <c r="N509" s="4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M510" s="4"/>
      <c r="N510" s="4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M511" s="4"/>
      <c r="N511" s="4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M512" s="4"/>
      <c r="N512" s="4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M513" s="4"/>
      <c r="N513" s="4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M514" s="4"/>
      <c r="N514" s="4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M515" s="4"/>
      <c r="N515" s="4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M516" s="4"/>
      <c r="N516" s="4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M517" s="4"/>
      <c r="N517" s="4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M518" s="4"/>
      <c r="N518" s="4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M519" s="4"/>
      <c r="N519" s="4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M520" s="4"/>
      <c r="N520" s="4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M521" s="4"/>
      <c r="N521" s="4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M522" s="4"/>
      <c r="N522" s="4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M523" s="4"/>
      <c r="N523" s="4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M524" s="4"/>
      <c r="N524" s="4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M525" s="4"/>
      <c r="N525" s="4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M526" s="4"/>
      <c r="N526" s="4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M527" s="4"/>
      <c r="N527" s="4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M528" s="4"/>
      <c r="N528" s="4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M529" s="4"/>
      <c r="N529" s="4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M530" s="4"/>
      <c r="N530" s="4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M531" s="4"/>
      <c r="N531" s="4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M532" s="4"/>
      <c r="N532" s="4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M533" s="4"/>
      <c r="N533" s="4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M534" s="4"/>
      <c r="N534" s="4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M535" s="4"/>
      <c r="N535" s="4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M536" s="4"/>
      <c r="N536" s="4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M537" s="4"/>
      <c r="N537" s="4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M538" s="4"/>
      <c r="N538" s="4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M539" s="4"/>
      <c r="N539" s="4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M540" s="4"/>
      <c r="N540" s="4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M541" s="4"/>
      <c r="N541" s="4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M542" s="4"/>
      <c r="N542" s="4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M543" s="4"/>
      <c r="N543" s="4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M544" s="4"/>
      <c r="N544" s="4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M545" s="4"/>
      <c r="N545" s="4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M546" s="4"/>
      <c r="N546" s="4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M547" s="4"/>
      <c r="N547" s="4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M548" s="4"/>
      <c r="N548" s="4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M549" s="4"/>
      <c r="N549" s="4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M550" s="4"/>
      <c r="N550" s="4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M551" s="4"/>
      <c r="N551" s="4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M552" s="4"/>
      <c r="N552" s="4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M553" s="4"/>
      <c r="N553" s="4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M554" s="4"/>
      <c r="N554" s="4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M555" s="4"/>
      <c r="N555" s="4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M556" s="4"/>
      <c r="N556" s="4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M557" s="4"/>
      <c r="N557" s="4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M558" s="4"/>
      <c r="N558" s="4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M559" s="4"/>
      <c r="N559" s="4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M560" s="4"/>
      <c r="N560" s="4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M561" s="4"/>
      <c r="N561" s="4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M562" s="4"/>
      <c r="N562" s="4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M563" s="4"/>
      <c r="N563" s="4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M564" s="4"/>
      <c r="N564" s="4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M565" s="4"/>
      <c r="N565" s="4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M566" s="4"/>
      <c r="N566" s="4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M567" s="4"/>
      <c r="N567" s="4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M568" s="4"/>
      <c r="N568" s="4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M569" s="4"/>
      <c r="N569" s="4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M570" s="4"/>
      <c r="N570" s="4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M571" s="4"/>
      <c r="N571" s="4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M572" s="4"/>
      <c r="N572" s="4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M573" s="4"/>
      <c r="N573" s="4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M574" s="4"/>
      <c r="N574" s="4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M575" s="4"/>
      <c r="N575" s="4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M576" s="4"/>
      <c r="N576" s="4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M577" s="4"/>
      <c r="N577" s="4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M578" s="4"/>
      <c r="N578" s="4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M579" s="4"/>
      <c r="N579" s="4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M580" s="4"/>
      <c r="N580" s="4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M581" s="4"/>
      <c r="N581" s="4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M582" s="4"/>
      <c r="N582" s="4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M583" s="4"/>
      <c r="N583" s="4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M584" s="4"/>
      <c r="N584" s="4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M585" s="4"/>
      <c r="N585" s="4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M586" s="4"/>
      <c r="N586" s="4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M587" s="4"/>
      <c r="N587" s="4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M588" s="4"/>
      <c r="N588" s="4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M589" s="4"/>
      <c r="N589" s="4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M590" s="4"/>
      <c r="N590" s="4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M591" s="4"/>
      <c r="N591" s="4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M592" s="4"/>
      <c r="N592" s="4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M593" s="4"/>
      <c r="N593" s="4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M594" s="4"/>
      <c r="N594" s="4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M595" s="4"/>
      <c r="N595" s="4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M596" s="4"/>
      <c r="N596" s="4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M597" s="4"/>
      <c r="N597" s="4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M598" s="4"/>
      <c r="N598" s="4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M599" s="4"/>
      <c r="N599" s="4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M600" s="4"/>
      <c r="N600" s="4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M601" s="4"/>
      <c r="N601" s="4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M602" s="4"/>
      <c r="N602" s="4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M603" s="4"/>
      <c r="N603" s="4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M604" s="4"/>
      <c r="N604" s="4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M605" s="4"/>
      <c r="N605" s="4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M606" s="4"/>
      <c r="N606" s="4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M607" s="4"/>
      <c r="N607" s="4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M608" s="4"/>
      <c r="N608" s="4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M609" s="4"/>
      <c r="N609" s="4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M610" s="4"/>
      <c r="N610" s="4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M611" s="4"/>
      <c r="N611" s="4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M612" s="4"/>
      <c r="N612" s="4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M613" s="4"/>
      <c r="N613" s="4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M614" s="4"/>
      <c r="N614" s="4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M615" s="4"/>
      <c r="N615" s="4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M616" s="4"/>
      <c r="N616" s="4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M617" s="4"/>
      <c r="N617" s="4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M618" s="4"/>
      <c r="N618" s="4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M619" s="4"/>
      <c r="N619" s="4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M620" s="4"/>
      <c r="N620" s="4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M621" s="4"/>
      <c r="N621" s="4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M622" s="4"/>
      <c r="N622" s="4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M623" s="4"/>
      <c r="N623" s="4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M624" s="4"/>
      <c r="N624" s="4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M625" s="4"/>
      <c r="N625" s="4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M626" s="4"/>
      <c r="N626" s="4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M627" s="4"/>
      <c r="N627" s="4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M628" s="4"/>
      <c r="N628" s="4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M629" s="4"/>
      <c r="N629" s="4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M630" s="4"/>
      <c r="N630" s="4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M631" s="4"/>
      <c r="N631" s="4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M632" s="4"/>
      <c r="N632" s="4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M633" s="4"/>
      <c r="N633" s="4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M634" s="4"/>
      <c r="N634" s="4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M635" s="4"/>
      <c r="N635" s="4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M636" s="4"/>
      <c r="N636" s="4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M637" s="4"/>
      <c r="N637" s="4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M638" s="4"/>
      <c r="N638" s="4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M639" s="4"/>
      <c r="N639" s="4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M640" s="4"/>
      <c r="N640" s="4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M641" s="4"/>
      <c r="N641" s="4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M642" s="4"/>
      <c r="N642" s="4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M643" s="4"/>
      <c r="N643" s="4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M644" s="4"/>
      <c r="N644" s="4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M645" s="4"/>
      <c r="N645" s="4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M646" s="4"/>
      <c r="N646" s="4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M647" s="4"/>
      <c r="N647" s="4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M648" s="4"/>
      <c r="N648" s="4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M649" s="4"/>
      <c r="N649" s="4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M650" s="4"/>
      <c r="N650" s="4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M651" s="4"/>
      <c r="N651" s="4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M652" s="4"/>
      <c r="N652" s="4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M653" s="4"/>
      <c r="N653" s="4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M654" s="4"/>
      <c r="N654" s="4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M655" s="4"/>
      <c r="N655" s="4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M656" s="4"/>
      <c r="N656" s="4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M657" s="4"/>
      <c r="N657" s="4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M658" s="4"/>
      <c r="N658" s="4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M659" s="4"/>
      <c r="N659" s="4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M660" s="4"/>
      <c r="N660" s="4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M661" s="4"/>
      <c r="N661" s="4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M662" s="4"/>
      <c r="N662" s="4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M663" s="4"/>
      <c r="N663" s="4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M664" s="4"/>
      <c r="N664" s="4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M665" s="4"/>
      <c r="N665" s="4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M666" s="4"/>
      <c r="N666" s="4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M667" s="4"/>
      <c r="N667" s="4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M668" s="4"/>
      <c r="N668" s="4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M669" s="4"/>
      <c r="N669" s="4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M670" s="4"/>
      <c r="N670" s="4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M671" s="4"/>
      <c r="N671" s="4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M672" s="4"/>
      <c r="N672" s="4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M673" s="4"/>
      <c r="N673" s="4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M674" s="4"/>
      <c r="N674" s="4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M675" s="4"/>
      <c r="N675" s="4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M676" s="4"/>
      <c r="N676" s="4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M677" s="4"/>
      <c r="N677" s="4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M678" s="4"/>
      <c r="N678" s="4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M679" s="4"/>
      <c r="N679" s="4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M680" s="4"/>
      <c r="N680" s="4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M681" s="4"/>
      <c r="N681" s="4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M682" s="4"/>
      <c r="N682" s="4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M683" s="4"/>
      <c r="N683" s="4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M684" s="4"/>
      <c r="N684" s="4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M685" s="4"/>
      <c r="N685" s="4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M686" s="4"/>
      <c r="N686" s="4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M687" s="4"/>
      <c r="N687" s="4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M688" s="4"/>
      <c r="N688" s="4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M689" s="4"/>
      <c r="N689" s="4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M690" s="4"/>
      <c r="N690" s="4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M691" s="4"/>
      <c r="N691" s="4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M692" s="4"/>
      <c r="N692" s="4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M693" s="4"/>
      <c r="N693" s="4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M694" s="4"/>
      <c r="N694" s="4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M695" s="4"/>
      <c r="N695" s="4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M696" s="4"/>
      <c r="N696" s="4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M697" s="4"/>
      <c r="N697" s="4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M698" s="4"/>
      <c r="N698" s="4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M699" s="4"/>
      <c r="N699" s="4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M700" s="4"/>
      <c r="N700" s="4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M701" s="4"/>
      <c r="N701" s="4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M702" s="4"/>
      <c r="N702" s="4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M703" s="4"/>
      <c r="N703" s="4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M704" s="4"/>
      <c r="N704" s="4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M705" s="4"/>
      <c r="N705" s="4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M706" s="4"/>
      <c r="N706" s="4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M707" s="4"/>
      <c r="N707" s="4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M708" s="4"/>
      <c r="N708" s="4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M709" s="4"/>
      <c r="N709" s="4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M710" s="4"/>
      <c r="N710" s="4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M711" s="4"/>
      <c r="N711" s="4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M712" s="4"/>
      <c r="N712" s="4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M713" s="4"/>
      <c r="N713" s="4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M714" s="4"/>
      <c r="N714" s="4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M715" s="4"/>
      <c r="N715" s="4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M716" s="4"/>
      <c r="N716" s="4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M717" s="4"/>
      <c r="N717" s="4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M718" s="4"/>
      <c r="N718" s="4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M719" s="4"/>
      <c r="N719" s="4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M720" s="4"/>
      <c r="N720" s="4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M721" s="4"/>
      <c r="N721" s="4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M722" s="4"/>
      <c r="N722" s="4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M723" s="4"/>
      <c r="N723" s="4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M724" s="4"/>
      <c r="N724" s="4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M725" s="4"/>
      <c r="N725" s="4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M726" s="4"/>
      <c r="N726" s="4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M727" s="4"/>
      <c r="N727" s="4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M728" s="4"/>
      <c r="N728" s="4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M729" s="4"/>
      <c r="N729" s="4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M730" s="4"/>
      <c r="N730" s="4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M731" s="4"/>
      <c r="N731" s="4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M732" s="4"/>
      <c r="N732" s="4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M733" s="4"/>
      <c r="N733" s="4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M734" s="4"/>
      <c r="N734" s="4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M735" s="4"/>
      <c r="N735" s="4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M736" s="4"/>
      <c r="N736" s="4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M737" s="4"/>
      <c r="N737" s="4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M738" s="4"/>
      <c r="N738" s="4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M739" s="4"/>
      <c r="N739" s="4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M740" s="4"/>
      <c r="N740" s="4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M741" s="4"/>
      <c r="N741" s="4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M742" s="4"/>
      <c r="N742" s="4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M743" s="4"/>
      <c r="N743" s="4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M744" s="4"/>
      <c r="N744" s="4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M745" s="4"/>
      <c r="N745" s="4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M746" s="4"/>
      <c r="N746" s="4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M747" s="4"/>
      <c r="N747" s="4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M748" s="4"/>
      <c r="N748" s="4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M749" s="4"/>
      <c r="N749" s="4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M750" s="4"/>
      <c r="N750" s="4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M751" s="4"/>
      <c r="N751" s="4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M752" s="4"/>
      <c r="N752" s="4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M753" s="4"/>
      <c r="N753" s="4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M754" s="4"/>
      <c r="N754" s="4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M755" s="4"/>
      <c r="N755" s="4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M756" s="4"/>
      <c r="N756" s="4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M757" s="4"/>
      <c r="N757" s="4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M758" s="4"/>
      <c r="N758" s="4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M759" s="4"/>
      <c r="N759" s="4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M760" s="4"/>
      <c r="N760" s="4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M761" s="4"/>
      <c r="N761" s="4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M762" s="4"/>
      <c r="N762" s="4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M763" s="4"/>
      <c r="N763" s="4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M764" s="4"/>
      <c r="N764" s="4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M765" s="4"/>
      <c r="N765" s="4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M766" s="4"/>
      <c r="N766" s="4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M767" s="4"/>
      <c r="N767" s="4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M768" s="4"/>
      <c r="N768" s="4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M769" s="4"/>
      <c r="N769" s="4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M770" s="4"/>
      <c r="N770" s="4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M771" s="4"/>
      <c r="N771" s="4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M772" s="4"/>
      <c r="N772" s="4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M773" s="4"/>
      <c r="N773" s="4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M774" s="4"/>
      <c r="N774" s="4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M775" s="4"/>
      <c r="N775" s="4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M776" s="4"/>
      <c r="N776" s="4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M777" s="4"/>
      <c r="N777" s="4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M778" s="4"/>
      <c r="N778" s="4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M779" s="4"/>
      <c r="N779" s="4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M780" s="4"/>
      <c r="N780" s="4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M781" s="4"/>
      <c r="N781" s="4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M782" s="4"/>
      <c r="N782" s="4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M783" s="4"/>
      <c r="N783" s="4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M784" s="4"/>
      <c r="N784" s="4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M785" s="4"/>
      <c r="N785" s="4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M786" s="4"/>
      <c r="N786" s="4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M787" s="4"/>
      <c r="N787" s="4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M788" s="4"/>
      <c r="N788" s="4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M789" s="4"/>
      <c r="N789" s="4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M790" s="4"/>
      <c r="N790" s="4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M791" s="4"/>
      <c r="N791" s="4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M792" s="4"/>
      <c r="N792" s="4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M793" s="4"/>
      <c r="N793" s="4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M794" s="4"/>
      <c r="N794" s="4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M795" s="4"/>
      <c r="N795" s="4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M796" s="4"/>
      <c r="N796" s="4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M797" s="4"/>
      <c r="N797" s="4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M798" s="4"/>
      <c r="N798" s="4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M799" s="4"/>
      <c r="N799" s="4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M800" s="4"/>
      <c r="N800" s="4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M801" s="4"/>
      <c r="N801" s="4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M802" s="4"/>
      <c r="N802" s="4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M803" s="4"/>
      <c r="N803" s="4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M804" s="4"/>
      <c r="N804" s="4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M805" s="4"/>
      <c r="N805" s="4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M806" s="4"/>
      <c r="N806" s="4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M807" s="4"/>
      <c r="N807" s="4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M808" s="4"/>
      <c r="N808" s="4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M809" s="4"/>
      <c r="N809" s="4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M810" s="4"/>
      <c r="N810" s="4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M811" s="4"/>
      <c r="N811" s="4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M812" s="4"/>
      <c r="N812" s="4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M813" s="4"/>
      <c r="N813" s="4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M814" s="4"/>
      <c r="N814" s="4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M815" s="4"/>
      <c r="N815" s="4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M816" s="4"/>
      <c r="N816" s="4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M817" s="4"/>
      <c r="N817" s="4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M818" s="4"/>
      <c r="N818" s="4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M819" s="4"/>
      <c r="N819" s="4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M820" s="4"/>
      <c r="N820" s="4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M821" s="4"/>
      <c r="N821" s="4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M822" s="4"/>
      <c r="N822" s="4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M823" s="4"/>
      <c r="N823" s="4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M824" s="4"/>
      <c r="N824" s="4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M825" s="4"/>
      <c r="N825" s="4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M826" s="4"/>
      <c r="N826" s="4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M827" s="4"/>
      <c r="N827" s="4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M828" s="4"/>
      <c r="N828" s="4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M829" s="4"/>
      <c r="N829" s="4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M830" s="4"/>
      <c r="N830" s="4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M831" s="4"/>
      <c r="N831" s="4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M832" s="4"/>
      <c r="N832" s="4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M833" s="4"/>
      <c r="N833" s="4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M834" s="4"/>
      <c r="N834" s="4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M835" s="4"/>
      <c r="N835" s="4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M836" s="4"/>
      <c r="N836" s="4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M837" s="4"/>
      <c r="N837" s="4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M838" s="4"/>
      <c r="N838" s="4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M839" s="4"/>
      <c r="N839" s="4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M840" s="4"/>
      <c r="N840" s="4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M841" s="4"/>
      <c r="N841" s="4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M842" s="4"/>
      <c r="N842" s="4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M843" s="4"/>
      <c r="N843" s="4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M844" s="4"/>
      <c r="N844" s="4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M845" s="4"/>
      <c r="N845" s="4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M846" s="4"/>
      <c r="N846" s="4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M847" s="4"/>
      <c r="N847" s="4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M848" s="4"/>
      <c r="N848" s="4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M849" s="4"/>
      <c r="N849" s="4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M850" s="4"/>
      <c r="N850" s="4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M851" s="4"/>
      <c r="N851" s="4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M852" s="4"/>
      <c r="N852" s="4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M853" s="4"/>
      <c r="N853" s="4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M854" s="4"/>
      <c r="N854" s="4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M855" s="4"/>
      <c r="N855" s="4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M856" s="4"/>
      <c r="N856" s="4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M857" s="4"/>
      <c r="N857" s="4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M858" s="4"/>
      <c r="N858" s="4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M859" s="4"/>
      <c r="N859" s="4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M860" s="4"/>
      <c r="N860" s="4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M861" s="4"/>
      <c r="N861" s="4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M862" s="4"/>
      <c r="N862" s="4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M863" s="4"/>
      <c r="N863" s="4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M864" s="4"/>
      <c r="N864" s="4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M865" s="4"/>
      <c r="N865" s="4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M866" s="4"/>
      <c r="N866" s="4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M867" s="4"/>
      <c r="N867" s="4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M868" s="4"/>
      <c r="N868" s="4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M869" s="4"/>
      <c r="N869" s="4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M870" s="4"/>
      <c r="N870" s="4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M871" s="4"/>
      <c r="N871" s="4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M872" s="4"/>
      <c r="N872" s="4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M873" s="4"/>
      <c r="N873" s="4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M874" s="4"/>
      <c r="N874" s="4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M875" s="4"/>
      <c r="N875" s="4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M876" s="4"/>
      <c r="N876" s="4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M877" s="4"/>
      <c r="N877" s="4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M878" s="4"/>
      <c r="N878" s="4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M879" s="4"/>
      <c r="N879" s="4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M880" s="4"/>
      <c r="N880" s="4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M881" s="4"/>
      <c r="N881" s="4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M882" s="4"/>
      <c r="N882" s="4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M883" s="4"/>
      <c r="N883" s="4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M884" s="4"/>
      <c r="N884" s="4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M885" s="4"/>
      <c r="N885" s="4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M886" s="4"/>
      <c r="N886" s="4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M887" s="4"/>
      <c r="N887" s="4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M888" s="4"/>
      <c r="N888" s="4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M889" s="4"/>
      <c r="N889" s="4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M890" s="4"/>
      <c r="N890" s="4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M891" s="4"/>
      <c r="N891" s="4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M892" s="4"/>
      <c r="N892" s="4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M893" s="4"/>
      <c r="N893" s="4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M894" s="4"/>
      <c r="N894" s="4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M895" s="4"/>
      <c r="N895" s="4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M896" s="4"/>
      <c r="N896" s="4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M897" s="4"/>
      <c r="N897" s="4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M898" s="4"/>
      <c r="N898" s="4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M899" s="4"/>
      <c r="N899" s="4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M900" s="4"/>
      <c r="N900" s="4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M901" s="4"/>
      <c r="N901" s="4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M902" s="4"/>
      <c r="N902" s="4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M903" s="4"/>
      <c r="N903" s="4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M904" s="4"/>
      <c r="N904" s="4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M905" s="4"/>
      <c r="N905" s="4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M906" s="4"/>
      <c r="N906" s="4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M907" s="4"/>
      <c r="N907" s="4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M908" s="4"/>
      <c r="N908" s="4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M909" s="4"/>
      <c r="N909" s="4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M910" s="4"/>
      <c r="N910" s="4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M911" s="4"/>
      <c r="N911" s="4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M912" s="4"/>
      <c r="N912" s="4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M913" s="4"/>
      <c r="N913" s="4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M914" s="4"/>
      <c r="N914" s="4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M915" s="4"/>
      <c r="N915" s="4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M916" s="4"/>
      <c r="N916" s="4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M917" s="4"/>
      <c r="N917" s="4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M918" s="4"/>
      <c r="N918" s="4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M919" s="4"/>
      <c r="N919" s="4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M920" s="4"/>
      <c r="N920" s="4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M921" s="4"/>
      <c r="N921" s="4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M922" s="4"/>
      <c r="N922" s="4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M923" s="4"/>
      <c r="N923" s="4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M924" s="4"/>
      <c r="N924" s="4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M925" s="4"/>
      <c r="N925" s="4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M926" s="4"/>
      <c r="N926" s="4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M927" s="4"/>
      <c r="N927" s="4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M928" s="4"/>
      <c r="N928" s="4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M929" s="4"/>
      <c r="N929" s="4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M930" s="4"/>
      <c r="N930" s="4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M931" s="4"/>
      <c r="N931" s="4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M932" s="4"/>
      <c r="N932" s="4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M933" s="4"/>
      <c r="N933" s="4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M934" s="4"/>
      <c r="N934" s="4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M935" s="4"/>
      <c r="N935" s="4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M936" s="4"/>
      <c r="N936" s="4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M937" s="4"/>
      <c r="N937" s="4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M938" s="4"/>
      <c r="N938" s="4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M939" s="4"/>
      <c r="N939" s="4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M940" s="4"/>
      <c r="N940" s="4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M941" s="4"/>
      <c r="N941" s="4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M942" s="4"/>
      <c r="N942" s="4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M943" s="4"/>
      <c r="N943" s="4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M944" s="4"/>
      <c r="N944" s="4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M945" s="4"/>
      <c r="N945" s="4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M946" s="4"/>
      <c r="N946" s="4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M947" s="4"/>
      <c r="N947" s="4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M948" s="4"/>
      <c r="N948" s="4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M949" s="4"/>
      <c r="N949" s="4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M950" s="4"/>
      <c r="N950" s="4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M951" s="4"/>
      <c r="N951" s="4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M952" s="4"/>
      <c r="N952" s="4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M953" s="4"/>
      <c r="N953" s="4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M954" s="4"/>
      <c r="N954" s="4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M955" s="4"/>
      <c r="N955" s="4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M956" s="4"/>
      <c r="N956" s="4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M957" s="4"/>
      <c r="N957" s="4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M958" s="4"/>
      <c r="N958" s="4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M959" s="4"/>
      <c r="N959" s="4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M960" s="4"/>
      <c r="N960" s="4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M961" s="4"/>
      <c r="N961" s="4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M962" s="4"/>
      <c r="N962" s="4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M963" s="4"/>
      <c r="N963" s="4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M964" s="4"/>
      <c r="N964" s="4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M965" s="4"/>
      <c r="N965" s="4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M966" s="4"/>
      <c r="N966" s="4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M967" s="4"/>
      <c r="N967" s="4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M968" s="4"/>
      <c r="N968" s="4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M969" s="4"/>
      <c r="N969" s="4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M970" s="4"/>
      <c r="N970" s="4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M971" s="4"/>
      <c r="N971" s="4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M972" s="4"/>
      <c r="N972" s="4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M973" s="4"/>
      <c r="N973" s="4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M974" s="4"/>
      <c r="N974" s="4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M975" s="4"/>
      <c r="N975" s="4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M976" s="4"/>
      <c r="N976" s="4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M977" s="4"/>
      <c r="N977" s="4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M978" s="4"/>
      <c r="N978" s="4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M979" s="4"/>
      <c r="N979" s="4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M980" s="4"/>
      <c r="N980" s="4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M981" s="4"/>
      <c r="N981" s="4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M982" s="4"/>
      <c r="N982" s="4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M983" s="4"/>
      <c r="N983" s="4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M984" s="4"/>
      <c r="N984" s="4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M985" s="4"/>
      <c r="N985" s="4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M986" s="4"/>
      <c r="N986" s="4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M987" s="4"/>
      <c r="N987" s="4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M988" s="4"/>
      <c r="N988" s="4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M989" s="4"/>
      <c r="N989" s="4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M990" s="4"/>
      <c r="N990" s="4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M991" s="4"/>
      <c r="N991" s="4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M992" s="4"/>
      <c r="N992" s="4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M993" s="4"/>
      <c r="N993" s="4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M994" s="4"/>
      <c r="N994" s="4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M995" s="4"/>
      <c r="N995" s="4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M996" s="4"/>
      <c r="N996" s="4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M997" s="4"/>
      <c r="N997" s="4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M998" s="4"/>
      <c r="N998" s="4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M999" s="4"/>
      <c r="N999" s="4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M1000" s="4"/>
      <c r="N1000" s="4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88"/>
    <col customWidth="1" min="11" max="11" width="5.38"/>
    <col customWidth="1" min="12" max="12" width="6.38"/>
    <col customWidth="1" min="13" max="14" width="5.5"/>
    <col customWidth="1" min="15" max="15" width="6.5"/>
    <col customWidth="1" min="16" max="26" width="8.88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384</v>
      </c>
      <c r="G1" s="1" t="s">
        <v>5</v>
      </c>
      <c r="H1" s="1" t="s">
        <v>6</v>
      </c>
      <c r="I1" s="1" t="s">
        <v>8</v>
      </c>
      <c r="J1" s="1" t="s">
        <v>9</v>
      </c>
      <c r="K1" s="4" t="s">
        <v>11</v>
      </c>
      <c r="L1" s="4" t="s">
        <v>131</v>
      </c>
      <c r="M1" s="52" t="s">
        <v>12</v>
      </c>
      <c r="N1" s="52" t="s">
        <v>13</v>
      </c>
      <c r="O1" s="52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" t="s">
        <v>16</v>
      </c>
      <c r="K2" s="4"/>
      <c r="L2" s="4"/>
      <c r="M2" s="52"/>
      <c r="N2" s="52"/>
      <c r="O2" s="52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" t="s">
        <v>386</v>
      </c>
      <c r="B3" s="1" t="s">
        <v>179</v>
      </c>
      <c r="C3" s="1">
        <v>274.7</v>
      </c>
      <c r="D3" s="1">
        <v>1382.5</v>
      </c>
      <c r="E3" s="1">
        <v>13.8</v>
      </c>
      <c r="F3" s="1">
        <v>71.3</v>
      </c>
      <c r="G3" s="1">
        <v>581.0</v>
      </c>
      <c r="H3" s="1">
        <v>4.1</v>
      </c>
      <c r="I3" s="1">
        <v>1.1</v>
      </c>
      <c r="J3" s="1">
        <v>373.0</v>
      </c>
      <c r="K3" s="18">
        <f t="shared" ref="K3:K545" si="1">IFERROR((D3/C3)/4.5*0.25*C3,0)</f>
        <v>76.80555556</v>
      </c>
      <c r="L3" s="18">
        <f t="shared" ref="L3:L545" si="2">IFERROR((G3/F3)/7.95*0.376*F3,0)</f>
        <v>27.47874214</v>
      </c>
      <c r="M3" s="112">
        <f>C5*Scoring!$B$32+D5/Scoring!$C$32+E5*Scoring!$D$32+F5*Scoring!$E$32+G5/Scoring!$F$32+H5*Scoring!$G$32+I5*Scoring!$H$32+K5*Scoring!$I$32+RB!L5*Scoring!$J$32+U3</f>
        <v>313.59</v>
      </c>
      <c r="N3" s="112">
        <f>C3*Scoring!$B$32+D3/Scoring!$C$32+E3*Scoring!$D$32+F3*Scoring!$E$32+G3/Scoring!$F$32+H3*Scoring!$G$32+I3*Scoring!$H$32+K3*Scoring!$I$32+RB!L3*Scoring!$J$32+U3</f>
        <v>337.2</v>
      </c>
      <c r="O3" s="112">
        <f>C4*Scoring!$B$32+D4/Scoring!$C$32+E4*Scoring!$D$32+F4*Scoring!$E$32+G4/Scoring!$F$32+H4*Scoring!$G$32+I4*Scoring!$H$32+K4*Scoring!$I$32+L4*Scoring!$J$32+U3</f>
        <v>359.7</v>
      </c>
      <c r="P3" s="8">
        <f>IF(COUNTIF(Rookies!$A:$A,A3)&gt;0,1,0)</f>
        <v>0</v>
      </c>
      <c r="Q3" s="8"/>
      <c r="R3" s="8"/>
      <c r="S3" s="8">
        <f>V3/17</f>
        <v>19.83529412</v>
      </c>
      <c r="T3" s="8">
        <f>IF(P3=1,MAX(0,0.258*(14.9-S3)),0)</f>
        <v>0</v>
      </c>
      <c r="U3" s="8">
        <f>T3*17</f>
        <v>0</v>
      </c>
      <c r="V3" s="8">
        <f>C3*Scoring!$B$32+D3/Scoring!$C$32+E3*Scoring!$D$32+F3*Scoring!$E$32+G3/Scoring!$F$32+H3*Scoring!$G$32+I3*Scoring!$H$32+K3*Scoring!$I$32+RB!L3*Scoring!$J$32</f>
        <v>337.2</v>
      </c>
      <c r="W3" s="8"/>
      <c r="X3" s="8"/>
      <c r="Y3" s="8"/>
      <c r="Z3" s="8"/>
    </row>
    <row r="4" ht="14.25" customHeight="1">
      <c r="B4" s="1" t="s">
        <v>39</v>
      </c>
      <c r="C4" s="1">
        <v>283.1</v>
      </c>
      <c r="D4" s="1">
        <v>1422.0</v>
      </c>
      <c r="E4" s="1">
        <v>15.0</v>
      </c>
      <c r="F4" s="1">
        <v>74.0</v>
      </c>
      <c r="G4" s="1">
        <v>625.0</v>
      </c>
      <c r="H4" s="1">
        <v>5.0</v>
      </c>
      <c r="I4" s="1">
        <v>1.0</v>
      </c>
      <c r="J4" s="1">
        <v>402.7</v>
      </c>
      <c r="K4" s="18">
        <f t="shared" si="1"/>
        <v>79</v>
      </c>
      <c r="L4" s="18">
        <f t="shared" si="2"/>
        <v>29.55974843</v>
      </c>
      <c r="M4" s="112"/>
      <c r="N4" s="112"/>
      <c r="O4" s="112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B5" s="1" t="s">
        <v>48</v>
      </c>
      <c r="C5" s="1">
        <v>262.0</v>
      </c>
      <c r="D5" s="1">
        <v>1353.0</v>
      </c>
      <c r="E5" s="1">
        <v>12.0</v>
      </c>
      <c r="F5" s="1">
        <v>67.8</v>
      </c>
      <c r="G5" s="1">
        <v>545.9</v>
      </c>
      <c r="H5" s="1">
        <v>3.4</v>
      </c>
      <c r="I5" s="1">
        <v>1.3</v>
      </c>
      <c r="J5" s="1">
        <v>368.3</v>
      </c>
      <c r="K5" s="18">
        <f t="shared" si="1"/>
        <v>75.16666667</v>
      </c>
      <c r="L5" s="18">
        <f t="shared" si="2"/>
        <v>25.81866667</v>
      </c>
      <c r="M5" s="112"/>
      <c r="N5" s="112"/>
      <c r="O5" s="112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" t="s">
        <v>388</v>
      </c>
      <c r="B6" s="1" t="s">
        <v>229</v>
      </c>
      <c r="C6" s="1">
        <v>285.2</v>
      </c>
      <c r="D6" s="1">
        <v>1392.1</v>
      </c>
      <c r="E6" s="1">
        <v>8.8</v>
      </c>
      <c r="F6" s="1">
        <v>77.3</v>
      </c>
      <c r="G6" s="1">
        <v>705.2</v>
      </c>
      <c r="H6" s="1">
        <v>3.5</v>
      </c>
      <c r="I6" s="1">
        <v>1.8</v>
      </c>
      <c r="J6" s="1">
        <v>357.0</v>
      </c>
      <c r="K6" s="18">
        <f t="shared" si="1"/>
        <v>77.33888889</v>
      </c>
      <c r="L6" s="18">
        <f t="shared" si="2"/>
        <v>33.35285535</v>
      </c>
      <c r="M6" s="112">
        <f>C8*Scoring!$B$32+D8/Scoring!$C$32+E8*Scoring!$D$32+F8*Scoring!$E$32+G8/Scoring!$F$32+H8*Scoring!$G$32+I8*Scoring!$H$32+K8*Scoring!$I$32+RB!L8*Scoring!$J$32+U6</f>
        <v>307.74</v>
      </c>
      <c r="N6" s="112">
        <f>C6*Scoring!$B$32+D6/Scoring!$C$32+E6*Scoring!$D$32+F6*Scoring!$E$32+G6/Scoring!$F$32+H6*Scoring!$G$32+I6*Scoring!$H$32+K6*Scoring!$I$32+RB!L6*Scoring!$J$32+U6</f>
        <v>318.58</v>
      </c>
      <c r="O6" s="112">
        <f>C7*Scoring!$B$32+D7/Scoring!$C$32+E7*Scoring!$D$32+F7*Scoring!$E$32+G7/Scoring!$F$32+H7*Scoring!$G$32+I7*Scoring!$H$32+K7*Scoring!$I$32+L7*Scoring!$J$32+U6</f>
        <v>327.77</v>
      </c>
      <c r="P6" s="8">
        <f>IF(COUNTIF(Rookies!$A:$A,A6)&gt;0,1,0)</f>
        <v>0</v>
      </c>
      <c r="Q6" s="8"/>
      <c r="R6" s="8"/>
      <c r="S6" s="8">
        <f>V6/17</f>
        <v>18.74</v>
      </c>
      <c r="T6" s="8">
        <f>IF(P6=1,MAX(0,0.258*(14.9-S6)),0)</f>
        <v>0</v>
      </c>
      <c r="U6" s="8">
        <f>T6*17</f>
        <v>0</v>
      </c>
      <c r="V6" s="8">
        <f>C6*Scoring!$B$32+D6/Scoring!$C$32+E6*Scoring!$D$32+F6*Scoring!$E$32+G6/Scoring!$F$32+H6*Scoring!$G$32+I6*Scoring!$H$32+K6*Scoring!$I$32+RB!L6*Scoring!$J$32</f>
        <v>318.58</v>
      </c>
      <c r="W6" s="8"/>
      <c r="X6" s="8"/>
      <c r="Y6" s="8"/>
      <c r="Z6" s="8"/>
    </row>
    <row r="7" ht="14.25" customHeight="1">
      <c r="B7" s="1" t="s">
        <v>39</v>
      </c>
      <c r="C7" s="1">
        <v>289.0</v>
      </c>
      <c r="D7" s="1">
        <v>1402.0</v>
      </c>
      <c r="E7" s="1">
        <v>9.0</v>
      </c>
      <c r="F7" s="1">
        <v>84.0</v>
      </c>
      <c r="G7" s="1">
        <v>707.7</v>
      </c>
      <c r="H7" s="1">
        <v>4.0</v>
      </c>
      <c r="I7" s="1">
        <v>1.6</v>
      </c>
      <c r="J7" s="1">
        <v>402.2</v>
      </c>
      <c r="K7" s="18">
        <f t="shared" si="1"/>
        <v>77.88888889</v>
      </c>
      <c r="L7" s="18">
        <f t="shared" si="2"/>
        <v>33.47109434</v>
      </c>
      <c r="M7" s="112"/>
      <c r="N7" s="112"/>
      <c r="O7" s="112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B8" s="1" t="s">
        <v>48</v>
      </c>
      <c r="C8" s="1">
        <v>280.0</v>
      </c>
      <c r="D8" s="1">
        <v>1372.4</v>
      </c>
      <c r="E8" s="1">
        <v>8.4</v>
      </c>
      <c r="F8" s="1">
        <v>72.0</v>
      </c>
      <c r="G8" s="1">
        <v>701.0</v>
      </c>
      <c r="H8" s="1">
        <v>3.0</v>
      </c>
      <c r="I8" s="1">
        <v>2.0</v>
      </c>
      <c r="J8" s="1">
        <v>346.3</v>
      </c>
      <c r="K8" s="18">
        <f t="shared" si="1"/>
        <v>76.24444444</v>
      </c>
      <c r="L8" s="18">
        <f t="shared" si="2"/>
        <v>33.15421384</v>
      </c>
      <c r="M8" s="112"/>
      <c r="N8" s="112"/>
      <c r="O8" s="112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" t="s">
        <v>390</v>
      </c>
      <c r="B9" s="1" t="s">
        <v>140</v>
      </c>
      <c r="C9" s="1">
        <v>269.7</v>
      </c>
      <c r="D9" s="1">
        <v>1094.6</v>
      </c>
      <c r="E9" s="1">
        <v>8.7</v>
      </c>
      <c r="F9" s="1">
        <v>78.4</v>
      </c>
      <c r="G9" s="1">
        <v>692.6</v>
      </c>
      <c r="H9" s="1">
        <v>4.6</v>
      </c>
      <c r="I9" s="1">
        <v>1.1</v>
      </c>
      <c r="J9" s="1">
        <v>334.7</v>
      </c>
      <c r="K9" s="18">
        <f t="shared" si="1"/>
        <v>60.81111111</v>
      </c>
      <c r="L9" s="18">
        <f t="shared" si="2"/>
        <v>32.75693082</v>
      </c>
      <c r="M9" s="112">
        <f>C11*Scoring!$B$32+D11/Scoring!$C$32+E11*Scoring!$D$32+F11*Scoring!$E$32+G11/Scoring!$F$32+H11*Scoring!$G$32+I11*Scoring!$H$32+K11*Scoring!$I$32+RB!L11*Scoring!$J$32+U9</f>
        <v>275.4</v>
      </c>
      <c r="N9" s="112">
        <f>C9*Scoring!$B$32+D9/Scoring!$C$32+E9*Scoring!$D$32+F9*Scoring!$E$32+G9/Scoring!$F$32+H9*Scoring!$G$32+I9*Scoring!$H$32+K9*Scoring!$I$32+RB!L9*Scoring!$J$32+U9</f>
        <v>295.52</v>
      </c>
      <c r="O9" s="112">
        <f>C10*Scoring!$B$32+D10/Scoring!$C$32+E10*Scoring!$D$32+F10*Scoring!$E$32+G10/Scoring!$F$32+H10*Scoring!$G$32+I10*Scoring!$H$32+K10*Scoring!$I$32+L10*Scoring!$J$32+U9</f>
        <v>310.1</v>
      </c>
      <c r="P9" s="8">
        <f>IF(COUNTIF(Rookies!$A:$A,A9)&gt;0,1,0)</f>
        <v>0</v>
      </c>
      <c r="Q9" s="8"/>
      <c r="R9" s="8"/>
      <c r="S9" s="8">
        <f>V9/17</f>
        <v>17.38352941</v>
      </c>
      <c r="T9" s="8">
        <f>IF(P9=1,MAX(0,0.258*(14.9-S9)),0)</f>
        <v>0</v>
      </c>
      <c r="U9" s="8">
        <f>T9*17</f>
        <v>0</v>
      </c>
      <c r="V9" s="8">
        <f>C9*Scoring!$B$32+D9/Scoring!$C$32+E9*Scoring!$D$32+F9*Scoring!$E$32+G9/Scoring!$F$32+H9*Scoring!$G$32+I9*Scoring!$H$32+K9*Scoring!$I$32+RB!L9*Scoring!$J$32</f>
        <v>295.52</v>
      </c>
      <c r="W9" s="8"/>
      <c r="X9" s="8"/>
      <c r="Y9" s="8"/>
      <c r="Z9" s="8"/>
    </row>
    <row r="10" ht="14.25" customHeight="1">
      <c r="B10" s="1" t="s">
        <v>39</v>
      </c>
      <c r="C10" s="1">
        <v>279.0</v>
      </c>
      <c r="D10" s="1">
        <v>1144.0</v>
      </c>
      <c r="E10" s="1">
        <v>9.2</v>
      </c>
      <c r="F10" s="1">
        <v>82.0</v>
      </c>
      <c r="G10" s="1">
        <v>715.0</v>
      </c>
      <c r="H10" s="1">
        <v>5.0</v>
      </c>
      <c r="I10" s="1">
        <v>1.0</v>
      </c>
      <c r="J10" s="1">
        <v>383.3</v>
      </c>
      <c r="K10" s="18">
        <f t="shared" si="1"/>
        <v>63.55555556</v>
      </c>
      <c r="L10" s="18">
        <f t="shared" si="2"/>
        <v>33.8163522</v>
      </c>
      <c r="M10" s="112"/>
      <c r="N10" s="112"/>
      <c r="O10" s="1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B11" s="1" t="s">
        <v>48</v>
      </c>
      <c r="C11" s="1">
        <v>256.0</v>
      </c>
      <c r="D11" s="1">
        <v>1009.0</v>
      </c>
      <c r="E11" s="1">
        <v>8.0</v>
      </c>
      <c r="F11" s="1">
        <v>74.0</v>
      </c>
      <c r="G11" s="1">
        <v>679.0</v>
      </c>
      <c r="H11" s="1">
        <v>4.0</v>
      </c>
      <c r="I11" s="1">
        <v>1.2</v>
      </c>
      <c r="J11" s="1">
        <v>304.4</v>
      </c>
      <c r="K11" s="18">
        <f t="shared" si="1"/>
        <v>56.05555556</v>
      </c>
      <c r="L11" s="18">
        <f t="shared" si="2"/>
        <v>32.11371069</v>
      </c>
      <c r="M11" s="112"/>
      <c r="N11" s="112"/>
      <c r="O11" s="1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" t="s">
        <v>392</v>
      </c>
      <c r="B12" s="1" t="s">
        <v>193</v>
      </c>
      <c r="C12" s="1">
        <v>326.6</v>
      </c>
      <c r="D12" s="1">
        <v>1504.6</v>
      </c>
      <c r="E12" s="1">
        <v>12.9</v>
      </c>
      <c r="F12" s="1">
        <v>42.9</v>
      </c>
      <c r="G12" s="1">
        <v>341.5</v>
      </c>
      <c r="H12" s="1">
        <v>1.5</v>
      </c>
      <c r="I12" s="1">
        <v>1.7</v>
      </c>
      <c r="J12" s="1">
        <v>310.1</v>
      </c>
      <c r="K12" s="18">
        <f t="shared" si="1"/>
        <v>83.58888889</v>
      </c>
      <c r="L12" s="18">
        <f t="shared" si="2"/>
        <v>16.15144654</v>
      </c>
      <c r="M12" s="112">
        <f>C14*Scoring!$B$32+D14/Scoring!$C$32+E14*Scoring!$D$32+F14*Scoring!$E$32+G14/Scoring!$F$32+H14*Scoring!$G$32+I14*Scoring!$H$32+K14*Scoring!$I$32+RB!L14*Scoring!$J$32+U12</f>
        <v>262.1</v>
      </c>
      <c r="N12" s="112">
        <f>C12*Scoring!$B$32+D12/Scoring!$C$32+E12*Scoring!$D$32+F12*Scoring!$E$32+G12/Scoring!$F$32+H12*Scoring!$G$32+I12*Scoring!$H$32+K12*Scoring!$I$32+RB!L12*Scoring!$J$32+U12</f>
        <v>289.06</v>
      </c>
      <c r="O12" s="112">
        <f>C13*Scoring!$B$32+D13/Scoring!$C$32+E13*Scoring!$D$32+F13*Scoring!$E$32+G13/Scoring!$F$32+H13*Scoring!$G$32+I13*Scoring!$H$32+K13*Scoring!$I$32+L13*Scoring!$J$32+U12</f>
        <v>321.19</v>
      </c>
      <c r="P12" s="8">
        <f>IF(COUNTIF(Rookies!$A:$A,A12)&gt;0,1,0)</f>
        <v>0</v>
      </c>
      <c r="Q12" s="8"/>
      <c r="R12" s="8"/>
      <c r="S12" s="8">
        <f>V12/17</f>
        <v>17.00352941</v>
      </c>
      <c r="T12" s="8">
        <f>IF(P12=1,MAX(0,0.258*(14.9-S12)),0)</f>
        <v>0</v>
      </c>
      <c r="U12" s="8">
        <f>T12*17</f>
        <v>0</v>
      </c>
      <c r="V12" s="8">
        <f>C12*Scoring!$B$32+D12/Scoring!$C$32+E12*Scoring!$D$32+F12*Scoring!$E$32+G12/Scoring!$F$32+H12*Scoring!$G$32+I12*Scoring!$H$32+K12*Scoring!$I$32+RB!L12*Scoring!$J$32</f>
        <v>289.06</v>
      </c>
      <c r="W12" s="8"/>
      <c r="X12" s="8"/>
      <c r="Y12" s="8"/>
      <c r="Z12" s="8"/>
    </row>
    <row r="13" ht="14.25" customHeight="1">
      <c r="B13" s="1" t="s">
        <v>39</v>
      </c>
      <c r="C13" s="1">
        <v>356.0</v>
      </c>
      <c r="D13" s="1">
        <v>1578.0</v>
      </c>
      <c r="E13" s="1">
        <v>15.0</v>
      </c>
      <c r="F13" s="1">
        <v>50.7</v>
      </c>
      <c r="G13" s="1">
        <v>390.4</v>
      </c>
      <c r="H13" s="1">
        <v>2.0</v>
      </c>
      <c r="I13" s="1">
        <v>1.5</v>
      </c>
      <c r="J13" s="1">
        <v>316.9</v>
      </c>
      <c r="K13" s="18">
        <f t="shared" si="1"/>
        <v>87.66666667</v>
      </c>
      <c r="L13" s="18">
        <f t="shared" si="2"/>
        <v>18.46420126</v>
      </c>
      <c r="M13" s="112"/>
      <c r="N13" s="112"/>
      <c r="O13" s="1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B14" s="1" t="s">
        <v>48</v>
      </c>
      <c r="C14" s="1">
        <v>299.0</v>
      </c>
      <c r="D14" s="1">
        <v>1436.0</v>
      </c>
      <c r="E14" s="1">
        <v>11.6</v>
      </c>
      <c r="F14" s="1">
        <v>36.0</v>
      </c>
      <c r="G14" s="1">
        <v>289.0</v>
      </c>
      <c r="H14" s="1">
        <v>1.0</v>
      </c>
      <c r="I14" s="1">
        <v>2.0</v>
      </c>
      <c r="J14" s="1">
        <v>308.7</v>
      </c>
      <c r="K14" s="18">
        <f t="shared" si="1"/>
        <v>79.77777778</v>
      </c>
      <c r="L14" s="18">
        <f t="shared" si="2"/>
        <v>13.66842767</v>
      </c>
      <c r="M14" s="112"/>
      <c r="N14" s="112"/>
      <c r="O14" s="11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" t="s">
        <v>395</v>
      </c>
      <c r="B15" s="1" t="s">
        <v>196</v>
      </c>
      <c r="C15" s="1">
        <v>238.3</v>
      </c>
      <c r="D15" s="1">
        <v>1200.2</v>
      </c>
      <c r="E15" s="1">
        <v>6.0</v>
      </c>
      <c r="F15" s="1">
        <v>65.3</v>
      </c>
      <c r="G15" s="1">
        <v>490.7</v>
      </c>
      <c r="H15" s="1">
        <v>4.0</v>
      </c>
      <c r="I15" s="1">
        <v>1.0</v>
      </c>
      <c r="J15" s="1">
        <v>292.4</v>
      </c>
      <c r="K15" s="18">
        <f t="shared" si="1"/>
        <v>66.67777778</v>
      </c>
      <c r="L15" s="18">
        <f t="shared" si="2"/>
        <v>23.20794969</v>
      </c>
      <c r="M15" s="112">
        <f>C17*Scoring!$B$32+D17/Scoring!$C$32+E17*Scoring!$D$32+F17*Scoring!$E$32+G17/Scoring!$F$32+H17*Scoring!$G$32+I17*Scoring!$H$32+K17*Scoring!$I$32+RB!L17*Scoring!$J$32+U15</f>
        <v>228.2</v>
      </c>
      <c r="N15" s="112">
        <f>C15*Scoring!$B$32+D15/Scoring!$C$32+E15*Scoring!$D$32+F15*Scoring!$E$32+G15/Scoring!$F$32+H15*Scoring!$G$32+I15*Scoring!$H$32+K15*Scoring!$I$32+RB!L15*Scoring!$J$32+U15</f>
        <v>259.74</v>
      </c>
      <c r="O15" s="112">
        <f>C16*Scoring!$B$32+D16/Scoring!$C$32+E16*Scoring!$D$32+F16*Scoring!$E$32+G16/Scoring!$F$32+H16*Scoring!$G$32+I16*Scoring!$H$32+K16*Scoring!$I$32+L16*Scoring!$J$32+U15</f>
        <v>299.35</v>
      </c>
      <c r="P15" s="8">
        <f>IF(COUNTIF(Rookies!$A:$A,A15)&gt;0,1,0)</f>
        <v>0</v>
      </c>
      <c r="Q15" s="8"/>
      <c r="R15" s="8"/>
      <c r="S15" s="8">
        <f>V15/17</f>
        <v>15.27882353</v>
      </c>
      <c r="T15" s="8">
        <f>IF(P15=1,MAX(0,0.258*(14.9-S15)),0)</f>
        <v>0</v>
      </c>
      <c r="U15" s="8">
        <f>T15*17</f>
        <v>0</v>
      </c>
      <c r="V15" s="8">
        <f>C15*Scoring!$B$32+D15/Scoring!$C$32+E15*Scoring!$D$32+F15*Scoring!$E$32+G15/Scoring!$F$32+H15*Scoring!$G$32+I15*Scoring!$H$32+K15*Scoring!$I$32+RB!L15*Scoring!$J$32</f>
        <v>259.74</v>
      </c>
      <c r="W15" s="8"/>
      <c r="X15" s="8"/>
      <c r="Y15" s="8"/>
      <c r="Z15" s="8"/>
    </row>
    <row r="16" ht="14.25" customHeight="1">
      <c r="B16" s="1" t="s">
        <v>39</v>
      </c>
      <c r="C16" s="1">
        <v>258.0</v>
      </c>
      <c r="D16" s="1">
        <v>1308.5</v>
      </c>
      <c r="E16" s="1">
        <v>7.0</v>
      </c>
      <c r="F16" s="1">
        <v>75.0</v>
      </c>
      <c r="G16" s="1">
        <v>550.0</v>
      </c>
      <c r="H16" s="1">
        <v>6.0</v>
      </c>
      <c r="I16" s="1">
        <v>1.0</v>
      </c>
      <c r="J16" s="1">
        <v>304.5</v>
      </c>
      <c r="K16" s="18">
        <f t="shared" si="1"/>
        <v>72.69444444</v>
      </c>
      <c r="L16" s="18">
        <f t="shared" si="2"/>
        <v>26.01257862</v>
      </c>
      <c r="M16" s="112"/>
      <c r="N16" s="112"/>
      <c r="O16" s="112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B17" s="1" t="s">
        <v>48</v>
      </c>
      <c r="C17" s="1">
        <v>228.0</v>
      </c>
      <c r="D17" s="1">
        <v>1131.0</v>
      </c>
      <c r="E17" s="1">
        <v>5.0</v>
      </c>
      <c r="F17" s="1">
        <v>56.0</v>
      </c>
      <c r="G17" s="1">
        <v>411.0</v>
      </c>
      <c r="H17" s="1">
        <v>3.0</v>
      </c>
      <c r="I17" s="1">
        <v>1.0</v>
      </c>
      <c r="J17" s="1">
        <v>292.3</v>
      </c>
      <c r="K17" s="18">
        <f t="shared" si="1"/>
        <v>62.83333333</v>
      </c>
      <c r="L17" s="18">
        <f t="shared" si="2"/>
        <v>19.43849057</v>
      </c>
      <c r="M17" s="112"/>
      <c r="N17" s="112"/>
      <c r="O17" s="11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" t="s">
        <v>396</v>
      </c>
      <c r="B18" s="1" t="s">
        <v>127</v>
      </c>
      <c r="C18" s="1">
        <v>238.8</v>
      </c>
      <c r="D18" s="1">
        <v>1037.5</v>
      </c>
      <c r="E18" s="1">
        <v>7.8</v>
      </c>
      <c r="F18" s="1">
        <v>63.8</v>
      </c>
      <c r="G18" s="1">
        <v>427.6</v>
      </c>
      <c r="H18" s="1">
        <v>4.0</v>
      </c>
      <c r="I18" s="1">
        <v>1.1</v>
      </c>
      <c r="J18" s="1">
        <v>278.6</v>
      </c>
      <c r="K18" s="18">
        <f t="shared" si="1"/>
        <v>57.63888889</v>
      </c>
      <c r="L18" s="18">
        <f t="shared" si="2"/>
        <v>20.22359748</v>
      </c>
      <c r="M18" s="112">
        <f>C20*Scoring!$B$32+D20/Scoring!$C$32+E20*Scoring!$D$32+F20*Scoring!$E$32+G20/Scoring!$F$32+H20*Scoring!$G$32+I20*Scoring!$H$32+K20*Scoring!$I$32+RB!L20*Scoring!$J$32+U18</f>
        <v>223</v>
      </c>
      <c r="N18" s="112">
        <f>C18*Scoring!$B$32+D18/Scoring!$C$32+E18*Scoring!$D$32+F18*Scoring!$E$32+G18/Scoring!$F$32+H18*Scoring!$G$32+I18*Scoring!$H$32+K18*Scoring!$I$32+RB!L18*Scoring!$J$32+U18</f>
        <v>247.01</v>
      </c>
      <c r="O18" s="112">
        <f>C19*Scoring!$B$32+D19/Scoring!$C$32+E19*Scoring!$D$32+F19*Scoring!$E$32+G19/Scoring!$F$32+H19*Scoring!$G$32+I19*Scoring!$H$32+K19*Scoring!$I$32+L19*Scoring!$J$32+U18</f>
        <v>271.7</v>
      </c>
      <c r="P18" s="8">
        <f>IF(COUNTIF(Rookies!$A:$A,A18)&gt;0,1,0)</f>
        <v>0</v>
      </c>
      <c r="Q18" s="8"/>
      <c r="R18" s="8"/>
      <c r="S18" s="8">
        <f>V18/17</f>
        <v>14.53</v>
      </c>
      <c r="T18" s="8">
        <f>IF(P18=1,MAX(0,0.258*(14.9-S18)),0)</f>
        <v>0</v>
      </c>
      <c r="U18" s="8">
        <f>T18*17</f>
        <v>0</v>
      </c>
      <c r="V18" s="8">
        <f>C18*Scoring!$B$32+D18/Scoring!$C$32+E18*Scoring!$D$32+F18*Scoring!$E$32+G18/Scoring!$F$32+H18*Scoring!$G$32+I18*Scoring!$H$32+K18*Scoring!$I$32+RB!L18*Scoring!$J$32</f>
        <v>247.01</v>
      </c>
      <c r="W18" s="8"/>
      <c r="X18" s="8"/>
      <c r="Y18" s="8"/>
      <c r="Z18" s="8"/>
    </row>
    <row r="19" ht="14.25" customHeight="1">
      <c r="B19" s="1" t="s">
        <v>39</v>
      </c>
      <c r="C19" s="1">
        <v>242.0</v>
      </c>
      <c r="D19" s="1">
        <v>1066.0</v>
      </c>
      <c r="E19" s="1">
        <v>9.0</v>
      </c>
      <c r="F19" s="1">
        <v>72.0</v>
      </c>
      <c r="G19" s="1">
        <v>471.0</v>
      </c>
      <c r="H19" s="1">
        <v>5.0</v>
      </c>
      <c r="I19" s="1">
        <v>1.0</v>
      </c>
      <c r="J19" s="1">
        <v>301.6</v>
      </c>
      <c r="K19" s="18">
        <f t="shared" si="1"/>
        <v>59.22222222</v>
      </c>
      <c r="L19" s="18">
        <f t="shared" si="2"/>
        <v>22.27622642</v>
      </c>
      <c r="M19" s="112"/>
      <c r="N19" s="112"/>
      <c r="O19" s="1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B20" s="1" t="s">
        <v>48</v>
      </c>
      <c r="C20" s="1">
        <v>236.0</v>
      </c>
      <c r="D20" s="1">
        <v>1008.0</v>
      </c>
      <c r="E20" s="1">
        <v>7.0</v>
      </c>
      <c r="F20" s="1">
        <v>55.0</v>
      </c>
      <c r="G20" s="1">
        <v>377.0</v>
      </c>
      <c r="H20" s="1">
        <v>2.9</v>
      </c>
      <c r="I20" s="1">
        <v>1.2</v>
      </c>
      <c r="J20" s="1">
        <v>271.6</v>
      </c>
      <c r="K20" s="18">
        <f t="shared" si="1"/>
        <v>56</v>
      </c>
      <c r="L20" s="18">
        <f t="shared" si="2"/>
        <v>17.83044025</v>
      </c>
      <c r="M20" s="112"/>
      <c r="N20" s="112"/>
      <c r="O20" s="112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" t="s">
        <v>398</v>
      </c>
      <c r="B21" s="1" t="s">
        <v>61</v>
      </c>
      <c r="C21" s="1">
        <v>314.0</v>
      </c>
      <c r="D21" s="1">
        <v>1569.8</v>
      </c>
      <c r="E21" s="1">
        <v>13.4</v>
      </c>
      <c r="F21" s="1">
        <v>18.1</v>
      </c>
      <c r="G21" s="1">
        <v>175.1</v>
      </c>
      <c r="H21" s="1">
        <v>0.7</v>
      </c>
      <c r="I21" s="1">
        <v>1.7</v>
      </c>
      <c r="J21" s="1">
        <v>273.8</v>
      </c>
      <c r="K21" s="18">
        <f t="shared" si="1"/>
        <v>87.21111111</v>
      </c>
      <c r="L21" s="18">
        <f t="shared" si="2"/>
        <v>8.281459119</v>
      </c>
      <c r="M21" s="112">
        <f>C23*Scoring!$B$32+D23/Scoring!$C$32+E23*Scoring!$D$32+F23*Scoring!$E$32+G23/Scoring!$F$32+H23*Scoring!$G$32+I23*Scoring!$H$32+K23*Scoring!$I$32+RB!L23*Scoring!$J$32+U21</f>
        <v>238.75</v>
      </c>
      <c r="N21" s="112">
        <f>C21*Scoring!$B$32+D21/Scoring!$C$32+E21*Scoring!$D$32+F21*Scoring!$E$32+G21/Scoring!$F$32+H21*Scoring!$G$32+I21*Scoring!$H$32+K21*Scoring!$I$32+RB!L21*Scoring!$J$32+U21</f>
        <v>264.74</v>
      </c>
      <c r="O21" s="112">
        <f>C22*Scoring!$B$32+D22/Scoring!$C$32+E22*Scoring!$D$32+F22*Scoring!$E$32+G22/Scoring!$F$32+H22*Scoring!$G$32+I22*Scoring!$H$32+K22*Scoring!$I$32+L22*Scoring!$J$32+U21</f>
        <v>291.33</v>
      </c>
      <c r="P21" s="8">
        <f>IF(COUNTIF(Rookies!$A:$A,A21)&gt;0,1,0)</f>
        <v>0</v>
      </c>
      <c r="Q21" s="8"/>
      <c r="R21" s="8"/>
      <c r="S21" s="8">
        <f>V21/17</f>
        <v>15.57294118</v>
      </c>
      <c r="T21" s="8">
        <f>IF(P21=1,MAX(0,0.258*(14.9-S21)),0)</f>
        <v>0</v>
      </c>
      <c r="U21" s="8">
        <f>T21*17</f>
        <v>0</v>
      </c>
      <c r="V21" s="8">
        <f>C21*Scoring!$B$32+D21/Scoring!$C$32+E21*Scoring!$D$32+F21*Scoring!$E$32+G21/Scoring!$F$32+H21*Scoring!$G$32+I21*Scoring!$H$32+K21*Scoring!$I$32+RB!L21*Scoring!$J$32</f>
        <v>264.74</v>
      </c>
      <c r="W21" s="8"/>
      <c r="X21" s="8"/>
      <c r="Y21" s="8"/>
      <c r="Z21" s="8"/>
    </row>
    <row r="22" ht="14.25" customHeight="1">
      <c r="B22" s="1" t="s">
        <v>39</v>
      </c>
      <c r="C22" s="1">
        <v>321.0</v>
      </c>
      <c r="D22" s="1">
        <v>1654.0</v>
      </c>
      <c r="E22" s="1">
        <v>15.0</v>
      </c>
      <c r="F22" s="1">
        <v>21.4</v>
      </c>
      <c r="G22" s="1">
        <v>210.3</v>
      </c>
      <c r="H22" s="1">
        <v>1.2</v>
      </c>
      <c r="I22" s="1">
        <v>1.5</v>
      </c>
      <c r="J22" s="1">
        <v>277.1</v>
      </c>
      <c r="K22" s="18">
        <f t="shared" si="1"/>
        <v>91.88888889</v>
      </c>
      <c r="L22" s="18">
        <f t="shared" si="2"/>
        <v>9.946264151</v>
      </c>
      <c r="M22" s="112"/>
      <c r="N22" s="112"/>
      <c r="O22" s="112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B23" s="1" t="s">
        <v>48</v>
      </c>
      <c r="C23" s="1">
        <v>304.0</v>
      </c>
      <c r="D23" s="1">
        <v>1483.5</v>
      </c>
      <c r="E23" s="1">
        <v>12.0</v>
      </c>
      <c r="F23" s="1">
        <v>16.0</v>
      </c>
      <c r="G23" s="1">
        <v>144.0</v>
      </c>
      <c r="H23" s="1">
        <v>0.0</v>
      </c>
      <c r="I23" s="1">
        <v>2.0</v>
      </c>
      <c r="J23" s="1">
        <v>269.7</v>
      </c>
      <c r="K23" s="18">
        <f t="shared" si="1"/>
        <v>82.41666667</v>
      </c>
      <c r="L23" s="18">
        <f t="shared" si="2"/>
        <v>6.810566038</v>
      </c>
      <c r="M23" s="112"/>
      <c r="N23" s="112"/>
      <c r="O23" s="1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" t="s">
        <v>401</v>
      </c>
      <c r="B24" s="1" t="s">
        <v>18</v>
      </c>
      <c r="C24" s="1">
        <v>287.7</v>
      </c>
      <c r="D24" s="1">
        <v>1405.1</v>
      </c>
      <c r="E24" s="1">
        <v>10.3</v>
      </c>
      <c r="F24" s="1">
        <v>33.3</v>
      </c>
      <c r="G24" s="1">
        <v>283.7</v>
      </c>
      <c r="H24" s="1">
        <v>1.9</v>
      </c>
      <c r="I24" s="1">
        <v>2.4</v>
      </c>
      <c r="J24" s="1">
        <v>270.6</v>
      </c>
      <c r="K24" s="18">
        <f t="shared" si="1"/>
        <v>78.06111111</v>
      </c>
      <c r="L24" s="18">
        <f t="shared" si="2"/>
        <v>13.41776101</v>
      </c>
      <c r="M24" s="112">
        <f>C26*Scoring!$B$32+D26/Scoring!$C$32+E26*Scoring!$D$32+F26*Scoring!$E$32+G26/Scoring!$F$32+H26*Scoring!$G$32+I26*Scoring!$H$32+K26*Scoring!$I$32+RB!L26*Scoring!$J$32+U24</f>
        <v>238.7</v>
      </c>
      <c r="N24" s="112">
        <f>C24*Scoring!$B$32+D24/Scoring!$C$32+E24*Scoring!$D$32+F24*Scoring!$E$32+G24/Scoring!$F$32+H24*Scoring!$G$32+I24*Scoring!$H$32+K24*Scoring!$I$32+RB!L24*Scoring!$J$32+U24</f>
        <v>253.93</v>
      </c>
      <c r="O24" s="112">
        <f>C25*Scoring!$B$32+D25/Scoring!$C$32+E25*Scoring!$D$32+F25*Scoring!$E$32+G25/Scoring!$F$32+H25*Scoring!$G$32+I25*Scoring!$H$32+K25*Scoring!$I$32+L25*Scoring!$J$32+U24</f>
        <v>266.26</v>
      </c>
      <c r="P24" s="8">
        <f>IF(COUNTIF(Rookies!$A:$A,A24)&gt;0,1,0)</f>
        <v>0</v>
      </c>
      <c r="Q24" s="8"/>
      <c r="R24" s="8"/>
      <c r="S24" s="8">
        <f>V24/17</f>
        <v>14.93705882</v>
      </c>
      <c r="T24" s="8">
        <f>IF(P24=1,MAX(0,0.258*(14.9-S24)),0)</f>
        <v>0</v>
      </c>
      <c r="U24" s="8">
        <f>T24*17</f>
        <v>0</v>
      </c>
      <c r="V24" s="8">
        <f>C24*Scoring!$B$32+D24/Scoring!$C$32+E24*Scoring!$D$32+F24*Scoring!$E$32+G24/Scoring!$F$32+H24*Scoring!$G$32+I24*Scoring!$H$32+K24*Scoring!$I$32+RB!L24*Scoring!$J$32</f>
        <v>253.93</v>
      </c>
      <c r="W24" s="8"/>
      <c r="X24" s="8"/>
      <c r="Y24" s="8"/>
      <c r="Z24" s="8"/>
    </row>
    <row r="25" ht="14.25" customHeight="1">
      <c r="B25" s="1" t="s">
        <v>39</v>
      </c>
      <c r="C25" s="1">
        <v>300.0</v>
      </c>
      <c r="D25" s="1">
        <v>1437.0</v>
      </c>
      <c r="E25" s="1">
        <v>11.0</v>
      </c>
      <c r="F25" s="1">
        <v>35.9</v>
      </c>
      <c r="G25" s="1">
        <v>302.1</v>
      </c>
      <c r="H25" s="1">
        <v>2.0</v>
      </c>
      <c r="I25" s="1">
        <v>1.8</v>
      </c>
      <c r="J25" s="1">
        <v>292.5</v>
      </c>
      <c r="K25" s="18">
        <f t="shared" si="1"/>
        <v>79.83333333</v>
      </c>
      <c r="L25" s="18">
        <f t="shared" si="2"/>
        <v>14.288</v>
      </c>
      <c r="M25" s="112"/>
      <c r="N25" s="112"/>
      <c r="O25" s="112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B26" s="1" t="s">
        <v>48</v>
      </c>
      <c r="C26" s="1">
        <v>275.0</v>
      </c>
      <c r="D26" s="1">
        <v>1377.0</v>
      </c>
      <c r="E26" s="1">
        <v>9.0</v>
      </c>
      <c r="F26" s="1">
        <v>32.0</v>
      </c>
      <c r="G26" s="1">
        <v>274.0</v>
      </c>
      <c r="H26" s="1">
        <v>1.6</v>
      </c>
      <c r="I26" s="1">
        <v>3.0</v>
      </c>
      <c r="J26" s="1">
        <v>247.3</v>
      </c>
      <c r="K26" s="18">
        <f t="shared" si="1"/>
        <v>76.5</v>
      </c>
      <c r="L26" s="18">
        <f t="shared" si="2"/>
        <v>12.95899371</v>
      </c>
      <c r="M26" s="112"/>
      <c r="N26" s="112"/>
      <c r="O26" s="112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" t="s">
        <v>403</v>
      </c>
      <c r="B27" s="1" t="s">
        <v>117</v>
      </c>
      <c r="C27" s="1">
        <v>295.8</v>
      </c>
      <c r="D27" s="1">
        <v>1299.1</v>
      </c>
      <c r="E27" s="1">
        <v>8.2</v>
      </c>
      <c r="F27" s="1">
        <v>41.7</v>
      </c>
      <c r="G27" s="1">
        <v>330.4</v>
      </c>
      <c r="H27" s="1">
        <v>2.1</v>
      </c>
      <c r="I27" s="1">
        <v>1.0</v>
      </c>
      <c r="J27" s="1">
        <v>264.7</v>
      </c>
      <c r="K27" s="18">
        <f t="shared" si="1"/>
        <v>72.17222222</v>
      </c>
      <c r="L27" s="18">
        <f t="shared" si="2"/>
        <v>15.62646541</v>
      </c>
      <c r="M27" s="112">
        <f>C29*Scoring!$B$32+D29/Scoring!$C$32+E29*Scoring!$D$32+F29*Scoring!$E$32+G29/Scoring!$F$32+H29*Scoring!$G$32+I29*Scoring!$H$32+K29*Scoring!$I$32+RB!L29*Scoring!$J$32+U27</f>
        <v>226.3</v>
      </c>
      <c r="N27" s="112">
        <f>C27*Scoring!$B$32+D27/Scoring!$C$32+E27*Scoring!$D$32+F27*Scoring!$E$32+G27/Scoring!$F$32+H27*Scoring!$G$32+I27*Scoring!$H$32+K27*Scoring!$I$32+RB!L27*Scoring!$J$32+U27</f>
        <v>243.6</v>
      </c>
      <c r="O27" s="112">
        <f>C28*Scoring!$B$32+D28/Scoring!$C$32+E28*Scoring!$D$32+F28*Scoring!$E$32+G28/Scoring!$F$32+H28*Scoring!$G$32+I28*Scoring!$H$32+K28*Scoring!$I$32+L28*Scoring!$J$32+U27</f>
        <v>262.11</v>
      </c>
      <c r="P27" s="8">
        <f>IF(COUNTIF(Rookies!$A:$A,A27)&gt;0,1,0)</f>
        <v>0</v>
      </c>
      <c r="Q27" s="8"/>
      <c r="R27" s="8"/>
      <c r="S27" s="8">
        <f>V27/17</f>
        <v>14.32941176</v>
      </c>
      <c r="T27" s="8">
        <f>IF(P27=1,MAX(0,0.258*(14.9-S27)),0)</f>
        <v>0</v>
      </c>
      <c r="U27" s="8">
        <f>T27*17</f>
        <v>0</v>
      </c>
      <c r="V27" s="8">
        <f>C27*Scoring!$B$32+D27/Scoring!$C$32+E27*Scoring!$D$32+F27*Scoring!$E$32+G27/Scoring!$F$32+H27*Scoring!$G$32+I27*Scoring!$H$32+K27*Scoring!$I$32+RB!L27*Scoring!$J$32</f>
        <v>243.6</v>
      </c>
      <c r="W27" s="8"/>
      <c r="X27" s="8"/>
      <c r="Y27" s="8"/>
      <c r="Z27" s="8"/>
    </row>
    <row r="28" ht="14.25" customHeight="1">
      <c r="B28" s="1" t="s">
        <v>39</v>
      </c>
      <c r="C28" s="1">
        <v>306.0</v>
      </c>
      <c r="D28" s="1">
        <v>1376.0</v>
      </c>
      <c r="E28" s="1">
        <v>9.0</v>
      </c>
      <c r="F28" s="1">
        <v>43.2</v>
      </c>
      <c r="G28" s="1">
        <v>371.1</v>
      </c>
      <c r="H28" s="1">
        <v>2.3</v>
      </c>
      <c r="I28" s="1">
        <v>1.0</v>
      </c>
      <c r="J28" s="1">
        <v>283.0</v>
      </c>
      <c r="K28" s="18">
        <f t="shared" si="1"/>
        <v>76.44444444</v>
      </c>
      <c r="L28" s="18">
        <f t="shared" si="2"/>
        <v>17.55139623</v>
      </c>
      <c r="M28" s="112"/>
      <c r="N28" s="112"/>
      <c r="O28" s="112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B29" s="1" t="s">
        <v>48</v>
      </c>
      <c r="C29" s="1">
        <v>281.0</v>
      </c>
      <c r="D29" s="1">
        <v>1236.0</v>
      </c>
      <c r="E29" s="1">
        <v>7.0</v>
      </c>
      <c r="F29" s="1">
        <v>40.0</v>
      </c>
      <c r="G29" s="1">
        <v>307.0</v>
      </c>
      <c r="H29" s="1">
        <v>2.0</v>
      </c>
      <c r="I29" s="1">
        <v>1.0</v>
      </c>
      <c r="J29" s="1">
        <v>244.7</v>
      </c>
      <c r="K29" s="18">
        <f t="shared" si="1"/>
        <v>68.66666667</v>
      </c>
      <c r="L29" s="18">
        <f t="shared" si="2"/>
        <v>14.51974843</v>
      </c>
      <c r="M29" s="112"/>
      <c r="N29" s="112"/>
      <c r="O29" s="112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1" t="s">
        <v>405</v>
      </c>
      <c r="B30" s="1" t="s">
        <v>222</v>
      </c>
      <c r="C30" s="1">
        <v>259.7</v>
      </c>
      <c r="D30" s="1">
        <v>1046.9</v>
      </c>
      <c r="E30" s="1">
        <v>7.4</v>
      </c>
      <c r="F30" s="1">
        <v>56.7</v>
      </c>
      <c r="G30" s="1">
        <v>400.6</v>
      </c>
      <c r="H30" s="1">
        <v>3.0</v>
      </c>
      <c r="I30" s="1">
        <v>1.1</v>
      </c>
      <c r="J30" s="1">
        <v>261.5</v>
      </c>
      <c r="K30" s="18">
        <f t="shared" si="1"/>
        <v>58.16111111</v>
      </c>
      <c r="L30" s="18">
        <f t="shared" si="2"/>
        <v>18.94661635</v>
      </c>
      <c r="M30" s="112">
        <f>C32*Scoring!$B$32+D32/Scoring!$C$32+E32*Scoring!$D$32+F32*Scoring!$E$32+G32/Scoring!$F$32+H32*Scoring!$G$32+I32*Scoring!$H$32+K32*Scoring!$I$32+RB!L32*Scoring!$J$32+U30</f>
        <v>193.7</v>
      </c>
      <c r="N30" s="112">
        <f>C30*Scoring!$B$32+D30/Scoring!$C$32+E30*Scoring!$D$32+F30*Scoring!$E$32+G30/Scoring!$F$32+H30*Scoring!$G$32+I30*Scoring!$H$32+K30*Scoring!$I$32+RB!L30*Scoring!$J$32+U30</f>
        <v>233.3</v>
      </c>
      <c r="O30" s="112">
        <f>C31*Scoring!$B$32+D31/Scoring!$C$32+E31*Scoring!$D$32+F31*Scoring!$E$32+G31/Scoring!$F$32+H31*Scoring!$G$32+I31*Scoring!$H$32+K31*Scoring!$I$32+L31*Scoring!$J$32+U30</f>
        <v>271.88</v>
      </c>
      <c r="P30" s="8">
        <f>IF(COUNTIF(Rookies!$A:$A,A30)&gt;0,1,0)</f>
        <v>0</v>
      </c>
      <c r="Q30" s="8"/>
      <c r="R30" s="8"/>
      <c r="S30" s="8">
        <f>V30/17</f>
        <v>13.72352941</v>
      </c>
      <c r="T30" s="8">
        <f>IF(P30=1,MAX(0,0.258*(14.9-S30)),0)</f>
        <v>0</v>
      </c>
      <c r="U30" s="8">
        <f>T30*17</f>
        <v>0</v>
      </c>
      <c r="V30" s="8">
        <f>C30*Scoring!$B$32+D30/Scoring!$C$32+E30*Scoring!$D$32+F30*Scoring!$E$32+G30/Scoring!$F$32+H30*Scoring!$G$32+I30*Scoring!$H$32+K30*Scoring!$I$32+RB!L30*Scoring!$J$32</f>
        <v>233.3</v>
      </c>
      <c r="W30" s="8"/>
      <c r="X30" s="8"/>
      <c r="Y30" s="8"/>
      <c r="Z30" s="8"/>
    </row>
    <row r="31" ht="14.25" customHeight="1">
      <c r="B31" s="1" t="s">
        <v>39</v>
      </c>
      <c r="C31" s="1">
        <v>279.1</v>
      </c>
      <c r="D31" s="1">
        <v>1137.0</v>
      </c>
      <c r="E31" s="1">
        <v>8.0</v>
      </c>
      <c r="F31" s="1">
        <v>65.2</v>
      </c>
      <c r="G31" s="1">
        <v>495.8</v>
      </c>
      <c r="H31" s="1">
        <v>5.0</v>
      </c>
      <c r="I31" s="1">
        <v>1.0</v>
      </c>
      <c r="J31" s="1">
        <v>293.0</v>
      </c>
      <c r="K31" s="18">
        <f t="shared" si="1"/>
        <v>63.16666667</v>
      </c>
      <c r="L31" s="18">
        <f t="shared" si="2"/>
        <v>23.44915723</v>
      </c>
      <c r="M31" s="112"/>
      <c r="N31" s="112"/>
      <c r="O31" s="112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B32" s="1" t="s">
        <v>48</v>
      </c>
      <c r="C32" s="1">
        <v>229.0</v>
      </c>
      <c r="D32" s="1">
        <v>876.0</v>
      </c>
      <c r="E32" s="1">
        <v>7.0</v>
      </c>
      <c r="F32" s="1">
        <v>49.0</v>
      </c>
      <c r="G32" s="1">
        <v>300.0</v>
      </c>
      <c r="H32" s="1">
        <v>2.0</v>
      </c>
      <c r="I32" s="1">
        <v>1.2</v>
      </c>
      <c r="J32" s="1">
        <v>233.7</v>
      </c>
      <c r="K32" s="18">
        <f t="shared" si="1"/>
        <v>48.66666667</v>
      </c>
      <c r="L32" s="18">
        <f t="shared" si="2"/>
        <v>14.18867925</v>
      </c>
      <c r="M32" s="112"/>
      <c r="N32" s="112"/>
      <c r="O32" s="112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" t="s">
        <v>407</v>
      </c>
      <c r="B33" s="1" t="s">
        <v>155</v>
      </c>
      <c r="C33" s="1">
        <v>262.5</v>
      </c>
      <c r="D33" s="1">
        <v>1192.1</v>
      </c>
      <c r="E33" s="1">
        <v>8.7</v>
      </c>
      <c r="F33" s="1">
        <v>45.8</v>
      </c>
      <c r="G33" s="1">
        <v>353.1</v>
      </c>
      <c r="H33" s="1">
        <v>1.2</v>
      </c>
      <c r="I33" s="1">
        <v>0.9</v>
      </c>
      <c r="J33" s="1">
        <v>258.0</v>
      </c>
      <c r="K33" s="18">
        <f t="shared" si="1"/>
        <v>66.22777778</v>
      </c>
      <c r="L33" s="18">
        <f t="shared" si="2"/>
        <v>16.70007547</v>
      </c>
      <c r="M33" s="112">
        <f>C35*Scoring!$B$32+D35/Scoring!$C$32+E35*Scoring!$D$32+F35*Scoring!$E$32+G35/Scoring!$F$32+H35*Scoring!$G$32+I35*Scoring!$H$32+K35*Scoring!$I$32+RB!L35*Scoring!$J$32+U33</f>
        <v>215.2</v>
      </c>
      <c r="N33" s="112">
        <f>C33*Scoring!$B$32+D33/Scoring!$C$32+E33*Scoring!$D$32+F33*Scoring!$E$32+G33/Scoring!$F$32+H33*Scoring!$G$32+I33*Scoring!$H$32+K33*Scoring!$I$32+RB!L33*Scoring!$J$32+U33</f>
        <v>235.02</v>
      </c>
      <c r="O33" s="112">
        <f>C34*Scoring!$B$32+D34/Scoring!$C$32+E34*Scoring!$D$32+F34*Scoring!$E$32+G34/Scoring!$F$32+H34*Scoring!$G$32+I34*Scoring!$H$32+K34*Scoring!$I$32+L34*Scoring!$J$32+U33</f>
        <v>250.51</v>
      </c>
      <c r="P33" s="8">
        <f>IF(COUNTIF(Rookies!$A:$A,A33)&gt;0,1,0)</f>
        <v>0</v>
      </c>
      <c r="Q33" s="8"/>
      <c r="R33" s="8"/>
      <c r="S33" s="8">
        <f>V33/17</f>
        <v>13.82470588</v>
      </c>
      <c r="T33" s="8">
        <f>IF(P33=1,MAX(0,0.258*(14.9-S33)),0)</f>
        <v>0</v>
      </c>
      <c r="U33" s="8">
        <f>T33*17</f>
        <v>0</v>
      </c>
      <c r="V33" s="8">
        <f>C33*Scoring!$B$32+D33/Scoring!$C$32+E33*Scoring!$D$32+F33*Scoring!$E$32+G33/Scoring!$F$32+H33*Scoring!$G$32+I33*Scoring!$H$32+K33*Scoring!$I$32+RB!L33*Scoring!$J$32</f>
        <v>235.02</v>
      </c>
      <c r="W33" s="8"/>
      <c r="X33" s="8"/>
      <c r="Y33" s="8"/>
      <c r="Z33" s="8"/>
    </row>
    <row r="34" ht="14.25" customHeight="1">
      <c r="B34" s="1" t="s">
        <v>39</v>
      </c>
      <c r="C34" s="1">
        <v>276.6</v>
      </c>
      <c r="D34" s="1">
        <v>1239.2</v>
      </c>
      <c r="E34" s="1">
        <v>9.1</v>
      </c>
      <c r="F34" s="1">
        <v>48.3</v>
      </c>
      <c r="G34" s="1">
        <v>376.4</v>
      </c>
      <c r="H34" s="1">
        <v>2.0</v>
      </c>
      <c r="I34" s="1">
        <v>0.9</v>
      </c>
      <c r="J34" s="1">
        <v>282.7</v>
      </c>
      <c r="K34" s="18">
        <f t="shared" si="1"/>
        <v>68.84444444</v>
      </c>
      <c r="L34" s="18">
        <f t="shared" si="2"/>
        <v>17.80206289</v>
      </c>
      <c r="M34" s="112"/>
      <c r="N34" s="112"/>
      <c r="O34" s="112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B35" s="1" t="s">
        <v>48</v>
      </c>
      <c r="C35" s="1">
        <v>249.0</v>
      </c>
      <c r="D35" s="1">
        <v>1160.0</v>
      </c>
      <c r="E35" s="1">
        <v>8.0</v>
      </c>
      <c r="F35" s="1">
        <v>42.0</v>
      </c>
      <c r="G35" s="1">
        <v>322.0</v>
      </c>
      <c r="H35" s="1">
        <v>0.0</v>
      </c>
      <c r="I35" s="1">
        <v>1.0</v>
      </c>
      <c r="J35" s="1">
        <v>227.8</v>
      </c>
      <c r="K35" s="18">
        <f t="shared" si="1"/>
        <v>64.44444444</v>
      </c>
      <c r="L35" s="18">
        <f t="shared" si="2"/>
        <v>15.22918239</v>
      </c>
      <c r="M35" s="112"/>
      <c r="N35" s="112"/>
      <c r="O35" s="112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" t="s">
        <v>409</v>
      </c>
      <c r="B36" s="1" t="s">
        <v>217</v>
      </c>
      <c r="C36" s="1">
        <v>237.2</v>
      </c>
      <c r="D36" s="1">
        <v>1068.9</v>
      </c>
      <c r="E36" s="1">
        <v>7.2</v>
      </c>
      <c r="F36" s="1">
        <v>54.7</v>
      </c>
      <c r="G36" s="1">
        <v>429.1</v>
      </c>
      <c r="H36" s="1">
        <v>2.1</v>
      </c>
      <c r="I36" s="1">
        <v>2.2</v>
      </c>
      <c r="J36" s="1">
        <v>256.0</v>
      </c>
      <c r="K36" s="18">
        <f t="shared" si="1"/>
        <v>59.38333333</v>
      </c>
      <c r="L36" s="18">
        <f t="shared" si="2"/>
        <v>20.29454088</v>
      </c>
      <c r="M36" s="112">
        <f>C38*Scoring!$B$32+D38/Scoring!$C$32+E38*Scoring!$D$32+F38*Scoring!$E$32+G38/Scoring!$F$32+H38*Scoring!$G$32+I38*Scoring!$H$32+K38*Scoring!$I$32+RB!L38*Scoring!$J$32+U36</f>
        <v>211.9855</v>
      </c>
      <c r="N36" s="112">
        <f>C36*Scoring!$B$32+D36/Scoring!$C$32+E36*Scoring!$D$32+F36*Scoring!$E$32+G36/Scoring!$F$32+H36*Scoring!$G$32+I36*Scoring!$H$32+K36*Scoring!$I$32+RB!L36*Scoring!$J$32+U36</f>
        <v>234.9355</v>
      </c>
      <c r="O36" s="112">
        <f>C37*Scoring!$B$32+D37/Scoring!$C$32+E37*Scoring!$D$32+F37*Scoring!$E$32+G37/Scoring!$F$32+H37*Scoring!$G$32+I37*Scoring!$H$32+K37*Scoring!$I$32+L37*Scoring!$J$32+U36</f>
        <v>259.2055</v>
      </c>
      <c r="P36" s="8">
        <f>IF(COUNTIF(Rookies!$A:$A,A36)&gt;0,1,0)</f>
        <v>1</v>
      </c>
      <c r="Q36" s="8"/>
      <c r="R36" s="8"/>
      <c r="S36" s="8">
        <f>V36/17</f>
        <v>13.44411765</v>
      </c>
      <c r="T36" s="8">
        <f>IF(P36=1,MAX(0,0.258*(14.9-S36)),0)</f>
        <v>0.3756176471</v>
      </c>
      <c r="U36" s="8">
        <f>T36*17</f>
        <v>6.3855</v>
      </c>
      <c r="V36" s="8">
        <f>C36*Scoring!$B$32+D36/Scoring!$C$32+E36*Scoring!$D$32+F36*Scoring!$E$32+G36/Scoring!$F$32+H36*Scoring!$G$32+I36*Scoring!$H$32+K36*Scoring!$I$32+RB!L36*Scoring!$J$32</f>
        <v>228.55</v>
      </c>
      <c r="W36" s="8"/>
      <c r="X36" s="8"/>
      <c r="Y36" s="8"/>
      <c r="Z36" s="8"/>
    </row>
    <row r="37" ht="14.25" customHeight="1">
      <c r="B37" s="1" t="s">
        <v>39</v>
      </c>
      <c r="C37" s="1">
        <v>254.6</v>
      </c>
      <c r="D37" s="1">
        <v>1127.8</v>
      </c>
      <c r="E37" s="1">
        <v>8.0</v>
      </c>
      <c r="F37" s="1">
        <v>65.2</v>
      </c>
      <c r="G37" s="1">
        <v>488.4</v>
      </c>
      <c r="H37" s="1">
        <v>2.2</v>
      </c>
      <c r="I37" s="1">
        <v>1.3</v>
      </c>
      <c r="J37" s="1">
        <v>286.6</v>
      </c>
      <c r="K37" s="18">
        <f t="shared" si="1"/>
        <v>62.65555556</v>
      </c>
      <c r="L37" s="18">
        <f t="shared" si="2"/>
        <v>23.09916981</v>
      </c>
      <c r="M37" s="112"/>
      <c r="N37" s="112"/>
      <c r="O37" s="112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B38" s="1" t="s">
        <v>48</v>
      </c>
      <c r="C38" s="1">
        <v>211.0</v>
      </c>
      <c r="D38" s="1">
        <v>997.0</v>
      </c>
      <c r="E38" s="1">
        <v>6.7</v>
      </c>
      <c r="F38" s="1">
        <v>43.0</v>
      </c>
      <c r="G38" s="1">
        <v>382.0</v>
      </c>
      <c r="H38" s="1">
        <v>2.0</v>
      </c>
      <c r="I38" s="1">
        <v>3.0</v>
      </c>
      <c r="J38" s="1">
        <v>228.7</v>
      </c>
      <c r="K38" s="18">
        <f t="shared" si="1"/>
        <v>55.38888889</v>
      </c>
      <c r="L38" s="18">
        <f t="shared" si="2"/>
        <v>18.06691824</v>
      </c>
      <c r="M38" s="112"/>
      <c r="N38" s="112"/>
      <c r="O38" s="112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" t="s">
        <v>411</v>
      </c>
      <c r="B39" s="1" t="s">
        <v>164</v>
      </c>
      <c r="C39" s="1">
        <v>243.7</v>
      </c>
      <c r="D39" s="1">
        <v>1034.8</v>
      </c>
      <c r="E39" s="1">
        <v>9.5</v>
      </c>
      <c r="F39" s="1">
        <v>50.2</v>
      </c>
      <c r="G39" s="1">
        <v>342.8</v>
      </c>
      <c r="H39" s="1">
        <v>1.9</v>
      </c>
      <c r="I39" s="1">
        <v>1.0</v>
      </c>
      <c r="J39" s="1">
        <v>254.2</v>
      </c>
      <c r="K39" s="18">
        <f t="shared" si="1"/>
        <v>57.48888889</v>
      </c>
      <c r="L39" s="18">
        <f t="shared" si="2"/>
        <v>16.21293082</v>
      </c>
      <c r="M39" s="112">
        <f>C41*Scoring!$B$32+D41/Scoring!$C$32+E41*Scoring!$D$32+F41*Scoring!$E$32+G41/Scoring!$F$32+H41*Scoring!$G$32+I41*Scoring!$H$32+K41*Scoring!$I$32+RB!L41*Scoring!$J$32+U39</f>
        <v>205.1</v>
      </c>
      <c r="N39" s="112">
        <f>C39*Scoring!$B$32+D39/Scoring!$C$32+E39*Scoring!$D$32+F39*Scoring!$E$32+G39/Scoring!$F$32+H39*Scoring!$G$32+I39*Scoring!$H$32+K39*Scoring!$I$32+RB!L39*Scoring!$J$32+U39</f>
        <v>229.26</v>
      </c>
      <c r="O39" s="112">
        <f>C40*Scoring!$B$32+D40/Scoring!$C$32+E40*Scoring!$D$32+F40*Scoring!$E$32+G40/Scoring!$F$32+H40*Scoring!$G$32+I40*Scoring!$H$32+K40*Scoring!$I$32+L40*Scoring!$J$32+U39</f>
        <v>245.5</v>
      </c>
      <c r="P39" s="8">
        <f>IF(COUNTIF(Rookies!$A:$A,A39)&gt;0,1,0)</f>
        <v>0</v>
      </c>
      <c r="Q39" s="8"/>
      <c r="R39" s="8"/>
      <c r="S39" s="8">
        <f>V39/17</f>
        <v>13.48588235</v>
      </c>
      <c r="T39" s="8">
        <f>IF(P39=1,MAX(0,0.258*(14.9-S39)),0)</f>
        <v>0</v>
      </c>
      <c r="U39" s="8">
        <f>T39*17</f>
        <v>0</v>
      </c>
      <c r="V39" s="8">
        <f>C39*Scoring!$B$32+D39/Scoring!$C$32+E39*Scoring!$D$32+F39*Scoring!$E$32+G39/Scoring!$F$32+H39*Scoring!$G$32+I39*Scoring!$H$32+K39*Scoring!$I$32+RB!L39*Scoring!$J$32</f>
        <v>229.26</v>
      </c>
      <c r="W39" s="8"/>
      <c r="X39" s="8"/>
      <c r="Y39" s="8"/>
      <c r="Z39" s="8"/>
    </row>
    <row r="40" ht="14.25" customHeight="1">
      <c r="B40" s="1" t="s">
        <v>39</v>
      </c>
      <c r="C40" s="1">
        <v>257.0</v>
      </c>
      <c r="D40" s="1">
        <v>1129.0</v>
      </c>
      <c r="E40" s="1">
        <v>10.0</v>
      </c>
      <c r="F40" s="1">
        <v>52.0</v>
      </c>
      <c r="G40" s="1">
        <v>366.0</v>
      </c>
      <c r="H40" s="1">
        <v>2.0</v>
      </c>
      <c r="I40" s="1">
        <v>1.0</v>
      </c>
      <c r="J40" s="1">
        <v>291.7</v>
      </c>
      <c r="K40" s="18">
        <f t="shared" si="1"/>
        <v>62.72222222</v>
      </c>
      <c r="L40" s="18">
        <f t="shared" si="2"/>
        <v>17.31018868</v>
      </c>
      <c r="M40" s="112"/>
      <c r="N40" s="112"/>
      <c r="O40" s="11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B41" s="1" t="s">
        <v>48</v>
      </c>
      <c r="C41" s="1">
        <v>220.0</v>
      </c>
      <c r="D41" s="1">
        <v>891.0</v>
      </c>
      <c r="E41" s="1">
        <v>9.0</v>
      </c>
      <c r="F41" s="1">
        <v>47.0</v>
      </c>
      <c r="G41" s="1">
        <v>299.0</v>
      </c>
      <c r="H41" s="1">
        <v>1.8</v>
      </c>
      <c r="I41" s="1">
        <v>1.1</v>
      </c>
      <c r="J41" s="1">
        <v>222.2</v>
      </c>
      <c r="K41" s="18">
        <f t="shared" si="1"/>
        <v>49.5</v>
      </c>
      <c r="L41" s="18">
        <f t="shared" si="2"/>
        <v>14.14138365</v>
      </c>
      <c r="M41" s="112"/>
      <c r="N41" s="112"/>
      <c r="O41" s="112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1" t="s">
        <v>413</v>
      </c>
      <c r="B42" s="1" t="s">
        <v>199</v>
      </c>
      <c r="C42" s="1">
        <v>274.2</v>
      </c>
      <c r="D42" s="1">
        <v>1102.2</v>
      </c>
      <c r="E42" s="1">
        <v>11.7</v>
      </c>
      <c r="F42" s="1">
        <v>35.3</v>
      </c>
      <c r="G42" s="1">
        <v>280.0</v>
      </c>
      <c r="H42" s="1">
        <v>1.2</v>
      </c>
      <c r="I42" s="1">
        <v>1.3</v>
      </c>
      <c r="J42" s="1">
        <v>248.7</v>
      </c>
      <c r="K42" s="18">
        <f t="shared" si="1"/>
        <v>61.23333333</v>
      </c>
      <c r="L42" s="18">
        <f t="shared" si="2"/>
        <v>13.2427673</v>
      </c>
      <c r="M42" s="112">
        <f>C44*Scoring!$B$32+D44/Scoring!$C$32+E44*Scoring!$D$32+F44*Scoring!$E$32+G44/Scoring!$F$32+H44*Scoring!$G$32+I44*Scoring!$H$32+K44*Scoring!$I$32+RB!L44*Scoring!$J$32+U42</f>
        <v>209</v>
      </c>
      <c r="N42" s="112">
        <f>C42*Scoring!$B$32+D42/Scoring!$C$32+E42*Scoring!$D$32+F42*Scoring!$E$32+G42/Scoring!$F$32+H42*Scoring!$G$32+I42*Scoring!$H$32+K42*Scoring!$I$32+RB!L42*Scoring!$J$32+U42</f>
        <v>230.67</v>
      </c>
      <c r="O42" s="112">
        <f>C43*Scoring!$B$32+D43/Scoring!$C$32+E43*Scoring!$D$32+F43*Scoring!$E$32+G43/Scoring!$F$32+H43*Scoring!$G$32+I43*Scoring!$H$32+K43*Scoring!$I$32+L43*Scoring!$J$32+U42</f>
        <v>247.4</v>
      </c>
      <c r="P42" s="8">
        <f>IF(COUNTIF(Rookies!$A:$A,A42)&gt;0,1,0)</f>
        <v>0</v>
      </c>
      <c r="Q42" s="8"/>
      <c r="R42" s="8"/>
      <c r="S42" s="8">
        <f>V42/17</f>
        <v>13.56882353</v>
      </c>
      <c r="T42" s="8">
        <f>IF(P42=1,MAX(0,0.258*(14.9-S42)),0)</f>
        <v>0</v>
      </c>
      <c r="U42" s="8">
        <f>T42*17</f>
        <v>0</v>
      </c>
      <c r="V42" s="8">
        <f>C42*Scoring!$B$32+D42/Scoring!$C$32+E42*Scoring!$D$32+F42*Scoring!$E$32+G42/Scoring!$F$32+H42*Scoring!$G$32+I42*Scoring!$H$32+K42*Scoring!$I$32+RB!L42*Scoring!$J$32</f>
        <v>230.67</v>
      </c>
      <c r="W42" s="8"/>
      <c r="X42" s="8"/>
      <c r="Y42" s="8"/>
      <c r="Z42" s="8"/>
    </row>
    <row r="43" ht="14.25" customHeight="1">
      <c r="B43" s="1" t="s">
        <v>39</v>
      </c>
      <c r="C43" s="1">
        <v>282.0</v>
      </c>
      <c r="D43" s="1">
        <v>1155.0</v>
      </c>
      <c r="E43" s="1">
        <v>13.0</v>
      </c>
      <c r="F43" s="1">
        <v>36.0</v>
      </c>
      <c r="G43" s="1">
        <v>283.0</v>
      </c>
      <c r="H43" s="1">
        <v>1.6</v>
      </c>
      <c r="I43" s="1">
        <v>1.0</v>
      </c>
      <c r="J43" s="1">
        <v>262.0</v>
      </c>
      <c r="K43" s="18">
        <f t="shared" si="1"/>
        <v>64.16666667</v>
      </c>
      <c r="L43" s="18">
        <f t="shared" si="2"/>
        <v>13.38465409</v>
      </c>
      <c r="M43" s="112"/>
      <c r="N43" s="112"/>
      <c r="O43" s="112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B44" s="1" t="s">
        <v>48</v>
      </c>
      <c r="C44" s="1">
        <v>263.0</v>
      </c>
      <c r="D44" s="1">
        <v>1008.0</v>
      </c>
      <c r="E44" s="1">
        <v>10.0</v>
      </c>
      <c r="F44" s="1">
        <v>35.0</v>
      </c>
      <c r="G44" s="1">
        <v>277.0</v>
      </c>
      <c r="H44" s="1">
        <v>1.0</v>
      </c>
      <c r="I44" s="1">
        <v>1.5</v>
      </c>
      <c r="J44" s="1">
        <v>228.3</v>
      </c>
      <c r="K44" s="18">
        <f t="shared" si="1"/>
        <v>56</v>
      </c>
      <c r="L44" s="18">
        <f t="shared" si="2"/>
        <v>13.1008805</v>
      </c>
      <c r="M44" s="112"/>
      <c r="N44" s="112"/>
      <c r="O44" s="11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" t="s">
        <v>415</v>
      </c>
      <c r="B45" s="1" t="s">
        <v>210</v>
      </c>
      <c r="C45" s="1">
        <v>249.0</v>
      </c>
      <c r="D45" s="1">
        <v>1113.5</v>
      </c>
      <c r="E45" s="1">
        <v>6.2</v>
      </c>
      <c r="F45" s="1">
        <v>46.4</v>
      </c>
      <c r="G45" s="1">
        <v>404.6</v>
      </c>
      <c r="H45" s="1">
        <v>2.3</v>
      </c>
      <c r="I45" s="1">
        <v>1.7</v>
      </c>
      <c r="J45" s="1">
        <v>245.4</v>
      </c>
      <c r="K45" s="18">
        <f t="shared" si="1"/>
        <v>61.86111111</v>
      </c>
      <c r="L45" s="18">
        <f t="shared" si="2"/>
        <v>19.13579874</v>
      </c>
      <c r="M45" s="112">
        <f>C47*Scoring!$B$32+D47/Scoring!$C$32+E47*Scoring!$D$32+F47*Scoring!$E$32+G47/Scoring!$F$32+H47*Scoring!$G$32+I47*Scoring!$H$32+K47*Scoring!$I$32+RB!L47*Scoring!$J$32+U45</f>
        <v>196.4</v>
      </c>
      <c r="N45" s="112">
        <f>C45*Scoring!$B$32+D45/Scoring!$C$32+E45*Scoring!$D$32+F45*Scoring!$E$32+G45/Scoring!$F$32+H45*Scoring!$G$32+I45*Scoring!$H$32+K45*Scoring!$I$32+RB!L45*Scoring!$J$32+U45</f>
        <v>222.61</v>
      </c>
      <c r="O45" s="112">
        <f>C46*Scoring!$B$32+D46/Scoring!$C$32+E46*Scoring!$D$32+F46*Scoring!$E$32+G46/Scoring!$F$32+H46*Scoring!$G$32+I46*Scoring!$H$32+K46*Scoring!$I$32+L46*Scoring!$J$32+U45</f>
        <v>246.17</v>
      </c>
      <c r="P45" s="8">
        <f>IF(COUNTIF(Rookies!$A:$A,A45)&gt;0,1,0)</f>
        <v>0</v>
      </c>
      <c r="Q45" s="8"/>
      <c r="R45" s="8"/>
      <c r="S45" s="8">
        <f>V45/17</f>
        <v>13.09470588</v>
      </c>
      <c r="T45" s="8">
        <f>IF(P45=1,MAX(0,0.258*(14.9-S45)),0)</f>
        <v>0</v>
      </c>
      <c r="U45" s="8">
        <f>T45*17</f>
        <v>0</v>
      </c>
      <c r="V45" s="8">
        <f>C45*Scoring!$B$32+D45/Scoring!$C$32+E45*Scoring!$D$32+F45*Scoring!$E$32+G45/Scoring!$F$32+H45*Scoring!$G$32+I45*Scoring!$H$32+K45*Scoring!$I$32+RB!L45*Scoring!$J$32</f>
        <v>222.61</v>
      </c>
      <c r="W45" s="8"/>
      <c r="X45" s="8"/>
      <c r="Y45" s="8"/>
      <c r="Z45" s="8"/>
    </row>
    <row r="46" ht="14.25" customHeight="1">
      <c r="B46" s="1" t="s">
        <v>39</v>
      </c>
      <c r="C46" s="1">
        <v>265.1</v>
      </c>
      <c r="D46" s="1">
        <v>1164.5</v>
      </c>
      <c r="E46" s="1">
        <v>7.6</v>
      </c>
      <c r="F46" s="1">
        <v>52.1</v>
      </c>
      <c r="G46" s="1">
        <v>440.7</v>
      </c>
      <c r="H46" s="1">
        <v>2.8</v>
      </c>
      <c r="I46" s="1">
        <v>1.4</v>
      </c>
      <c r="J46" s="1">
        <v>268.5</v>
      </c>
      <c r="K46" s="18">
        <f t="shared" si="1"/>
        <v>64.69444444</v>
      </c>
      <c r="L46" s="18">
        <f t="shared" si="2"/>
        <v>20.84316981</v>
      </c>
      <c r="M46" s="112"/>
      <c r="N46" s="112"/>
      <c r="O46" s="112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B47" s="1" t="s">
        <v>48</v>
      </c>
      <c r="C47" s="1">
        <v>224.0</v>
      </c>
      <c r="D47" s="1">
        <v>1014.0</v>
      </c>
      <c r="E47" s="1">
        <v>5.0</v>
      </c>
      <c r="F47" s="1">
        <v>40.0</v>
      </c>
      <c r="G47" s="1">
        <v>370.0</v>
      </c>
      <c r="H47" s="1">
        <v>2.0</v>
      </c>
      <c r="I47" s="1">
        <v>2.0</v>
      </c>
      <c r="J47" s="1">
        <v>211.4</v>
      </c>
      <c r="K47" s="18">
        <f t="shared" si="1"/>
        <v>56.33333333</v>
      </c>
      <c r="L47" s="18">
        <f t="shared" si="2"/>
        <v>17.49937107</v>
      </c>
      <c r="M47" s="112"/>
      <c r="N47" s="112"/>
      <c r="O47" s="112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" t="s">
        <v>418</v>
      </c>
      <c r="B48" s="1" t="s">
        <v>176</v>
      </c>
      <c r="C48" s="1">
        <v>240.2</v>
      </c>
      <c r="D48" s="1">
        <v>1118.4</v>
      </c>
      <c r="E48" s="1">
        <v>10.1</v>
      </c>
      <c r="F48" s="1">
        <v>33.8</v>
      </c>
      <c r="G48" s="1">
        <v>239.6</v>
      </c>
      <c r="H48" s="1">
        <v>2.2</v>
      </c>
      <c r="I48" s="1">
        <v>1.5</v>
      </c>
      <c r="J48" s="1">
        <v>240.2</v>
      </c>
      <c r="K48" s="18">
        <f t="shared" si="1"/>
        <v>62.13333333</v>
      </c>
      <c r="L48" s="18">
        <f t="shared" si="2"/>
        <v>11.33202516</v>
      </c>
      <c r="M48" s="112">
        <f>C50*Scoring!$B$32+D50/Scoring!$C$32+E50*Scoring!$D$32+F50*Scoring!$E$32+G50/Scoring!$F$32+H50*Scoring!$G$32+I50*Scoring!$H$32+K50*Scoring!$I$32+RB!L50*Scoring!$J$32+U48</f>
        <v>211.81</v>
      </c>
      <c r="N48" s="112">
        <f>C48*Scoring!$B$32+D48/Scoring!$C$32+E48*Scoring!$D$32+F48*Scoring!$E$32+G48/Scoring!$F$32+H48*Scoring!$G$32+I48*Scoring!$H$32+K48*Scoring!$I$32+RB!L48*Scoring!$J$32+U48</f>
        <v>223.5</v>
      </c>
      <c r="O48" s="112">
        <f>C49*Scoring!$B$32+D49/Scoring!$C$32+E49*Scoring!$D$32+F49*Scoring!$E$32+G49/Scoring!$F$32+H49*Scoring!$G$32+I49*Scoring!$H$32+K49*Scoring!$I$32+L49*Scoring!$J$32+U48</f>
        <v>236.1</v>
      </c>
      <c r="P48" s="8">
        <f>IF(COUNTIF(Rookies!$A:$A,A48)&gt;0,1,0)</f>
        <v>0</v>
      </c>
      <c r="Q48" s="8"/>
      <c r="R48" s="8"/>
      <c r="S48" s="8">
        <f>V48/17</f>
        <v>13.14705882</v>
      </c>
      <c r="T48" s="8">
        <f>IF(P48=1,MAX(0,0.258*(14.9-S48)),0)</f>
        <v>0</v>
      </c>
      <c r="U48" s="8">
        <f>T48*17</f>
        <v>0</v>
      </c>
      <c r="V48" s="8">
        <f>C48*Scoring!$B$32+D48/Scoring!$C$32+E48*Scoring!$D$32+F48*Scoring!$E$32+G48/Scoring!$F$32+H48*Scoring!$G$32+I48*Scoring!$H$32+K48*Scoring!$I$32+RB!L48*Scoring!$J$32</f>
        <v>223.5</v>
      </c>
      <c r="W48" s="8"/>
      <c r="X48" s="8"/>
      <c r="Y48" s="8"/>
      <c r="Z48" s="8"/>
    </row>
    <row r="49" ht="14.25" customHeight="1">
      <c r="B49" s="1" t="s">
        <v>39</v>
      </c>
      <c r="C49" s="1">
        <v>249.0</v>
      </c>
      <c r="D49" s="1">
        <v>1171.0</v>
      </c>
      <c r="E49" s="1">
        <v>10.2</v>
      </c>
      <c r="F49" s="1">
        <v>34.0</v>
      </c>
      <c r="G49" s="1">
        <v>250.0</v>
      </c>
      <c r="H49" s="1">
        <v>3.0</v>
      </c>
      <c r="I49" s="1">
        <v>1.1</v>
      </c>
      <c r="J49" s="1">
        <v>264.4</v>
      </c>
      <c r="K49" s="18">
        <f t="shared" si="1"/>
        <v>65.05555556</v>
      </c>
      <c r="L49" s="18">
        <f t="shared" si="2"/>
        <v>11.82389937</v>
      </c>
      <c r="M49" s="112"/>
      <c r="N49" s="112"/>
      <c r="O49" s="112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B50" s="1" t="s">
        <v>48</v>
      </c>
      <c r="C50" s="1">
        <v>235.0</v>
      </c>
      <c r="D50" s="1">
        <v>1071.2</v>
      </c>
      <c r="E50" s="1">
        <v>10.0</v>
      </c>
      <c r="F50" s="1">
        <v>33.4</v>
      </c>
      <c r="G50" s="1">
        <v>223.9</v>
      </c>
      <c r="H50" s="1">
        <v>1.6</v>
      </c>
      <c r="I50" s="1">
        <v>2.0</v>
      </c>
      <c r="J50" s="1">
        <v>226.8</v>
      </c>
      <c r="K50" s="18">
        <f t="shared" si="1"/>
        <v>59.51111111</v>
      </c>
      <c r="L50" s="18">
        <f t="shared" si="2"/>
        <v>10.58948428</v>
      </c>
      <c r="M50" s="112"/>
      <c r="N50" s="112"/>
      <c r="O50" s="112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" t="s">
        <v>419</v>
      </c>
      <c r="B51" s="1" t="s">
        <v>182</v>
      </c>
      <c r="C51" s="1">
        <v>249.2</v>
      </c>
      <c r="D51" s="1">
        <v>1055.3</v>
      </c>
      <c r="E51" s="1">
        <v>5.4</v>
      </c>
      <c r="F51" s="1">
        <v>45.3</v>
      </c>
      <c r="G51" s="1">
        <v>356.8</v>
      </c>
      <c r="H51" s="1">
        <v>3.0</v>
      </c>
      <c r="I51" s="1">
        <v>1.0</v>
      </c>
      <c r="J51" s="1">
        <v>235.1</v>
      </c>
      <c r="K51" s="18">
        <f t="shared" si="1"/>
        <v>58.62777778</v>
      </c>
      <c r="L51" s="18">
        <f t="shared" si="2"/>
        <v>16.87506918</v>
      </c>
      <c r="M51" s="112">
        <f>C53*Scoring!$B$32+D53/Scoring!$C$32+E53*Scoring!$D$32+F53*Scoring!$E$32+G53/Scoring!$F$32+H53*Scoring!$G$32+I53*Scoring!$H$32+K53*Scoring!$I$32+RB!L53*Scoring!$J$32+U51</f>
        <v>188.9</v>
      </c>
      <c r="N51" s="112">
        <f>C51*Scoring!$B$32+D51/Scoring!$C$32+E51*Scoring!$D$32+F51*Scoring!$E$32+G51/Scoring!$F$32+H51*Scoring!$G$32+I51*Scoring!$H$32+K51*Scoring!$I$32+RB!L51*Scoring!$J$32+U51</f>
        <v>212.26</v>
      </c>
      <c r="O51" s="112">
        <f>C52*Scoring!$B$32+D52/Scoring!$C$32+E52*Scoring!$D$32+F52*Scoring!$E$32+G52/Scoring!$F$32+H52*Scoring!$G$32+I52*Scoring!$H$32+K52*Scoring!$I$32+L52*Scoring!$J$32+U51</f>
        <v>241.45</v>
      </c>
      <c r="P51" s="8">
        <f>IF(COUNTIF(Rookies!$A:$A,A51)&gt;0,1,0)</f>
        <v>0</v>
      </c>
      <c r="Q51" s="8"/>
      <c r="R51" s="8"/>
      <c r="S51" s="8">
        <f>V51/17</f>
        <v>12.48588235</v>
      </c>
      <c r="T51" s="8">
        <f>IF(P51=1,MAX(0,0.258*(14.9-S51)),0)</f>
        <v>0</v>
      </c>
      <c r="U51" s="8">
        <f>T51*17</f>
        <v>0</v>
      </c>
      <c r="V51" s="8">
        <f>C51*Scoring!$B$32+D51/Scoring!$C$32+E51*Scoring!$D$32+F51*Scoring!$E$32+G51/Scoring!$F$32+H51*Scoring!$G$32+I51*Scoring!$H$32+K51*Scoring!$I$32+RB!L51*Scoring!$J$32</f>
        <v>212.26</v>
      </c>
      <c r="W51" s="8"/>
      <c r="X51" s="8"/>
      <c r="Y51" s="8"/>
      <c r="Z51" s="8"/>
    </row>
    <row r="52" ht="14.25" customHeight="1">
      <c r="B52" s="1" t="s">
        <v>39</v>
      </c>
      <c r="C52" s="1">
        <v>262.7</v>
      </c>
      <c r="D52" s="1">
        <v>1142.0</v>
      </c>
      <c r="E52" s="1">
        <v>6.2</v>
      </c>
      <c r="F52" s="1">
        <v>47.0</v>
      </c>
      <c r="G52" s="1">
        <v>385.5</v>
      </c>
      <c r="H52" s="1">
        <v>5.0</v>
      </c>
      <c r="I52" s="1">
        <v>1.0</v>
      </c>
      <c r="J52" s="1">
        <v>250.2</v>
      </c>
      <c r="K52" s="18">
        <f t="shared" si="1"/>
        <v>63.44444444</v>
      </c>
      <c r="L52" s="18">
        <f t="shared" si="2"/>
        <v>18.23245283</v>
      </c>
      <c r="M52" s="112"/>
      <c r="N52" s="112"/>
      <c r="O52" s="11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B53" s="1" t="s">
        <v>48</v>
      </c>
      <c r="C53" s="1">
        <v>239.0</v>
      </c>
      <c r="D53" s="1">
        <v>942.0</v>
      </c>
      <c r="E53" s="1">
        <v>5.0</v>
      </c>
      <c r="F53" s="1">
        <v>44.0</v>
      </c>
      <c r="G53" s="1">
        <v>327.0</v>
      </c>
      <c r="H53" s="1">
        <v>2.0</v>
      </c>
      <c r="I53" s="1">
        <v>1.0</v>
      </c>
      <c r="J53" s="1">
        <v>218.3</v>
      </c>
      <c r="K53" s="18">
        <f t="shared" si="1"/>
        <v>52.33333333</v>
      </c>
      <c r="L53" s="18">
        <f t="shared" si="2"/>
        <v>15.46566038</v>
      </c>
      <c r="M53" s="112"/>
      <c r="N53" s="112"/>
      <c r="O53" s="112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1" t="s">
        <v>422</v>
      </c>
      <c r="B54" s="1" t="s">
        <v>134</v>
      </c>
      <c r="C54" s="1">
        <v>238.2</v>
      </c>
      <c r="D54" s="1">
        <v>993.6</v>
      </c>
      <c r="E54" s="1">
        <v>8.0</v>
      </c>
      <c r="F54" s="1">
        <v>43.3</v>
      </c>
      <c r="G54" s="1">
        <v>343.5</v>
      </c>
      <c r="H54" s="1">
        <v>2.2</v>
      </c>
      <c r="I54" s="1">
        <v>1.6</v>
      </c>
      <c r="J54" s="1">
        <v>234.9</v>
      </c>
      <c r="K54" s="18">
        <f t="shared" si="1"/>
        <v>55.2</v>
      </c>
      <c r="L54" s="18">
        <f t="shared" si="2"/>
        <v>16.24603774</v>
      </c>
      <c r="M54" s="112">
        <f>C56*Scoring!$B$32+D56/Scoring!$C$32+E56*Scoring!$D$32+F56*Scoring!$E$32+G56/Scoring!$F$32+H56*Scoring!$G$32+I56*Scoring!$H$32+K56*Scoring!$I$32+RB!L56*Scoring!$J$32+U54</f>
        <v>189.04</v>
      </c>
      <c r="N54" s="112">
        <f>C54*Scoring!$B$32+D54/Scoring!$C$32+E54*Scoring!$D$32+F54*Scoring!$E$32+G54/Scoring!$F$32+H54*Scoring!$G$32+I54*Scoring!$H$32+K54*Scoring!$I$32+RB!L54*Scoring!$J$32+U54</f>
        <v>213.36</v>
      </c>
      <c r="O54" s="112">
        <f>C55*Scoring!$B$32+D55/Scoring!$C$32+E55*Scoring!$D$32+F55*Scoring!$E$32+G55/Scoring!$F$32+H55*Scoring!$G$32+I55*Scoring!$H$32+K55*Scoring!$I$32+L55*Scoring!$J$32+U54</f>
        <v>238.25</v>
      </c>
      <c r="P54" s="8">
        <f>IF(COUNTIF(Rookies!$A:$A,A54)&gt;0,1,0)</f>
        <v>0</v>
      </c>
      <c r="Q54" s="8"/>
      <c r="R54" s="8"/>
      <c r="S54" s="8">
        <f>V54/17</f>
        <v>12.55058824</v>
      </c>
      <c r="T54" s="8">
        <f>IF(P54=1,MAX(0,0.258*(14.9-S54)),0)</f>
        <v>0</v>
      </c>
      <c r="U54" s="8">
        <f>T54*17</f>
        <v>0</v>
      </c>
      <c r="V54" s="8">
        <f>C54*Scoring!$B$32+D54/Scoring!$C$32+E54*Scoring!$D$32+F54*Scoring!$E$32+G54/Scoring!$F$32+H54*Scoring!$G$32+I54*Scoring!$H$32+K54*Scoring!$I$32+RB!L54*Scoring!$J$32</f>
        <v>213.36</v>
      </c>
      <c r="W54" s="8"/>
      <c r="X54" s="8"/>
      <c r="Y54" s="8"/>
      <c r="Z54" s="8"/>
    </row>
    <row r="55" ht="14.25" customHeight="1">
      <c r="B55" s="1" t="s">
        <v>39</v>
      </c>
      <c r="C55" s="1">
        <v>262.0</v>
      </c>
      <c r="D55" s="1">
        <v>1048.0</v>
      </c>
      <c r="E55" s="1">
        <v>9.0</v>
      </c>
      <c r="F55" s="1">
        <v>44.9</v>
      </c>
      <c r="G55" s="1">
        <v>352.0</v>
      </c>
      <c r="H55" s="1">
        <v>4.0</v>
      </c>
      <c r="I55" s="1">
        <v>1.1</v>
      </c>
      <c r="J55" s="1">
        <v>258.7</v>
      </c>
      <c r="K55" s="18">
        <f t="shared" si="1"/>
        <v>58.22222222</v>
      </c>
      <c r="L55" s="18">
        <f t="shared" si="2"/>
        <v>16.64805031</v>
      </c>
      <c r="M55" s="112"/>
      <c r="N55" s="112"/>
      <c r="O55" s="112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B56" s="1" t="s">
        <v>48</v>
      </c>
      <c r="C56" s="1">
        <v>208.0</v>
      </c>
      <c r="D56" s="1">
        <v>907.0</v>
      </c>
      <c r="E56" s="1">
        <v>7.1</v>
      </c>
      <c r="F56" s="1">
        <v>41.0</v>
      </c>
      <c r="G56" s="1">
        <v>332.4</v>
      </c>
      <c r="H56" s="1">
        <v>1.0</v>
      </c>
      <c r="I56" s="1">
        <v>2.0</v>
      </c>
      <c r="J56" s="1">
        <v>227.3</v>
      </c>
      <c r="K56" s="18">
        <f t="shared" si="1"/>
        <v>50.38888889</v>
      </c>
      <c r="L56" s="18">
        <f t="shared" si="2"/>
        <v>15.7210566</v>
      </c>
      <c r="M56" s="112"/>
      <c r="N56" s="112"/>
      <c r="O56" s="112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" t="s">
        <v>424</v>
      </c>
      <c r="B57" s="1" t="s">
        <v>150</v>
      </c>
      <c r="C57" s="1">
        <v>256.2</v>
      </c>
      <c r="D57" s="1">
        <v>1160.4</v>
      </c>
      <c r="E57" s="1">
        <v>10.4</v>
      </c>
      <c r="F57" s="1">
        <v>33.0</v>
      </c>
      <c r="G57" s="1">
        <v>192.0</v>
      </c>
      <c r="H57" s="1">
        <v>1.2</v>
      </c>
      <c r="I57" s="1">
        <v>1.6</v>
      </c>
      <c r="J57" s="1">
        <v>234.1</v>
      </c>
      <c r="K57" s="18">
        <f t="shared" si="1"/>
        <v>64.46666667</v>
      </c>
      <c r="L57" s="18">
        <f t="shared" si="2"/>
        <v>9.080754717</v>
      </c>
      <c r="M57" s="112">
        <f>C59*Scoring!$B$32+D59/Scoring!$C$32+E59*Scoring!$D$32+F59*Scoring!$E$32+G59/Scoring!$F$32+H59*Scoring!$G$32+I59*Scoring!$H$32+K59*Scoring!$I$32+RB!L59*Scoring!$J$32+U57</f>
        <v>199.5</v>
      </c>
      <c r="N57" s="112">
        <f>C57*Scoring!$B$32+D57/Scoring!$C$32+E57*Scoring!$D$32+F57*Scoring!$E$32+G57/Scoring!$F$32+H57*Scoring!$G$32+I57*Scoring!$H$32+K57*Scoring!$I$32+RB!L57*Scoring!$J$32+U57</f>
        <v>218.14</v>
      </c>
      <c r="O57" s="112">
        <f>C58*Scoring!$B$32+D58/Scoring!$C$32+E58*Scoring!$D$32+F58*Scoring!$E$32+G58/Scoring!$F$32+H58*Scoring!$G$32+I58*Scoring!$H$32+K58*Scoring!$I$32+L58*Scoring!$J$32+U57</f>
        <v>240.07</v>
      </c>
      <c r="P57" s="8">
        <f>IF(COUNTIF(Rookies!$A:$A,A57)&gt;0,1,0)</f>
        <v>0</v>
      </c>
      <c r="Q57" s="8"/>
      <c r="R57" s="8"/>
      <c r="S57" s="8">
        <f>V57/17</f>
        <v>12.83176471</v>
      </c>
      <c r="T57" s="8">
        <f>IF(P57=1,MAX(0,0.258*(14.9-S57)),0)</f>
        <v>0</v>
      </c>
      <c r="U57" s="8">
        <f>T57*17</f>
        <v>0</v>
      </c>
      <c r="V57" s="8">
        <f>C57*Scoring!$B$32+D57/Scoring!$C$32+E57*Scoring!$D$32+F57*Scoring!$E$32+G57/Scoring!$F$32+H57*Scoring!$G$32+I57*Scoring!$H$32+K57*Scoring!$I$32+RB!L57*Scoring!$J$32</f>
        <v>218.14</v>
      </c>
      <c r="W57" s="8"/>
      <c r="X57" s="8"/>
      <c r="Y57" s="8"/>
      <c r="Z57" s="8"/>
    </row>
    <row r="58" ht="14.25" customHeight="1">
      <c r="B58" s="1" t="s">
        <v>39</v>
      </c>
      <c r="C58" s="1">
        <v>289.5</v>
      </c>
      <c r="D58" s="1">
        <v>1266.1</v>
      </c>
      <c r="E58" s="1">
        <v>11.1</v>
      </c>
      <c r="F58" s="1">
        <v>36.9</v>
      </c>
      <c r="G58" s="1">
        <v>218.1</v>
      </c>
      <c r="H58" s="1">
        <v>1.5</v>
      </c>
      <c r="I58" s="1">
        <v>1.2</v>
      </c>
      <c r="J58" s="1">
        <v>255.4</v>
      </c>
      <c r="K58" s="18">
        <f t="shared" si="1"/>
        <v>70.33888889</v>
      </c>
      <c r="L58" s="18">
        <f t="shared" si="2"/>
        <v>10.31516981</v>
      </c>
      <c r="M58" s="112"/>
      <c r="N58" s="112"/>
      <c r="O58" s="112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B59" s="1" t="s">
        <v>48</v>
      </c>
      <c r="C59" s="1">
        <v>234.0</v>
      </c>
      <c r="D59" s="1">
        <v>1089.0</v>
      </c>
      <c r="E59" s="1">
        <v>10.0</v>
      </c>
      <c r="F59" s="1">
        <v>29.0</v>
      </c>
      <c r="G59" s="1">
        <v>141.0</v>
      </c>
      <c r="H59" s="1">
        <v>1.0</v>
      </c>
      <c r="I59" s="1">
        <v>2.0</v>
      </c>
      <c r="J59" s="1">
        <v>202.0</v>
      </c>
      <c r="K59" s="18">
        <f t="shared" si="1"/>
        <v>60.5</v>
      </c>
      <c r="L59" s="18">
        <f t="shared" si="2"/>
        <v>6.668679245</v>
      </c>
      <c r="M59" s="112"/>
      <c r="N59" s="112"/>
      <c r="O59" s="11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" t="s">
        <v>426</v>
      </c>
      <c r="B60" s="1" t="s">
        <v>186</v>
      </c>
      <c r="C60" s="1">
        <v>256.7</v>
      </c>
      <c r="D60" s="1">
        <v>1021.4</v>
      </c>
      <c r="E60" s="1">
        <v>6.1</v>
      </c>
      <c r="F60" s="1">
        <v>39.9</v>
      </c>
      <c r="G60" s="1">
        <v>336.7</v>
      </c>
      <c r="H60" s="1">
        <v>2.2</v>
      </c>
      <c r="I60" s="1">
        <v>1.0</v>
      </c>
      <c r="J60" s="1">
        <v>223.9</v>
      </c>
      <c r="K60" s="18">
        <f t="shared" si="1"/>
        <v>56.74444444</v>
      </c>
      <c r="L60" s="18">
        <f t="shared" si="2"/>
        <v>15.92442767</v>
      </c>
      <c r="M60" s="112">
        <f>C62*Scoring!$B$32+D62/Scoring!$C$32+E62*Scoring!$D$32+F62*Scoring!$E$32+G62/Scoring!$F$32+H62*Scoring!$G$32+I62*Scoring!$H$32+K62*Scoring!$I$32+RB!L62*Scoring!$J$32+U60</f>
        <v>186.92</v>
      </c>
      <c r="N60" s="112">
        <f>C60*Scoring!$B$32+D60/Scoring!$C$32+E60*Scoring!$D$32+F60*Scoring!$E$32+G60/Scoring!$F$32+H60*Scoring!$G$32+I60*Scoring!$H$32+K60*Scoring!$I$32+RB!L60*Scoring!$J$32+U60</f>
        <v>203.56</v>
      </c>
      <c r="O60" s="112">
        <f>C61*Scoring!$B$32+D61/Scoring!$C$32+E61*Scoring!$D$32+F61*Scoring!$E$32+G61/Scoring!$F$32+H61*Scoring!$G$32+I61*Scoring!$H$32+K61*Scoring!$I$32+L61*Scoring!$J$32+U60</f>
        <v>224.6</v>
      </c>
      <c r="P60" s="8">
        <f>IF(COUNTIF(Rookies!$A:$A,A60)&gt;0,1,0)</f>
        <v>0</v>
      </c>
      <c r="Q60" s="8"/>
      <c r="R60" s="8"/>
      <c r="S60" s="8">
        <f>V60/17</f>
        <v>11.97411765</v>
      </c>
      <c r="T60" s="8">
        <f>IF(P60=1,MAX(0,0.258*(14.9-S60)),0)</f>
        <v>0</v>
      </c>
      <c r="U60" s="8">
        <f>T60*17</f>
        <v>0</v>
      </c>
      <c r="V60" s="8">
        <f>C60*Scoring!$B$32+D60/Scoring!$C$32+E60*Scoring!$D$32+F60*Scoring!$E$32+G60/Scoring!$F$32+H60*Scoring!$G$32+I60*Scoring!$H$32+K60*Scoring!$I$32+RB!L60*Scoring!$J$32</f>
        <v>203.56</v>
      </c>
      <c r="W60" s="8"/>
      <c r="X60" s="8"/>
      <c r="Y60" s="8"/>
      <c r="Z60" s="8"/>
    </row>
    <row r="61" ht="14.25" customHeight="1">
      <c r="B61" s="1" t="s">
        <v>39</v>
      </c>
      <c r="C61" s="1">
        <v>265.0</v>
      </c>
      <c r="D61" s="1">
        <v>1045.0</v>
      </c>
      <c r="E61" s="1">
        <v>7.0</v>
      </c>
      <c r="F61" s="1">
        <v>44.0</v>
      </c>
      <c r="G61" s="1">
        <v>401.0</v>
      </c>
      <c r="H61" s="1">
        <v>3.0</v>
      </c>
      <c r="I61" s="1">
        <v>1.0</v>
      </c>
      <c r="J61" s="1">
        <v>249.4</v>
      </c>
      <c r="K61" s="18">
        <f t="shared" si="1"/>
        <v>58.05555556</v>
      </c>
      <c r="L61" s="18">
        <f t="shared" si="2"/>
        <v>18.96553459</v>
      </c>
      <c r="M61" s="112"/>
      <c r="N61" s="112"/>
      <c r="O61" s="112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B62" s="1" t="s">
        <v>48</v>
      </c>
      <c r="C62" s="1">
        <v>244.2</v>
      </c>
      <c r="D62" s="1">
        <v>991.2</v>
      </c>
      <c r="E62" s="1">
        <v>5.3</v>
      </c>
      <c r="F62" s="1">
        <v>36.8</v>
      </c>
      <c r="G62" s="1">
        <v>294.0</v>
      </c>
      <c r="H62" s="1">
        <v>1.7</v>
      </c>
      <c r="I62" s="1">
        <v>1.0</v>
      </c>
      <c r="J62" s="1">
        <v>210.2</v>
      </c>
      <c r="K62" s="18">
        <f t="shared" si="1"/>
        <v>55.06666667</v>
      </c>
      <c r="L62" s="18">
        <f t="shared" si="2"/>
        <v>13.90490566</v>
      </c>
      <c r="M62" s="112"/>
      <c r="N62" s="112"/>
      <c r="O62" s="112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" t="s">
        <v>428</v>
      </c>
      <c r="B63" s="1" t="s">
        <v>159</v>
      </c>
      <c r="C63" s="1">
        <v>233.4</v>
      </c>
      <c r="D63" s="1">
        <v>1054.4</v>
      </c>
      <c r="E63" s="1">
        <v>8.0</v>
      </c>
      <c r="F63" s="1">
        <v>35.1</v>
      </c>
      <c r="G63" s="1">
        <v>303.5</v>
      </c>
      <c r="H63" s="1">
        <v>1.0</v>
      </c>
      <c r="I63" s="1">
        <v>1.0</v>
      </c>
      <c r="J63" s="1">
        <v>223.5</v>
      </c>
      <c r="K63" s="18">
        <f t="shared" si="1"/>
        <v>58.57777778</v>
      </c>
      <c r="L63" s="18">
        <f t="shared" si="2"/>
        <v>14.35421384</v>
      </c>
      <c r="M63" s="112">
        <f>C65*Scoring!$B$32+D65/Scoring!$C$32+E65*Scoring!$D$32+F65*Scoring!$E$32+G65/Scoring!$F$32+H65*Scoring!$G$32+I65*Scoring!$H$32+K65*Scoring!$I$32+RB!L65*Scoring!$J$32+U63</f>
        <v>187.57</v>
      </c>
      <c r="N63" s="112">
        <f>C63*Scoring!$B$32+D63/Scoring!$C$32+E63*Scoring!$D$32+F63*Scoring!$E$32+G63/Scoring!$F$32+H63*Scoring!$G$32+I63*Scoring!$H$32+K63*Scoring!$I$32+RB!L63*Scoring!$J$32+U63</f>
        <v>205.34</v>
      </c>
      <c r="O63" s="112">
        <f>C64*Scoring!$B$32+D64/Scoring!$C$32+E64*Scoring!$D$32+F64*Scoring!$E$32+G64/Scoring!$F$32+H64*Scoring!$G$32+I64*Scoring!$H$32+K64*Scoring!$I$32+L64*Scoring!$J$32+U63</f>
        <v>222.6</v>
      </c>
      <c r="P63" s="8">
        <f>IF(COUNTIF(Rookies!$A:$A,A63)&gt;0,1,0)</f>
        <v>0</v>
      </c>
      <c r="Q63" s="8"/>
      <c r="R63" s="8"/>
      <c r="S63" s="8">
        <f>V63/17</f>
        <v>12.07882353</v>
      </c>
      <c r="T63" s="8">
        <f>IF(P63=1,MAX(0,0.258*(14.9-S63)),0)</f>
        <v>0</v>
      </c>
      <c r="U63" s="8">
        <f>T63*17</f>
        <v>0</v>
      </c>
      <c r="V63" s="8">
        <f>C63*Scoring!$B$32+D63/Scoring!$C$32+E63*Scoring!$D$32+F63*Scoring!$E$32+G63/Scoring!$F$32+H63*Scoring!$G$32+I63*Scoring!$H$32+K63*Scoring!$I$32+RB!L63*Scoring!$J$32</f>
        <v>205.34</v>
      </c>
      <c r="W63" s="8"/>
      <c r="X63" s="8"/>
      <c r="Y63" s="8"/>
      <c r="Z63" s="8"/>
    </row>
    <row r="64" ht="14.25" customHeight="1">
      <c r="B64" s="1" t="s">
        <v>39</v>
      </c>
      <c r="C64" s="1">
        <v>248.0</v>
      </c>
      <c r="D64" s="1">
        <v>1120.0</v>
      </c>
      <c r="E64" s="1">
        <v>9.0</v>
      </c>
      <c r="F64" s="1">
        <v>39.0</v>
      </c>
      <c r="G64" s="1">
        <v>325.0</v>
      </c>
      <c r="H64" s="1">
        <v>1.1</v>
      </c>
      <c r="I64" s="1">
        <v>1.0</v>
      </c>
      <c r="J64" s="1">
        <v>239.1</v>
      </c>
      <c r="K64" s="18">
        <f t="shared" si="1"/>
        <v>62.22222222</v>
      </c>
      <c r="L64" s="18">
        <f t="shared" si="2"/>
        <v>15.37106918</v>
      </c>
      <c r="M64" s="112"/>
      <c r="N64" s="112"/>
      <c r="O64" s="112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B65" s="1" t="s">
        <v>48</v>
      </c>
      <c r="C65" s="1">
        <v>219.3</v>
      </c>
      <c r="D65" s="1">
        <v>994.3</v>
      </c>
      <c r="E65" s="1">
        <v>7.0</v>
      </c>
      <c r="F65" s="1">
        <v>30.4</v>
      </c>
      <c r="G65" s="1">
        <v>269.4</v>
      </c>
      <c r="H65" s="1">
        <v>1.0</v>
      </c>
      <c r="I65" s="1">
        <v>1.0</v>
      </c>
      <c r="J65" s="1">
        <v>216.4</v>
      </c>
      <c r="K65" s="18">
        <f t="shared" si="1"/>
        <v>55.23888889</v>
      </c>
      <c r="L65" s="18">
        <f t="shared" si="2"/>
        <v>12.74143396</v>
      </c>
      <c r="M65" s="112"/>
      <c r="N65" s="112"/>
      <c r="O65" s="112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1" t="s">
        <v>430</v>
      </c>
      <c r="B66" s="1" t="s">
        <v>226</v>
      </c>
      <c r="C66" s="1">
        <v>289.6</v>
      </c>
      <c r="D66" s="1">
        <v>1106.0</v>
      </c>
      <c r="E66" s="1">
        <v>8.1</v>
      </c>
      <c r="F66" s="1">
        <v>31.9</v>
      </c>
      <c r="G66" s="1">
        <v>218.8</v>
      </c>
      <c r="H66" s="1">
        <v>0.6</v>
      </c>
      <c r="I66" s="1">
        <v>0.9</v>
      </c>
      <c r="J66" s="1">
        <v>214.8</v>
      </c>
      <c r="K66" s="18">
        <f t="shared" si="1"/>
        <v>61.44444444</v>
      </c>
      <c r="L66" s="18">
        <f t="shared" si="2"/>
        <v>10.34827673</v>
      </c>
      <c r="M66" s="112">
        <f>C68*Scoring!$B$32+D68/Scoring!$C$32+E68*Scoring!$D$32+F68*Scoring!$E$32+G68/Scoring!$F$32+H68*Scoring!$G$32+I68*Scoring!$H$32+K68*Scoring!$I$32+RB!L68*Scoring!$J$32+U66</f>
        <v>173</v>
      </c>
      <c r="N66" s="112">
        <f>C66*Scoring!$B$32+D66/Scoring!$C$32+E66*Scoring!$D$32+F66*Scoring!$E$32+G66/Scoring!$F$32+H66*Scoring!$G$32+I66*Scoring!$H$32+K66*Scoring!$I$32+RB!L66*Scoring!$J$32+U66</f>
        <v>198.83</v>
      </c>
      <c r="O66" s="112">
        <f>C67*Scoring!$B$32+D67/Scoring!$C$32+E67*Scoring!$D$32+F67*Scoring!$E$32+G67/Scoring!$F$32+H67*Scoring!$G$32+I67*Scoring!$H$32+K67*Scoring!$I$32+L67*Scoring!$J$32+U66</f>
        <v>229.1</v>
      </c>
      <c r="P66" s="8">
        <f>IF(COUNTIF(Rookies!$A:$A,A66)&gt;0,1,0)</f>
        <v>0</v>
      </c>
      <c r="Q66" s="8"/>
      <c r="R66" s="8"/>
      <c r="S66" s="8">
        <f>V66/17</f>
        <v>11.69588235</v>
      </c>
      <c r="T66" s="8">
        <f>IF(P66=1,MAX(0,0.258*(14.9-S66)),0)</f>
        <v>0</v>
      </c>
      <c r="U66" s="8">
        <f>T66*17</f>
        <v>0</v>
      </c>
      <c r="V66" s="8">
        <f>C66*Scoring!$B$32+D66/Scoring!$C$32+E66*Scoring!$D$32+F66*Scoring!$E$32+G66/Scoring!$F$32+H66*Scoring!$G$32+I66*Scoring!$H$32+K66*Scoring!$I$32+RB!L66*Scoring!$J$32</f>
        <v>198.83</v>
      </c>
      <c r="W66" s="8"/>
      <c r="X66" s="8"/>
      <c r="Y66" s="8"/>
      <c r="Z66" s="8"/>
    </row>
    <row r="67" ht="14.25" customHeight="1">
      <c r="B67" s="1" t="s">
        <v>39</v>
      </c>
      <c r="C67" s="1">
        <v>316.7</v>
      </c>
      <c r="D67" s="1">
        <v>1245.0</v>
      </c>
      <c r="E67" s="1">
        <v>10.0</v>
      </c>
      <c r="F67" s="1">
        <v>34.0</v>
      </c>
      <c r="G67" s="1">
        <v>230.0</v>
      </c>
      <c r="H67" s="1">
        <v>1.0</v>
      </c>
      <c r="I67" s="1">
        <v>0.7</v>
      </c>
      <c r="J67" s="1">
        <v>226.5</v>
      </c>
      <c r="K67" s="18">
        <f t="shared" si="1"/>
        <v>69.16666667</v>
      </c>
      <c r="L67" s="18">
        <f t="shared" si="2"/>
        <v>10.87798742</v>
      </c>
      <c r="M67" s="112"/>
      <c r="N67" s="112"/>
      <c r="O67" s="112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B68" s="1" t="s">
        <v>48</v>
      </c>
      <c r="C68" s="1">
        <v>275.0</v>
      </c>
      <c r="D68" s="1">
        <v>975.0</v>
      </c>
      <c r="E68" s="1">
        <v>7.0</v>
      </c>
      <c r="F68" s="1">
        <v>30.0</v>
      </c>
      <c r="G68" s="1">
        <v>205.0</v>
      </c>
      <c r="H68" s="1">
        <v>0.0</v>
      </c>
      <c r="I68" s="1">
        <v>1.0</v>
      </c>
      <c r="J68" s="1">
        <v>193.9</v>
      </c>
      <c r="K68" s="18">
        <f t="shared" si="1"/>
        <v>54.16666667</v>
      </c>
      <c r="L68" s="18">
        <f t="shared" si="2"/>
        <v>9.695597484</v>
      </c>
      <c r="M68" s="112"/>
      <c r="N68" s="112"/>
      <c r="O68" s="112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" t="s">
        <v>432</v>
      </c>
      <c r="B69" s="1" t="s">
        <v>145</v>
      </c>
      <c r="C69" s="1">
        <v>239.4</v>
      </c>
      <c r="D69" s="1">
        <v>979.6</v>
      </c>
      <c r="E69" s="1">
        <v>8.2</v>
      </c>
      <c r="F69" s="1">
        <v>29.2</v>
      </c>
      <c r="G69" s="1">
        <v>222.1</v>
      </c>
      <c r="H69" s="1">
        <v>2.1</v>
      </c>
      <c r="I69" s="1">
        <v>2.2</v>
      </c>
      <c r="J69" s="1">
        <v>207.3</v>
      </c>
      <c r="K69" s="18">
        <f t="shared" si="1"/>
        <v>54.42222222</v>
      </c>
      <c r="L69" s="18">
        <f t="shared" si="2"/>
        <v>10.5043522</v>
      </c>
      <c r="M69" s="112">
        <f>C71*Scoring!$B$32+D71/Scoring!$C$32+E71*Scoring!$D$32+F71*Scoring!$E$32+G71/Scoring!$F$32+H71*Scoring!$G$32+I71*Scoring!$H$32+K71*Scoring!$I$32+RB!L71*Scoring!$J$32+U69</f>
        <v>152.4</v>
      </c>
      <c r="N69" s="112">
        <f>C69*Scoring!$B$32+D69/Scoring!$C$32+E69*Scoring!$D$32+F69*Scoring!$E$32+G69/Scoring!$F$32+H69*Scoring!$G$32+I69*Scoring!$H$32+K69*Scoring!$I$32+RB!L69*Scoring!$J$32+U69</f>
        <v>192.17</v>
      </c>
      <c r="O69" s="112">
        <f>C70*Scoring!$B$32+D70/Scoring!$C$32+E70*Scoring!$D$32+F70*Scoring!$E$32+G70/Scoring!$F$32+H70*Scoring!$G$32+I70*Scoring!$H$32+K70*Scoring!$I$32+L70*Scoring!$J$32+U69</f>
        <v>234.5</v>
      </c>
      <c r="P69" s="8">
        <f>IF(COUNTIF(Rookies!$A:$A,A69)&gt;0,1,0)</f>
        <v>0</v>
      </c>
      <c r="Q69" s="8"/>
      <c r="R69" s="8"/>
      <c r="S69" s="8">
        <f>V69/17</f>
        <v>11.30411765</v>
      </c>
      <c r="T69" s="8">
        <f>IF(P69=1,MAX(0,0.258*(14.9-S69)),0)</f>
        <v>0</v>
      </c>
      <c r="U69" s="8">
        <f>T69*17</f>
        <v>0</v>
      </c>
      <c r="V69" s="8">
        <f>C69*Scoring!$B$32+D69/Scoring!$C$32+E69*Scoring!$D$32+F69*Scoring!$E$32+G69/Scoring!$F$32+H69*Scoring!$G$32+I69*Scoring!$H$32+K69*Scoring!$I$32+RB!L69*Scoring!$J$32</f>
        <v>192.17</v>
      </c>
      <c r="W69" s="8"/>
      <c r="X69" s="8"/>
      <c r="Y69" s="8"/>
      <c r="Z69" s="8"/>
    </row>
    <row r="70" ht="14.25" customHeight="1">
      <c r="B70" s="1" t="s">
        <v>39</v>
      </c>
      <c r="C70" s="1">
        <v>257.0</v>
      </c>
      <c r="D70" s="1">
        <v>1055.0</v>
      </c>
      <c r="E70" s="1">
        <v>11.0</v>
      </c>
      <c r="F70" s="1">
        <v>38.0</v>
      </c>
      <c r="G70" s="1">
        <v>288.0</v>
      </c>
      <c r="H70" s="1">
        <v>3.0</v>
      </c>
      <c r="I70" s="1">
        <v>1.4</v>
      </c>
      <c r="J70" s="1">
        <v>236.5</v>
      </c>
      <c r="K70" s="18">
        <f t="shared" si="1"/>
        <v>58.61111111</v>
      </c>
      <c r="L70" s="18">
        <f t="shared" si="2"/>
        <v>13.62113208</v>
      </c>
      <c r="M70" s="112"/>
      <c r="N70" s="112"/>
      <c r="O70" s="112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B71" s="1" t="s">
        <v>48</v>
      </c>
      <c r="C71" s="1">
        <v>224.0</v>
      </c>
      <c r="D71" s="1">
        <v>890.0</v>
      </c>
      <c r="E71" s="1">
        <v>6.7</v>
      </c>
      <c r="F71" s="1">
        <v>16.0</v>
      </c>
      <c r="G71" s="1">
        <v>128.0</v>
      </c>
      <c r="H71" s="1">
        <v>1.4</v>
      </c>
      <c r="I71" s="1">
        <v>3.0</v>
      </c>
      <c r="J71" s="1">
        <v>193.2</v>
      </c>
      <c r="K71" s="18">
        <f t="shared" si="1"/>
        <v>49.44444444</v>
      </c>
      <c r="L71" s="18">
        <f t="shared" si="2"/>
        <v>6.053836478</v>
      </c>
      <c r="M71" s="112"/>
      <c r="N71" s="112"/>
      <c r="O71" s="112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" t="s">
        <v>434</v>
      </c>
      <c r="B72" s="1" t="s">
        <v>205</v>
      </c>
      <c r="C72" s="1">
        <v>231.5</v>
      </c>
      <c r="D72" s="1">
        <v>959.7</v>
      </c>
      <c r="E72" s="1">
        <v>7.7</v>
      </c>
      <c r="F72" s="1">
        <v>30.9</v>
      </c>
      <c r="G72" s="1">
        <v>228.3</v>
      </c>
      <c r="H72" s="1">
        <v>0.5</v>
      </c>
      <c r="I72" s="1">
        <v>1.5</v>
      </c>
      <c r="J72" s="1">
        <v>195.9</v>
      </c>
      <c r="K72" s="18">
        <f t="shared" si="1"/>
        <v>53.31666667</v>
      </c>
      <c r="L72" s="18">
        <f t="shared" si="2"/>
        <v>10.79758491</v>
      </c>
      <c r="M72" s="112">
        <f>C74*Scoring!$B$32+D74/Scoring!$C$32+E74*Scoring!$D$32+F74*Scoring!$E$32+G74/Scoring!$F$32+H74*Scoring!$G$32+I74*Scoring!$H$32+K74*Scoring!$I$32+RB!L74*Scoring!$J$32+U72</f>
        <v>165.8</v>
      </c>
      <c r="N72" s="112">
        <f>C72*Scoring!$B$32+D72/Scoring!$C$32+E72*Scoring!$D$32+F72*Scoring!$E$32+G72/Scoring!$F$32+H72*Scoring!$G$32+I72*Scoring!$H$32+K72*Scoring!$I$32+RB!L72*Scoring!$J$32+U72</f>
        <v>180.45</v>
      </c>
      <c r="O72" s="112">
        <f>C73*Scoring!$B$32+D73/Scoring!$C$32+E73*Scoring!$D$32+F73*Scoring!$E$32+G73/Scoring!$F$32+H73*Scoring!$G$32+I73*Scoring!$H$32+K73*Scoring!$I$32+L73*Scoring!$J$32+U72</f>
        <v>200.6</v>
      </c>
      <c r="P72" s="8">
        <f>IF(COUNTIF(Rookies!$A:$A,A72)&gt;0,1,0)</f>
        <v>0</v>
      </c>
      <c r="Q72" s="8"/>
      <c r="R72" s="8"/>
      <c r="S72" s="8">
        <f>V72/17</f>
        <v>10.61470588</v>
      </c>
      <c r="T72" s="8">
        <f>IF(P72=1,MAX(0,0.258*(14.9-S72)),0)</f>
        <v>0</v>
      </c>
      <c r="U72" s="8">
        <f>T72*17</f>
        <v>0</v>
      </c>
      <c r="V72" s="8">
        <f>C72*Scoring!$B$32+D72/Scoring!$C$32+E72*Scoring!$D$32+F72*Scoring!$E$32+G72/Scoring!$F$32+H72*Scoring!$G$32+I72*Scoring!$H$32+K72*Scoring!$I$32+RB!L72*Scoring!$J$32</f>
        <v>180.45</v>
      </c>
      <c r="W72" s="8"/>
      <c r="X72" s="8"/>
      <c r="Y72" s="8"/>
      <c r="Z72" s="8"/>
    </row>
    <row r="73" ht="14.25" customHeight="1">
      <c r="B73" s="1" t="s">
        <v>39</v>
      </c>
      <c r="C73" s="1">
        <v>263.0</v>
      </c>
      <c r="D73" s="1">
        <v>1012.0</v>
      </c>
      <c r="E73" s="1">
        <v>9.0</v>
      </c>
      <c r="F73" s="1">
        <v>34.0</v>
      </c>
      <c r="G73" s="1">
        <v>244.0</v>
      </c>
      <c r="H73" s="1">
        <v>1.0</v>
      </c>
      <c r="I73" s="1">
        <v>1.0</v>
      </c>
      <c r="J73" s="1">
        <v>213.8</v>
      </c>
      <c r="K73" s="18">
        <f t="shared" si="1"/>
        <v>56.22222222</v>
      </c>
      <c r="L73" s="18">
        <f t="shared" si="2"/>
        <v>11.54012579</v>
      </c>
      <c r="M73" s="112"/>
      <c r="N73" s="112"/>
      <c r="O73" s="112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B74" s="1" t="s">
        <v>48</v>
      </c>
      <c r="C74" s="1">
        <v>214.6</v>
      </c>
      <c r="D74" s="1">
        <v>932.0</v>
      </c>
      <c r="E74" s="1">
        <v>7.0</v>
      </c>
      <c r="F74" s="1">
        <v>27.0</v>
      </c>
      <c r="G74" s="1">
        <v>211.0</v>
      </c>
      <c r="H74" s="1">
        <v>0.0</v>
      </c>
      <c r="I74" s="1">
        <v>2.0</v>
      </c>
      <c r="J74" s="1">
        <v>185.9</v>
      </c>
      <c r="K74" s="18">
        <f t="shared" si="1"/>
        <v>51.77777778</v>
      </c>
      <c r="L74" s="18">
        <f t="shared" si="2"/>
        <v>9.979371069</v>
      </c>
      <c r="M74" s="112"/>
      <c r="N74" s="112"/>
      <c r="O74" s="112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" t="s">
        <v>436</v>
      </c>
      <c r="B75" s="1" t="s">
        <v>220</v>
      </c>
      <c r="C75" s="1">
        <v>188.0</v>
      </c>
      <c r="D75" s="1">
        <v>827.5</v>
      </c>
      <c r="E75" s="1">
        <v>4.8</v>
      </c>
      <c r="F75" s="1">
        <v>42.4</v>
      </c>
      <c r="G75" s="1">
        <v>322.1</v>
      </c>
      <c r="H75" s="1">
        <v>1.5</v>
      </c>
      <c r="I75" s="1">
        <v>0.9</v>
      </c>
      <c r="J75" s="1">
        <v>193.3</v>
      </c>
      <c r="K75" s="18">
        <f t="shared" si="1"/>
        <v>45.97222222</v>
      </c>
      <c r="L75" s="18">
        <f t="shared" si="2"/>
        <v>15.23391195</v>
      </c>
      <c r="M75" s="112">
        <f>C77*Scoring!$B$32+D77/Scoring!$C$32+E77*Scoring!$D$32+F77*Scoring!$E$32+G77/Scoring!$F$32+H77*Scoring!$G$32+I77*Scoring!$H$32+K77*Scoring!$I$32+RB!L77*Scoring!$J$32+U75</f>
        <v>161.84</v>
      </c>
      <c r="N75" s="112">
        <f>C75*Scoring!$B$32+D75/Scoring!$C$32+E75*Scoring!$D$32+F75*Scoring!$E$32+G75/Scoring!$F$32+H75*Scoring!$G$32+I75*Scoring!$H$32+K75*Scoring!$I$32+RB!L75*Scoring!$J$32+U75</f>
        <v>172.16</v>
      </c>
      <c r="O75" s="112">
        <f>C76*Scoring!$B$32+D76/Scoring!$C$32+E76*Scoring!$D$32+F76*Scoring!$E$32+G76/Scoring!$F$32+H76*Scoring!$G$32+I76*Scoring!$H$32+K76*Scoring!$I$32+L76*Scoring!$J$32+U75</f>
        <v>181.55</v>
      </c>
      <c r="P75" s="8">
        <f>IF(COUNTIF(Rookies!$A:$A,A75)&gt;0,1,0)</f>
        <v>0</v>
      </c>
      <c r="Q75" s="8"/>
      <c r="R75" s="8"/>
      <c r="S75" s="8">
        <f>V75/17</f>
        <v>10.12705882</v>
      </c>
      <c r="T75" s="8">
        <f>IF(P75=1,MAX(0,0.258*(14.9-S75)),0)</f>
        <v>0</v>
      </c>
      <c r="U75" s="8">
        <f>T75*17</f>
        <v>0</v>
      </c>
      <c r="V75" s="8">
        <f>C75*Scoring!$B$32+D75/Scoring!$C$32+E75*Scoring!$D$32+F75*Scoring!$E$32+G75/Scoring!$F$32+H75*Scoring!$G$32+I75*Scoring!$H$32+K75*Scoring!$I$32+RB!L75*Scoring!$J$32</f>
        <v>172.16</v>
      </c>
      <c r="W75" s="8"/>
      <c r="X75" s="8"/>
      <c r="Y75" s="8"/>
      <c r="Z75" s="8"/>
    </row>
    <row r="76" ht="14.25" customHeight="1">
      <c r="B76" s="1" t="s">
        <v>39</v>
      </c>
      <c r="C76" s="1">
        <v>194.0</v>
      </c>
      <c r="D76" s="1">
        <v>854.0</v>
      </c>
      <c r="E76" s="1">
        <v>5.0</v>
      </c>
      <c r="F76" s="1">
        <v>46.1</v>
      </c>
      <c r="G76" s="1">
        <v>329.0</v>
      </c>
      <c r="H76" s="1">
        <v>2.0</v>
      </c>
      <c r="I76" s="1">
        <v>0.9</v>
      </c>
      <c r="J76" s="1">
        <v>223.2</v>
      </c>
      <c r="K76" s="18">
        <f t="shared" si="1"/>
        <v>47.44444444</v>
      </c>
      <c r="L76" s="18">
        <f t="shared" si="2"/>
        <v>15.56025157</v>
      </c>
      <c r="M76" s="112"/>
      <c r="N76" s="112"/>
      <c r="O76" s="112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B77" s="1" t="s">
        <v>48</v>
      </c>
      <c r="C77" s="1">
        <v>180.1</v>
      </c>
      <c r="D77" s="1">
        <v>791.4</v>
      </c>
      <c r="E77" s="1">
        <v>4.5</v>
      </c>
      <c r="F77" s="1">
        <v>40.0</v>
      </c>
      <c r="G77" s="1">
        <v>317.0</v>
      </c>
      <c r="H77" s="1">
        <v>1.0</v>
      </c>
      <c r="I77" s="1">
        <v>1.0</v>
      </c>
      <c r="J77" s="1">
        <v>173.4</v>
      </c>
      <c r="K77" s="18">
        <f t="shared" si="1"/>
        <v>43.96666667</v>
      </c>
      <c r="L77" s="18">
        <f t="shared" si="2"/>
        <v>14.9927044</v>
      </c>
      <c r="M77" s="112"/>
      <c r="N77" s="112"/>
      <c r="O77" s="112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1" t="s">
        <v>438</v>
      </c>
      <c r="B78" s="1" t="s">
        <v>94</v>
      </c>
      <c r="C78" s="1">
        <v>187.1</v>
      </c>
      <c r="D78" s="1">
        <v>858.9</v>
      </c>
      <c r="E78" s="1">
        <v>6.9</v>
      </c>
      <c r="F78" s="1">
        <v>35.3</v>
      </c>
      <c r="G78" s="1">
        <v>244.1</v>
      </c>
      <c r="H78" s="1">
        <v>1.1</v>
      </c>
      <c r="I78" s="1">
        <v>0.8</v>
      </c>
      <c r="J78" s="1">
        <v>192.1</v>
      </c>
      <c r="K78" s="18">
        <f t="shared" si="1"/>
        <v>47.71666667</v>
      </c>
      <c r="L78" s="18">
        <f t="shared" si="2"/>
        <v>11.54485535</v>
      </c>
      <c r="M78" s="112">
        <f>C80*Scoring!$B$32+D80/Scoring!$C$32+E80*Scoring!$D$32+F80*Scoring!$E$32+G80/Scoring!$F$32+H80*Scoring!$G$32+I80*Scoring!$H$32+K80*Scoring!$I$32+RB!L80*Scoring!$J$32+U78</f>
        <v>165.07</v>
      </c>
      <c r="N78" s="112">
        <f>C78*Scoring!$B$32+D78/Scoring!$C$32+E78*Scoring!$D$32+F78*Scoring!$E$32+G78/Scoring!$F$32+H78*Scoring!$G$32+I78*Scoring!$H$32+K78*Scoring!$I$32+RB!L78*Scoring!$J$32+U78</f>
        <v>174.35</v>
      </c>
      <c r="O78" s="112">
        <f>C79*Scoring!$B$32+D79/Scoring!$C$32+E79*Scoring!$D$32+F79*Scoring!$E$32+G79/Scoring!$F$32+H79*Scoring!$G$32+I79*Scoring!$H$32+K79*Scoring!$I$32+L79*Scoring!$J$32+U78</f>
        <v>183.67</v>
      </c>
      <c r="P78" s="8">
        <f>IF(COUNTIF(Rookies!$A:$A,A78)&gt;0,1,0)</f>
        <v>0</v>
      </c>
      <c r="Q78" s="8"/>
      <c r="R78" s="8"/>
      <c r="S78" s="8">
        <f>V78/17</f>
        <v>10.25588235</v>
      </c>
      <c r="T78" s="8">
        <f>IF(P78=1,MAX(0,0.258*(14.9-S78)),0)</f>
        <v>0</v>
      </c>
      <c r="U78" s="8">
        <f>T78*17</f>
        <v>0</v>
      </c>
      <c r="V78" s="8">
        <f>C78*Scoring!$B$32+D78/Scoring!$C$32+E78*Scoring!$D$32+F78*Scoring!$E$32+G78/Scoring!$F$32+H78*Scoring!$G$32+I78*Scoring!$H$32+K78*Scoring!$I$32+RB!L78*Scoring!$J$32</f>
        <v>174.35</v>
      </c>
      <c r="W78" s="8"/>
      <c r="X78" s="8"/>
      <c r="Y78" s="8"/>
      <c r="Z78" s="8"/>
    </row>
    <row r="79" ht="14.25" customHeight="1">
      <c r="B79" s="1" t="s">
        <v>39</v>
      </c>
      <c r="C79" s="1">
        <v>190.2</v>
      </c>
      <c r="D79" s="1">
        <v>884.0</v>
      </c>
      <c r="E79" s="1">
        <v>7.0</v>
      </c>
      <c r="F79" s="1">
        <v>38.9</v>
      </c>
      <c r="G79" s="1">
        <v>268.2</v>
      </c>
      <c r="H79" s="1">
        <v>1.4</v>
      </c>
      <c r="I79" s="1">
        <v>0.7</v>
      </c>
      <c r="J79" s="1">
        <v>211.6</v>
      </c>
      <c r="K79" s="18">
        <f t="shared" si="1"/>
        <v>49.11111111</v>
      </c>
      <c r="L79" s="18">
        <f t="shared" si="2"/>
        <v>12.68467925</v>
      </c>
      <c r="M79" s="112"/>
      <c r="N79" s="112"/>
      <c r="O79" s="112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B80" s="1" t="s">
        <v>48</v>
      </c>
      <c r="C80" s="1">
        <v>182.0</v>
      </c>
      <c r="D80" s="1">
        <v>836.7</v>
      </c>
      <c r="E80" s="1">
        <v>6.7</v>
      </c>
      <c r="F80" s="1">
        <v>33.0</v>
      </c>
      <c r="G80" s="1">
        <v>207.0</v>
      </c>
      <c r="H80" s="1">
        <v>1.0</v>
      </c>
      <c r="I80" s="1">
        <v>1.0</v>
      </c>
      <c r="J80" s="1">
        <v>175.3</v>
      </c>
      <c r="K80" s="18">
        <f t="shared" si="1"/>
        <v>46.48333333</v>
      </c>
      <c r="L80" s="18">
        <f t="shared" si="2"/>
        <v>9.790188679</v>
      </c>
      <c r="M80" s="112"/>
      <c r="N80" s="112"/>
      <c r="O80" s="112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" t="s">
        <v>441</v>
      </c>
      <c r="B81" s="1" t="s">
        <v>94</v>
      </c>
      <c r="C81" s="1">
        <v>168.6</v>
      </c>
      <c r="D81" s="1">
        <v>723.1</v>
      </c>
      <c r="E81" s="1">
        <v>6.9</v>
      </c>
      <c r="F81" s="1">
        <v>38.5</v>
      </c>
      <c r="G81" s="1">
        <v>327.9</v>
      </c>
      <c r="H81" s="1">
        <v>1.7</v>
      </c>
      <c r="I81" s="1">
        <v>2.1</v>
      </c>
      <c r="J81" s="1">
        <v>191.1</v>
      </c>
      <c r="K81" s="18">
        <f t="shared" si="1"/>
        <v>40.17222222</v>
      </c>
      <c r="L81" s="18">
        <f t="shared" si="2"/>
        <v>15.50822642</v>
      </c>
      <c r="M81" s="112">
        <f>C83*Scoring!$B$32+D83/Scoring!$C$32+E83*Scoring!$D$32+F83*Scoring!$E$32+G83/Scoring!$F$32+H83*Scoring!$G$32+I83*Scoring!$H$32+K83*Scoring!$I$32+RB!L83*Scoring!$J$32+U81</f>
        <v>156.9</v>
      </c>
      <c r="N81" s="112">
        <f>C81*Scoring!$B$32+D81/Scoring!$C$32+E81*Scoring!$D$32+F81*Scoring!$E$32+G81/Scoring!$F$32+H81*Scoring!$G$32+I81*Scoring!$H$32+K81*Scoring!$I$32+RB!L81*Scoring!$J$32+U81</f>
        <v>171.75</v>
      </c>
      <c r="O81" s="112">
        <f>C82*Scoring!$B$32+D82/Scoring!$C$32+E82*Scoring!$D$32+F82*Scoring!$E$32+G82/Scoring!$F$32+H82*Scoring!$G$32+I82*Scoring!$H$32+K82*Scoring!$I$32+L82*Scoring!$J$32+U81</f>
        <v>182.49</v>
      </c>
      <c r="P81" s="8">
        <f>IF(COUNTIF(Rookies!$A:$A,A81)&gt;0,1,0)</f>
        <v>0</v>
      </c>
      <c r="Q81" s="8"/>
      <c r="R81" s="8"/>
      <c r="S81" s="8">
        <f>V81/17</f>
        <v>10.10294118</v>
      </c>
      <c r="T81" s="8">
        <f>IF(P81=1,MAX(0,0.258*(14.9-S81)),0)</f>
        <v>0</v>
      </c>
      <c r="U81" s="8">
        <f>T81*17</f>
        <v>0</v>
      </c>
      <c r="V81" s="8">
        <f>C81*Scoring!$B$32+D81/Scoring!$C$32+E81*Scoring!$D$32+F81*Scoring!$E$32+G81/Scoring!$F$32+H81*Scoring!$G$32+I81*Scoring!$H$32+K81*Scoring!$I$32+RB!L81*Scoring!$J$32</f>
        <v>171.75</v>
      </c>
      <c r="W81" s="8"/>
      <c r="X81" s="8"/>
      <c r="Y81" s="8"/>
      <c r="Z81" s="8"/>
    </row>
    <row r="82" ht="14.25" customHeight="1">
      <c r="B82" s="1" t="s">
        <v>39</v>
      </c>
      <c r="C82" s="1">
        <v>173.7</v>
      </c>
      <c r="D82" s="1">
        <v>740.3</v>
      </c>
      <c r="E82" s="1">
        <v>7.0</v>
      </c>
      <c r="F82" s="1">
        <v>42.6</v>
      </c>
      <c r="G82" s="1">
        <v>349.6</v>
      </c>
      <c r="H82" s="1">
        <v>2.1</v>
      </c>
      <c r="I82" s="1">
        <v>1.2</v>
      </c>
      <c r="J82" s="1">
        <v>210.2</v>
      </c>
      <c r="K82" s="18">
        <f t="shared" si="1"/>
        <v>41.12777778</v>
      </c>
      <c r="L82" s="18">
        <f t="shared" si="2"/>
        <v>16.53454088</v>
      </c>
      <c r="M82" s="112"/>
      <c r="N82" s="112"/>
      <c r="O82" s="112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B83" s="1" t="s">
        <v>48</v>
      </c>
      <c r="C83" s="1">
        <v>163.0</v>
      </c>
      <c r="D83" s="1">
        <v>694.0</v>
      </c>
      <c r="E83" s="1">
        <v>6.8</v>
      </c>
      <c r="F83" s="1">
        <v>33.0</v>
      </c>
      <c r="G83" s="1">
        <v>302.0</v>
      </c>
      <c r="H83" s="1">
        <v>1.0</v>
      </c>
      <c r="I83" s="1">
        <v>3.0</v>
      </c>
      <c r="J83" s="1">
        <v>171.5</v>
      </c>
      <c r="K83" s="18">
        <f t="shared" si="1"/>
        <v>38.55555556</v>
      </c>
      <c r="L83" s="18">
        <f t="shared" si="2"/>
        <v>14.28327044</v>
      </c>
      <c r="M83" s="112"/>
      <c r="N83" s="112"/>
      <c r="O83" s="112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" t="s">
        <v>442</v>
      </c>
      <c r="B84" s="1" t="s">
        <v>202</v>
      </c>
      <c r="C84" s="1">
        <v>215.5</v>
      </c>
      <c r="D84" s="1">
        <v>913.2</v>
      </c>
      <c r="E84" s="1">
        <v>8.0</v>
      </c>
      <c r="F84" s="1">
        <v>26.4</v>
      </c>
      <c r="G84" s="1">
        <v>220.1</v>
      </c>
      <c r="H84" s="1">
        <v>1.1</v>
      </c>
      <c r="I84" s="1">
        <v>2.0</v>
      </c>
      <c r="J84" s="1">
        <v>190.0</v>
      </c>
      <c r="K84" s="18">
        <f t="shared" si="1"/>
        <v>50.73333333</v>
      </c>
      <c r="L84" s="18">
        <f t="shared" si="2"/>
        <v>10.40976101</v>
      </c>
      <c r="M84" s="112">
        <f>C86*Scoring!$B$32+D86/Scoring!$C$32+E86*Scoring!$D$32+F86*Scoring!$E$32+G86/Scoring!$F$32+H86*Scoring!$G$32+I86*Scoring!$H$32+K86*Scoring!$I$32+RB!L86*Scoring!$J$32+U84</f>
        <v>177.09186</v>
      </c>
      <c r="N84" s="112">
        <f>C84*Scoring!$B$32+D84/Scoring!$C$32+E84*Scoring!$D$32+F84*Scoring!$E$32+G84/Scoring!$F$32+H84*Scoring!$G$32+I84*Scoring!$H$32+K84*Scoring!$I$32+RB!L84*Scoring!$J$32+U84</f>
        <v>196.78186</v>
      </c>
      <c r="O84" s="112">
        <f>C85*Scoring!$B$32+D85/Scoring!$C$32+E85*Scoring!$D$32+F85*Scoring!$E$32+G85/Scoring!$F$32+H85*Scoring!$G$32+I85*Scoring!$H$32+K85*Scoring!$I$32+L85*Scoring!$J$32+U84</f>
        <v>215.55186</v>
      </c>
      <c r="P84" s="8">
        <f>IF(COUNTIF(Rookies!$A:$A,A84)&gt;0,1,0)</f>
        <v>1</v>
      </c>
      <c r="Q84" s="8"/>
      <c r="R84" s="8"/>
      <c r="S84" s="8">
        <f>V84/17</f>
        <v>10.41941176</v>
      </c>
      <c r="T84" s="8">
        <f>IF(P84=1,MAX(0,0.258*(14.9-S84)),0)</f>
        <v>1.155991765</v>
      </c>
      <c r="U84" s="8">
        <f>T84*17</f>
        <v>19.65186</v>
      </c>
      <c r="V84" s="8">
        <f>C84*Scoring!$B$32+D84/Scoring!$C$32+E84*Scoring!$D$32+F84*Scoring!$E$32+G84/Scoring!$F$32+H84*Scoring!$G$32+I84*Scoring!$H$32+K84*Scoring!$I$32+RB!L84*Scoring!$J$32</f>
        <v>177.13</v>
      </c>
      <c r="W84" s="8"/>
      <c r="X84" s="8"/>
      <c r="Y84" s="8"/>
      <c r="Z84" s="8"/>
    </row>
    <row r="85" ht="14.25" customHeight="1">
      <c r="B85" s="1" t="s">
        <v>39</v>
      </c>
      <c r="C85" s="1">
        <v>229.0</v>
      </c>
      <c r="D85" s="1">
        <v>980.0</v>
      </c>
      <c r="E85" s="1">
        <v>9.0</v>
      </c>
      <c r="F85" s="1">
        <v>31.0</v>
      </c>
      <c r="G85" s="1">
        <v>226.0</v>
      </c>
      <c r="H85" s="1">
        <v>1.3</v>
      </c>
      <c r="I85" s="1">
        <v>1.0</v>
      </c>
      <c r="J85" s="1">
        <v>196.2</v>
      </c>
      <c r="K85" s="18">
        <f t="shared" si="1"/>
        <v>54.44444444</v>
      </c>
      <c r="L85" s="18">
        <f t="shared" si="2"/>
        <v>10.68880503</v>
      </c>
      <c r="M85" s="112"/>
      <c r="N85" s="112"/>
      <c r="O85" s="112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B86" s="1" t="s">
        <v>48</v>
      </c>
      <c r="C86" s="1">
        <v>195.0</v>
      </c>
      <c r="D86" s="1">
        <v>837.0</v>
      </c>
      <c r="E86" s="1">
        <v>7.0</v>
      </c>
      <c r="F86" s="1">
        <v>21.0</v>
      </c>
      <c r="G86" s="1">
        <v>212.4</v>
      </c>
      <c r="H86" s="1">
        <v>1.0</v>
      </c>
      <c r="I86" s="1">
        <v>3.0</v>
      </c>
      <c r="J86" s="1">
        <v>184.4</v>
      </c>
      <c r="K86" s="18">
        <f t="shared" si="1"/>
        <v>46.5</v>
      </c>
      <c r="L86" s="18">
        <f t="shared" si="2"/>
        <v>10.04558491</v>
      </c>
      <c r="M86" s="112"/>
      <c r="N86" s="112"/>
      <c r="O86" s="112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" t="s">
        <v>445</v>
      </c>
      <c r="B87" s="1" t="s">
        <v>214</v>
      </c>
      <c r="C87" s="1">
        <v>236.2</v>
      </c>
      <c r="D87" s="1">
        <v>1034.1</v>
      </c>
      <c r="E87" s="1">
        <v>5.5</v>
      </c>
      <c r="F87" s="1">
        <v>31.9</v>
      </c>
      <c r="G87" s="1">
        <v>208.2</v>
      </c>
      <c r="H87" s="1">
        <v>0.5</v>
      </c>
      <c r="I87" s="1">
        <v>2.1</v>
      </c>
      <c r="J87" s="1">
        <v>187.8</v>
      </c>
      <c r="K87" s="18">
        <f t="shared" si="1"/>
        <v>57.45</v>
      </c>
      <c r="L87" s="18">
        <f t="shared" si="2"/>
        <v>9.846943396</v>
      </c>
      <c r="M87" s="112">
        <f>C89*Scoring!$B$32+D89/Scoring!$C$32+E89*Scoring!$D$32+F89*Scoring!$E$32+G89/Scoring!$F$32+H89*Scoring!$G$32+I89*Scoring!$H$32+K89*Scoring!$I$32+RB!L89*Scoring!$J$32+U87</f>
        <v>156.41</v>
      </c>
      <c r="N87" s="112">
        <f>C87*Scoring!$B$32+D87/Scoring!$C$32+E87*Scoring!$D$32+F87*Scoring!$E$32+G87/Scoring!$F$32+H87*Scoring!$G$32+I87*Scoring!$H$32+K87*Scoring!$I$32+RB!L87*Scoring!$J$32+U87</f>
        <v>171.98</v>
      </c>
      <c r="O87" s="112">
        <f>C88*Scoring!$B$32+D88/Scoring!$C$32+E88*Scoring!$D$32+F88*Scoring!$E$32+G88/Scoring!$F$32+H88*Scoring!$G$32+I88*Scoring!$H$32+K88*Scoring!$I$32+L88*Scoring!$J$32+U87</f>
        <v>185.8</v>
      </c>
      <c r="P87" s="8">
        <f>IF(COUNTIF(Rookies!$A:$A,A87)&gt;0,1,0)</f>
        <v>0</v>
      </c>
      <c r="Q87" s="8"/>
      <c r="R87" s="8"/>
      <c r="S87" s="8">
        <f>V87/17</f>
        <v>10.11647059</v>
      </c>
      <c r="T87" s="8">
        <f>IF(P87=1,MAX(0,0.258*(14.9-S87)),0)</f>
        <v>0</v>
      </c>
      <c r="U87" s="8">
        <f>T87*17</f>
        <v>0</v>
      </c>
      <c r="V87" s="8">
        <f>C87*Scoring!$B$32+D87/Scoring!$C$32+E87*Scoring!$D$32+F87*Scoring!$E$32+G87/Scoring!$F$32+H87*Scoring!$G$32+I87*Scoring!$H$32+K87*Scoring!$I$32+RB!L87*Scoring!$J$32</f>
        <v>171.98</v>
      </c>
      <c r="W87" s="8"/>
      <c r="X87" s="8"/>
      <c r="Y87" s="8"/>
      <c r="Z87" s="8"/>
    </row>
    <row r="88" ht="14.25" customHeight="1">
      <c r="B88" s="1" t="s">
        <v>39</v>
      </c>
      <c r="C88" s="1">
        <v>242.0</v>
      </c>
      <c r="D88" s="1">
        <v>1065.0</v>
      </c>
      <c r="E88" s="1">
        <v>6.0</v>
      </c>
      <c r="F88" s="1">
        <v>34.0</v>
      </c>
      <c r="G88" s="1">
        <v>227.0</v>
      </c>
      <c r="H88" s="1">
        <v>1.0</v>
      </c>
      <c r="I88" s="1">
        <v>1.2</v>
      </c>
      <c r="J88" s="1">
        <v>213.1</v>
      </c>
      <c r="K88" s="18">
        <f t="shared" si="1"/>
        <v>59.16666667</v>
      </c>
      <c r="L88" s="18">
        <f t="shared" si="2"/>
        <v>10.73610063</v>
      </c>
      <c r="M88" s="112"/>
      <c r="N88" s="112"/>
      <c r="O88" s="112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B89" s="1" t="s">
        <v>48</v>
      </c>
      <c r="C89" s="1">
        <v>227.0</v>
      </c>
      <c r="D89" s="1">
        <v>993.0</v>
      </c>
      <c r="E89" s="1">
        <v>5.0</v>
      </c>
      <c r="F89" s="1">
        <v>29.7</v>
      </c>
      <c r="G89" s="1">
        <v>182.6</v>
      </c>
      <c r="H89" s="1">
        <v>0.0</v>
      </c>
      <c r="I89" s="1">
        <v>3.0</v>
      </c>
      <c r="J89" s="1">
        <v>164.9</v>
      </c>
      <c r="K89" s="18">
        <f t="shared" si="1"/>
        <v>55.16666667</v>
      </c>
      <c r="L89" s="18">
        <f t="shared" si="2"/>
        <v>8.636176101</v>
      </c>
      <c r="M89" s="112"/>
      <c r="N89" s="112"/>
      <c r="O89" s="112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1" t="s">
        <v>447</v>
      </c>
      <c r="B90" s="1" t="s">
        <v>220</v>
      </c>
      <c r="C90" s="1">
        <v>200.0</v>
      </c>
      <c r="D90" s="1">
        <v>870.1</v>
      </c>
      <c r="E90" s="1">
        <v>5.8</v>
      </c>
      <c r="F90" s="1">
        <v>31.7</v>
      </c>
      <c r="G90" s="1">
        <v>222.3</v>
      </c>
      <c r="H90" s="1">
        <v>1.0</v>
      </c>
      <c r="I90" s="1">
        <v>1.0</v>
      </c>
      <c r="J90" s="1">
        <v>180.3</v>
      </c>
      <c r="K90" s="18">
        <f t="shared" si="1"/>
        <v>48.33888889</v>
      </c>
      <c r="L90" s="18">
        <f t="shared" si="2"/>
        <v>10.51381132</v>
      </c>
      <c r="M90" s="112">
        <f>C92*Scoring!$B$32+D92/Scoring!$C$32+E92*Scoring!$D$32+F92*Scoring!$E$32+G92/Scoring!$F$32+H92*Scoring!$G$32+I92*Scoring!$H$32+K92*Scoring!$I$32+RB!L92*Scoring!$J$32+U90</f>
        <v>149</v>
      </c>
      <c r="N90" s="112">
        <f>C90*Scoring!$B$32+D90/Scoring!$C$32+E90*Scoring!$D$32+F90*Scoring!$E$32+G90/Scoring!$F$32+H90*Scoring!$G$32+I90*Scoring!$H$32+K90*Scoring!$I$32+RB!L90*Scoring!$J$32+U90</f>
        <v>163.89</v>
      </c>
      <c r="O90" s="112">
        <f>C91*Scoring!$B$32+D91/Scoring!$C$32+E91*Scoring!$D$32+F91*Scoring!$E$32+G91/Scoring!$F$32+H91*Scoring!$G$32+I91*Scoring!$H$32+K91*Scoring!$I$32+L91*Scoring!$J$32+U90</f>
        <v>187.44</v>
      </c>
      <c r="P90" s="8">
        <f>IF(COUNTIF(Rookies!$A:$A,A90)&gt;0,1,0)</f>
        <v>0</v>
      </c>
      <c r="Q90" s="8"/>
      <c r="R90" s="8"/>
      <c r="S90" s="8">
        <f>V90/17</f>
        <v>9.640588235</v>
      </c>
      <c r="T90" s="8">
        <f>IF(P90=1,MAX(0,0.258*(14.9-S90)),0)</f>
        <v>0</v>
      </c>
      <c r="U90" s="8">
        <f>T90*17</f>
        <v>0</v>
      </c>
      <c r="V90" s="8">
        <f>C90*Scoring!$B$32+D90/Scoring!$C$32+E90*Scoring!$D$32+F90*Scoring!$E$32+G90/Scoring!$F$32+H90*Scoring!$G$32+I90*Scoring!$H$32+K90*Scoring!$I$32+RB!L90*Scoring!$J$32</f>
        <v>163.89</v>
      </c>
      <c r="W90" s="8"/>
      <c r="X90" s="8"/>
      <c r="Y90" s="8"/>
      <c r="Z90" s="8"/>
    </row>
    <row r="91" ht="14.25" customHeight="1">
      <c r="B91" s="1" t="s">
        <v>39</v>
      </c>
      <c r="C91" s="1">
        <v>223.0</v>
      </c>
      <c r="D91" s="1">
        <v>975.4</v>
      </c>
      <c r="E91" s="1">
        <v>7.0</v>
      </c>
      <c r="F91" s="1">
        <v>36.0</v>
      </c>
      <c r="G91" s="1">
        <v>253.0</v>
      </c>
      <c r="H91" s="1">
        <v>1.1</v>
      </c>
      <c r="I91" s="1">
        <v>1.0</v>
      </c>
      <c r="J91" s="1">
        <v>188.6</v>
      </c>
      <c r="K91" s="18">
        <f t="shared" si="1"/>
        <v>54.18888889</v>
      </c>
      <c r="L91" s="18">
        <f t="shared" si="2"/>
        <v>11.96578616</v>
      </c>
      <c r="M91" s="112"/>
      <c r="N91" s="112"/>
      <c r="O91" s="112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B92" s="1" t="s">
        <v>48</v>
      </c>
      <c r="C92" s="1">
        <v>186.0</v>
      </c>
      <c r="D92" s="1">
        <v>801.0</v>
      </c>
      <c r="E92" s="1">
        <v>5.0</v>
      </c>
      <c r="F92" s="1">
        <v>29.2</v>
      </c>
      <c r="G92" s="1">
        <v>203.0</v>
      </c>
      <c r="H92" s="1">
        <v>1.0</v>
      </c>
      <c r="I92" s="1">
        <v>1.0</v>
      </c>
      <c r="J92" s="1">
        <v>168.7</v>
      </c>
      <c r="K92" s="18">
        <f t="shared" si="1"/>
        <v>44.5</v>
      </c>
      <c r="L92" s="18">
        <f t="shared" si="2"/>
        <v>9.601006289</v>
      </c>
      <c r="M92" s="112"/>
      <c r="N92" s="112"/>
      <c r="O92" s="112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" t="s">
        <v>449</v>
      </c>
      <c r="B93" s="1" t="s">
        <v>170</v>
      </c>
      <c r="C93" s="1">
        <v>219.9</v>
      </c>
      <c r="D93" s="1">
        <v>1027.8</v>
      </c>
      <c r="E93" s="1">
        <v>6.9</v>
      </c>
      <c r="F93" s="1">
        <v>19.5</v>
      </c>
      <c r="G93" s="1">
        <v>104.5</v>
      </c>
      <c r="H93" s="1">
        <v>0.6</v>
      </c>
      <c r="I93" s="1">
        <v>0.7</v>
      </c>
      <c r="J93" s="1">
        <v>176.1</v>
      </c>
      <c r="K93" s="18">
        <f t="shared" si="1"/>
        <v>57.1</v>
      </c>
      <c r="L93" s="18">
        <f t="shared" si="2"/>
        <v>4.942389937</v>
      </c>
      <c r="M93" s="112">
        <f>C95*Scoring!$B$32+D95/Scoring!$C$32+E95*Scoring!$D$32+F95*Scoring!$E$32+G95/Scoring!$F$32+H95*Scoring!$G$32+I95*Scoring!$H$32+K95*Scoring!$I$32+RB!L95*Scoring!$J$32+U93</f>
        <v>149.14</v>
      </c>
      <c r="N93" s="112">
        <f>C93*Scoring!$B$32+D93/Scoring!$C$32+E93*Scoring!$D$32+F93*Scoring!$E$32+G93/Scoring!$F$32+H93*Scoring!$G$32+I93*Scoring!$H$32+K93*Scoring!$I$32+RB!L93*Scoring!$J$32+U93</f>
        <v>166.58</v>
      </c>
      <c r="O93" s="112">
        <f>C94*Scoring!$B$32+D94/Scoring!$C$32+E94*Scoring!$D$32+F94*Scoring!$E$32+G94/Scoring!$F$32+H94*Scoring!$G$32+I94*Scoring!$H$32+K94*Scoring!$I$32+L94*Scoring!$J$32+U93</f>
        <v>184.64</v>
      </c>
      <c r="P93" s="8">
        <f>IF(COUNTIF(Rookies!$A:$A,A93)&gt;0,1,0)</f>
        <v>0</v>
      </c>
      <c r="Q93" s="8"/>
      <c r="R93" s="8"/>
      <c r="S93" s="8">
        <f>V93/17</f>
        <v>9.798823529</v>
      </c>
      <c r="T93" s="8">
        <f>IF(P93=1,MAX(0,0.258*(14.9-S93)),0)</f>
        <v>0</v>
      </c>
      <c r="U93" s="8">
        <f>T93*17</f>
        <v>0</v>
      </c>
      <c r="V93" s="8">
        <f>C93*Scoring!$B$32+D93/Scoring!$C$32+E93*Scoring!$D$32+F93*Scoring!$E$32+G93/Scoring!$F$32+H93*Scoring!$G$32+I93*Scoring!$H$32+K93*Scoring!$I$32+RB!L93*Scoring!$J$32</f>
        <v>166.58</v>
      </c>
      <c r="W93" s="8"/>
      <c r="X93" s="8"/>
      <c r="Y93" s="8"/>
      <c r="Z93" s="8"/>
    </row>
    <row r="94" ht="14.25" customHeight="1">
      <c r="B94" s="1" t="s">
        <v>39</v>
      </c>
      <c r="C94" s="1">
        <v>249.0</v>
      </c>
      <c r="D94" s="1">
        <v>1137.0</v>
      </c>
      <c r="E94" s="1">
        <v>7.0</v>
      </c>
      <c r="F94" s="1">
        <v>21.4</v>
      </c>
      <c r="G94" s="1">
        <v>132.4</v>
      </c>
      <c r="H94" s="1">
        <v>1.0</v>
      </c>
      <c r="I94" s="1">
        <v>0.5</v>
      </c>
      <c r="J94" s="1">
        <v>184.7</v>
      </c>
      <c r="K94" s="18">
        <f t="shared" si="1"/>
        <v>63.16666667</v>
      </c>
      <c r="L94" s="18">
        <f t="shared" si="2"/>
        <v>6.261937107</v>
      </c>
      <c r="M94" s="112"/>
      <c r="N94" s="112"/>
      <c r="O94" s="112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B95" s="1" t="s">
        <v>48</v>
      </c>
      <c r="C95" s="1">
        <v>204.8</v>
      </c>
      <c r="D95" s="1">
        <v>958.4</v>
      </c>
      <c r="E95" s="1">
        <v>6.6</v>
      </c>
      <c r="F95" s="1">
        <v>16.0</v>
      </c>
      <c r="G95" s="1">
        <v>77.0</v>
      </c>
      <c r="H95" s="1">
        <v>0.0</v>
      </c>
      <c r="I95" s="1">
        <v>1.0</v>
      </c>
      <c r="J95" s="1">
        <v>166.5</v>
      </c>
      <c r="K95" s="18">
        <f t="shared" si="1"/>
        <v>53.24444444</v>
      </c>
      <c r="L95" s="18">
        <f t="shared" si="2"/>
        <v>3.641761006</v>
      </c>
      <c r="M95" s="112"/>
      <c r="N95" s="112"/>
      <c r="O95" s="112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" t="s">
        <v>451</v>
      </c>
      <c r="B96" s="1" t="s">
        <v>208</v>
      </c>
      <c r="C96" s="1">
        <v>178.2</v>
      </c>
      <c r="D96" s="1">
        <v>728.9</v>
      </c>
      <c r="E96" s="1">
        <v>5.0</v>
      </c>
      <c r="F96" s="1">
        <v>36.4</v>
      </c>
      <c r="G96" s="1">
        <v>256.4</v>
      </c>
      <c r="H96" s="1">
        <v>1.8</v>
      </c>
      <c r="I96" s="1">
        <v>0.9</v>
      </c>
      <c r="J96" s="1">
        <v>173.6</v>
      </c>
      <c r="K96" s="18">
        <f t="shared" si="1"/>
        <v>40.49444444</v>
      </c>
      <c r="L96" s="18">
        <f t="shared" si="2"/>
        <v>12.12659119</v>
      </c>
      <c r="M96" s="112">
        <f>C98*Scoring!$B$32+D98/Scoring!$C$32+E98*Scoring!$D$32+F98*Scoring!$E$32+G98/Scoring!$F$32+H98*Scoring!$G$32+I98*Scoring!$H$32+K98*Scoring!$I$32+RB!L98*Scoring!$J$32+U96</f>
        <v>136.37</v>
      </c>
      <c r="N96" s="112">
        <f>C96*Scoring!$B$32+D96/Scoring!$C$32+E96*Scoring!$D$32+F96*Scoring!$E$32+G96/Scoring!$F$32+H96*Scoring!$G$32+I96*Scoring!$H$32+K96*Scoring!$I$32+RB!L96*Scoring!$J$32+U96</f>
        <v>155.73</v>
      </c>
      <c r="O96" s="112">
        <f>C97*Scoring!$B$32+D97/Scoring!$C$32+E97*Scoring!$D$32+F97*Scoring!$E$32+G97/Scoring!$F$32+H97*Scoring!$G$32+I97*Scoring!$H$32+K97*Scoring!$I$32+L97*Scoring!$J$32+U96</f>
        <v>179.76</v>
      </c>
      <c r="P96" s="8">
        <f>IF(COUNTIF(Rookies!$A:$A,A96)&gt;0,1,0)</f>
        <v>0</v>
      </c>
      <c r="Q96" s="8"/>
      <c r="R96" s="8"/>
      <c r="S96" s="8">
        <f>V96/17</f>
        <v>9.160588235</v>
      </c>
      <c r="T96" s="8">
        <f>IF(P96=1,MAX(0,0.258*(14.9-S96)),0)</f>
        <v>0</v>
      </c>
      <c r="U96" s="8">
        <f>T96*17</f>
        <v>0</v>
      </c>
      <c r="V96" s="8">
        <f>C96*Scoring!$B$32+D96/Scoring!$C$32+E96*Scoring!$D$32+F96*Scoring!$E$32+G96/Scoring!$F$32+H96*Scoring!$G$32+I96*Scoring!$H$32+K96*Scoring!$I$32+RB!L96*Scoring!$J$32</f>
        <v>155.73</v>
      </c>
      <c r="W96" s="8"/>
      <c r="X96" s="8"/>
      <c r="Y96" s="8"/>
      <c r="Z96" s="8"/>
    </row>
    <row r="97" ht="14.25" customHeight="1">
      <c r="B97" s="1" t="s">
        <v>39</v>
      </c>
      <c r="C97" s="1">
        <v>192.0</v>
      </c>
      <c r="D97" s="1">
        <v>767.0</v>
      </c>
      <c r="E97" s="1">
        <v>6.0</v>
      </c>
      <c r="F97" s="1">
        <v>41.3</v>
      </c>
      <c r="G97" s="1">
        <v>300.1</v>
      </c>
      <c r="H97" s="1">
        <v>3.0</v>
      </c>
      <c r="I97" s="1">
        <v>0.8</v>
      </c>
      <c r="J97" s="1">
        <v>197.9</v>
      </c>
      <c r="K97" s="18">
        <f t="shared" si="1"/>
        <v>42.61111111</v>
      </c>
      <c r="L97" s="18">
        <f t="shared" si="2"/>
        <v>14.19340881</v>
      </c>
      <c r="M97" s="112"/>
      <c r="N97" s="112"/>
      <c r="O97" s="112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B98" s="1" t="s">
        <v>48</v>
      </c>
      <c r="C98" s="1">
        <v>166.0</v>
      </c>
      <c r="D98" s="1">
        <v>708.7</v>
      </c>
      <c r="E98" s="1">
        <v>3.9</v>
      </c>
      <c r="F98" s="1">
        <v>34.0</v>
      </c>
      <c r="G98" s="1">
        <v>211.0</v>
      </c>
      <c r="H98" s="1">
        <v>1.0</v>
      </c>
      <c r="I98" s="1">
        <v>1.0</v>
      </c>
      <c r="J98" s="1">
        <v>158.4</v>
      </c>
      <c r="K98" s="18">
        <f t="shared" si="1"/>
        <v>39.37222222</v>
      </c>
      <c r="L98" s="18">
        <f t="shared" si="2"/>
        <v>9.979371069</v>
      </c>
      <c r="M98" s="112"/>
      <c r="N98" s="112"/>
      <c r="O98" s="112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" t="s">
        <v>453</v>
      </c>
      <c r="B99" s="1" t="s">
        <v>186</v>
      </c>
      <c r="C99" s="1">
        <v>113.6</v>
      </c>
      <c r="D99" s="1">
        <v>498.8</v>
      </c>
      <c r="E99" s="1">
        <v>3.9</v>
      </c>
      <c r="F99" s="1">
        <v>49.7</v>
      </c>
      <c r="G99" s="1">
        <v>352.0</v>
      </c>
      <c r="H99" s="1">
        <v>2.0</v>
      </c>
      <c r="I99" s="1">
        <v>0.9</v>
      </c>
      <c r="J99" s="1">
        <v>168.2</v>
      </c>
      <c r="K99" s="18">
        <f t="shared" si="1"/>
        <v>27.71111111</v>
      </c>
      <c r="L99" s="18">
        <f t="shared" si="2"/>
        <v>16.64805031</v>
      </c>
      <c r="M99" s="112">
        <f>C101*Scoring!$B$32+D101/Scoring!$C$32+E101*Scoring!$D$32+F101*Scoring!$E$32+G101/Scoring!$F$32+H101*Scoring!$G$32+I101*Scoring!$H$32+K101*Scoring!$I$32+RB!L101*Scoring!$J$32+U99</f>
        <v>117.9</v>
      </c>
      <c r="N99" s="112">
        <f>C99*Scoring!$B$32+D99/Scoring!$C$32+E99*Scoring!$D$32+F99*Scoring!$E$32+G99/Scoring!$F$32+H99*Scoring!$G$32+I99*Scoring!$H$32+K99*Scoring!$I$32+RB!L99*Scoring!$J$32+U99</f>
        <v>143.53</v>
      </c>
      <c r="O99" s="112">
        <f>C100*Scoring!$B$32+D100/Scoring!$C$32+E100*Scoring!$D$32+F100*Scoring!$E$32+G100/Scoring!$F$32+H100*Scoring!$G$32+I100*Scoring!$H$32+K100*Scoring!$I$32+L100*Scoring!$J$32+U99</f>
        <v>165.5</v>
      </c>
      <c r="P99" s="8">
        <f>IF(COUNTIF(Rookies!$A:$A,A99)&gt;0,1,0)</f>
        <v>0</v>
      </c>
      <c r="Q99" s="8"/>
      <c r="R99" s="8"/>
      <c r="S99" s="8">
        <f>V99/17</f>
        <v>8.442941176</v>
      </c>
      <c r="T99" s="8">
        <f>IF(P99=1,MAX(0,0.258*(14.9-S99)),0)</f>
        <v>0</v>
      </c>
      <c r="U99" s="8">
        <f>T99*17</f>
        <v>0</v>
      </c>
      <c r="V99" s="8">
        <f>C99*Scoring!$B$32+D99/Scoring!$C$32+E99*Scoring!$D$32+F99*Scoring!$E$32+G99/Scoring!$F$32+H99*Scoring!$G$32+I99*Scoring!$H$32+K99*Scoring!$I$32+RB!L99*Scoring!$J$32</f>
        <v>143.53</v>
      </c>
      <c r="W99" s="8"/>
      <c r="X99" s="8"/>
      <c r="Y99" s="8"/>
      <c r="Z99" s="8"/>
    </row>
    <row r="100" ht="14.25" customHeight="1">
      <c r="B100" s="1" t="s">
        <v>39</v>
      </c>
      <c r="C100" s="1">
        <v>123.0</v>
      </c>
      <c r="D100" s="1">
        <v>536.0</v>
      </c>
      <c r="E100" s="1">
        <v>4.6</v>
      </c>
      <c r="F100" s="1">
        <v>60.0</v>
      </c>
      <c r="G100" s="1">
        <v>439.0</v>
      </c>
      <c r="H100" s="1">
        <v>2.0</v>
      </c>
      <c r="I100" s="1">
        <v>0.8</v>
      </c>
      <c r="J100" s="1">
        <v>175.4</v>
      </c>
      <c r="K100" s="18">
        <f t="shared" si="1"/>
        <v>29.77777778</v>
      </c>
      <c r="L100" s="18">
        <f t="shared" si="2"/>
        <v>20.7627673</v>
      </c>
      <c r="M100" s="112"/>
      <c r="N100" s="112"/>
      <c r="O100" s="112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B101" s="1" t="s">
        <v>48</v>
      </c>
      <c r="C101" s="1">
        <v>100.0</v>
      </c>
      <c r="D101" s="1">
        <v>439.0</v>
      </c>
      <c r="E101" s="1">
        <v>3.0</v>
      </c>
      <c r="F101" s="1">
        <v>37.0</v>
      </c>
      <c r="G101" s="1">
        <v>275.0</v>
      </c>
      <c r="H101" s="1">
        <v>2.0</v>
      </c>
      <c r="I101" s="1">
        <v>1.0</v>
      </c>
      <c r="J101" s="1">
        <v>164.7</v>
      </c>
      <c r="K101" s="18">
        <f t="shared" si="1"/>
        <v>24.38888889</v>
      </c>
      <c r="L101" s="18">
        <f t="shared" si="2"/>
        <v>13.00628931</v>
      </c>
      <c r="M101" s="112"/>
      <c r="N101" s="112"/>
      <c r="O101" s="112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1" t="s">
        <v>455</v>
      </c>
      <c r="B102" s="1" t="s">
        <v>208</v>
      </c>
      <c r="C102" s="1">
        <v>188.3</v>
      </c>
      <c r="D102" s="1">
        <v>777.9</v>
      </c>
      <c r="E102" s="1">
        <v>5.1</v>
      </c>
      <c r="F102" s="1">
        <v>29.6</v>
      </c>
      <c r="G102" s="1">
        <v>225.2</v>
      </c>
      <c r="H102" s="1">
        <v>1.1</v>
      </c>
      <c r="I102" s="1">
        <v>1.5</v>
      </c>
      <c r="J102" s="1">
        <v>164.1</v>
      </c>
      <c r="K102" s="18">
        <f t="shared" si="1"/>
        <v>43.21666667</v>
      </c>
      <c r="L102" s="18">
        <f t="shared" si="2"/>
        <v>10.65096855</v>
      </c>
      <c r="M102" s="112">
        <f>C104*Scoring!$B$32+D104/Scoring!$C$32+E104*Scoring!$D$32+F104*Scoring!$E$32+G104/Scoring!$F$32+H104*Scoring!$G$32+I104*Scoring!$H$32+K104*Scoring!$I$32+RB!L104*Scoring!$J$32+U102</f>
        <v>122.6</v>
      </c>
      <c r="N102" s="112">
        <f>C102*Scoring!$B$32+D102/Scoring!$C$32+E102*Scoring!$D$32+F102*Scoring!$E$32+G102/Scoring!$F$32+H102*Scoring!$G$32+I102*Scoring!$H$32+K102*Scoring!$I$32+RB!L102*Scoring!$J$32+U102</f>
        <v>149.31</v>
      </c>
      <c r="O102" s="112">
        <f>C103*Scoring!$B$32+D103/Scoring!$C$32+E103*Scoring!$D$32+F103*Scoring!$E$32+G103/Scoring!$F$32+H103*Scoring!$G$32+I103*Scoring!$H$32+K103*Scoring!$I$32+L103*Scoring!$J$32+U102</f>
        <v>176.21</v>
      </c>
      <c r="P102" s="8">
        <f>IF(COUNTIF(Rookies!$A:$A,A102)&gt;0,1,0)</f>
        <v>0</v>
      </c>
      <c r="Q102" s="8"/>
      <c r="R102" s="8"/>
      <c r="S102" s="8">
        <f>V102/17</f>
        <v>8.782941176</v>
      </c>
      <c r="T102" s="8">
        <f>IF(P102=1,MAX(0,0.258*(14.9-S102)),0)</f>
        <v>0</v>
      </c>
      <c r="U102" s="8">
        <f>T102*17</f>
        <v>0</v>
      </c>
      <c r="V102" s="8">
        <f>C102*Scoring!$B$32+D102/Scoring!$C$32+E102*Scoring!$D$32+F102*Scoring!$E$32+G102/Scoring!$F$32+H102*Scoring!$G$32+I102*Scoring!$H$32+K102*Scoring!$I$32+RB!L102*Scoring!$J$32</f>
        <v>149.31</v>
      </c>
      <c r="W102" s="8"/>
      <c r="X102" s="8"/>
      <c r="Y102" s="8"/>
      <c r="Z102" s="8"/>
    </row>
    <row r="103" ht="14.25" customHeight="1">
      <c r="B103" s="1" t="s">
        <v>39</v>
      </c>
      <c r="C103" s="1">
        <v>214.0</v>
      </c>
      <c r="D103" s="1">
        <v>878.0</v>
      </c>
      <c r="E103" s="1">
        <v>7.0</v>
      </c>
      <c r="F103" s="1">
        <v>32.7</v>
      </c>
      <c r="G103" s="1">
        <v>246.6</v>
      </c>
      <c r="H103" s="1">
        <v>1.2</v>
      </c>
      <c r="I103" s="1">
        <v>0.9</v>
      </c>
      <c r="J103" s="1">
        <v>167.6</v>
      </c>
      <c r="K103" s="18">
        <f t="shared" si="1"/>
        <v>48.77777778</v>
      </c>
      <c r="L103" s="18">
        <f t="shared" si="2"/>
        <v>11.66309434</v>
      </c>
      <c r="M103" s="112"/>
      <c r="N103" s="112"/>
      <c r="O103" s="112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B104" s="1" t="s">
        <v>48</v>
      </c>
      <c r="C104" s="1">
        <v>158.0</v>
      </c>
      <c r="D104" s="1">
        <v>646.0</v>
      </c>
      <c r="E104" s="1">
        <v>4.0</v>
      </c>
      <c r="F104" s="1">
        <v>24.0</v>
      </c>
      <c r="G104" s="1">
        <v>200.0</v>
      </c>
      <c r="H104" s="1">
        <v>1.0</v>
      </c>
      <c r="I104" s="1">
        <v>2.0</v>
      </c>
      <c r="J104" s="1">
        <v>163.1</v>
      </c>
      <c r="K104" s="18">
        <f t="shared" si="1"/>
        <v>35.88888889</v>
      </c>
      <c r="L104" s="18">
        <f t="shared" si="2"/>
        <v>9.459119497</v>
      </c>
      <c r="M104" s="112"/>
      <c r="N104" s="112"/>
      <c r="O104" s="112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" t="s">
        <v>457</v>
      </c>
      <c r="B105" s="1" t="s">
        <v>170</v>
      </c>
      <c r="C105" s="1">
        <v>107.6</v>
      </c>
      <c r="D105" s="1">
        <v>406.3</v>
      </c>
      <c r="E105" s="1">
        <v>4.0</v>
      </c>
      <c r="F105" s="1">
        <v>45.9</v>
      </c>
      <c r="G105" s="1">
        <v>341.6</v>
      </c>
      <c r="H105" s="1">
        <v>3.2</v>
      </c>
      <c r="I105" s="1">
        <v>0.7</v>
      </c>
      <c r="J105" s="1">
        <v>162.1</v>
      </c>
      <c r="K105" s="18">
        <f t="shared" si="1"/>
        <v>22.57222222</v>
      </c>
      <c r="L105" s="18">
        <f t="shared" si="2"/>
        <v>16.1561761</v>
      </c>
      <c r="M105" s="112">
        <f>C107*Scoring!$B$32+D107/Scoring!$C$32+E107*Scoring!$D$32+F107*Scoring!$E$32+G107/Scoring!$F$32+H107*Scoring!$G$32+I107*Scoring!$H$32+K107*Scoring!$I$32+RB!L107*Scoring!$J$32+U105</f>
        <v>117.19</v>
      </c>
      <c r="N105" s="112">
        <f>C105*Scoring!$B$32+D105/Scoring!$C$32+E105*Scoring!$D$32+F105*Scoring!$E$32+G105/Scoring!$F$32+H105*Scoring!$G$32+I105*Scoring!$H$32+K105*Scoring!$I$32+RB!L105*Scoring!$J$32+U105</f>
        <v>139.54</v>
      </c>
      <c r="O105" s="112">
        <f>C106*Scoring!$B$32+D106/Scoring!$C$32+E106*Scoring!$D$32+F106*Scoring!$E$32+G106/Scoring!$F$32+H106*Scoring!$G$32+I106*Scoring!$H$32+K106*Scoring!$I$32+L106*Scoring!$J$32+U105</f>
        <v>173.24</v>
      </c>
      <c r="P105" s="8">
        <f>IF(COUNTIF(Rookies!$A:$A,A105)&gt;0,1,0)</f>
        <v>0</v>
      </c>
      <c r="Q105" s="8"/>
      <c r="R105" s="8"/>
      <c r="S105" s="8">
        <f>V105/17</f>
        <v>8.208235294</v>
      </c>
      <c r="T105" s="8">
        <f>IF(P105=1,MAX(0,0.258*(14.9-S105)),0)</f>
        <v>0</v>
      </c>
      <c r="U105" s="8">
        <f>T105*17</f>
        <v>0</v>
      </c>
      <c r="V105" s="8">
        <f>C105*Scoring!$B$32+D105/Scoring!$C$32+E105*Scoring!$D$32+F105*Scoring!$E$32+G105/Scoring!$F$32+H105*Scoring!$G$32+I105*Scoring!$H$32+K105*Scoring!$I$32+RB!L105*Scoring!$J$32</f>
        <v>139.54</v>
      </c>
      <c r="W105" s="8"/>
      <c r="X105" s="8"/>
      <c r="Y105" s="8"/>
      <c r="Z105" s="8"/>
    </row>
    <row r="106" ht="14.25" customHeight="1">
      <c r="B106" s="1" t="s">
        <v>39</v>
      </c>
      <c r="C106" s="1">
        <v>149.0</v>
      </c>
      <c r="D106" s="1">
        <v>530.0</v>
      </c>
      <c r="E106" s="1">
        <v>6.0</v>
      </c>
      <c r="F106" s="1">
        <v>48.7</v>
      </c>
      <c r="G106" s="1">
        <v>366.9</v>
      </c>
      <c r="H106" s="1">
        <v>4.0</v>
      </c>
      <c r="I106" s="1">
        <v>0.4</v>
      </c>
      <c r="J106" s="1">
        <v>173.9</v>
      </c>
      <c r="K106" s="18">
        <f t="shared" si="1"/>
        <v>29.44444444</v>
      </c>
      <c r="L106" s="18">
        <f t="shared" si="2"/>
        <v>17.35275472</v>
      </c>
      <c r="M106" s="112"/>
      <c r="N106" s="112"/>
      <c r="O106" s="112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B107" s="1" t="s">
        <v>48</v>
      </c>
      <c r="C107" s="1">
        <v>77.8</v>
      </c>
      <c r="D107" s="1">
        <v>315.9</v>
      </c>
      <c r="E107" s="1">
        <v>2.9</v>
      </c>
      <c r="F107" s="1">
        <v>44.0</v>
      </c>
      <c r="G107" s="1">
        <v>326.0</v>
      </c>
      <c r="H107" s="1">
        <v>2.6</v>
      </c>
      <c r="I107" s="1">
        <v>1.0</v>
      </c>
      <c r="J107" s="1">
        <v>146.7</v>
      </c>
      <c r="K107" s="18">
        <f t="shared" si="1"/>
        <v>17.55</v>
      </c>
      <c r="L107" s="18">
        <f t="shared" si="2"/>
        <v>15.41836478</v>
      </c>
      <c r="M107" s="112"/>
      <c r="N107" s="112"/>
      <c r="O107" s="112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" t="s">
        <v>459</v>
      </c>
      <c r="B108" s="1" t="s">
        <v>106</v>
      </c>
      <c r="C108" s="1">
        <v>137.0</v>
      </c>
      <c r="D108" s="1">
        <v>605.6</v>
      </c>
      <c r="E108" s="1">
        <v>5.4</v>
      </c>
      <c r="F108" s="1">
        <v>35.8</v>
      </c>
      <c r="G108" s="1">
        <v>247.9</v>
      </c>
      <c r="H108" s="1">
        <v>1.6</v>
      </c>
      <c r="I108" s="1">
        <v>0.8</v>
      </c>
      <c r="J108" s="1">
        <v>161.3</v>
      </c>
      <c r="K108" s="18">
        <f t="shared" si="1"/>
        <v>33.64444444</v>
      </c>
      <c r="L108" s="18">
        <f t="shared" si="2"/>
        <v>11.72457862</v>
      </c>
      <c r="M108" s="112">
        <f>C110*Scoring!$B$32+D110/Scoring!$C$32+E110*Scoring!$D$32+F110*Scoring!$E$32+G110/Scoring!$F$32+H110*Scoring!$G$32+I110*Scoring!$H$32+K110*Scoring!$I$32+RB!L110*Scoring!$J$32+U108</f>
        <v>117.1</v>
      </c>
      <c r="N108" s="112">
        <f>C108*Scoring!$B$32+D108/Scoring!$C$32+E108*Scoring!$D$32+F108*Scoring!$E$32+G108/Scoring!$F$32+H108*Scoring!$G$32+I108*Scoring!$H$32+K108*Scoring!$I$32+RB!L108*Scoring!$J$32+U108</f>
        <v>143.65</v>
      </c>
      <c r="O108" s="112">
        <f>C109*Scoring!$B$32+D109/Scoring!$C$32+E109*Scoring!$D$32+F109*Scoring!$E$32+G109/Scoring!$F$32+H109*Scoring!$G$32+I109*Scoring!$H$32+K109*Scoring!$I$32+L109*Scoring!$J$32+U108</f>
        <v>169.8</v>
      </c>
      <c r="P108" s="8">
        <f>IF(COUNTIF(Rookies!$A:$A,A108)&gt;0,1,0)</f>
        <v>0</v>
      </c>
      <c r="Q108" s="8"/>
      <c r="R108" s="8"/>
      <c r="S108" s="8">
        <f>V108/17</f>
        <v>8.45</v>
      </c>
      <c r="T108" s="8">
        <f>IF(P108=1,MAX(0,0.258*(14.9-S108)),0)</f>
        <v>0</v>
      </c>
      <c r="U108" s="8">
        <f>T108*17</f>
        <v>0</v>
      </c>
      <c r="V108" s="8">
        <f>C108*Scoring!$B$32+D108/Scoring!$C$32+E108*Scoring!$D$32+F108*Scoring!$E$32+G108/Scoring!$F$32+H108*Scoring!$G$32+I108*Scoring!$H$32+K108*Scoring!$I$32+RB!L108*Scoring!$J$32</f>
        <v>143.65</v>
      </c>
      <c r="W108" s="8"/>
      <c r="X108" s="8"/>
      <c r="Y108" s="8"/>
      <c r="Z108" s="8"/>
    </row>
    <row r="109" ht="14.25" customHeight="1">
      <c r="B109" s="1" t="s">
        <v>39</v>
      </c>
      <c r="C109" s="1">
        <v>145.0</v>
      </c>
      <c r="D109" s="1">
        <v>710.0</v>
      </c>
      <c r="E109" s="1">
        <v>6.0</v>
      </c>
      <c r="F109" s="1">
        <v>42.0</v>
      </c>
      <c r="G109" s="1">
        <v>310.0</v>
      </c>
      <c r="H109" s="1">
        <v>2.0</v>
      </c>
      <c r="I109" s="1">
        <v>0.6</v>
      </c>
      <c r="J109" s="1">
        <v>183.7</v>
      </c>
      <c r="K109" s="18">
        <f t="shared" si="1"/>
        <v>39.44444444</v>
      </c>
      <c r="L109" s="18">
        <f t="shared" si="2"/>
        <v>14.66163522</v>
      </c>
      <c r="M109" s="112"/>
      <c r="N109" s="112"/>
      <c r="O109" s="112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B110" s="1" t="s">
        <v>48</v>
      </c>
      <c r="C110" s="1">
        <v>131.0</v>
      </c>
      <c r="D110" s="1">
        <v>539.0</v>
      </c>
      <c r="E110" s="1">
        <v>5.0</v>
      </c>
      <c r="F110" s="1">
        <v>25.0</v>
      </c>
      <c r="G110" s="1">
        <v>167.0</v>
      </c>
      <c r="H110" s="1">
        <v>1.0</v>
      </c>
      <c r="I110" s="1">
        <v>1.0</v>
      </c>
      <c r="J110" s="1">
        <v>145.8</v>
      </c>
      <c r="K110" s="18">
        <f t="shared" si="1"/>
        <v>29.94444444</v>
      </c>
      <c r="L110" s="18">
        <f t="shared" si="2"/>
        <v>7.89836478</v>
      </c>
      <c r="M110" s="112"/>
      <c r="N110" s="112"/>
      <c r="O110" s="112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" t="s">
        <v>461</v>
      </c>
      <c r="B111" s="1" t="s">
        <v>189</v>
      </c>
      <c r="C111" s="1">
        <v>149.9</v>
      </c>
      <c r="D111" s="1">
        <v>638.8</v>
      </c>
      <c r="E111" s="1">
        <v>3.1</v>
      </c>
      <c r="F111" s="1">
        <v>40.7</v>
      </c>
      <c r="G111" s="1">
        <v>300.7</v>
      </c>
      <c r="H111" s="1">
        <v>1.7</v>
      </c>
      <c r="I111" s="1">
        <v>1.0</v>
      </c>
      <c r="J111" s="1">
        <v>161.2</v>
      </c>
      <c r="K111" s="18">
        <f t="shared" si="1"/>
        <v>35.48888889</v>
      </c>
      <c r="L111" s="18">
        <f t="shared" si="2"/>
        <v>14.22178616</v>
      </c>
      <c r="M111" s="112">
        <f>C113*Scoring!$B$32+D113/Scoring!$C$32+E113*Scoring!$D$32+F113*Scoring!$E$32+G113/Scoring!$F$32+H113*Scoring!$G$32+I113*Scoring!$H$32+K113*Scoring!$I$32+RB!L113*Scoring!$J$32+U111</f>
        <v>127.5</v>
      </c>
      <c r="N111" s="112">
        <f>C111*Scoring!$B$32+D111/Scoring!$C$32+E111*Scoring!$D$32+F111*Scoring!$E$32+G111/Scoring!$F$32+H111*Scoring!$G$32+I111*Scoring!$H$32+K111*Scoring!$I$32+RB!L111*Scoring!$J$32+U111</f>
        <v>141.1</v>
      </c>
      <c r="O111" s="112">
        <f>C112*Scoring!$B$32+D112/Scoring!$C$32+E112*Scoring!$D$32+F112*Scoring!$E$32+G112/Scoring!$F$32+H112*Scoring!$G$32+I112*Scoring!$H$32+K112*Scoring!$I$32+L112*Scoring!$J$32+U111</f>
        <v>153.92</v>
      </c>
      <c r="P111" s="8">
        <f>IF(COUNTIF(Rookies!$A:$A,A111)&gt;0,1,0)</f>
        <v>0</v>
      </c>
      <c r="Q111" s="8"/>
      <c r="R111" s="8"/>
      <c r="S111" s="8">
        <f>V111/17</f>
        <v>8.3</v>
      </c>
      <c r="T111" s="8">
        <f>IF(P111=1,MAX(0,0.258*(14.9-S111)),0)</f>
        <v>0</v>
      </c>
      <c r="U111" s="8">
        <f>T111*17</f>
        <v>0</v>
      </c>
      <c r="V111" s="8">
        <f>C111*Scoring!$B$32+D111/Scoring!$C$32+E111*Scoring!$D$32+F111*Scoring!$E$32+G111/Scoring!$F$32+H111*Scoring!$G$32+I111*Scoring!$H$32+K111*Scoring!$I$32+RB!L111*Scoring!$J$32</f>
        <v>141.1</v>
      </c>
      <c r="W111" s="8"/>
      <c r="X111" s="8"/>
      <c r="Y111" s="8"/>
      <c r="Z111" s="8"/>
    </row>
    <row r="112" ht="14.25" customHeight="1">
      <c r="B112" s="1" t="s">
        <v>39</v>
      </c>
      <c r="C112" s="1">
        <v>157.0</v>
      </c>
      <c r="D112" s="1">
        <v>662.0</v>
      </c>
      <c r="E112" s="1">
        <v>3.2</v>
      </c>
      <c r="F112" s="1">
        <v>47.0</v>
      </c>
      <c r="G112" s="1">
        <v>344.2</v>
      </c>
      <c r="H112" s="1">
        <v>2.1</v>
      </c>
      <c r="I112" s="1">
        <v>1.0</v>
      </c>
      <c r="J112" s="1">
        <v>170.7</v>
      </c>
      <c r="K112" s="18">
        <f t="shared" si="1"/>
        <v>36.77777778</v>
      </c>
      <c r="L112" s="18">
        <f t="shared" si="2"/>
        <v>16.27914465</v>
      </c>
      <c r="M112" s="112"/>
      <c r="N112" s="112"/>
      <c r="O112" s="112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B113" s="1" t="s">
        <v>48</v>
      </c>
      <c r="C113" s="1">
        <v>143.0</v>
      </c>
      <c r="D113" s="1">
        <v>602.0</v>
      </c>
      <c r="E113" s="1">
        <v>3.0</v>
      </c>
      <c r="F113" s="1">
        <v>37.0</v>
      </c>
      <c r="G113" s="1">
        <v>268.0</v>
      </c>
      <c r="H113" s="1">
        <v>1.0</v>
      </c>
      <c r="I113" s="1">
        <v>1.0</v>
      </c>
      <c r="J113" s="1">
        <v>145.7</v>
      </c>
      <c r="K113" s="18">
        <f t="shared" si="1"/>
        <v>33.44444444</v>
      </c>
      <c r="L113" s="18">
        <f t="shared" si="2"/>
        <v>12.67522013</v>
      </c>
      <c r="M113" s="112"/>
      <c r="N113" s="112"/>
      <c r="O113" s="112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1" t="s">
        <v>464</v>
      </c>
      <c r="B114" s="1" t="s">
        <v>159</v>
      </c>
      <c r="C114" s="1">
        <v>191.3</v>
      </c>
      <c r="D114" s="1">
        <v>818.0</v>
      </c>
      <c r="E114" s="1">
        <v>5.2</v>
      </c>
      <c r="F114" s="1">
        <v>22.9</v>
      </c>
      <c r="G114" s="1">
        <v>195.0</v>
      </c>
      <c r="H114" s="1">
        <v>0.4</v>
      </c>
      <c r="I114" s="1">
        <v>0.7</v>
      </c>
      <c r="J114" s="1">
        <v>156.2</v>
      </c>
      <c r="K114" s="18">
        <f t="shared" si="1"/>
        <v>45.44444444</v>
      </c>
      <c r="L114" s="18">
        <f t="shared" si="2"/>
        <v>9.222641509</v>
      </c>
      <c r="M114" s="112">
        <f>C116*Scoring!$B$32+D116/Scoring!$C$32+E116*Scoring!$D$32+F116*Scoring!$E$32+G116/Scoring!$F$32+H116*Scoring!$G$32+I116*Scoring!$H$32+K116*Scoring!$I$32+RB!L116*Scoring!$J$32+U114</f>
        <v>125.7</v>
      </c>
      <c r="N114" s="112">
        <f>C114*Scoring!$B$32+D114/Scoring!$C$32+E114*Scoring!$D$32+F114*Scoring!$E$32+G114/Scoring!$F$32+H114*Scoring!$G$32+I114*Scoring!$H$32+K114*Scoring!$I$32+RB!L114*Scoring!$J$32+U114</f>
        <v>144.95</v>
      </c>
      <c r="O114" s="112">
        <f>C115*Scoring!$B$32+D115/Scoring!$C$32+E115*Scoring!$D$32+F115*Scoring!$E$32+G115/Scoring!$F$32+H115*Scoring!$G$32+I115*Scoring!$H$32+K115*Scoring!$I$32+L115*Scoring!$J$32+U114</f>
        <v>165.75</v>
      </c>
      <c r="P114" s="8">
        <f>IF(COUNTIF(Rookies!$A:$A,A114)&gt;0,1,0)</f>
        <v>0</v>
      </c>
      <c r="Q114" s="8"/>
      <c r="R114" s="8"/>
      <c r="S114" s="8">
        <f>V114/17</f>
        <v>8.526470588</v>
      </c>
      <c r="T114" s="8">
        <f>IF(P114=1,MAX(0,0.258*(14.9-S114)),0)</f>
        <v>0</v>
      </c>
      <c r="U114" s="8">
        <f>T114*17</f>
        <v>0</v>
      </c>
      <c r="V114" s="8">
        <f>C114*Scoring!$B$32+D114/Scoring!$C$32+E114*Scoring!$D$32+F114*Scoring!$E$32+G114/Scoring!$F$32+H114*Scoring!$G$32+I114*Scoring!$H$32+K114*Scoring!$I$32+RB!L114*Scoring!$J$32</f>
        <v>144.95</v>
      </c>
      <c r="W114" s="8"/>
      <c r="X114" s="8"/>
      <c r="Y114" s="8"/>
      <c r="Z114" s="8"/>
    </row>
    <row r="115" ht="14.25" customHeight="1">
      <c r="B115" s="1" t="s">
        <v>39</v>
      </c>
      <c r="C115" s="1">
        <v>206.0</v>
      </c>
      <c r="D115" s="1">
        <v>854.0</v>
      </c>
      <c r="E115" s="1">
        <v>6.5</v>
      </c>
      <c r="F115" s="1">
        <v>25.7</v>
      </c>
      <c r="G115" s="1">
        <v>215.0</v>
      </c>
      <c r="H115" s="1">
        <v>1.3</v>
      </c>
      <c r="I115" s="1">
        <v>0.4</v>
      </c>
      <c r="J115" s="1">
        <v>173.4</v>
      </c>
      <c r="K115" s="18">
        <f t="shared" si="1"/>
        <v>47.44444444</v>
      </c>
      <c r="L115" s="18">
        <f t="shared" si="2"/>
        <v>10.16855346</v>
      </c>
      <c r="M115" s="112"/>
      <c r="N115" s="112"/>
      <c r="O115" s="112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B116" s="1" t="s">
        <v>48</v>
      </c>
      <c r="C116" s="1">
        <v>176.0</v>
      </c>
      <c r="D116" s="1">
        <v>775.0</v>
      </c>
      <c r="E116" s="1">
        <v>4.0</v>
      </c>
      <c r="F116" s="1">
        <v>20.0</v>
      </c>
      <c r="G116" s="1">
        <v>162.0</v>
      </c>
      <c r="H116" s="1">
        <v>0.0</v>
      </c>
      <c r="I116" s="1">
        <v>1.0</v>
      </c>
      <c r="J116" s="1">
        <v>141.9</v>
      </c>
      <c r="K116" s="18">
        <f t="shared" si="1"/>
        <v>43.05555556</v>
      </c>
      <c r="L116" s="18">
        <f t="shared" si="2"/>
        <v>7.661886792</v>
      </c>
      <c r="M116" s="112"/>
      <c r="N116" s="112"/>
      <c r="O116" s="112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" t="s">
        <v>465</v>
      </c>
      <c r="B117" s="1" t="s">
        <v>106</v>
      </c>
      <c r="C117" s="1">
        <v>185.1</v>
      </c>
      <c r="D117" s="1">
        <v>831.7</v>
      </c>
      <c r="E117" s="1">
        <v>7.5</v>
      </c>
      <c r="F117" s="1">
        <v>12.4</v>
      </c>
      <c r="G117" s="1">
        <v>91.3</v>
      </c>
      <c r="H117" s="1">
        <v>0.2</v>
      </c>
      <c r="I117" s="1">
        <v>1.8</v>
      </c>
      <c r="J117" s="1">
        <v>147.4</v>
      </c>
      <c r="K117" s="18">
        <f t="shared" si="1"/>
        <v>46.20555556</v>
      </c>
      <c r="L117" s="18">
        <f t="shared" si="2"/>
        <v>4.31808805</v>
      </c>
      <c r="M117" s="112">
        <f>C119*Scoring!$B$32+D119/Scoring!$C$32+E119*Scoring!$D$32+F119*Scoring!$E$32+G119/Scoring!$F$32+H119*Scoring!$G$32+I119*Scoring!$H$32+K119*Scoring!$I$32+RB!L119*Scoring!$J$32+U117</f>
        <v>128.4</v>
      </c>
      <c r="N117" s="112">
        <f>C117*Scoring!$B$32+D117/Scoring!$C$32+E117*Scoring!$D$32+F117*Scoring!$E$32+G117/Scoring!$F$32+H117*Scoring!$G$32+I117*Scoring!$H$32+K117*Scoring!$I$32+RB!L117*Scoring!$J$32+U117</f>
        <v>141.1</v>
      </c>
      <c r="O117" s="112">
        <f>C118*Scoring!$B$32+D118/Scoring!$C$32+E118*Scoring!$D$32+F118*Scoring!$E$32+G118/Scoring!$F$32+H118*Scoring!$G$32+I118*Scoring!$H$32+K118*Scoring!$I$32+L118*Scoring!$J$32+U117</f>
        <v>155.05</v>
      </c>
      <c r="P117" s="8">
        <f>IF(COUNTIF(Rookies!$A:$A,A117)&gt;0,1,0)</f>
        <v>0</v>
      </c>
      <c r="Q117" s="8"/>
      <c r="R117" s="8"/>
      <c r="S117" s="8">
        <f>V117/17</f>
        <v>8.3</v>
      </c>
      <c r="T117" s="8">
        <f>IF(P117=1,MAX(0,0.258*(14.9-S117)),0)</f>
        <v>0</v>
      </c>
      <c r="U117" s="8">
        <f>T117*17</f>
        <v>0</v>
      </c>
      <c r="V117" s="8">
        <f>C117*Scoring!$B$32+D117/Scoring!$C$32+E117*Scoring!$D$32+F117*Scoring!$E$32+G117/Scoring!$F$32+H117*Scoring!$G$32+I117*Scoring!$H$32+K117*Scoring!$I$32+RB!L117*Scoring!$J$32</f>
        <v>141.1</v>
      </c>
      <c r="W117" s="8"/>
      <c r="X117" s="8"/>
      <c r="Y117" s="8"/>
      <c r="Z117" s="8"/>
    </row>
    <row r="118" ht="14.25" customHeight="1">
      <c r="B118" s="1" t="s">
        <v>39</v>
      </c>
      <c r="C118" s="1">
        <v>196.3</v>
      </c>
      <c r="D118" s="1">
        <v>859.0</v>
      </c>
      <c r="E118" s="1">
        <v>8.0</v>
      </c>
      <c r="F118" s="1">
        <v>16.1</v>
      </c>
      <c r="G118" s="1">
        <v>119.0</v>
      </c>
      <c r="H118" s="1">
        <v>0.7</v>
      </c>
      <c r="I118" s="1">
        <v>1.5</v>
      </c>
      <c r="J118" s="1">
        <v>155.8</v>
      </c>
      <c r="K118" s="18">
        <f t="shared" si="1"/>
        <v>47.72222222</v>
      </c>
      <c r="L118" s="18">
        <f t="shared" si="2"/>
        <v>5.628176101</v>
      </c>
      <c r="M118" s="112"/>
      <c r="N118" s="112"/>
      <c r="O118" s="112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B119" s="1" t="s">
        <v>48</v>
      </c>
      <c r="C119" s="1">
        <v>179.0</v>
      </c>
      <c r="D119" s="1">
        <v>788.0</v>
      </c>
      <c r="E119" s="1">
        <v>7.0</v>
      </c>
      <c r="F119" s="1">
        <v>9.0</v>
      </c>
      <c r="G119" s="1">
        <v>71.0</v>
      </c>
      <c r="H119" s="1">
        <v>0.0</v>
      </c>
      <c r="I119" s="1">
        <v>2.0</v>
      </c>
      <c r="J119" s="1">
        <v>137.4</v>
      </c>
      <c r="K119" s="18">
        <f t="shared" si="1"/>
        <v>43.77777778</v>
      </c>
      <c r="L119" s="18">
        <f t="shared" si="2"/>
        <v>3.357987421</v>
      </c>
      <c r="M119" s="112"/>
      <c r="N119" s="112"/>
      <c r="O119" s="112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" t="s">
        <v>468</v>
      </c>
      <c r="B120" s="1" t="s">
        <v>189</v>
      </c>
      <c r="C120" s="1">
        <v>192.8</v>
      </c>
      <c r="D120" s="1">
        <v>878.7</v>
      </c>
      <c r="E120" s="1">
        <v>6.1</v>
      </c>
      <c r="F120" s="1">
        <v>14.5</v>
      </c>
      <c r="G120" s="1">
        <v>75.8</v>
      </c>
      <c r="H120" s="1">
        <v>0.1</v>
      </c>
      <c r="I120" s="1">
        <v>1.1</v>
      </c>
      <c r="J120" s="1">
        <v>145.2</v>
      </c>
      <c r="K120" s="18">
        <f t="shared" si="1"/>
        <v>48.81666667</v>
      </c>
      <c r="L120" s="18">
        <f t="shared" si="2"/>
        <v>3.585006289</v>
      </c>
      <c r="M120" s="112">
        <f>C122*Scoring!$B$32+D122/Scoring!$C$32+E122*Scoring!$D$32+F122*Scoring!$E$32+G122/Scoring!$F$32+H122*Scoring!$G$32+I122*Scoring!$H$32+K122*Scoring!$I$32+RB!L122*Scoring!$J$32+U120</f>
        <v>122.9</v>
      </c>
      <c r="N120" s="112">
        <f>C120*Scoring!$B$32+D120/Scoring!$C$32+E120*Scoring!$D$32+F120*Scoring!$E$32+G120/Scoring!$F$32+H120*Scoring!$G$32+I120*Scoring!$H$32+K120*Scoring!$I$32+RB!L120*Scoring!$J$32+U120</f>
        <v>137.7</v>
      </c>
      <c r="O120" s="112">
        <f>C121*Scoring!$B$32+D121/Scoring!$C$32+E121*Scoring!$D$32+F121*Scoring!$E$32+G121/Scoring!$F$32+H121*Scoring!$G$32+I121*Scoring!$H$32+K121*Scoring!$I$32+L121*Scoring!$J$32+U120</f>
        <v>149.74</v>
      </c>
      <c r="P120" s="8">
        <f>IF(COUNTIF(Rookies!$A:$A,A120)&gt;0,1,0)</f>
        <v>0</v>
      </c>
      <c r="Q120" s="8"/>
      <c r="R120" s="8"/>
      <c r="S120" s="8">
        <f>V120/17</f>
        <v>8.1</v>
      </c>
      <c r="T120" s="8">
        <f>IF(P120=1,MAX(0,0.258*(14.9-S120)),0)</f>
        <v>0</v>
      </c>
      <c r="U120" s="8">
        <f>T120*17</f>
        <v>0</v>
      </c>
      <c r="V120" s="8">
        <f>C120*Scoring!$B$32+D120/Scoring!$C$32+E120*Scoring!$D$32+F120*Scoring!$E$32+G120/Scoring!$F$32+H120*Scoring!$G$32+I120*Scoring!$H$32+K120*Scoring!$I$32+RB!L120*Scoring!$J$32</f>
        <v>137.7</v>
      </c>
      <c r="W120" s="8"/>
      <c r="X120" s="8"/>
      <c r="Y120" s="8"/>
      <c r="Z120" s="8"/>
    </row>
    <row r="121" ht="14.25" customHeight="1">
      <c r="B121" s="1" t="s">
        <v>39</v>
      </c>
      <c r="C121" s="1">
        <v>195.0</v>
      </c>
      <c r="D121" s="1">
        <v>906.0</v>
      </c>
      <c r="E121" s="1">
        <v>7.0</v>
      </c>
      <c r="F121" s="1">
        <v>18.0</v>
      </c>
      <c r="G121" s="1">
        <v>83.4</v>
      </c>
      <c r="H121" s="1">
        <v>0.3</v>
      </c>
      <c r="I121" s="1">
        <v>1.0</v>
      </c>
      <c r="J121" s="1">
        <v>151.6</v>
      </c>
      <c r="K121" s="18">
        <f t="shared" si="1"/>
        <v>50.33333333</v>
      </c>
      <c r="L121" s="18">
        <f t="shared" si="2"/>
        <v>3.94445283</v>
      </c>
      <c r="M121" s="112"/>
      <c r="N121" s="112"/>
      <c r="O121" s="112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B122" s="1" t="s">
        <v>48</v>
      </c>
      <c r="C122" s="1">
        <v>189.0</v>
      </c>
      <c r="D122" s="1">
        <v>831.0</v>
      </c>
      <c r="E122" s="1">
        <v>5.0</v>
      </c>
      <c r="F122" s="1">
        <v>12.0</v>
      </c>
      <c r="G122" s="1">
        <v>62.0</v>
      </c>
      <c r="H122" s="1">
        <v>0.0</v>
      </c>
      <c r="I122" s="1">
        <v>1.2</v>
      </c>
      <c r="J122" s="1">
        <v>139.8</v>
      </c>
      <c r="K122" s="18">
        <f t="shared" si="1"/>
        <v>46.16666667</v>
      </c>
      <c r="L122" s="18">
        <f t="shared" si="2"/>
        <v>2.932327044</v>
      </c>
      <c r="M122" s="112"/>
      <c r="N122" s="112"/>
      <c r="O122" s="112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" t="s">
        <v>470</v>
      </c>
      <c r="B123" s="1" t="s">
        <v>176</v>
      </c>
      <c r="C123" s="1">
        <v>167.6</v>
      </c>
      <c r="D123" s="1">
        <v>801.5</v>
      </c>
      <c r="E123" s="1">
        <v>6.4</v>
      </c>
      <c r="F123" s="1">
        <v>11.9</v>
      </c>
      <c r="G123" s="1">
        <v>80.4</v>
      </c>
      <c r="H123" s="1">
        <v>0.2</v>
      </c>
      <c r="I123" s="1">
        <v>0.7</v>
      </c>
      <c r="J123" s="1">
        <v>138.6</v>
      </c>
      <c r="K123" s="18">
        <f t="shared" si="1"/>
        <v>44.52777778</v>
      </c>
      <c r="L123" s="18">
        <f t="shared" si="2"/>
        <v>3.802566038</v>
      </c>
      <c r="M123" s="112">
        <f>C125*Scoring!$B$32+D125/Scoring!$C$32+E125*Scoring!$D$32+F125*Scoring!$E$32+G125/Scoring!$F$32+H125*Scoring!$G$32+I125*Scoring!$H$32+K125*Scoring!$I$32+RB!L125*Scoring!$J$32+U123</f>
        <v>115</v>
      </c>
      <c r="N123" s="112">
        <f>C123*Scoring!$B$32+D123/Scoring!$C$32+E123*Scoring!$D$32+F123*Scoring!$E$32+G123/Scoring!$F$32+H123*Scoring!$G$32+I123*Scoring!$H$32+K123*Scoring!$I$32+RB!L123*Scoring!$J$32+U123</f>
        <v>132.34</v>
      </c>
      <c r="O123" s="112">
        <f>C124*Scoring!$B$32+D124/Scoring!$C$32+E124*Scoring!$D$32+F124*Scoring!$E$32+G124/Scoring!$F$32+H124*Scoring!$G$32+I124*Scoring!$H$32+K124*Scoring!$I$32+L124*Scoring!$J$32+U123</f>
        <v>150.41</v>
      </c>
      <c r="P123" s="8">
        <f>IF(COUNTIF(Rookies!$A:$A,A123)&gt;0,1,0)</f>
        <v>0</v>
      </c>
      <c r="Q123" s="8"/>
      <c r="R123" s="8"/>
      <c r="S123" s="8">
        <f>V123/17</f>
        <v>7.784705882</v>
      </c>
      <c r="T123" s="8">
        <f>IF(P123=1,MAX(0,0.258*(14.9-S123)),0)</f>
        <v>0</v>
      </c>
      <c r="U123" s="8">
        <f>T123*17</f>
        <v>0</v>
      </c>
      <c r="V123" s="8">
        <f>C123*Scoring!$B$32+D123/Scoring!$C$32+E123*Scoring!$D$32+F123*Scoring!$E$32+G123/Scoring!$F$32+H123*Scoring!$G$32+I123*Scoring!$H$32+K123*Scoring!$I$32+RB!L123*Scoring!$J$32</f>
        <v>132.34</v>
      </c>
      <c r="W123" s="8"/>
      <c r="X123" s="8"/>
      <c r="Y123" s="8"/>
      <c r="Z123" s="8"/>
    </row>
    <row r="124" ht="14.25" customHeight="1">
      <c r="B124" s="1" t="s">
        <v>39</v>
      </c>
      <c r="C124" s="1">
        <v>181.9</v>
      </c>
      <c r="D124" s="1">
        <v>837.5</v>
      </c>
      <c r="E124" s="1">
        <v>7.3</v>
      </c>
      <c r="F124" s="1">
        <v>16.7</v>
      </c>
      <c r="G124" s="1">
        <v>117.1</v>
      </c>
      <c r="H124" s="1">
        <v>0.6</v>
      </c>
      <c r="I124" s="1">
        <v>0.4</v>
      </c>
      <c r="J124" s="1">
        <v>154.6</v>
      </c>
      <c r="K124" s="18">
        <f t="shared" si="1"/>
        <v>46.52777778</v>
      </c>
      <c r="L124" s="18">
        <f t="shared" si="2"/>
        <v>5.538314465</v>
      </c>
      <c r="M124" s="112"/>
      <c r="N124" s="112"/>
      <c r="O124" s="112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B125" s="1" t="s">
        <v>48</v>
      </c>
      <c r="C125" s="1">
        <v>159.0</v>
      </c>
      <c r="D125" s="1">
        <v>745.0</v>
      </c>
      <c r="E125" s="1">
        <v>6.0</v>
      </c>
      <c r="F125" s="1">
        <v>6.0</v>
      </c>
      <c r="G125" s="1">
        <v>35.0</v>
      </c>
      <c r="H125" s="1">
        <v>0.0</v>
      </c>
      <c r="I125" s="1">
        <v>1.0</v>
      </c>
      <c r="J125" s="1">
        <v>119.9</v>
      </c>
      <c r="K125" s="18">
        <f t="shared" si="1"/>
        <v>41.38888889</v>
      </c>
      <c r="L125" s="18">
        <f t="shared" si="2"/>
        <v>1.655345912</v>
      </c>
      <c r="M125" s="112"/>
      <c r="N125" s="112"/>
      <c r="O125" s="112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1" t="s">
        <v>472</v>
      </c>
      <c r="B126" s="1" t="s">
        <v>214</v>
      </c>
      <c r="C126" s="1">
        <v>94.8</v>
      </c>
      <c r="D126" s="1">
        <v>379.6</v>
      </c>
      <c r="E126" s="1">
        <v>3.0</v>
      </c>
      <c r="F126" s="1">
        <v>45.9</v>
      </c>
      <c r="G126" s="1">
        <v>306.1</v>
      </c>
      <c r="H126" s="1">
        <v>1.2</v>
      </c>
      <c r="I126" s="1">
        <v>0.7</v>
      </c>
      <c r="J126" s="1">
        <v>138.1</v>
      </c>
      <c r="K126" s="18">
        <f t="shared" si="1"/>
        <v>21.08888889</v>
      </c>
      <c r="L126" s="18">
        <f t="shared" si="2"/>
        <v>14.47718239</v>
      </c>
      <c r="M126" s="112">
        <f>C128*Scoring!$B$32+D128/Scoring!$C$32+E128*Scoring!$D$32+F128*Scoring!$E$32+G128/Scoring!$F$32+H128*Scoring!$G$32+I128*Scoring!$H$32+K128*Scoring!$I$32+RB!L128*Scoring!$J$32+U126</f>
        <v>94.9</v>
      </c>
      <c r="N126" s="112">
        <f>C126*Scoring!$B$32+D126/Scoring!$C$32+E126*Scoring!$D$32+F126*Scoring!$E$32+G126/Scoring!$F$32+H126*Scoring!$G$32+I126*Scoring!$H$32+K126*Scoring!$I$32+RB!L126*Scoring!$J$32+U126</f>
        <v>115.32</v>
      </c>
      <c r="O126" s="112">
        <f>C127*Scoring!$B$32+D127/Scoring!$C$32+E127*Scoring!$D$32+F127*Scoring!$E$32+G127/Scoring!$F$32+H127*Scoring!$G$32+I127*Scoring!$H$32+K127*Scoring!$I$32+L127*Scoring!$J$32+U126</f>
        <v>135.91</v>
      </c>
      <c r="P126" s="8">
        <f>IF(COUNTIF(Rookies!$A:$A,A126)&gt;0,1,0)</f>
        <v>0</v>
      </c>
      <c r="Q126" s="8"/>
      <c r="R126" s="8"/>
      <c r="S126" s="8">
        <f>V126/17</f>
        <v>6.783529412</v>
      </c>
      <c r="T126" s="8">
        <f>IF(P126=1,MAX(0,0.258*(14.9-S126)),0)</f>
        <v>0</v>
      </c>
      <c r="U126" s="8">
        <f>T126*17</f>
        <v>0</v>
      </c>
      <c r="V126" s="8">
        <f>C126*Scoring!$B$32+D126/Scoring!$C$32+E126*Scoring!$D$32+F126*Scoring!$E$32+G126/Scoring!$F$32+H126*Scoring!$G$32+I126*Scoring!$H$32+K126*Scoring!$I$32+RB!L126*Scoring!$J$32</f>
        <v>115.32</v>
      </c>
      <c r="W126" s="8"/>
      <c r="X126" s="8"/>
      <c r="Y126" s="8"/>
      <c r="Z126" s="8"/>
    </row>
    <row r="127" ht="14.25" customHeight="1">
      <c r="B127" s="1" t="s">
        <v>39</v>
      </c>
      <c r="C127" s="1">
        <v>105.5</v>
      </c>
      <c r="D127" s="1">
        <v>446.7</v>
      </c>
      <c r="E127" s="1">
        <v>4.0</v>
      </c>
      <c r="F127" s="1">
        <v>50.0</v>
      </c>
      <c r="G127" s="1">
        <v>336.4</v>
      </c>
      <c r="H127" s="1">
        <v>1.6</v>
      </c>
      <c r="I127" s="1">
        <v>0.5</v>
      </c>
      <c r="J127" s="1">
        <v>150.8</v>
      </c>
      <c r="K127" s="18">
        <f t="shared" si="1"/>
        <v>24.81666667</v>
      </c>
      <c r="L127" s="18">
        <f t="shared" si="2"/>
        <v>15.91023899</v>
      </c>
      <c r="M127" s="112"/>
      <c r="N127" s="112"/>
      <c r="O127" s="112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B128" s="1" t="s">
        <v>48</v>
      </c>
      <c r="C128" s="1">
        <v>86.0</v>
      </c>
      <c r="D128" s="1">
        <v>344.0</v>
      </c>
      <c r="E128" s="1">
        <v>2.0</v>
      </c>
      <c r="F128" s="1">
        <v>38.0</v>
      </c>
      <c r="G128" s="1">
        <v>255.0</v>
      </c>
      <c r="H128" s="1">
        <v>1.0</v>
      </c>
      <c r="I128" s="1">
        <v>1.0</v>
      </c>
      <c r="J128" s="1">
        <v>124.9</v>
      </c>
      <c r="K128" s="18">
        <f t="shared" si="1"/>
        <v>19.11111111</v>
      </c>
      <c r="L128" s="18">
        <f t="shared" si="2"/>
        <v>12.06037736</v>
      </c>
      <c r="M128" s="112"/>
      <c r="N128" s="112"/>
      <c r="O128" s="112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1" t="s">
        <v>474</v>
      </c>
      <c r="B129" s="1" t="s">
        <v>205</v>
      </c>
      <c r="C129" s="1">
        <v>142.7</v>
      </c>
      <c r="D129" s="1">
        <v>555.8</v>
      </c>
      <c r="E129" s="1">
        <v>2.7</v>
      </c>
      <c r="F129" s="1">
        <v>24.1</v>
      </c>
      <c r="G129" s="1">
        <v>197.1</v>
      </c>
      <c r="H129" s="1">
        <v>1.8</v>
      </c>
      <c r="I129" s="1">
        <v>0.8</v>
      </c>
      <c r="J129" s="1">
        <v>124.4</v>
      </c>
      <c r="K129" s="18">
        <f t="shared" si="1"/>
        <v>30.87777778</v>
      </c>
      <c r="L129" s="18">
        <f t="shared" si="2"/>
        <v>9.321962264</v>
      </c>
      <c r="M129" s="112">
        <f>C131*Scoring!$B$32+D131/Scoring!$C$32+E131*Scoring!$D$32+F131*Scoring!$E$32+G131/Scoring!$F$32+H131*Scoring!$G$32+I131*Scoring!$H$32+K131*Scoring!$I$32+RB!L131*Scoring!$J$32+U129</f>
        <v>96.9</v>
      </c>
      <c r="N129" s="112">
        <f>C129*Scoring!$B$32+D129/Scoring!$C$32+E129*Scoring!$D$32+F129*Scoring!$E$32+G129/Scoring!$F$32+H129*Scoring!$G$32+I129*Scoring!$H$32+K129*Scoring!$I$32+RB!L129*Scoring!$J$32+U129</f>
        <v>112.74</v>
      </c>
      <c r="O129" s="112">
        <f>C130*Scoring!$B$32+D130/Scoring!$C$32+E130*Scoring!$D$32+F130*Scoring!$E$32+G130/Scoring!$F$32+H130*Scoring!$G$32+I130*Scoring!$H$32+K130*Scoring!$I$32+L130*Scoring!$J$32+U129</f>
        <v>127.55</v>
      </c>
      <c r="P129" s="8">
        <f>IF(COUNTIF(Rookies!$A:$A,A129)&gt;0,1,0)</f>
        <v>0</v>
      </c>
      <c r="Q129" s="8"/>
      <c r="R129" s="8"/>
      <c r="S129" s="8">
        <f>V129/17</f>
        <v>6.631764706</v>
      </c>
      <c r="T129" s="8">
        <f>IF(P129=1,MAX(0,0.258*(14.9-S129)),0)</f>
        <v>0</v>
      </c>
      <c r="U129" s="8">
        <f>T129*17</f>
        <v>0</v>
      </c>
      <c r="V129" s="8">
        <f>C129*Scoring!$B$32+D129/Scoring!$C$32+E129*Scoring!$D$32+F129*Scoring!$E$32+G129/Scoring!$F$32+H129*Scoring!$G$32+I129*Scoring!$H$32+K129*Scoring!$I$32+RB!L129*Scoring!$J$32</f>
        <v>112.74</v>
      </c>
      <c r="W129" s="8"/>
      <c r="X129" s="8"/>
      <c r="Y129" s="8"/>
      <c r="Z129" s="8"/>
    </row>
    <row r="130" ht="14.25" customHeight="1">
      <c r="B130" s="1" t="s">
        <v>39</v>
      </c>
      <c r="C130" s="1">
        <v>150.0</v>
      </c>
      <c r="D130" s="1">
        <v>580.5</v>
      </c>
      <c r="E130" s="1">
        <v>3.0</v>
      </c>
      <c r="F130" s="1">
        <v>27.0</v>
      </c>
      <c r="G130" s="1">
        <v>214.0</v>
      </c>
      <c r="H130" s="1">
        <v>3.0</v>
      </c>
      <c r="I130" s="1">
        <v>0.7</v>
      </c>
      <c r="J130" s="1">
        <v>129.7</v>
      </c>
      <c r="K130" s="18">
        <f t="shared" si="1"/>
        <v>32.25</v>
      </c>
      <c r="L130" s="18">
        <f t="shared" si="2"/>
        <v>10.12125786</v>
      </c>
      <c r="M130" s="112"/>
      <c r="N130" s="112"/>
      <c r="O130" s="112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B131" s="1" t="s">
        <v>48</v>
      </c>
      <c r="C131" s="1">
        <v>135.0</v>
      </c>
      <c r="D131" s="1">
        <v>527.0</v>
      </c>
      <c r="E131" s="1">
        <v>2.0</v>
      </c>
      <c r="F131" s="1">
        <v>21.0</v>
      </c>
      <c r="G131" s="1">
        <v>177.0</v>
      </c>
      <c r="H131" s="1">
        <v>1.0</v>
      </c>
      <c r="I131" s="1">
        <v>1.0</v>
      </c>
      <c r="J131" s="1">
        <v>115.1</v>
      </c>
      <c r="K131" s="18">
        <f t="shared" si="1"/>
        <v>29.27777778</v>
      </c>
      <c r="L131" s="18">
        <f t="shared" si="2"/>
        <v>8.371320755</v>
      </c>
      <c r="M131" s="112"/>
      <c r="N131" s="112"/>
      <c r="O131" s="112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1" t="s">
        <v>476</v>
      </c>
      <c r="B132" s="1" t="s">
        <v>202</v>
      </c>
      <c r="C132" s="1">
        <v>130.5</v>
      </c>
      <c r="D132" s="1">
        <v>533.0</v>
      </c>
      <c r="E132" s="1">
        <v>5.6</v>
      </c>
      <c r="F132" s="1">
        <v>19.8</v>
      </c>
      <c r="G132" s="1">
        <v>147.0</v>
      </c>
      <c r="H132" s="1">
        <v>0.5</v>
      </c>
      <c r="I132" s="1">
        <v>0.7</v>
      </c>
      <c r="J132" s="1">
        <v>123.1</v>
      </c>
      <c r="K132" s="18">
        <f t="shared" si="1"/>
        <v>29.61111111</v>
      </c>
      <c r="L132" s="18">
        <f t="shared" si="2"/>
        <v>6.95245283</v>
      </c>
      <c r="M132" s="112">
        <f>C134*Scoring!$B$32+D134/Scoring!$C$32+E134*Scoring!$D$32+F134*Scoring!$E$32+G134/Scoring!$F$32+H134*Scoring!$G$32+I134*Scoring!$H$32+K134*Scoring!$I$32+RB!L134*Scoring!$J$32+U132</f>
        <v>89.7</v>
      </c>
      <c r="N132" s="112">
        <f>C132*Scoring!$B$32+D132/Scoring!$C$32+E132*Scoring!$D$32+F132*Scoring!$E$32+G132/Scoring!$F$32+H132*Scoring!$G$32+I132*Scoring!$H$32+K132*Scoring!$I$32+RB!L132*Scoring!$J$32+U132</f>
        <v>113.1</v>
      </c>
      <c r="O132" s="112">
        <f>C133*Scoring!$B$32+D133/Scoring!$C$32+E133*Scoring!$D$32+F133*Scoring!$E$32+G133/Scoring!$F$32+H133*Scoring!$G$32+I133*Scoring!$H$32+K133*Scoring!$I$32+L133*Scoring!$J$32+U132</f>
        <v>129.16</v>
      </c>
      <c r="P132" s="8">
        <f>IF(COUNTIF(Rookies!$A:$A,A132)&gt;0,1,0)</f>
        <v>0</v>
      </c>
      <c r="Q132" s="8"/>
      <c r="R132" s="8"/>
      <c r="S132" s="8">
        <f>V132/17</f>
        <v>6.652941176</v>
      </c>
      <c r="T132" s="8">
        <f>IF(P132=1,MAX(0,0.258*(14.9-S132)),0)</f>
        <v>0</v>
      </c>
      <c r="U132" s="8">
        <f>T132*17</f>
        <v>0</v>
      </c>
      <c r="V132" s="8">
        <f>C132*Scoring!$B$32+D132/Scoring!$C$32+E132*Scoring!$D$32+F132*Scoring!$E$32+G132/Scoring!$F$32+H132*Scoring!$G$32+I132*Scoring!$H$32+K132*Scoring!$I$32+RB!L132*Scoring!$J$32</f>
        <v>113.1</v>
      </c>
      <c r="W132" s="8"/>
      <c r="X132" s="8"/>
      <c r="Y132" s="8"/>
      <c r="Z132" s="8"/>
    </row>
    <row r="133" ht="14.25" customHeight="1">
      <c r="B133" s="1" t="s">
        <v>39</v>
      </c>
      <c r="C133" s="1">
        <v>136.6</v>
      </c>
      <c r="D133" s="1">
        <v>555.1</v>
      </c>
      <c r="E133" s="1">
        <v>7.0</v>
      </c>
      <c r="F133" s="1">
        <v>20.3</v>
      </c>
      <c r="G133" s="1">
        <v>161.0</v>
      </c>
      <c r="H133" s="1">
        <v>1.0</v>
      </c>
      <c r="I133" s="1">
        <v>0.3</v>
      </c>
      <c r="J133" s="1">
        <v>133.4</v>
      </c>
      <c r="K133" s="18">
        <f t="shared" si="1"/>
        <v>30.83888889</v>
      </c>
      <c r="L133" s="18">
        <f t="shared" si="2"/>
        <v>7.614591195</v>
      </c>
      <c r="M133" s="112"/>
      <c r="N133" s="112"/>
      <c r="O133" s="112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B134" s="1" t="s">
        <v>48</v>
      </c>
      <c r="C134" s="1">
        <v>127.0</v>
      </c>
      <c r="D134" s="1">
        <v>507.0</v>
      </c>
      <c r="E134" s="1">
        <v>3.0</v>
      </c>
      <c r="F134" s="1">
        <v>19.0</v>
      </c>
      <c r="G134" s="1">
        <v>135.0</v>
      </c>
      <c r="H134" s="1">
        <v>0.0</v>
      </c>
      <c r="I134" s="1">
        <v>1.0</v>
      </c>
      <c r="J134" s="1">
        <v>107.8</v>
      </c>
      <c r="K134" s="18">
        <f t="shared" si="1"/>
        <v>28.16666667</v>
      </c>
      <c r="L134" s="18">
        <f t="shared" si="2"/>
        <v>6.38490566</v>
      </c>
      <c r="M134" s="112"/>
      <c r="N134" s="112"/>
      <c r="O134" s="112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1" t="s">
        <v>478</v>
      </c>
      <c r="B135" s="1" t="s">
        <v>182</v>
      </c>
      <c r="C135" s="1">
        <v>119.3</v>
      </c>
      <c r="D135" s="1">
        <v>459.7</v>
      </c>
      <c r="E135" s="1">
        <v>2.4</v>
      </c>
      <c r="F135" s="1">
        <v>33.6</v>
      </c>
      <c r="G135" s="1">
        <v>233.6</v>
      </c>
      <c r="H135" s="1">
        <v>1.0</v>
      </c>
      <c r="I135" s="1">
        <v>0.8</v>
      </c>
      <c r="J135" s="1">
        <v>121.4</v>
      </c>
      <c r="K135" s="18">
        <f t="shared" si="1"/>
        <v>25.53888889</v>
      </c>
      <c r="L135" s="18">
        <f t="shared" si="2"/>
        <v>11.04825157</v>
      </c>
      <c r="M135" s="112">
        <f>C137*Scoring!$B$32+D137/Scoring!$C$32+E137*Scoring!$D$32+F137*Scoring!$E$32+G137/Scoring!$F$32+H137*Scoring!$G$32+I137*Scoring!$H$32+K137*Scoring!$I$32+RB!L137*Scoring!$J$32+U135</f>
        <v>91.43</v>
      </c>
      <c r="N135" s="112">
        <f>C135*Scoring!$B$32+D135/Scoring!$C$32+E135*Scoring!$D$32+F135*Scoring!$E$32+G135/Scoring!$F$32+H135*Scoring!$G$32+I135*Scoring!$H$32+K135*Scoring!$I$32+RB!L135*Scoring!$J$32+U135</f>
        <v>104.93</v>
      </c>
      <c r="O135" s="112">
        <f>C136*Scoring!$B$32+D136/Scoring!$C$32+E136*Scoring!$D$32+F136*Scoring!$E$32+G136/Scoring!$F$32+H136*Scoring!$G$32+I136*Scoring!$H$32+K136*Scoring!$I$32+L136*Scoring!$J$32+U135</f>
        <v>120.2</v>
      </c>
      <c r="P135" s="8">
        <f>IF(COUNTIF(Rookies!$A:$A,A135)&gt;0,1,0)</f>
        <v>0</v>
      </c>
      <c r="Q135" s="8"/>
      <c r="R135" s="8"/>
      <c r="S135" s="8">
        <f>V135/17</f>
        <v>6.172352941</v>
      </c>
      <c r="T135" s="8">
        <f>IF(P135=1,MAX(0,0.258*(14.9-S135)),0)</f>
        <v>0</v>
      </c>
      <c r="U135" s="8">
        <f>T135*17</f>
        <v>0</v>
      </c>
      <c r="V135" s="8">
        <f>C135*Scoring!$B$32+D135/Scoring!$C$32+E135*Scoring!$D$32+F135*Scoring!$E$32+G135/Scoring!$F$32+H135*Scoring!$G$32+I135*Scoring!$H$32+K135*Scoring!$I$32+RB!L135*Scoring!$J$32</f>
        <v>104.93</v>
      </c>
      <c r="W135" s="8"/>
      <c r="X135" s="8"/>
      <c r="Y135" s="8"/>
      <c r="Z135" s="8"/>
    </row>
    <row r="136" ht="14.25" customHeight="1">
      <c r="B136" s="1" t="s">
        <v>39</v>
      </c>
      <c r="C136" s="1">
        <v>133.0</v>
      </c>
      <c r="D136" s="1">
        <v>500.0</v>
      </c>
      <c r="E136" s="1">
        <v>3.0</v>
      </c>
      <c r="F136" s="1">
        <v>34.0</v>
      </c>
      <c r="G136" s="1">
        <v>244.0</v>
      </c>
      <c r="H136" s="1">
        <v>2.0</v>
      </c>
      <c r="I136" s="1">
        <v>0.6</v>
      </c>
      <c r="J136" s="1">
        <v>140.9</v>
      </c>
      <c r="K136" s="18">
        <f t="shared" si="1"/>
        <v>27.77777778</v>
      </c>
      <c r="L136" s="18">
        <f t="shared" si="2"/>
        <v>11.54012579</v>
      </c>
      <c r="M136" s="112"/>
      <c r="N136" s="112"/>
      <c r="O136" s="112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B137" s="1" t="s">
        <v>48</v>
      </c>
      <c r="C137" s="1">
        <v>111.9</v>
      </c>
      <c r="D137" s="1">
        <v>428.0</v>
      </c>
      <c r="E137" s="1">
        <v>2.0</v>
      </c>
      <c r="F137" s="1">
        <v>32.9</v>
      </c>
      <c r="G137" s="1">
        <v>221.8</v>
      </c>
      <c r="H137" s="1">
        <v>0.0</v>
      </c>
      <c r="I137" s="1">
        <v>1.0</v>
      </c>
      <c r="J137" s="1">
        <v>109.6</v>
      </c>
      <c r="K137" s="18">
        <f t="shared" si="1"/>
        <v>23.77777778</v>
      </c>
      <c r="L137" s="18">
        <f t="shared" si="2"/>
        <v>10.49016352</v>
      </c>
      <c r="M137" s="112"/>
      <c r="N137" s="112"/>
      <c r="O137" s="112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1" t="s">
        <v>480</v>
      </c>
      <c r="B138" s="1" t="s">
        <v>179</v>
      </c>
      <c r="C138" s="1">
        <v>139.5</v>
      </c>
      <c r="D138" s="1">
        <v>582.1</v>
      </c>
      <c r="E138" s="1">
        <v>3.5</v>
      </c>
      <c r="F138" s="1">
        <v>21.1</v>
      </c>
      <c r="G138" s="1">
        <v>136.4</v>
      </c>
      <c r="H138" s="1">
        <v>0.6</v>
      </c>
      <c r="I138" s="1">
        <v>0.8</v>
      </c>
      <c r="J138" s="1">
        <v>116.0</v>
      </c>
      <c r="K138" s="18">
        <f t="shared" si="1"/>
        <v>32.33888889</v>
      </c>
      <c r="L138" s="18">
        <f t="shared" si="2"/>
        <v>6.451119497</v>
      </c>
      <c r="M138" s="112">
        <f>C140*Scoring!$B$32+D140/Scoring!$C$32+E140*Scoring!$D$32+F140*Scoring!$E$32+G140/Scoring!$F$32+H140*Scoring!$G$32+I140*Scoring!$H$32+K140*Scoring!$I$32+RB!L140*Scoring!$J$32+U138</f>
        <v>84.92</v>
      </c>
      <c r="N138" s="112">
        <f>C138*Scoring!$B$32+D138/Scoring!$C$32+E138*Scoring!$D$32+F138*Scoring!$E$32+G138/Scoring!$F$32+H138*Scoring!$G$32+I138*Scoring!$H$32+K138*Scoring!$I$32+RB!L138*Scoring!$J$32+U138</f>
        <v>105.4</v>
      </c>
      <c r="O138" s="112">
        <f>C139*Scoring!$B$32+D139/Scoring!$C$32+E139*Scoring!$D$32+F139*Scoring!$E$32+G139/Scoring!$F$32+H139*Scoring!$G$32+I139*Scoring!$H$32+K139*Scoring!$I$32+L139*Scoring!$J$32+U138</f>
        <v>124.53</v>
      </c>
      <c r="P138" s="8">
        <f>IF(COUNTIF(Rookies!$A:$A,A138)&gt;0,1,0)</f>
        <v>0</v>
      </c>
      <c r="Q138" s="8"/>
      <c r="R138" s="8"/>
      <c r="S138" s="8">
        <f>V138/17</f>
        <v>6.2</v>
      </c>
      <c r="T138" s="8">
        <f>IF(P138=1,MAX(0,0.258*(14.9-S138)),0)</f>
        <v>0</v>
      </c>
      <c r="U138" s="8">
        <f>T138*17</f>
        <v>0</v>
      </c>
      <c r="V138" s="8">
        <f>C138*Scoring!$B$32+D138/Scoring!$C$32+E138*Scoring!$D$32+F138*Scoring!$E$32+G138/Scoring!$F$32+H138*Scoring!$G$32+I138*Scoring!$H$32+K138*Scoring!$I$32+RB!L138*Scoring!$J$32</f>
        <v>105.4</v>
      </c>
      <c r="W138" s="8"/>
      <c r="X138" s="8"/>
      <c r="Y138" s="8"/>
      <c r="Z138" s="8"/>
    </row>
    <row r="139" ht="14.25" customHeight="1">
      <c r="B139" s="1" t="s">
        <v>39</v>
      </c>
      <c r="C139" s="1">
        <v>148.5</v>
      </c>
      <c r="D139" s="1">
        <v>639.3</v>
      </c>
      <c r="E139" s="1">
        <v>4.5</v>
      </c>
      <c r="F139" s="1">
        <v>26.0</v>
      </c>
      <c r="G139" s="1">
        <v>156.0</v>
      </c>
      <c r="H139" s="1">
        <v>1.0</v>
      </c>
      <c r="I139" s="1">
        <v>0.5</v>
      </c>
      <c r="J139" s="1">
        <v>127.4</v>
      </c>
      <c r="K139" s="18">
        <f t="shared" si="1"/>
        <v>35.51666667</v>
      </c>
      <c r="L139" s="18">
        <f t="shared" si="2"/>
        <v>7.378113208</v>
      </c>
      <c r="M139" s="112"/>
      <c r="N139" s="112"/>
      <c r="O139" s="112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B140" s="1" t="s">
        <v>48</v>
      </c>
      <c r="C140" s="1">
        <v>122.0</v>
      </c>
      <c r="D140" s="1">
        <v>489.0</v>
      </c>
      <c r="E140" s="1">
        <v>3.0</v>
      </c>
      <c r="F140" s="1">
        <v>17.2</v>
      </c>
      <c r="G140" s="1">
        <v>114.2</v>
      </c>
      <c r="H140" s="1">
        <v>0.0</v>
      </c>
      <c r="I140" s="1">
        <v>1.0</v>
      </c>
      <c r="J140" s="1">
        <v>103.1</v>
      </c>
      <c r="K140" s="18">
        <f t="shared" si="1"/>
        <v>27.16666667</v>
      </c>
      <c r="L140" s="18">
        <f t="shared" si="2"/>
        <v>5.401157233</v>
      </c>
      <c r="M140" s="112"/>
      <c r="N140" s="112"/>
      <c r="O140" s="112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1" t="s">
        <v>482</v>
      </c>
      <c r="B141" s="1" t="s">
        <v>61</v>
      </c>
      <c r="C141" s="1">
        <v>56.4</v>
      </c>
      <c r="D141" s="1">
        <v>273.7</v>
      </c>
      <c r="E141" s="1">
        <v>2.2</v>
      </c>
      <c r="F141" s="1">
        <v>32.7</v>
      </c>
      <c r="G141" s="1">
        <v>283.4</v>
      </c>
      <c r="H141" s="1">
        <v>1.8</v>
      </c>
      <c r="I141" s="1">
        <v>0.2</v>
      </c>
      <c r="J141" s="1">
        <v>112.1</v>
      </c>
      <c r="K141" s="18">
        <f t="shared" si="1"/>
        <v>15.20555556</v>
      </c>
      <c r="L141" s="18">
        <f t="shared" si="2"/>
        <v>13.40357233</v>
      </c>
      <c r="M141" s="112">
        <f>C143*Scoring!$B$32+D143/Scoring!$C$32+E143*Scoring!$D$32+F143*Scoring!$E$32+G143/Scoring!$F$32+H143*Scoring!$G$32+I143*Scoring!$H$32+K143*Scoring!$I$32+RB!L143*Scoring!$J$32+U141</f>
        <v>74.94</v>
      </c>
      <c r="N141" s="112">
        <f>C141*Scoring!$B$32+D141/Scoring!$C$32+E141*Scoring!$D$32+F141*Scoring!$E$32+G141/Scoring!$F$32+H141*Scoring!$G$32+I141*Scoring!$H$32+K141*Scoring!$I$32+RB!L141*Scoring!$J$32+U141</f>
        <v>95.66</v>
      </c>
      <c r="O141" s="112">
        <f>C142*Scoring!$B$32+D142/Scoring!$C$32+E142*Scoring!$D$32+F142*Scoring!$E$32+G142/Scoring!$F$32+H142*Scoring!$G$32+I142*Scoring!$H$32+K142*Scoring!$I$32+L142*Scoring!$J$32+U141</f>
        <v>116.99</v>
      </c>
      <c r="P141" s="8">
        <f>IF(COUNTIF(Rookies!$A:$A,A141)&gt;0,1,0)</f>
        <v>0</v>
      </c>
      <c r="Q141" s="8"/>
      <c r="R141" s="8"/>
      <c r="S141" s="8">
        <f>V141/17</f>
        <v>5.627058824</v>
      </c>
      <c r="T141" s="8">
        <f>IF(P141=1,MAX(0,0.258*(14.9-S141)),0)</f>
        <v>0</v>
      </c>
      <c r="U141" s="8">
        <f>T141*17</f>
        <v>0</v>
      </c>
      <c r="V141" s="8">
        <f>C141*Scoring!$B$32+D141/Scoring!$C$32+E141*Scoring!$D$32+F141*Scoring!$E$32+G141/Scoring!$F$32+H141*Scoring!$G$32+I141*Scoring!$H$32+K141*Scoring!$I$32+RB!L141*Scoring!$J$32</f>
        <v>95.66</v>
      </c>
      <c r="W141" s="8"/>
      <c r="X141" s="8"/>
      <c r="Y141" s="8"/>
      <c r="Z141" s="8"/>
    </row>
    <row r="142" ht="14.25" customHeight="1">
      <c r="B142" s="1" t="s">
        <v>39</v>
      </c>
      <c r="C142" s="1">
        <v>64.0</v>
      </c>
      <c r="D142" s="1">
        <v>324.0</v>
      </c>
      <c r="E142" s="1">
        <v>3.0</v>
      </c>
      <c r="F142" s="1">
        <v>39.4</v>
      </c>
      <c r="G142" s="1">
        <v>348.9</v>
      </c>
      <c r="H142" s="1">
        <v>2.0</v>
      </c>
      <c r="I142" s="1">
        <v>0.0</v>
      </c>
      <c r="J142" s="1">
        <v>107.5</v>
      </c>
      <c r="K142" s="18">
        <f t="shared" si="1"/>
        <v>18</v>
      </c>
      <c r="L142" s="18">
        <f t="shared" si="2"/>
        <v>16.50143396</v>
      </c>
      <c r="M142" s="112"/>
      <c r="N142" s="112"/>
      <c r="O142" s="112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B143" s="1" t="s">
        <v>48</v>
      </c>
      <c r="C143" s="1">
        <v>48.8</v>
      </c>
      <c r="D143" s="1">
        <v>223.4</v>
      </c>
      <c r="E143" s="1">
        <v>1.4</v>
      </c>
      <c r="F143" s="1">
        <v>26.0</v>
      </c>
      <c r="G143" s="1">
        <v>218.0</v>
      </c>
      <c r="H143" s="1">
        <v>1.7</v>
      </c>
      <c r="I143" s="1">
        <v>0.4</v>
      </c>
      <c r="J143" s="1">
        <v>99.7</v>
      </c>
      <c r="K143" s="18">
        <f t="shared" si="1"/>
        <v>12.41111111</v>
      </c>
      <c r="L143" s="18">
        <f t="shared" si="2"/>
        <v>10.31044025</v>
      </c>
      <c r="M143" s="112"/>
      <c r="N143" s="112"/>
      <c r="O143" s="112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1" t="s">
        <v>484</v>
      </c>
      <c r="B144" s="1" t="s">
        <v>226</v>
      </c>
      <c r="C144" s="1">
        <v>73.5</v>
      </c>
      <c r="D144" s="1">
        <v>254.5</v>
      </c>
      <c r="E144" s="1">
        <v>1.4</v>
      </c>
      <c r="F144" s="1">
        <v>36.2</v>
      </c>
      <c r="G144" s="1">
        <v>284.7</v>
      </c>
      <c r="H144" s="1">
        <v>2.1</v>
      </c>
      <c r="I144" s="1">
        <v>1.2</v>
      </c>
      <c r="J144" s="1">
        <v>108.3</v>
      </c>
      <c r="K144" s="18">
        <f t="shared" si="1"/>
        <v>14.13888889</v>
      </c>
      <c r="L144" s="18">
        <f t="shared" si="2"/>
        <v>13.4650566</v>
      </c>
      <c r="M144" s="112">
        <f>C146*Scoring!$B$32+D146/Scoring!$C$32+E146*Scoring!$D$32+F146*Scoring!$E$32+G146/Scoring!$F$32+H146*Scoring!$G$32+I146*Scoring!$H$32+K146*Scoring!$I$32+RB!L146*Scoring!$J$32+U144</f>
        <v>67.56</v>
      </c>
      <c r="N144" s="112">
        <f>C144*Scoring!$B$32+D144/Scoring!$C$32+E144*Scoring!$D$32+F144*Scoring!$E$32+G144/Scoring!$F$32+H144*Scoring!$G$32+I144*Scoring!$H$32+K144*Scoring!$I$32+RB!L144*Scoring!$J$32+U144</f>
        <v>90.62</v>
      </c>
      <c r="O144" s="112">
        <f>C145*Scoring!$B$32+D145/Scoring!$C$32+E145*Scoring!$D$32+F145*Scoring!$E$32+G145/Scoring!$F$32+H145*Scoring!$G$32+I145*Scoring!$H$32+K145*Scoring!$I$32+L145*Scoring!$J$32+U144</f>
        <v>111.3</v>
      </c>
      <c r="P144" s="8">
        <f>IF(COUNTIF(Rookies!$A:$A,A144)&gt;0,1,0)</f>
        <v>0</v>
      </c>
      <c r="Q144" s="8"/>
      <c r="R144" s="8"/>
      <c r="S144" s="8">
        <f>V144/17</f>
        <v>5.330588235</v>
      </c>
      <c r="T144" s="8">
        <f>IF(P144=1,MAX(0,0.258*(14.9-S144)),0)</f>
        <v>0</v>
      </c>
      <c r="U144" s="8">
        <f>T144*17</f>
        <v>0</v>
      </c>
      <c r="V144" s="8">
        <f>C144*Scoring!$B$32+D144/Scoring!$C$32+E144*Scoring!$D$32+F144*Scoring!$E$32+G144/Scoring!$F$32+H144*Scoring!$G$32+I144*Scoring!$H$32+K144*Scoring!$I$32+RB!L144*Scoring!$J$32</f>
        <v>90.62</v>
      </c>
      <c r="W144" s="8"/>
      <c r="X144" s="8"/>
      <c r="Y144" s="8"/>
      <c r="Z144" s="8"/>
    </row>
    <row r="145" ht="14.25" customHeight="1">
      <c r="B145" s="1" t="s">
        <v>39</v>
      </c>
      <c r="C145" s="1">
        <v>105.0</v>
      </c>
      <c r="D145" s="1">
        <v>290.0</v>
      </c>
      <c r="E145" s="1">
        <v>2.0</v>
      </c>
      <c r="F145" s="1">
        <v>40.0</v>
      </c>
      <c r="G145" s="1">
        <v>331.0</v>
      </c>
      <c r="H145" s="1">
        <v>3.0</v>
      </c>
      <c r="I145" s="1">
        <v>0.4</v>
      </c>
      <c r="J145" s="1">
        <v>130.3</v>
      </c>
      <c r="K145" s="18">
        <f t="shared" si="1"/>
        <v>16.11111111</v>
      </c>
      <c r="L145" s="18">
        <f t="shared" si="2"/>
        <v>15.65484277</v>
      </c>
      <c r="M145" s="112"/>
      <c r="N145" s="112"/>
      <c r="O145" s="112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B146" s="1" t="s">
        <v>48</v>
      </c>
      <c r="C146" s="1">
        <v>54.6</v>
      </c>
      <c r="D146" s="1">
        <v>228.4</v>
      </c>
      <c r="E146" s="1">
        <v>1.0</v>
      </c>
      <c r="F146" s="1">
        <v>29.6</v>
      </c>
      <c r="G146" s="1">
        <v>207.2</v>
      </c>
      <c r="H146" s="1">
        <v>1.2</v>
      </c>
      <c r="I146" s="1">
        <v>2.0</v>
      </c>
      <c r="J146" s="1">
        <v>93.5</v>
      </c>
      <c r="K146" s="18">
        <f t="shared" si="1"/>
        <v>12.68888889</v>
      </c>
      <c r="L146" s="18">
        <f t="shared" si="2"/>
        <v>9.799647799</v>
      </c>
      <c r="M146" s="112"/>
      <c r="N146" s="112"/>
      <c r="O146" s="112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1" t="s">
        <v>486</v>
      </c>
      <c r="B147" s="1" t="s">
        <v>134</v>
      </c>
      <c r="C147" s="1">
        <v>98.4</v>
      </c>
      <c r="D147" s="1">
        <v>416.4</v>
      </c>
      <c r="E147" s="1">
        <v>2.0</v>
      </c>
      <c r="F147" s="1">
        <v>24.6</v>
      </c>
      <c r="G147" s="1">
        <v>190.9</v>
      </c>
      <c r="H147" s="1">
        <v>1.2</v>
      </c>
      <c r="I147" s="1">
        <v>0.7</v>
      </c>
      <c r="J147" s="1">
        <v>103.1</v>
      </c>
      <c r="K147" s="18">
        <f t="shared" si="1"/>
        <v>23.13333333</v>
      </c>
      <c r="L147" s="18">
        <f t="shared" si="2"/>
        <v>9.02872956</v>
      </c>
      <c r="M147" s="112">
        <f>C149*Scoring!$B$32+D149/Scoring!$C$32+E149*Scoring!$D$32+F149*Scoring!$E$32+G149/Scoring!$F$32+H149*Scoring!$G$32+I149*Scoring!$H$32+K149*Scoring!$I$32+RB!L149*Scoring!$J$32+U147</f>
        <v>57.44</v>
      </c>
      <c r="N147" s="112">
        <f>C147*Scoring!$B$32+D147/Scoring!$C$32+E147*Scoring!$D$32+F147*Scoring!$E$32+G147/Scoring!$F$32+H147*Scoring!$G$32+I147*Scoring!$H$32+K147*Scoring!$I$32+RB!L147*Scoring!$J$32+U147</f>
        <v>90.83</v>
      </c>
      <c r="O147" s="112">
        <f>C148*Scoring!$B$32+D148/Scoring!$C$32+E148*Scoring!$D$32+F148*Scoring!$E$32+G148/Scoring!$F$32+H148*Scoring!$G$32+I148*Scoring!$H$32+K148*Scoring!$I$32+L148*Scoring!$J$32+U147</f>
        <v>125</v>
      </c>
      <c r="P147" s="8">
        <f>IF(COUNTIF(Rookies!$A:$A,A147)&gt;0,1,0)</f>
        <v>0</v>
      </c>
      <c r="Q147" s="8"/>
      <c r="R147" s="8"/>
      <c r="S147" s="8">
        <f>V147/17</f>
        <v>5.342941176</v>
      </c>
      <c r="T147" s="8">
        <f>IF(P147=1,MAX(0,0.258*(14.9-S147)),0)</f>
        <v>0</v>
      </c>
      <c r="U147" s="8">
        <f>T147*17</f>
        <v>0</v>
      </c>
      <c r="V147" s="8">
        <f>C147*Scoring!$B$32+D147/Scoring!$C$32+E147*Scoring!$D$32+F147*Scoring!$E$32+G147/Scoring!$F$32+H147*Scoring!$G$32+I147*Scoring!$H$32+K147*Scoring!$I$32+RB!L147*Scoring!$J$32</f>
        <v>90.83</v>
      </c>
      <c r="W147" s="8"/>
      <c r="X147" s="8"/>
      <c r="Y147" s="8"/>
      <c r="Z147" s="8"/>
    </row>
    <row r="148" ht="14.25" customHeight="1">
      <c r="B148" s="1" t="s">
        <v>39</v>
      </c>
      <c r="C148" s="1">
        <v>134.0</v>
      </c>
      <c r="D148" s="1">
        <v>567.0</v>
      </c>
      <c r="E148" s="1">
        <v>3.0</v>
      </c>
      <c r="F148" s="1">
        <v>30.0</v>
      </c>
      <c r="G148" s="1">
        <v>241.0</v>
      </c>
      <c r="H148" s="1">
        <v>2.0</v>
      </c>
      <c r="I148" s="1">
        <v>0.4</v>
      </c>
      <c r="J148" s="1">
        <v>117.6</v>
      </c>
      <c r="K148" s="18">
        <f t="shared" si="1"/>
        <v>31.5</v>
      </c>
      <c r="L148" s="18">
        <f t="shared" si="2"/>
        <v>11.39823899</v>
      </c>
      <c r="M148" s="112"/>
      <c r="N148" s="112"/>
      <c r="O148" s="112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B149" s="1" t="s">
        <v>48</v>
      </c>
      <c r="C149" s="1">
        <v>71.2</v>
      </c>
      <c r="D149" s="1">
        <v>302.3</v>
      </c>
      <c r="E149" s="1">
        <v>1.0</v>
      </c>
      <c r="F149" s="1">
        <v>15.9</v>
      </c>
      <c r="G149" s="1">
        <v>116.6</v>
      </c>
      <c r="H149" s="1">
        <v>0.6</v>
      </c>
      <c r="I149" s="1">
        <v>1.0</v>
      </c>
      <c r="J149" s="1">
        <v>75.3</v>
      </c>
      <c r="K149" s="18">
        <f t="shared" si="1"/>
        <v>16.79444444</v>
      </c>
      <c r="L149" s="18">
        <f t="shared" si="2"/>
        <v>5.514666667</v>
      </c>
      <c r="M149" s="112"/>
      <c r="N149" s="112"/>
      <c r="O149" s="112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1" t="s">
        <v>488</v>
      </c>
      <c r="B150" s="1" t="s">
        <v>222</v>
      </c>
      <c r="C150" s="1">
        <v>126.0</v>
      </c>
      <c r="D150" s="1">
        <v>487.1</v>
      </c>
      <c r="E150" s="1">
        <v>3.1</v>
      </c>
      <c r="F150" s="1">
        <v>17.7</v>
      </c>
      <c r="G150" s="1">
        <v>143.5</v>
      </c>
      <c r="H150" s="1">
        <v>0.6</v>
      </c>
      <c r="I150" s="1">
        <v>1.2</v>
      </c>
      <c r="J150" s="1">
        <v>100.9</v>
      </c>
      <c r="K150" s="18">
        <f t="shared" si="1"/>
        <v>27.06111111</v>
      </c>
      <c r="L150" s="18">
        <f t="shared" si="2"/>
        <v>6.786918239</v>
      </c>
      <c r="M150" s="112">
        <f>C152*Scoring!$B$32+D152/Scoring!$C$32+E152*Scoring!$D$32+F152*Scoring!$E$32+G152/Scoring!$F$32+H152*Scoring!$G$32+I152*Scoring!$H$32+K152*Scoring!$I$32+RB!L152*Scoring!$J$32+U150</f>
        <v>99.11022</v>
      </c>
      <c r="N150" s="112">
        <f>C150*Scoring!$B$32+D150/Scoring!$C$32+E150*Scoring!$D$32+F150*Scoring!$E$32+G150/Scoring!$F$32+H150*Scoring!$G$32+I150*Scoring!$H$32+K150*Scoring!$I$32+RB!L150*Scoring!$J$32+U150</f>
        <v>133.40022</v>
      </c>
      <c r="O150" s="112">
        <f>C151*Scoring!$B$32+D151/Scoring!$C$32+E151*Scoring!$D$32+F151*Scoring!$E$32+G151/Scoring!$F$32+H151*Scoring!$G$32+I151*Scoring!$H$32+K151*Scoring!$I$32+L151*Scoring!$J$32+U150</f>
        <v>168.29022</v>
      </c>
      <c r="P150" s="8">
        <f>IF(COUNTIF(Rookies!$A:$A,A150)&gt;0,1,0)</f>
        <v>1</v>
      </c>
      <c r="Q150" s="8"/>
      <c r="R150" s="8"/>
      <c r="S150" s="8">
        <f>V150/17</f>
        <v>5.394705882</v>
      </c>
      <c r="T150" s="8">
        <f>IF(P150=1,MAX(0,0.258*(14.9-S150)),0)</f>
        <v>2.452365882</v>
      </c>
      <c r="U150" s="8">
        <f>T150*17</f>
        <v>41.69022</v>
      </c>
      <c r="V150" s="8">
        <f>C150*Scoring!$B$32+D150/Scoring!$C$32+E150*Scoring!$D$32+F150*Scoring!$E$32+G150/Scoring!$F$32+H150*Scoring!$G$32+I150*Scoring!$H$32+K150*Scoring!$I$32+RB!L150*Scoring!$J$32</f>
        <v>91.71</v>
      </c>
      <c r="W150" s="8"/>
      <c r="X150" s="8"/>
      <c r="Y150" s="8"/>
      <c r="Z150" s="8"/>
    </row>
    <row r="151" ht="14.25" customHeight="1">
      <c r="B151" s="1" t="s">
        <v>39</v>
      </c>
      <c r="C151" s="1">
        <v>164.0</v>
      </c>
      <c r="D151" s="1">
        <v>612.0</v>
      </c>
      <c r="E151" s="1">
        <v>4.0</v>
      </c>
      <c r="F151" s="1">
        <v>27.0</v>
      </c>
      <c r="G151" s="1">
        <v>227.0</v>
      </c>
      <c r="H151" s="1">
        <v>1.0</v>
      </c>
      <c r="I151" s="1">
        <v>0.4</v>
      </c>
      <c r="J151" s="1">
        <v>111.7</v>
      </c>
      <c r="K151" s="18">
        <f t="shared" si="1"/>
        <v>34</v>
      </c>
      <c r="L151" s="18">
        <f t="shared" si="2"/>
        <v>10.73610063</v>
      </c>
      <c r="M151" s="112"/>
      <c r="N151" s="112"/>
      <c r="O151" s="112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B152" s="1" t="s">
        <v>48</v>
      </c>
      <c r="C152" s="1">
        <v>88.0</v>
      </c>
      <c r="D152" s="1">
        <v>362.2</v>
      </c>
      <c r="E152" s="1">
        <v>2.2</v>
      </c>
      <c r="F152" s="1">
        <v>8.4</v>
      </c>
      <c r="G152" s="1">
        <v>60.0</v>
      </c>
      <c r="H152" s="1">
        <v>0.3</v>
      </c>
      <c r="I152" s="1">
        <v>2.0</v>
      </c>
      <c r="J152" s="1">
        <v>74.5</v>
      </c>
      <c r="K152" s="18">
        <f t="shared" si="1"/>
        <v>20.12222222</v>
      </c>
      <c r="L152" s="18">
        <f t="shared" si="2"/>
        <v>2.837735849</v>
      </c>
      <c r="M152" s="112"/>
      <c r="N152" s="112"/>
      <c r="O152" s="112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1" t="s">
        <v>490</v>
      </c>
      <c r="B153" s="1" t="s">
        <v>208</v>
      </c>
      <c r="C153" s="1">
        <v>121.0</v>
      </c>
      <c r="D153" s="1">
        <v>532.0</v>
      </c>
      <c r="E153" s="1">
        <v>3.0</v>
      </c>
      <c r="F153" s="1">
        <v>18.0</v>
      </c>
      <c r="G153" s="1">
        <v>146.0</v>
      </c>
      <c r="H153" s="1">
        <v>1.0</v>
      </c>
      <c r="I153" s="1">
        <v>5.0</v>
      </c>
      <c r="J153" s="1">
        <v>99.8</v>
      </c>
      <c r="K153" s="18">
        <f t="shared" si="1"/>
        <v>29.55555556</v>
      </c>
      <c r="L153" s="18">
        <f t="shared" si="2"/>
        <v>6.905157233</v>
      </c>
      <c r="M153" s="112">
        <f>C155*Scoring!$B$32+D155/Scoring!$C$32+E155*Scoring!$D$32+F155*Scoring!$E$32+G155/Scoring!$F$32+H155*Scoring!$G$32+I155*Scoring!$H$32+K155*Scoring!$I$32+RB!L155*Scoring!$J$32+U153</f>
        <v>90.8</v>
      </c>
      <c r="N153" s="112">
        <f>C153*Scoring!$B$32+D153/Scoring!$C$32+E153*Scoring!$D$32+F153*Scoring!$E$32+G153/Scoring!$F$32+H153*Scoring!$G$32+I153*Scoring!$H$32+K153*Scoring!$I$32+RB!L153*Scoring!$J$32+U153</f>
        <v>90.8</v>
      </c>
      <c r="O153" s="112">
        <f>C154*Scoring!$B$32+D154/Scoring!$C$32+E154*Scoring!$D$32+F154*Scoring!$E$32+G154/Scoring!$F$32+H154*Scoring!$G$32+I154*Scoring!$H$32+K154*Scoring!$I$32+L154*Scoring!$J$32+U153</f>
        <v>90.8</v>
      </c>
      <c r="P153" s="8">
        <f>IF(COUNTIF(Rookies!$A:$A,A153)&gt;0,1,0)</f>
        <v>0</v>
      </c>
      <c r="Q153" s="8"/>
      <c r="R153" s="8"/>
      <c r="S153" s="8">
        <f>V153/17</f>
        <v>5.341176471</v>
      </c>
      <c r="T153" s="8">
        <f>IF(P153=1,MAX(0,0.258*(14.9-S153)),0)</f>
        <v>0</v>
      </c>
      <c r="U153" s="8">
        <f>T153*17</f>
        <v>0</v>
      </c>
      <c r="V153" s="8">
        <f>C153*Scoring!$B$32+D153/Scoring!$C$32+E153*Scoring!$D$32+F153*Scoring!$E$32+G153/Scoring!$F$32+H153*Scoring!$G$32+I153*Scoring!$H$32+K153*Scoring!$I$32+RB!L153*Scoring!$J$32</f>
        <v>90.8</v>
      </c>
      <c r="W153" s="8"/>
      <c r="X153" s="8"/>
      <c r="Y153" s="8"/>
      <c r="Z153" s="8"/>
    </row>
    <row r="154" ht="14.25" customHeight="1">
      <c r="B154" s="1" t="s">
        <v>39</v>
      </c>
      <c r="C154" s="1">
        <v>121.0</v>
      </c>
      <c r="D154" s="1">
        <v>532.0</v>
      </c>
      <c r="E154" s="1">
        <v>3.0</v>
      </c>
      <c r="F154" s="1">
        <v>18.0</v>
      </c>
      <c r="G154" s="1">
        <v>146.0</v>
      </c>
      <c r="H154" s="1">
        <v>1.0</v>
      </c>
      <c r="I154" s="1">
        <v>5.0</v>
      </c>
      <c r="J154" s="1">
        <v>84.0</v>
      </c>
      <c r="K154" s="18">
        <f t="shared" si="1"/>
        <v>29.55555556</v>
      </c>
      <c r="L154" s="18">
        <f t="shared" si="2"/>
        <v>6.905157233</v>
      </c>
      <c r="M154" s="112"/>
      <c r="N154" s="112"/>
      <c r="O154" s="112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B155" s="1" t="s">
        <v>48</v>
      </c>
      <c r="C155" s="1">
        <v>121.0</v>
      </c>
      <c r="D155" s="1">
        <v>532.0</v>
      </c>
      <c r="E155" s="1">
        <v>3.0</v>
      </c>
      <c r="F155" s="1">
        <v>18.0</v>
      </c>
      <c r="G155" s="1">
        <v>146.0</v>
      </c>
      <c r="H155" s="1">
        <v>1.0</v>
      </c>
      <c r="I155" s="1">
        <v>5.0</v>
      </c>
      <c r="J155" s="1">
        <v>84.0</v>
      </c>
      <c r="K155" s="18">
        <f t="shared" si="1"/>
        <v>29.55555556</v>
      </c>
      <c r="L155" s="18">
        <f t="shared" si="2"/>
        <v>6.905157233</v>
      </c>
      <c r="M155" s="112"/>
      <c r="N155" s="112"/>
      <c r="O155" s="112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1" t="s">
        <v>493</v>
      </c>
      <c r="B156" s="1" t="s">
        <v>217</v>
      </c>
      <c r="C156" s="1">
        <v>111.7</v>
      </c>
      <c r="D156" s="1">
        <v>425.3</v>
      </c>
      <c r="E156" s="1">
        <v>4.7</v>
      </c>
      <c r="F156" s="1">
        <v>17.1</v>
      </c>
      <c r="G156" s="1">
        <v>110.9</v>
      </c>
      <c r="H156" s="1">
        <v>0.2</v>
      </c>
      <c r="I156" s="1">
        <v>0.6</v>
      </c>
      <c r="J156" s="1">
        <v>98.5</v>
      </c>
      <c r="K156" s="18">
        <f t="shared" si="1"/>
        <v>23.62777778</v>
      </c>
      <c r="L156" s="18">
        <f t="shared" si="2"/>
        <v>5.245081761</v>
      </c>
      <c r="M156" s="112">
        <f>C158*Scoring!$B$32+D158/Scoring!$C$32+E158*Scoring!$D$32+F158*Scoring!$E$32+G158/Scoring!$F$32+H158*Scoring!$G$32+I158*Scoring!$H$32+K158*Scoring!$I$32+RB!L158*Scoring!$J$32+U156</f>
        <v>73.87</v>
      </c>
      <c r="N156" s="112">
        <f>C156*Scoring!$B$32+D156/Scoring!$C$32+E156*Scoring!$D$32+F156*Scoring!$E$32+G156/Scoring!$F$32+H156*Scoring!$G$32+I156*Scoring!$H$32+K156*Scoring!$I$32+RB!L156*Scoring!$J$32+U156</f>
        <v>90.37</v>
      </c>
      <c r="O156" s="112">
        <f>C157*Scoring!$B$32+D157/Scoring!$C$32+E157*Scoring!$D$32+F157*Scoring!$E$32+G157/Scoring!$F$32+H157*Scoring!$G$32+I157*Scoring!$H$32+K157*Scoring!$I$32+L157*Scoring!$J$32+U156</f>
        <v>106.23</v>
      </c>
      <c r="P156" s="8">
        <f>IF(COUNTIF(Rookies!$A:$A,A156)&gt;0,1,0)</f>
        <v>0</v>
      </c>
      <c r="Q156" s="8"/>
      <c r="R156" s="8"/>
      <c r="S156" s="8">
        <f>V156/17</f>
        <v>5.315882353</v>
      </c>
      <c r="T156" s="8">
        <f>IF(P156=1,MAX(0,0.258*(14.9-S156)),0)</f>
        <v>0</v>
      </c>
      <c r="U156" s="8">
        <f>T156*17</f>
        <v>0</v>
      </c>
      <c r="V156" s="8">
        <f>C156*Scoring!$B$32+D156/Scoring!$C$32+E156*Scoring!$D$32+F156*Scoring!$E$32+G156/Scoring!$F$32+H156*Scoring!$G$32+I156*Scoring!$H$32+K156*Scoring!$I$32+RB!L156*Scoring!$J$32</f>
        <v>90.37</v>
      </c>
      <c r="W156" s="8"/>
      <c r="X156" s="8"/>
      <c r="Y156" s="8"/>
      <c r="Z156" s="8"/>
    </row>
    <row r="157" ht="14.25" customHeight="1">
      <c r="B157" s="1" t="s">
        <v>39</v>
      </c>
      <c r="C157" s="1">
        <v>126.0</v>
      </c>
      <c r="D157" s="1">
        <v>466.0</v>
      </c>
      <c r="E157" s="1">
        <v>6.0</v>
      </c>
      <c r="F157" s="1">
        <v>18.1</v>
      </c>
      <c r="G157" s="1">
        <v>125.8</v>
      </c>
      <c r="H157" s="1">
        <v>0.4</v>
      </c>
      <c r="I157" s="1">
        <v>0.2</v>
      </c>
      <c r="J157" s="1">
        <v>93.1</v>
      </c>
      <c r="K157" s="18">
        <f t="shared" si="1"/>
        <v>25.88888889</v>
      </c>
      <c r="L157" s="18">
        <f t="shared" si="2"/>
        <v>5.949786164</v>
      </c>
      <c r="M157" s="112"/>
      <c r="N157" s="112"/>
      <c r="O157" s="112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B158" s="1" t="s">
        <v>48</v>
      </c>
      <c r="C158" s="1">
        <v>97.4</v>
      </c>
      <c r="D158" s="1">
        <v>384.7</v>
      </c>
      <c r="E158" s="1">
        <v>3.3</v>
      </c>
      <c r="F158" s="1">
        <v>16.0</v>
      </c>
      <c r="G158" s="1">
        <v>96.0</v>
      </c>
      <c r="H158" s="1">
        <v>0.0</v>
      </c>
      <c r="I158" s="1">
        <v>1.0</v>
      </c>
      <c r="J158" s="1">
        <v>90.2</v>
      </c>
      <c r="K158" s="18">
        <f t="shared" si="1"/>
        <v>21.37222222</v>
      </c>
      <c r="L158" s="18">
        <f t="shared" si="2"/>
        <v>4.540377358</v>
      </c>
      <c r="M158" s="112"/>
      <c r="N158" s="112"/>
      <c r="O158" s="112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1" t="s">
        <v>495</v>
      </c>
      <c r="B159" s="1" t="s">
        <v>210</v>
      </c>
      <c r="C159" s="1">
        <v>111.8</v>
      </c>
      <c r="D159" s="1">
        <v>449.0</v>
      </c>
      <c r="E159" s="1">
        <v>4.5</v>
      </c>
      <c r="F159" s="1">
        <v>13.9</v>
      </c>
      <c r="G159" s="1">
        <v>100.8</v>
      </c>
      <c r="H159" s="1">
        <v>0.7</v>
      </c>
      <c r="I159" s="1">
        <v>1.7</v>
      </c>
      <c r="J159" s="1">
        <v>96.5</v>
      </c>
      <c r="K159" s="18">
        <f t="shared" si="1"/>
        <v>24.94444444</v>
      </c>
      <c r="L159" s="18">
        <f t="shared" si="2"/>
        <v>4.767396226</v>
      </c>
      <c r="M159" s="112">
        <f>C161*Scoring!$B$32+D161/Scoring!$C$32+E161*Scoring!$D$32+F161*Scoring!$E$32+G161/Scoring!$F$32+H161*Scoring!$G$32+I161*Scoring!$H$32+K161*Scoring!$I$32+RB!L161*Scoring!$J$32+U159</f>
        <v>64.01</v>
      </c>
      <c r="N159" s="112">
        <f>C159*Scoring!$B$32+D159/Scoring!$C$32+E159*Scoring!$D$32+F159*Scoring!$E$32+G159/Scoring!$F$32+H159*Scoring!$G$32+I159*Scoring!$H$32+K159*Scoring!$I$32+RB!L159*Scoring!$J$32+U159</f>
        <v>89.73</v>
      </c>
      <c r="O159" s="112">
        <f>C160*Scoring!$B$32+D160/Scoring!$C$32+E160*Scoring!$D$32+F160*Scoring!$E$32+G160/Scoring!$F$32+H160*Scoring!$G$32+I160*Scoring!$H$32+K160*Scoring!$I$32+L160*Scoring!$J$32+U159</f>
        <v>114.8</v>
      </c>
      <c r="P159" s="8">
        <f>IF(COUNTIF(Rookies!$A:$A,A159)&gt;0,1,0)</f>
        <v>0</v>
      </c>
      <c r="Q159" s="8"/>
      <c r="R159" s="8"/>
      <c r="S159" s="8">
        <f>V159/17</f>
        <v>5.278235294</v>
      </c>
      <c r="T159" s="8">
        <f>IF(P159=1,MAX(0,0.258*(14.9-S159)),0)</f>
        <v>0</v>
      </c>
      <c r="U159" s="8">
        <f>T159*17</f>
        <v>0</v>
      </c>
      <c r="V159" s="8">
        <f>C159*Scoring!$B$32+D159/Scoring!$C$32+E159*Scoring!$D$32+F159*Scoring!$E$32+G159/Scoring!$F$32+H159*Scoring!$G$32+I159*Scoring!$H$32+K159*Scoring!$I$32+RB!L159*Scoring!$J$32</f>
        <v>89.73</v>
      </c>
      <c r="W159" s="8"/>
      <c r="X159" s="8"/>
      <c r="Y159" s="8"/>
      <c r="Z159" s="8"/>
    </row>
    <row r="160" ht="14.25" customHeight="1">
      <c r="B160" s="1" t="s">
        <v>39</v>
      </c>
      <c r="C160" s="1">
        <v>141.0</v>
      </c>
      <c r="D160" s="1">
        <v>550.0</v>
      </c>
      <c r="E160" s="1">
        <v>6.0</v>
      </c>
      <c r="F160" s="1">
        <v>15.0</v>
      </c>
      <c r="G160" s="1">
        <v>111.0</v>
      </c>
      <c r="H160" s="1">
        <v>1.0</v>
      </c>
      <c r="I160" s="1">
        <v>0.4</v>
      </c>
      <c r="J160" s="1">
        <v>100.9</v>
      </c>
      <c r="K160" s="18">
        <f t="shared" si="1"/>
        <v>30.55555556</v>
      </c>
      <c r="L160" s="18">
        <f t="shared" si="2"/>
        <v>5.249811321</v>
      </c>
      <c r="M160" s="112"/>
      <c r="N160" s="112"/>
      <c r="O160" s="112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B161" s="1" t="s">
        <v>48</v>
      </c>
      <c r="C161" s="1">
        <v>82.6</v>
      </c>
      <c r="D161" s="1">
        <v>348.1</v>
      </c>
      <c r="E161" s="1">
        <v>2.9</v>
      </c>
      <c r="F161" s="1">
        <v>12.7</v>
      </c>
      <c r="G161" s="1">
        <v>90.5</v>
      </c>
      <c r="H161" s="1">
        <v>0.4</v>
      </c>
      <c r="I161" s="1">
        <v>3.0</v>
      </c>
      <c r="J161" s="1">
        <v>77.8</v>
      </c>
      <c r="K161" s="18">
        <f t="shared" si="1"/>
        <v>19.33888889</v>
      </c>
      <c r="L161" s="18">
        <f t="shared" si="2"/>
        <v>4.280251572</v>
      </c>
      <c r="M161" s="112"/>
      <c r="N161" s="112"/>
      <c r="O161" s="112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1" t="s">
        <v>496</v>
      </c>
      <c r="B162" s="1" t="s">
        <v>127</v>
      </c>
      <c r="C162" s="1">
        <v>98.5</v>
      </c>
      <c r="D162" s="1">
        <v>441.8</v>
      </c>
      <c r="E162" s="1">
        <v>3.7</v>
      </c>
      <c r="F162" s="1">
        <v>17.9</v>
      </c>
      <c r="G162" s="1">
        <v>135.7</v>
      </c>
      <c r="H162" s="1">
        <v>0.4</v>
      </c>
      <c r="I162" s="1">
        <v>1.9</v>
      </c>
      <c r="J162" s="1">
        <v>96.1</v>
      </c>
      <c r="K162" s="18">
        <f t="shared" si="1"/>
        <v>24.54444444</v>
      </c>
      <c r="L162" s="18">
        <f t="shared" si="2"/>
        <v>6.418012579</v>
      </c>
      <c r="M162" s="112">
        <f>C164*Scoring!$B$32+D164/Scoring!$C$32+E164*Scoring!$D$32+F164*Scoring!$E$32+G164/Scoring!$F$32+H164*Scoring!$G$32+I164*Scoring!$H$32+K164*Scoring!$I$32+RB!L164*Scoring!$J$32+U162</f>
        <v>80.16</v>
      </c>
      <c r="N162" s="112">
        <f>C162*Scoring!$B$32+D162/Scoring!$C$32+E162*Scoring!$D$32+F162*Scoring!$E$32+G162/Scoring!$F$32+H162*Scoring!$G$32+I162*Scoring!$H$32+K162*Scoring!$I$32+RB!L162*Scoring!$J$32+U162</f>
        <v>87.5</v>
      </c>
      <c r="O162" s="112">
        <f>C163*Scoring!$B$32+D163/Scoring!$C$32+E163*Scoring!$D$32+F163*Scoring!$E$32+G163/Scoring!$F$32+H163*Scoring!$G$32+I163*Scoring!$H$32+K163*Scoring!$I$32+L163*Scoring!$J$32+U162</f>
        <v>94.24</v>
      </c>
      <c r="P162" s="8">
        <f>IF(COUNTIF(Rookies!$A:$A,A162)&gt;0,1,0)</f>
        <v>0</v>
      </c>
      <c r="Q162" s="8"/>
      <c r="R162" s="8"/>
      <c r="S162" s="8">
        <f>V162/17</f>
        <v>5.147058824</v>
      </c>
      <c r="T162" s="8">
        <f>IF(P162=1,MAX(0,0.258*(14.9-S162)),0)</f>
        <v>0</v>
      </c>
      <c r="U162" s="8">
        <f>T162*17</f>
        <v>0</v>
      </c>
      <c r="V162" s="8">
        <f>C162*Scoring!$B$32+D162/Scoring!$C$32+E162*Scoring!$D$32+F162*Scoring!$E$32+G162/Scoring!$F$32+H162*Scoring!$G$32+I162*Scoring!$H$32+K162*Scoring!$I$32+RB!L162*Scoring!$J$32</f>
        <v>87.5</v>
      </c>
      <c r="W162" s="8"/>
      <c r="X162" s="8"/>
      <c r="Y162" s="8"/>
      <c r="Z162" s="8"/>
    </row>
    <row r="163" ht="14.25" customHeight="1">
      <c r="B163" s="1" t="s">
        <v>39</v>
      </c>
      <c r="C163" s="1">
        <v>101.1</v>
      </c>
      <c r="D163" s="1">
        <v>443.0</v>
      </c>
      <c r="E163" s="1">
        <v>4.0</v>
      </c>
      <c r="F163" s="1">
        <v>18.8</v>
      </c>
      <c r="G163" s="1">
        <v>139.4</v>
      </c>
      <c r="H163" s="1">
        <v>0.7</v>
      </c>
      <c r="I163" s="1">
        <v>0.8</v>
      </c>
      <c r="J163" s="1">
        <v>99.6</v>
      </c>
      <c r="K163" s="18">
        <f t="shared" si="1"/>
        <v>24.61111111</v>
      </c>
      <c r="L163" s="18">
        <f t="shared" si="2"/>
        <v>6.593006289</v>
      </c>
      <c r="M163" s="112"/>
      <c r="N163" s="112"/>
      <c r="O163" s="112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B164" s="1" t="s">
        <v>48</v>
      </c>
      <c r="C164" s="1">
        <v>96.0</v>
      </c>
      <c r="D164" s="1">
        <v>440.6</v>
      </c>
      <c r="E164" s="1">
        <v>3.4</v>
      </c>
      <c r="F164" s="1">
        <v>17.0</v>
      </c>
      <c r="G164" s="1">
        <v>132.0</v>
      </c>
      <c r="H164" s="1">
        <v>0.0</v>
      </c>
      <c r="I164" s="1">
        <v>3.0</v>
      </c>
      <c r="J164" s="1">
        <v>76.9</v>
      </c>
      <c r="K164" s="18">
        <f t="shared" si="1"/>
        <v>24.47777778</v>
      </c>
      <c r="L164" s="18">
        <f t="shared" si="2"/>
        <v>6.243018868</v>
      </c>
      <c r="M164" s="112"/>
      <c r="N164" s="112"/>
      <c r="O164" s="112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1" t="s">
        <v>499</v>
      </c>
      <c r="B165" s="1" t="s">
        <v>145</v>
      </c>
      <c r="C165" s="1">
        <v>135.5</v>
      </c>
      <c r="D165" s="1">
        <v>560.8</v>
      </c>
      <c r="E165" s="1">
        <v>5.1</v>
      </c>
      <c r="F165" s="1">
        <v>5.4</v>
      </c>
      <c r="G165" s="1">
        <v>42.8</v>
      </c>
      <c r="H165" s="1">
        <v>0.1</v>
      </c>
      <c r="I165" s="1">
        <v>0.6</v>
      </c>
      <c r="J165" s="1">
        <v>95.6</v>
      </c>
      <c r="K165" s="18">
        <f t="shared" si="1"/>
        <v>31.15555556</v>
      </c>
      <c r="L165" s="18">
        <f t="shared" si="2"/>
        <v>2.024251572</v>
      </c>
      <c r="M165" s="112">
        <f>C167*Scoring!$B$32+D167/Scoring!$C$32+E167*Scoring!$D$32+F167*Scoring!$E$32+G167/Scoring!$F$32+H167*Scoring!$G$32+I167*Scoring!$H$32+K167*Scoring!$I$32+RB!L167*Scoring!$J$32+U165</f>
        <v>64.93</v>
      </c>
      <c r="N165" s="112">
        <f>C165*Scoring!$B$32+D165/Scoring!$C$32+E165*Scoring!$D$32+F165*Scoring!$E$32+G165/Scoring!$F$32+H165*Scoring!$G$32+I165*Scoring!$H$32+K165*Scoring!$I$32+RB!L165*Scoring!$J$32+U165</f>
        <v>93.06</v>
      </c>
      <c r="O165" s="112">
        <f>C166*Scoring!$B$32+D166/Scoring!$C$32+E166*Scoring!$D$32+F166*Scoring!$E$32+G166/Scoring!$F$32+H166*Scoring!$G$32+I166*Scoring!$H$32+K166*Scoring!$I$32+L166*Scoring!$J$32+U165</f>
        <v>130.6</v>
      </c>
      <c r="P165" s="8">
        <f>IF(COUNTIF(Rookies!$A:$A,A165)&gt;0,1,0)</f>
        <v>0</v>
      </c>
      <c r="Q165" s="8"/>
      <c r="R165" s="8"/>
      <c r="S165" s="8">
        <f>V165/17</f>
        <v>5.474117647</v>
      </c>
      <c r="T165" s="8">
        <f>IF(P165=1,MAX(0,0.258*(14.9-S165)),0)</f>
        <v>0</v>
      </c>
      <c r="U165" s="8">
        <f>T165*17</f>
        <v>0</v>
      </c>
      <c r="V165" s="8">
        <f>C165*Scoring!$B$32+D165/Scoring!$C$32+E165*Scoring!$D$32+F165*Scoring!$E$32+G165/Scoring!$F$32+H165*Scoring!$G$32+I165*Scoring!$H$32+K165*Scoring!$I$32+RB!L165*Scoring!$J$32</f>
        <v>93.06</v>
      </c>
      <c r="W165" s="8"/>
      <c r="X165" s="8"/>
      <c r="Y165" s="8"/>
      <c r="Z165" s="8"/>
    </row>
    <row r="166" ht="14.25" customHeight="1">
      <c r="B166" s="1" t="s">
        <v>39</v>
      </c>
      <c r="C166" s="1">
        <v>177.0</v>
      </c>
      <c r="D166" s="1">
        <v>694.0</v>
      </c>
      <c r="E166" s="1">
        <v>8.0</v>
      </c>
      <c r="F166" s="1">
        <v>10.0</v>
      </c>
      <c r="G166" s="1">
        <v>76.0</v>
      </c>
      <c r="H166" s="1">
        <v>0.2</v>
      </c>
      <c r="I166" s="1">
        <v>0.3</v>
      </c>
      <c r="J166" s="1">
        <v>113.4</v>
      </c>
      <c r="K166" s="18">
        <f t="shared" si="1"/>
        <v>38.55555556</v>
      </c>
      <c r="L166" s="18">
        <f t="shared" si="2"/>
        <v>3.594465409</v>
      </c>
      <c r="M166" s="112"/>
      <c r="N166" s="112"/>
      <c r="O166" s="112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B167" s="1" t="s">
        <v>48</v>
      </c>
      <c r="C167" s="1">
        <v>100.5</v>
      </c>
      <c r="D167" s="1">
        <v>432.3</v>
      </c>
      <c r="E167" s="1">
        <v>3.4</v>
      </c>
      <c r="F167" s="1">
        <v>2.0</v>
      </c>
      <c r="G167" s="1">
        <v>23.0</v>
      </c>
      <c r="H167" s="1">
        <v>0.0</v>
      </c>
      <c r="I167" s="1">
        <v>1.0</v>
      </c>
      <c r="J167" s="1">
        <v>72.7</v>
      </c>
      <c r="K167" s="18">
        <f t="shared" si="1"/>
        <v>24.01666667</v>
      </c>
      <c r="L167" s="18">
        <f t="shared" si="2"/>
        <v>1.087798742</v>
      </c>
      <c r="M167" s="112"/>
      <c r="N167" s="112"/>
      <c r="O167" s="112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1" t="s">
        <v>501</v>
      </c>
      <c r="B168" s="1" t="s">
        <v>18</v>
      </c>
      <c r="C168" s="1">
        <v>51.9</v>
      </c>
      <c r="D168" s="1">
        <v>218.8</v>
      </c>
      <c r="E168" s="1">
        <v>1.7</v>
      </c>
      <c r="F168" s="1">
        <v>24.9</v>
      </c>
      <c r="G168" s="1">
        <v>252.7</v>
      </c>
      <c r="H168" s="1">
        <v>2.1</v>
      </c>
      <c r="I168" s="1">
        <v>0.2</v>
      </c>
      <c r="J168" s="1">
        <v>94.5</v>
      </c>
      <c r="K168" s="18">
        <f t="shared" si="1"/>
        <v>12.15555556</v>
      </c>
      <c r="L168" s="18">
        <f t="shared" si="2"/>
        <v>11.95159748</v>
      </c>
      <c r="M168" s="112">
        <f>C170*Scoring!$B$32+D170/Scoring!$C$32+E170*Scoring!$D$32+F170*Scoring!$E$32+G170/Scoring!$F$32+H170*Scoring!$G$32+I170*Scoring!$H$32+K170*Scoring!$I$32+RB!L170*Scoring!$J$32+U168</f>
        <v>65.8</v>
      </c>
      <c r="N168" s="112">
        <f>C168*Scoring!$B$32+D168/Scoring!$C$32+E168*Scoring!$D$32+F168*Scoring!$E$32+G168/Scoring!$F$32+H168*Scoring!$G$32+I168*Scoring!$H$32+K168*Scoring!$I$32+RB!L168*Scoring!$J$32+U168</f>
        <v>82</v>
      </c>
      <c r="O168" s="112">
        <f>C169*Scoring!$B$32+D169/Scoring!$C$32+E169*Scoring!$D$32+F169*Scoring!$E$32+G169/Scoring!$F$32+H169*Scoring!$G$32+I169*Scoring!$H$32+K169*Scoring!$I$32+L169*Scoring!$J$32+U168</f>
        <v>95.6</v>
      </c>
      <c r="P168" s="8">
        <f>IF(COUNTIF(Rookies!$A:$A,A168)&gt;0,1,0)</f>
        <v>0</v>
      </c>
      <c r="Q168" s="8"/>
      <c r="R168" s="8"/>
      <c r="S168" s="8">
        <f>V168/17</f>
        <v>4.823529412</v>
      </c>
      <c r="T168" s="8">
        <f>IF(P168=1,MAX(0,0.258*(14.9-S168)),0)</f>
        <v>0</v>
      </c>
      <c r="U168" s="8">
        <f>T168*17</f>
        <v>0</v>
      </c>
      <c r="V168" s="8">
        <f>C168*Scoring!$B$32+D168/Scoring!$C$32+E168*Scoring!$D$32+F168*Scoring!$E$32+G168/Scoring!$F$32+H168*Scoring!$G$32+I168*Scoring!$H$32+K168*Scoring!$I$32+RB!L168*Scoring!$J$32</f>
        <v>82</v>
      </c>
      <c r="W168" s="8"/>
      <c r="X168" s="8"/>
      <c r="Y168" s="8"/>
      <c r="Z168" s="8"/>
    </row>
    <row r="169" ht="14.25" customHeight="1">
      <c r="B169" s="1" t="s">
        <v>39</v>
      </c>
      <c r="C169" s="1">
        <v>53.0</v>
      </c>
      <c r="D169" s="1">
        <v>225.0</v>
      </c>
      <c r="E169" s="1">
        <v>2.1</v>
      </c>
      <c r="F169" s="1">
        <v>29.0</v>
      </c>
      <c r="G169" s="1">
        <v>280.0</v>
      </c>
      <c r="H169" s="1">
        <v>3.0</v>
      </c>
      <c r="I169" s="1">
        <v>0.0</v>
      </c>
      <c r="J169" s="1">
        <v>105.6</v>
      </c>
      <c r="K169" s="18">
        <f t="shared" si="1"/>
        <v>12.5</v>
      </c>
      <c r="L169" s="18">
        <f t="shared" si="2"/>
        <v>13.2427673</v>
      </c>
      <c r="M169" s="112"/>
      <c r="N169" s="112"/>
      <c r="O169" s="112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B170" s="1" t="s">
        <v>48</v>
      </c>
      <c r="C170" s="1">
        <v>50.8</v>
      </c>
      <c r="D170" s="1">
        <v>212.0</v>
      </c>
      <c r="E170" s="1">
        <v>1.0</v>
      </c>
      <c r="F170" s="1">
        <v>21.6</v>
      </c>
      <c r="G170" s="1">
        <v>208.0</v>
      </c>
      <c r="H170" s="1">
        <v>1.3</v>
      </c>
      <c r="I170" s="1">
        <v>0.4</v>
      </c>
      <c r="J170" s="1">
        <v>88.0</v>
      </c>
      <c r="K170" s="18">
        <f t="shared" si="1"/>
        <v>11.77777778</v>
      </c>
      <c r="L170" s="18">
        <f t="shared" si="2"/>
        <v>9.837484277</v>
      </c>
      <c r="M170" s="112"/>
      <c r="N170" s="112"/>
      <c r="O170" s="112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1" t="s">
        <v>503</v>
      </c>
      <c r="B171" s="1" t="s">
        <v>140</v>
      </c>
      <c r="C171" s="1">
        <v>113.6</v>
      </c>
      <c r="D171" s="1">
        <v>452.7</v>
      </c>
      <c r="E171" s="1">
        <v>3.6</v>
      </c>
      <c r="F171" s="1">
        <v>10.6</v>
      </c>
      <c r="G171" s="1">
        <v>95.0</v>
      </c>
      <c r="H171" s="1">
        <v>0.7</v>
      </c>
      <c r="I171" s="1">
        <v>1.2</v>
      </c>
      <c r="J171" s="1">
        <v>88.7</v>
      </c>
      <c r="K171" s="18">
        <f t="shared" si="1"/>
        <v>25.15</v>
      </c>
      <c r="L171" s="18">
        <f t="shared" si="2"/>
        <v>4.493081761</v>
      </c>
      <c r="M171" s="112">
        <f>C173*Scoring!$B$32+D173/Scoring!$C$32+E173*Scoring!$D$32+F173*Scoring!$E$32+G173/Scoring!$F$32+H173*Scoring!$G$32+I173*Scoring!$H$32+K173*Scoring!$I$32+RB!L173*Scoring!$J$32+U171</f>
        <v>96.96614</v>
      </c>
      <c r="N171" s="112">
        <f>C171*Scoring!$B$32+D171/Scoring!$C$32+E171*Scoring!$D$32+F171*Scoring!$E$32+G171/Scoring!$F$32+H171*Scoring!$G$32+I171*Scoring!$H$32+K171*Scoring!$I$32+RB!L171*Scoring!$J$32+U171</f>
        <v>127.28614</v>
      </c>
      <c r="O171" s="112">
        <f>C172*Scoring!$B$32+D172/Scoring!$C$32+E172*Scoring!$D$32+F172*Scoring!$E$32+G172/Scoring!$F$32+H172*Scoring!$G$32+I172*Scoring!$H$32+K172*Scoring!$I$32+L172*Scoring!$J$32+U171</f>
        <v>157.81614</v>
      </c>
      <c r="P171" s="8">
        <f>IF(COUNTIF(Rookies!$A:$A,A171)&gt;0,1,0)</f>
        <v>1</v>
      </c>
      <c r="Q171" s="8"/>
      <c r="R171" s="8"/>
      <c r="S171" s="8">
        <f>V171/17</f>
        <v>4.91</v>
      </c>
      <c r="T171" s="8">
        <f>IF(P171=1,MAX(0,0.258*(14.9-S171)),0)</f>
        <v>2.57742</v>
      </c>
      <c r="U171" s="8">
        <f>T171*17</f>
        <v>43.81614</v>
      </c>
      <c r="V171" s="8">
        <f>C171*Scoring!$B$32+D171/Scoring!$C$32+E171*Scoring!$D$32+F171*Scoring!$E$32+G171/Scoring!$F$32+H171*Scoring!$G$32+I171*Scoring!$H$32+K171*Scoring!$I$32+RB!L171*Scoring!$J$32</f>
        <v>83.47</v>
      </c>
      <c r="W171" s="8"/>
      <c r="X171" s="8"/>
      <c r="Y171" s="8"/>
      <c r="Z171" s="8"/>
    </row>
    <row r="172" ht="14.25" customHeight="1">
      <c r="B172" s="1" t="s">
        <v>39</v>
      </c>
      <c r="C172" s="1">
        <v>152.0</v>
      </c>
      <c r="D172" s="1">
        <v>594.0</v>
      </c>
      <c r="E172" s="1">
        <v>5.0</v>
      </c>
      <c r="F172" s="1">
        <v>13.0</v>
      </c>
      <c r="G172" s="1">
        <v>127.0</v>
      </c>
      <c r="H172" s="1">
        <v>1.0</v>
      </c>
      <c r="I172" s="1">
        <v>0.3</v>
      </c>
      <c r="J172" s="1">
        <v>97.6</v>
      </c>
      <c r="K172" s="18">
        <f t="shared" si="1"/>
        <v>33</v>
      </c>
      <c r="L172" s="18">
        <f t="shared" si="2"/>
        <v>6.006540881</v>
      </c>
      <c r="M172" s="112"/>
      <c r="N172" s="112"/>
      <c r="O172" s="112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B173" s="1" t="s">
        <v>48</v>
      </c>
      <c r="C173" s="1">
        <v>75.2</v>
      </c>
      <c r="D173" s="1">
        <v>311.5</v>
      </c>
      <c r="E173" s="1">
        <v>2.2</v>
      </c>
      <c r="F173" s="1">
        <v>8.2</v>
      </c>
      <c r="G173" s="1">
        <v>63.0</v>
      </c>
      <c r="H173" s="1">
        <v>0.4</v>
      </c>
      <c r="I173" s="1">
        <v>2.0</v>
      </c>
      <c r="J173" s="1">
        <v>63.0</v>
      </c>
      <c r="K173" s="18">
        <f t="shared" si="1"/>
        <v>17.30555556</v>
      </c>
      <c r="L173" s="18">
        <f t="shared" si="2"/>
        <v>2.979622642</v>
      </c>
      <c r="M173" s="112"/>
      <c r="N173" s="112"/>
      <c r="O173" s="112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1" t="s">
        <v>505</v>
      </c>
      <c r="B174" s="1" t="s">
        <v>229</v>
      </c>
      <c r="C174" s="1">
        <v>126.8</v>
      </c>
      <c r="D174" s="1">
        <v>544.7</v>
      </c>
      <c r="E174" s="1">
        <v>3.8</v>
      </c>
      <c r="F174" s="1">
        <v>6.4</v>
      </c>
      <c r="G174" s="1">
        <v>41.1</v>
      </c>
      <c r="H174" s="1">
        <v>0.1</v>
      </c>
      <c r="I174" s="1">
        <v>0.7</v>
      </c>
      <c r="J174" s="1">
        <v>87.4</v>
      </c>
      <c r="K174" s="18">
        <f t="shared" si="1"/>
        <v>30.26111111</v>
      </c>
      <c r="L174" s="18">
        <f t="shared" si="2"/>
        <v>1.943849057</v>
      </c>
      <c r="M174" s="112">
        <f>C176*Scoring!$B$32+D176/Scoring!$C$32+E176*Scoring!$D$32+F176*Scoring!$E$32+G176/Scoring!$F$32+H176*Scoring!$G$32+I176*Scoring!$H$32+K176*Scoring!$I$32+RB!L176*Scoring!$J$32+U174</f>
        <v>77.4</v>
      </c>
      <c r="N174" s="112">
        <f>C174*Scoring!$B$32+D174/Scoring!$C$32+E174*Scoring!$D$32+F174*Scoring!$E$32+G174/Scoring!$F$32+H174*Scoring!$G$32+I174*Scoring!$H$32+K174*Scoring!$I$32+RB!L174*Scoring!$J$32+U174</f>
        <v>83.78</v>
      </c>
      <c r="O174" s="112">
        <f>C175*Scoring!$B$32+D175/Scoring!$C$32+E175*Scoring!$D$32+F175*Scoring!$E$32+G175/Scoring!$F$32+H175*Scoring!$G$32+I175*Scoring!$H$32+K175*Scoring!$I$32+L175*Scoring!$J$32+U174</f>
        <v>91.15</v>
      </c>
      <c r="P174" s="8">
        <f>IF(COUNTIF(Rookies!$A:$A,A174)&gt;0,1,0)</f>
        <v>0</v>
      </c>
      <c r="Q174" s="8"/>
      <c r="R174" s="8"/>
      <c r="S174" s="8">
        <f>V174/17</f>
        <v>4.928235294</v>
      </c>
      <c r="T174" s="8">
        <f>IF(P174=1,MAX(0,0.258*(14.9-S174)),0)</f>
        <v>0</v>
      </c>
      <c r="U174" s="8">
        <f>T174*17</f>
        <v>0</v>
      </c>
      <c r="V174" s="8">
        <f>C174*Scoring!$B$32+D174/Scoring!$C$32+E174*Scoring!$D$32+F174*Scoring!$E$32+G174/Scoring!$F$32+H174*Scoring!$G$32+I174*Scoring!$H$32+K174*Scoring!$I$32+RB!L174*Scoring!$J$32</f>
        <v>83.78</v>
      </c>
      <c r="W174" s="8"/>
      <c r="X174" s="8"/>
      <c r="Y174" s="8"/>
      <c r="Z174" s="8"/>
    </row>
    <row r="175" ht="14.25" customHeight="1">
      <c r="B175" s="1" t="s">
        <v>39</v>
      </c>
      <c r="C175" s="1">
        <v>134.6</v>
      </c>
      <c r="D175" s="1">
        <v>560.4</v>
      </c>
      <c r="E175" s="1">
        <v>4.0</v>
      </c>
      <c r="F175" s="1">
        <v>8.8</v>
      </c>
      <c r="G175" s="1">
        <v>59.1</v>
      </c>
      <c r="H175" s="1">
        <v>0.3</v>
      </c>
      <c r="I175" s="1">
        <v>0.5</v>
      </c>
      <c r="J175" s="1">
        <v>91.6</v>
      </c>
      <c r="K175" s="18">
        <f t="shared" si="1"/>
        <v>31.13333333</v>
      </c>
      <c r="L175" s="18">
        <f t="shared" si="2"/>
        <v>2.795169811</v>
      </c>
      <c r="M175" s="112"/>
      <c r="N175" s="112"/>
      <c r="O175" s="112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B176" s="1" t="s">
        <v>48</v>
      </c>
      <c r="C176" s="1">
        <v>119.0</v>
      </c>
      <c r="D176" s="1">
        <v>529.0</v>
      </c>
      <c r="E176" s="1">
        <v>3.7</v>
      </c>
      <c r="F176" s="1">
        <v>4.0</v>
      </c>
      <c r="G176" s="1">
        <v>23.0</v>
      </c>
      <c r="H176" s="1">
        <v>0.0</v>
      </c>
      <c r="I176" s="1">
        <v>1.0</v>
      </c>
      <c r="J176" s="1">
        <v>75.4</v>
      </c>
      <c r="K176" s="18">
        <f t="shared" si="1"/>
        <v>29.38888889</v>
      </c>
      <c r="L176" s="18">
        <f t="shared" si="2"/>
        <v>1.087798742</v>
      </c>
      <c r="M176" s="112"/>
      <c r="N176" s="112"/>
      <c r="O176" s="112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1" t="s">
        <v>507</v>
      </c>
      <c r="B177" s="1" t="s">
        <v>164</v>
      </c>
      <c r="C177" s="1">
        <v>95.6</v>
      </c>
      <c r="D177" s="1">
        <v>432.8</v>
      </c>
      <c r="E177" s="1">
        <v>2.2</v>
      </c>
      <c r="F177" s="1">
        <v>15.5</v>
      </c>
      <c r="G177" s="1">
        <v>114.5</v>
      </c>
      <c r="H177" s="1">
        <v>0.4</v>
      </c>
      <c r="I177" s="1">
        <v>0.7</v>
      </c>
      <c r="J177" s="1">
        <v>84.4</v>
      </c>
      <c r="K177" s="18">
        <f t="shared" si="1"/>
        <v>24.04444444</v>
      </c>
      <c r="L177" s="18">
        <f t="shared" si="2"/>
        <v>5.415345912</v>
      </c>
      <c r="M177" s="112">
        <f>C179*Scoring!$B$32+D179/Scoring!$C$32+E179*Scoring!$D$32+F179*Scoring!$E$32+G179/Scoring!$F$32+H179*Scoring!$G$32+I179*Scoring!$H$32+K179*Scoring!$I$32+RB!L179*Scoring!$J$32+U177</f>
        <v>61.96</v>
      </c>
      <c r="N177" s="112">
        <f>C177*Scoring!$B$32+D177/Scoring!$C$32+E177*Scoring!$D$32+F177*Scoring!$E$32+G177/Scoring!$F$32+H177*Scoring!$G$32+I177*Scoring!$H$32+K177*Scoring!$I$32+RB!L177*Scoring!$J$32+U177</f>
        <v>76.68</v>
      </c>
      <c r="O177" s="112">
        <f>C178*Scoring!$B$32+D178/Scoring!$C$32+E178*Scoring!$D$32+F178*Scoring!$E$32+G178/Scoring!$F$32+H178*Scoring!$G$32+I178*Scoring!$H$32+K178*Scoring!$I$32+L178*Scoring!$J$32+U177</f>
        <v>91.25</v>
      </c>
      <c r="P177" s="8">
        <f>IF(COUNTIF(Rookies!$A:$A,A177)&gt;0,1,0)</f>
        <v>0</v>
      </c>
      <c r="Q177" s="8"/>
      <c r="R177" s="8"/>
      <c r="S177" s="8">
        <f>V177/17</f>
        <v>4.510588235</v>
      </c>
      <c r="T177" s="8">
        <f>IF(P177=1,MAX(0,0.258*(14.9-S177)),0)</f>
        <v>0</v>
      </c>
      <c r="U177" s="8">
        <f>T177*17</f>
        <v>0</v>
      </c>
      <c r="V177" s="8">
        <f>C177*Scoring!$B$32+D177/Scoring!$C$32+E177*Scoring!$D$32+F177*Scoring!$E$32+G177/Scoring!$F$32+H177*Scoring!$G$32+I177*Scoring!$H$32+K177*Scoring!$I$32+RB!L177*Scoring!$J$32</f>
        <v>76.68</v>
      </c>
      <c r="W177" s="8"/>
      <c r="X177" s="8"/>
      <c r="Y177" s="8"/>
      <c r="Z177" s="8"/>
    </row>
    <row r="178" ht="14.25" customHeight="1">
      <c r="B178" s="1" t="s">
        <v>39</v>
      </c>
      <c r="C178" s="1">
        <v>108.0</v>
      </c>
      <c r="D178" s="1">
        <v>473.0</v>
      </c>
      <c r="E178" s="1">
        <v>2.4</v>
      </c>
      <c r="F178" s="1">
        <v>20.1</v>
      </c>
      <c r="G178" s="1">
        <v>157.0</v>
      </c>
      <c r="H178" s="1">
        <v>0.8</v>
      </c>
      <c r="I178" s="1">
        <v>0.5</v>
      </c>
      <c r="J178" s="1">
        <v>89.4</v>
      </c>
      <c r="K178" s="18">
        <f t="shared" si="1"/>
        <v>26.27777778</v>
      </c>
      <c r="L178" s="18">
        <f t="shared" si="2"/>
        <v>7.425408805</v>
      </c>
      <c r="M178" s="112"/>
      <c r="N178" s="112"/>
      <c r="O178" s="112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B179" s="1" t="s">
        <v>48</v>
      </c>
      <c r="C179" s="1">
        <v>83.3</v>
      </c>
      <c r="D179" s="1">
        <v>392.6</v>
      </c>
      <c r="E179" s="1">
        <v>2.0</v>
      </c>
      <c r="F179" s="1">
        <v>11.0</v>
      </c>
      <c r="G179" s="1">
        <v>72.0</v>
      </c>
      <c r="H179" s="1">
        <v>0.0</v>
      </c>
      <c r="I179" s="1">
        <v>1.0</v>
      </c>
      <c r="J179" s="1">
        <v>66.5</v>
      </c>
      <c r="K179" s="18">
        <f t="shared" si="1"/>
        <v>21.81111111</v>
      </c>
      <c r="L179" s="18">
        <f t="shared" si="2"/>
        <v>3.405283019</v>
      </c>
      <c r="M179" s="112"/>
      <c r="N179" s="112"/>
      <c r="O179" s="112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1" t="s">
        <v>509</v>
      </c>
      <c r="B180" s="1" t="s">
        <v>155</v>
      </c>
      <c r="C180" s="1">
        <v>76.8</v>
      </c>
      <c r="D180" s="1">
        <v>427.5</v>
      </c>
      <c r="E180" s="1">
        <v>1.7</v>
      </c>
      <c r="F180" s="1">
        <v>16.4</v>
      </c>
      <c r="G180" s="1">
        <v>119.7</v>
      </c>
      <c r="H180" s="1">
        <v>0.8</v>
      </c>
      <c r="I180" s="1">
        <v>1.7</v>
      </c>
      <c r="J180" s="1">
        <v>82.8</v>
      </c>
      <c r="K180" s="18">
        <f t="shared" si="1"/>
        <v>23.75</v>
      </c>
      <c r="L180" s="18">
        <f t="shared" si="2"/>
        <v>5.661283019</v>
      </c>
      <c r="M180" s="112">
        <f>C182*Scoring!$B$32+D182/Scoring!$C$32+E182*Scoring!$D$32+F182*Scoring!$E$32+G182/Scoring!$F$32+H182*Scoring!$G$32+I182*Scoring!$H$32+K182*Scoring!$I$32+RB!L182*Scoring!$J$32+U180</f>
        <v>50.27</v>
      </c>
      <c r="N180" s="112">
        <f>C180*Scoring!$B$32+D180/Scoring!$C$32+E180*Scoring!$D$32+F180*Scoring!$E$32+G180/Scoring!$F$32+H180*Scoring!$G$32+I180*Scoring!$H$32+K180*Scoring!$I$32+RB!L180*Scoring!$J$32+U180</f>
        <v>74.52</v>
      </c>
      <c r="O180" s="112">
        <f>C181*Scoring!$B$32+D181/Scoring!$C$32+E181*Scoring!$D$32+F181*Scoring!$E$32+G181/Scoring!$F$32+H181*Scoring!$G$32+I181*Scoring!$H$32+K181*Scoring!$I$32+L181*Scoring!$J$32+U180</f>
        <v>98.9</v>
      </c>
      <c r="P180" s="8">
        <f>IF(COUNTIF(Rookies!$A:$A,A180)&gt;0,1,0)</f>
        <v>0</v>
      </c>
      <c r="Q180" s="8"/>
      <c r="R180" s="8"/>
      <c r="S180" s="8">
        <f>V180/17</f>
        <v>4.383529412</v>
      </c>
      <c r="T180" s="8">
        <f>IF(P180=1,MAX(0,0.258*(14.9-S180)),0)</f>
        <v>0</v>
      </c>
      <c r="U180" s="8">
        <f>T180*17</f>
        <v>0</v>
      </c>
      <c r="V180" s="8">
        <f>C180*Scoring!$B$32+D180/Scoring!$C$32+E180*Scoring!$D$32+F180*Scoring!$E$32+G180/Scoring!$F$32+H180*Scoring!$G$32+I180*Scoring!$H$32+K180*Scoring!$I$32+RB!L180*Scoring!$J$32</f>
        <v>74.52</v>
      </c>
      <c r="W180" s="8"/>
      <c r="X180" s="8"/>
      <c r="Y180" s="8"/>
      <c r="Z180" s="8"/>
    </row>
    <row r="181" ht="14.25" customHeight="1">
      <c r="B181" s="1" t="s">
        <v>39</v>
      </c>
      <c r="C181" s="1">
        <v>100.0</v>
      </c>
      <c r="D181" s="1">
        <v>599.0</v>
      </c>
      <c r="E181" s="1">
        <v>2.0</v>
      </c>
      <c r="F181" s="1">
        <v>17.0</v>
      </c>
      <c r="G181" s="1">
        <v>131.0</v>
      </c>
      <c r="H181" s="1">
        <v>1.0</v>
      </c>
      <c r="I181" s="1">
        <v>0.3</v>
      </c>
      <c r="J181" s="1">
        <v>85.4</v>
      </c>
      <c r="K181" s="18">
        <f t="shared" si="1"/>
        <v>33.27777778</v>
      </c>
      <c r="L181" s="18">
        <f t="shared" si="2"/>
        <v>6.19572327</v>
      </c>
      <c r="M181" s="112"/>
      <c r="N181" s="112"/>
      <c r="O181" s="112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B182" s="1" t="s">
        <v>48</v>
      </c>
      <c r="C182" s="1">
        <v>53.7</v>
      </c>
      <c r="D182" s="1">
        <v>255.9</v>
      </c>
      <c r="E182" s="1">
        <v>1.4</v>
      </c>
      <c r="F182" s="1">
        <v>15.7</v>
      </c>
      <c r="G182" s="1">
        <v>108.3</v>
      </c>
      <c r="H182" s="1">
        <v>0.6</v>
      </c>
      <c r="I182" s="1">
        <v>3.0</v>
      </c>
      <c r="J182" s="1">
        <v>64.4</v>
      </c>
      <c r="K182" s="18">
        <f t="shared" si="1"/>
        <v>14.21666667</v>
      </c>
      <c r="L182" s="18">
        <f t="shared" si="2"/>
        <v>5.122113208</v>
      </c>
      <c r="M182" s="112"/>
      <c r="N182" s="112"/>
      <c r="O182" s="112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1" t="s">
        <v>510</v>
      </c>
      <c r="B183" s="1" t="s">
        <v>117</v>
      </c>
      <c r="C183" s="1">
        <v>104.6</v>
      </c>
      <c r="D183" s="1">
        <v>510.9</v>
      </c>
      <c r="E183" s="1">
        <v>4.2</v>
      </c>
      <c r="F183" s="1">
        <v>3.8</v>
      </c>
      <c r="G183" s="1">
        <v>31.8</v>
      </c>
      <c r="H183" s="1">
        <v>0.1</v>
      </c>
      <c r="I183" s="1">
        <v>0.7</v>
      </c>
      <c r="J183" s="1">
        <v>82.2</v>
      </c>
      <c r="K183" s="18">
        <f t="shared" si="1"/>
        <v>28.38333333</v>
      </c>
      <c r="L183" s="18">
        <f t="shared" si="2"/>
        <v>1.504</v>
      </c>
      <c r="M183" s="112">
        <f>C185*Scoring!$B$32+D185/Scoring!$C$32+E185*Scoring!$D$32+F185*Scoring!$E$32+G185/Scoring!$F$32+H185*Scoring!$G$32+I185*Scoring!$H$32+K185*Scoring!$I$32+RB!L185*Scoring!$J$32+U183</f>
        <v>60.35</v>
      </c>
      <c r="N183" s="112">
        <f>C183*Scoring!$B$32+D183/Scoring!$C$32+E183*Scoring!$D$32+F183*Scoring!$E$32+G183/Scoring!$F$32+H183*Scoring!$G$32+I183*Scoring!$H$32+K183*Scoring!$I$32+RB!L183*Scoring!$J$32+U183</f>
        <v>80.57</v>
      </c>
      <c r="O183" s="112">
        <f>C184*Scoring!$B$32+D184/Scoring!$C$32+E184*Scoring!$D$32+F184*Scoring!$E$32+G184/Scoring!$F$32+H184*Scoring!$G$32+I184*Scoring!$H$32+K184*Scoring!$I$32+L184*Scoring!$J$32+U183</f>
        <v>100.2</v>
      </c>
      <c r="P183" s="8">
        <f>IF(COUNTIF(Rookies!$A:$A,A183)&gt;0,1,0)</f>
        <v>0</v>
      </c>
      <c r="Q183" s="8"/>
      <c r="R183" s="8"/>
      <c r="S183" s="8">
        <f>V183/17</f>
        <v>4.739411765</v>
      </c>
      <c r="T183" s="8">
        <f>IF(P183=1,MAX(0,0.258*(14.9-S183)),0)</f>
        <v>0</v>
      </c>
      <c r="U183" s="8">
        <f>T183*17</f>
        <v>0</v>
      </c>
      <c r="V183" s="8">
        <f>C183*Scoring!$B$32+D183/Scoring!$C$32+E183*Scoring!$D$32+F183*Scoring!$E$32+G183/Scoring!$F$32+H183*Scoring!$G$32+I183*Scoring!$H$32+K183*Scoring!$I$32+RB!L183*Scoring!$J$32</f>
        <v>80.57</v>
      </c>
      <c r="W183" s="8"/>
      <c r="X183" s="8"/>
      <c r="Y183" s="8"/>
      <c r="Z183" s="8"/>
    </row>
    <row r="184" ht="14.25" customHeight="1">
      <c r="B184" s="1" t="s">
        <v>39</v>
      </c>
      <c r="C184" s="1">
        <v>126.0</v>
      </c>
      <c r="D184" s="1">
        <v>649.0</v>
      </c>
      <c r="E184" s="1">
        <v>5.0</v>
      </c>
      <c r="F184" s="1">
        <v>4.0</v>
      </c>
      <c r="G184" s="1">
        <v>35.0</v>
      </c>
      <c r="H184" s="1">
        <v>0.1</v>
      </c>
      <c r="I184" s="1">
        <v>0.4</v>
      </c>
      <c r="J184" s="1">
        <v>88.8</v>
      </c>
      <c r="K184" s="18">
        <f t="shared" si="1"/>
        <v>36.05555556</v>
      </c>
      <c r="L184" s="18">
        <f t="shared" si="2"/>
        <v>1.655345912</v>
      </c>
      <c r="M184" s="112"/>
      <c r="N184" s="112"/>
      <c r="O184" s="112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B185" s="1" t="s">
        <v>48</v>
      </c>
      <c r="C185" s="1">
        <v>83.2</v>
      </c>
      <c r="D185" s="1">
        <v>372.8</v>
      </c>
      <c r="E185" s="1">
        <v>3.4</v>
      </c>
      <c r="F185" s="1">
        <v>3.6</v>
      </c>
      <c r="G185" s="1">
        <v>28.7</v>
      </c>
      <c r="H185" s="1">
        <v>0.0</v>
      </c>
      <c r="I185" s="1">
        <v>1.0</v>
      </c>
      <c r="J185" s="1">
        <v>64.4</v>
      </c>
      <c r="K185" s="18">
        <f t="shared" si="1"/>
        <v>20.71111111</v>
      </c>
      <c r="L185" s="18">
        <f t="shared" si="2"/>
        <v>1.357383648</v>
      </c>
      <c r="M185" s="112"/>
      <c r="N185" s="112"/>
      <c r="O185" s="112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1" t="s">
        <v>512</v>
      </c>
      <c r="B186" s="1" t="s">
        <v>140</v>
      </c>
      <c r="C186" s="1">
        <v>80.7</v>
      </c>
      <c r="D186" s="1">
        <v>322.6</v>
      </c>
      <c r="E186" s="1">
        <v>2.5</v>
      </c>
      <c r="F186" s="1">
        <v>14.0</v>
      </c>
      <c r="G186" s="1">
        <v>131.6</v>
      </c>
      <c r="H186" s="1">
        <v>0.6</v>
      </c>
      <c r="I186" s="1">
        <v>1.1</v>
      </c>
      <c r="J186" s="1">
        <v>75.8</v>
      </c>
      <c r="K186" s="18">
        <f t="shared" si="1"/>
        <v>17.92222222</v>
      </c>
      <c r="L186" s="18">
        <f t="shared" si="2"/>
        <v>6.224100629</v>
      </c>
      <c r="M186" s="112">
        <f>C188*Scoring!$B$32+D188/Scoring!$C$32+E188*Scoring!$D$32+F188*Scoring!$E$32+G188/Scoring!$F$32+H188*Scoring!$G$32+I188*Scoring!$H$32+K188*Scoring!$I$32+RB!L188*Scoring!$J$32+U186</f>
        <v>23.5</v>
      </c>
      <c r="N186" s="112">
        <f>C186*Scoring!$B$32+D186/Scoring!$C$32+E186*Scoring!$D$32+F186*Scoring!$E$32+G186/Scoring!$F$32+H186*Scoring!$G$32+I186*Scoring!$H$32+K186*Scoring!$I$32+RB!L186*Scoring!$J$32+U186</f>
        <v>68.82</v>
      </c>
      <c r="O186" s="112">
        <f>C187*Scoring!$B$32+D187/Scoring!$C$32+E187*Scoring!$D$32+F187*Scoring!$E$32+G187/Scoring!$F$32+H187*Scoring!$G$32+I187*Scoring!$H$32+K187*Scoring!$I$32+L187*Scoring!$J$32+U186</f>
        <v>114.2</v>
      </c>
      <c r="P186" s="8">
        <f>IF(COUNTIF(Rookies!$A:$A,A186)&gt;0,1,0)</f>
        <v>0</v>
      </c>
      <c r="Q186" s="8"/>
      <c r="R186" s="8"/>
      <c r="S186" s="8">
        <f>V186/17</f>
        <v>4.048235294</v>
      </c>
      <c r="T186" s="8">
        <f>IF(P186=1,MAX(0,0.258*(14.9-S186)),0)</f>
        <v>0</v>
      </c>
      <c r="U186" s="8">
        <f>T186*17</f>
        <v>0</v>
      </c>
      <c r="V186" s="8">
        <f>C186*Scoring!$B$32+D186/Scoring!$C$32+E186*Scoring!$D$32+F186*Scoring!$E$32+G186/Scoring!$F$32+H186*Scoring!$G$32+I186*Scoring!$H$32+K186*Scoring!$I$32+RB!L186*Scoring!$J$32</f>
        <v>68.82</v>
      </c>
      <c r="W186" s="8"/>
      <c r="X186" s="8"/>
      <c r="Y186" s="8"/>
      <c r="Z186" s="8"/>
    </row>
    <row r="187" ht="14.25" customHeight="1">
      <c r="B187" s="1" t="s">
        <v>39</v>
      </c>
      <c r="C187" s="1">
        <v>126.0</v>
      </c>
      <c r="D187" s="1">
        <v>494.0</v>
      </c>
      <c r="E187" s="1">
        <v>4.0</v>
      </c>
      <c r="F187" s="1">
        <v>24.0</v>
      </c>
      <c r="G187" s="1">
        <v>232.0</v>
      </c>
      <c r="H187" s="1">
        <v>1.0</v>
      </c>
      <c r="I187" s="1">
        <v>0.2</v>
      </c>
      <c r="J187" s="1">
        <v>96.0</v>
      </c>
      <c r="K187" s="18">
        <f t="shared" si="1"/>
        <v>27.44444444</v>
      </c>
      <c r="L187" s="18">
        <f t="shared" si="2"/>
        <v>10.97257862</v>
      </c>
      <c r="M187" s="112"/>
      <c r="N187" s="112"/>
      <c r="O187" s="112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B188" s="1" t="s">
        <v>48</v>
      </c>
      <c r="C188" s="1">
        <v>35.4</v>
      </c>
      <c r="D188" s="1">
        <v>151.2</v>
      </c>
      <c r="E188" s="1">
        <v>1.0</v>
      </c>
      <c r="F188" s="1">
        <v>4.1</v>
      </c>
      <c r="G188" s="1">
        <v>31.3</v>
      </c>
      <c r="H188" s="1">
        <v>0.2</v>
      </c>
      <c r="I188" s="1">
        <v>2.0</v>
      </c>
      <c r="J188" s="1">
        <v>39.2</v>
      </c>
      <c r="K188" s="18">
        <f t="shared" si="1"/>
        <v>8.4</v>
      </c>
      <c r="L188" s="18">
        <f t="shared" si="2"/>
        <v>1.480352201</v>
      </c>
      <c r="M188" s="112"/>
      <c r="N188" s="112"/>
      <c r="O188" s="112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1" t="s">
        <v>515</v>
      </c>
      <c r="B189" s="1" t="s">
        <v>170</v>
      </c>
      <c r="C189" s="1">
        <v>65.5</v>
      </c>
      <c r="D189" s="1">
        <v>272.4</v>
      </c>
      <c r="E189" s="1">
        <v>2.1</v>
      </c>
      <c r="F189" s="1">
        <v>17.4</v>
      </c>
      <c r="G189" s="1">
        <v>126.6</v>
      </c>
      <c r="H189" s="1">
        <v>0.8</v>
      </c>
      <c r="I189" s="1">
        <v>0.3</v>
      </c>
      <c r="J189" s="1">
        <v>74.1</v>
      </c>
      <c r="K189" s="18">
        <f t="shared" si="1"/>
        <v>15.13333333</v>
      </c>
      <c r="L189" s="18">
        <f t="shared" si="2"/>
        <v>5.987622642</v>
      </c>
      <c r="M189" s="112">
        <f>C191*Scoring!$B$32+D191/Scoring!$C$32+E191*Scoring!$D$32+F191*Scoring!$E$32+G191/Scoring!$F$32+H191*Scoring!$G$32+I191*Scoring!$H$32+K191*Scoring!$I$32+RB!L191*Scoring!$J$32+U189</f>
        <v>113.8782</v>
      </c>
      <c r="N189" s="112">
        <f>C189*Scoring!$B$32+D189/Scoring!$C$32+E189*Scoring!$D$32+F189*Scoring!$E$32+G189/Scoring!$F$32+H189*Scoring!$G$32+I189*Scoring!$H$32+K189*Scoring!$I$32+RB!L189*Scoring!$J$32+U189</f>
        <v>113.8782</v>
      </c>
      <c r="O189" s="112">
        <f>C190*Scoring!$B$32+D190/Scoring!$C$32+E190*Scoring!$D$32+F190*Scoring!$E$32+G190/Scoring!$F$32+H190*Scoring!$G$32+I190*Scoring!$H$32+K190*Scoring!$I$32+L190*Scoring!$J$32+U189</f>
        <v>113.8782</v>
      </c>
      <c r="P189" s="8">
        <f>IF(COUNTIF(Rookies!$A:$A,A189)&gt;0,1,0)</f>
        <v>1</v>
      </c>
      <c r="Q189" s="8"/>
      <c r="R189" s="8"/>
      <c r="S189" s="8">
        <f>V189/17</f>
        <v>3.847058824</v>
      </c>
      <c r="T189" s="8">
        <f>IF(P189=1,MAX(0,0.258*(14.9-S189)),0)</f>
        <v>2.851658824</v>
      </c>
      <c r="U189" s="8">
        <f>T189*17</f>
        <v>48.4782</v>
      </c>
      <c r="V189" s="8">
        <f>C189*Scoring!$B$32+D189/Scoring!$C$32+E189*Scoring!$D$32+F189*Scoring!$E$32+G189/Scoring!$F$32+H189*Scoring!$G$32+I189*Scoring!$H$32+K189*Scoring!$I$32+RB!L189*Scoring!$J$32</f>
        <v>65.4</v>
      </c>
      <c r="W189" s="8"/>
      <c r="X189" s="8"/>
      <c r="Y189" s="8"/>
      <c r="Z189" s="8"/>
    </row>
    <row r="190" ht="14.25" customHeight="1">
      <c r="B190" s="1" t="s">
        <v>39</v>
      </c>
      <c r="C190" s="1">
        <v>65.5</v>
      </c>
      <c r="D190" s="1">
        <v>272.4</v>
      </c>
      <c r="E190" s="1">
        <v>2.1</v>
      </c>
      <c r="F190" s="1">
        <v>17.4</v>
      </c>
      <c r="G190" s="1">
        <v>126.6</v>
      </c>
      <c r="H190" s="1">
        <v>0.8</v>
      </c>
      <c r="I190" s="1">
        <v>0.3</v>
      </c>
      <c r="J190" s="1">
        <v>74.5</v>
      </c>
      <c r="K190" s="18">
        <f t="shared" si="1"/>
        <v>15.13333333</v>
      </c>
      <c r="L190" s="18">
        <f t="shared" si="2"/>
        <v>5.987622642</v>
      </c>
      <c r="M190" s="112"/>
      <c r="N190" s="112"/>
      <c r="O190" s="112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B191" s="1" t="s">
        <v>48</v>
      </c>
      <c r="C191" s="1">
        <v>65.5</v>
      </c>
      <c r="D191" s="1">
        <v>272.4</v>
      </c>
      <c r="E191" s="1">
        <v>2.1</v>
      </c>
      <c r="F191" s="1">
        <v>17.4</v>
      </c>
      <c r="G191" s="1">
        <v>126.6</v>
      </c>
      <c r="H191" s="1">
        <v>0.8</v>
      </c>
      <c r="I191" s="1">
        <v>0.3</v>
      </c>
      <c r="J191" s="1">
        <v>74.5</v>
      </c>
      <c r="K191" s="18">
        <f t="shared" si="1"/>
        <v>15.13333333</v>
      </c>
      <c r="L191" s="18">
        <f t="shared" si="2"/>
        <v>5.987622642</v>
      </c>
      <c r="M191" s="112"/>
      <c r="N191" s="112"/>
      <c r="O191" s="112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1" t="s">
        <v>516</v>
      </c>
      <c r="B192" s="1" t="s">
        <v>61</v>
      </c>
      <c r="C192" s="1">
        <v>55.1</v>
      </c>
      <c r="D192" s="1">
        <v>281.7</v>
      </c>
      <c r="E192" s="1">
        <v>2.0</v>
      </c>
      <c r="F192" s="1">
        <v>10.8</v>
      </c>
      <c r="G192" s="1">
        <v>108.9</v>
      </c>
      <c r="H192" s="1">
        <v>1.1</v>
      </c>
      <c r="I192" s="1">
        <v>0.6</v>
      </c>
      <c r="J192" s="1">
        <v>67.1</v>
      </c>
      <c r="K192" s="18">
        <f t="shared" si="1"/>
        <v>15.65</v>
      </c>
      <c r="L192" s="18">
        <f t="shared" si="2"/>
        <v>5.150490566</v>
      </c>
      <c r="M192" s="112">
        <f>C194*Scoring!$B$32+D194/Scoring!$C$32+E194*Scoring!$D$32+F194*Scoring!$E$32+G194/Scoring!$F$32+H194*Scoring!$G$32+I194*Scoring!$H$32+K194*Scoring!$I$32+RB!L194*Scoring!$J$32+U192</f>
        <v>70.80152</v>
      </c>
      <c r="N192" s="112">
        <f>C192*Scoring!$B$32+D192/Scoring!$C$32+E192*Scoring!$D$32+F192*Scoring!$E$32+G192/Scoring!$F$32+H192*Scoring!$G$32+I192*Scoring!$H$32+K192*Scoring!$I$32+RB!L192*Scoring!$J$32+U192</f>
        <v>111.25152</v>
      </c>
      <c r="O192" s="112">
        <f>C193*Scoring!$B$32+D193/Scoring!$C$32+E193*Scoring!$D$32+F193*Scoring!$E$32+G193/Scoring!$F$32+H193*Scoring!$G$32+I193*Scoring!$H$32+K193*Scoring!$I$32+L193*Scoring!$J$32+U192</f>
        <v>151.29152</v>
      </c>
      <c r="P192" s="8">
        <f>IF(COUNTIF(Rookies!$A:$A,A192)&gt;0,1,0)</f>
        <v>1</v>
      </c>
      <c r="Q192" s="8"/>
      <c r="R192" s="8"/>
      <c r="S192" s="8">
        <f>V192/17</f>
        <v>3.638823529</v>
      </c>
      <c r="T192" s="8">
        <f>IF(P192=1,MAX(0,0.258*(14.9-S192)),0)</f>
        <v>2.905383529</v>
      </c>
      <c r="U192" s="8">
        <f>T192*17</f>
        <v>49.39152</v>
      </c>
      <c r="V192" s="8">
        <f>C192*Scoring!$B$32+D192/Scoring!$C$32+E192*Scoring!$D$32+F192*Scoring!$E$32+G192/Scoring!$F$32+H192*Scoring!$G$32+I192*Scoring!$H$32+K192*Scoring!$I$32+RB!L192*Scoring!$J$32</f>
        <v>61.86</v>
      </c>
      <c r="W192" s="8"/>
      <c r="X192" s="8"/>
      <c r="Y192" s="8"/>
      <c r="Z192" s="8"/>
    </row>
    <row r="193" ht="14.25" customHeight="1">
      <c r="B193" s="1" t="s">
        <v>39</v>
      </c>
      <c r="C193" s="1">
        <v>81.0</v>
      </c>
      <c r="D193" s="1">
        <v>442.0</v>
      </c>
      <c r="E193" s="1">
        <v>3.0</v>
      </c>
      <c r="F193" s="1">
        <v>18.0</v>
      </c>
      <c r="G193" s="1">
        <v>189.0</v>
      </c>
      <c r="H193" s="1">
        <v>2.0</v>
      </c>
      <c r="I193" s="1">
        <v>0.1</v>
      </c>
      <c r="J193" s="1">
        <v>86.8</v>
      </c>
      <c r="K193" s="18">
        <f t="shared" si="1"/>
        <v>24.55555556</v>
      </c>
      <c r="L193" s="18">
        <f t="shared" si="2"/>
        <v>8.938867925</v>
      </c>
      <c r="M193" s="112"/>
      <c r="N193" s="112"/>
      <c r="O193" s="112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B194" s="1" t="s">
        <v>48</v>
      </c>
      <c r="C194" s="1">
        <v>29.3</v>
      </c>
      <c r="D194" s="1">
        <v>121.3</v>
      </c>
      <c r="E194" s="1">
        <v>0.9</v>
      </c>
      <c r="F194" s="1">
        <v>3.6</v>
      </c>
      <c r="G194" s="1">
        <v>28.8</v>
      </c>
      <c r="H194" s="1">
        <v>0.2</v>
      </c>
      <c r="I194" s="1">
        <v>1.0</v>
      </c>
      <c r="J194" s="1">
        <v>32.3</v>
      </c>
      <c r="K194" s="18">
        <f t="shared" si="1"/>
        <v>6.738888889</v>
      </c>
      <c r="L194" s="18">
        <f t="shared" si="2"/>
        <v>1.362113208</v>
      </c>
      <c r="M194" s="112"/>
      <c r="N194" s="112"/>
      <c r="O194" s="112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1" t="s">
        <v>519</v>
      </c>
      <c r="B195" s="1" t="s">
        <v>199</v>
      </c>
      <c r="C195" s="1">
        <v>72.7</v>
      </c>
      <c r="D195" s="1">
        <v>324.6</v>
      </c>
      <c r="E195" s="1">
        <v>1.3</v>
      </c>
      <c r="F195" s="1">
        <v>13.4</v>
      </c>
      <c r="G195" s="1">
        <v>93.3</v>
      </c>
      <c r="H195" s="1">
        <v>0.2</v>
      </c>
      <c r="I195" s="1">
        <v>0.6</v>
      </c>
      <c r="J195" s="1">
        <v>63.2</v>
      </c>
      <c r="K195" s="18">
        <f t="shared" si="1"/>
        <v>18.03333333</v>
      </c>
      <c r="L195" s="18">
        <f t="shared" si="2"/>
        <v>4.412679245</v>
      </c>
      <c r="M195" s="112">
        <f>C197*Scoring!$B$32+D197/Scoring!$C$32+E197*Scoring!$D$32+F197*Scoring!$E$32+G197/Scoring!$F$32+H197*Scoring!$G$32+I197*Scoring!$H$32+K197*Scoring!$I$32+RB!L197*Scoring!$J$32+U195</f>
        <v>25.58</v>
      </c>
      <c r="N195" s="112">
        <f>C195*Scoring!$B$32+D195/Scoring!$C$32+E195*Scoring!$D$32+F195*Scoring!$E$32+G195/Scoring!$F$32+H195*Scoring!$G$32+I195*Scoring!$H$32+K195*Scoring!$I$32+RB!L195*Scoring!$J$32+U195</f>
        <v>56.29</v>
      </c>
      <c r="O195" s="112">
        <f>C196*Scoring!$B$32+D196/Scoring!$C$32+E196*Scoring!$D$32+F196*Scoring!$E$32+G196/Scoring!$F$32+H196*Scoring!$G$32+I196*Scoring!$H$32+K196*Scoring!$I$32+L196*Scoring!$J$32+U195</f>
        <v>87.2</v>
      </c>
      <c r="P195" s="8">
        <f>IF(COUNTIF(Rookies!$A:$A,A195)&gt;0,1,0)</f>
        <v>0</v>
      </c>
      <c r="Q195" s="8"/>
      <c r="R195" s="8"/>
      <c r="S195" s="8">
        <f>V195/17</f>
        <v>3.311176471</v>
      </c>
      <c r="T195" s="8">
        <f>IF(P195=1,MAX(0,0.258*(14.9-S195)),0)</f>
        <v>0</v>
      </c>
      <c r="U195" s="8">
        <f>T195*17</f>
        <v>0</v>
      </c>
      <c r="V195" s="8">
        <f>C195*Scoring!$B$32+D195/Scoring!$C$32+E195*Scoring!$D$32+F195*Scoring!$E$32+G195/Scoring!$F$32+H195*Scoring!$G$32+I195*Scoring!$H$32+K195*Scoring!$I$32+RB!L195*Scoring!$J$32</f>
        <v>56.29</v>
      </c>
      <c r="W195" s="8"/>
      <c r="X195" s="8"/>
      <c r="Y195" s="8"/>
      <c r="Z195" s="8"/>
    </row>
    <row r="196" ht="14.25" customHeight="1">
      <c r="B196" s="1" t="s">
        <v>39</v>
      </c>
      <c r="C196" s="1">
        <v>123.0</v>
      </c>
      <c r="D196" s="1">
        <v>551.0</v>
      </c>
      <c r="E196" s="1">
        <v>2.0</v>
      </c>
      <c r="F196" s="1">
        <v>15.0</v>
      </c>
      <c r="G196" s="1">
        <v>104.0</v>
      </c>
      <c r="H196" s="1">
        <v>0.4</v>
      </c>
      <c r="I196" s="1">
        <v>0.1</v>
      </c>
      <c r="J196" s="1">
        <v>74.4</v>
      </c>
      <c r="K196" s="18">
        <f t="shared" si="1"/>
        <v>30.61111111</v>
      </c>
      <c r="L196" s="18">
        <f t="shared" si="2"/>
        <v>4.918742138</v>
      </c>
      <c r="M196" s="112"/>
      <c r="N196" s="112"/>
      <c r="O196" s="112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B197" s="1" t="s">
        <v>48</v>
      </c>
      <c r="C197" s="1">
        <v>22.4</v>
      </c>
      <c r="D197" s="1">
        <v>98.3</v>
      </c>
      <c r="E197" s="1">
        <v>0.6</v>
      </c>
      <c r="F197" s="1">
        <v>11.8</v>
      </c>
      <c r="G197" s="1">
        <v>82.5</v>
      </c>
      <c r="H197" s="1">
        <v>0.0</v>
      </c>
      <c r="I197" s="1">
        <v>1.0</v>
      </c>
      <c r="J197" s="1">
        <v>37.6</v>
      </c>
      <c r="K197" s="18">
        <f t="shared" si="1"/>
        <v>5.461111111</v>
      </c>
      <c r="L197" s="18">
        <f t="shared" si="2"/>
        <v>3.901886792</v>
      </c>
      <c r="M197" s="112"/>
      <c r="N197" s="112"/>
      <c r="O197" s="112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1" t="s">
        <v>521</v>
      </c>
      <c r="B198" s="1" t="s">
        <v>217</v>
      </c>
      <c r="C198" s="1">
        <v>42.5</v>
      </c>
      <c r="D198" s="1">
        <v>153.5</v>
      </c>
      <c r="E198" s="1">
        <v>1.5</v>
      </c>
      <c r="F198" s="1">
        <v>18.0</v>
      </c>
      <c r="G198" s="1">
        <v>138.0</v>
      </c>
      <c r="H198" s="1">
        <v>1.0</v>
      </c>
      <c r="I198" s="1">
        <v>0.0</v>
      </c>
      <c r="J198" s="1">
        <v>62.2</v>
      </c>
      <c r="K198" s="18">
        <f t="shared" si="1"/>
        <v>8.527777778</v>
      </c>
      <c r="L198" s="18">
        <f t="shared" si="2"/>
        <v>6.526792453</v>
      </c>
      <c r="M198" s="112">
        <f>C200*Scoring!$B$32+D200/Scoring!$C$32+E200*Scoring!$D$32+F200*Scoring!$E$32+G200/Scoring!$F$32+H200*Scoring!$G$32+I200*Scoring!$H$32+K200*Scoring!$I$32+RB!L200*Scoring!$J$32+U198</f>
        <v>0</v>
      </c>
      <c r="N198" s="112">
        <f>C198*Scoring!$B$32+D198/Scoring!$C$32+E198*Scoring!$D$32+F198*Scoring!$E$32+G198/Scoring!$F$32+H198*Scoring!$G$32+I198*Scoring!$H$32+K198*Scoring!$I$32+RB!L198*Scoring!$J$32+U198</f>
        <v>53.15</v>
      </c>
      <c r="O198" s="112">
        <f>C199*Scoring!$B$32+D199/Scoring!$C$32+E199*Scoring!$D$32+F199*Scoring!$E$32+G199/Scoring!$F$32+H199*Scoring!$G$32+I199*Scoring!$H$32+K199*Scoring!$I$32+L199*Scoring!$J$32+U198</f>
        <v>106.3</v>
      </c>
      <c r="P198" s="8">
        <f>IF(COUNTIF(Rookies!$A:$A,A198)&gt;0,1,0)</f>
        <v>0</v>
      </c>
      <c r="Q198" s="8"/>
      <c r="R198" s="8"/>
      <c r="S198" s="8">
        <f>V198/17</f>
        <v>3.126470588</v>
      </c>
      <c r="T198" s="8">
        <f>IF(P198=1,MAX(0,0.258*(14.9-S198)),0)</f>
        <v>0</v>
      </c>
      <c r="U198" s="8">
        <f>T198*17</f>
        <v>0</v>
      </c>
      <c r="V198" s="8">
        <f>C198*Scoring!$B$32+D198/Scoring!$C$32+E198*Scoring!$D$32+F198*Scoring!$E$32+G198/Scoring!$F$32+H198*Scoring!$G$32+I198*Scoring!$H$32+K198*Scoring!$I$32+RB!L198*Scoring!$J$32</f>
        <v>53.15</v>
      </c>
      <c r="W198" s="8"/>
      <c r="X198" s="8"/>
      <c r="Y198" s="8"/>
      <c r="Z198" s="8"/>
    </row>
    <row r="199" ht="14.25" customHeight="1">
      <c r="B199" s="1" t="s">
        <v>39</v>
      </c>
      <c r="C199" s="1">
        <v>85.0</v>
      </c>
      <c r="D199" s="1">
        <v>307.0</v>
      </c>
      <c r="E199" s="1">
        <v>3.0</v>
      </c>
      <c r="F199" s="1">
        <v>36.0</v>
      </c>
      <c r="G199" s="1">
        <v>276.0</v>
      </c>
      <c r="H199" s="1">
        <v>2.0</v>
      </c>
      <c r="I199" s="1">
        <v>0.0</v>
      </c>
      <c r="J199" s="1">
        <v>89.0</v>
      </c>
      <c r="K199" s="18">
        <f t="shared" si="1"/>
        <v>17.05555556</v>
      </c>
      <c r="L199" s="18">
        <f t="shared" si="2"/>
        <v>13.05358491</v>
      </c>
      <c r="M199" s="112"/>
      <c r="N199" s="112"/>
      <c r="O199" s="112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B200" s="1" t="s">
        <v>48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18.0</v>
      </c>
      <c r="K200" s="18">
        <f t="shared" si="1"/>
        <v>0</v>
      </c>
      <c r="L200" s="18">
        <f t="shared" si="2"/>
        <v>0</v>
      </c>
      <c r="M200" s="112"/>
      <c r="N200" s="112"/>
      <c r="O200" s="112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1" t="s">
        <v>523</v>
      </c>
      <c r="B201" s="1" t="s">
        <v>134</v>
      </c>
      <c r="C201" s="1">
        <v>73.4</v>
      </c>
      <c r="D201" s="1">
        <v>310.3</v>
      </c>
      <c r="E201" s="1">
        <v>2.2</v>
      </c>
      <c r="F201" s="1">
        <v>8.6</v>
      </c>
      <c r="G201" s="1">
        <v>62.8</v>
      </c>
      <c r="H201" s="1">
        <v>0.1</v>
      </c>
      <c r="I201" s="1">
        <v>0.1</v>
      </c>
      <c r="J201" s="1">
        <v>59.7</v>
      </c>
      <c r="K201" s="18">
        <f t="shared" si="1"/>
        <v>17.23888889</v>
      </c>
      <c r="L201" s="18">
        <f t="shared" si="2"/>
        <v>2.970163522</v>
      </c>
      <c r="M201" s="112">
        <f>C203*Scoring!$B$32+D203/Scoring!$C$32+E203*Scoring!$D$32+F203*Scoring!$E$32+G203/Scoring!$F$32+H203*Scoring!$G$32+I203*Scoring!$H$32+K203*Scoring!$I$32+RB!L203*Scoring!$J$32+U201</f>
        <v>43.95</v>
      </c>
      <c r="N201" s="112">
        <f>C201*Scoring!$B$32+D201/Scoring!$C$32+E201*Scoring!$D$32+F201*Scoring!$E$32+G201/Scoring!$F$32+H201*Scoring!$G$32+I201*Scoring!$H$32+K201*Scoring!$I$32+RB!L201*Scoring!$J$32+U201</f>
        <v>55.21</v>
      </c>
      <c r="O201" s="112">
        <f>C202*Scoring!$B$32+D202/Scoring!$C$32+E202*Scoring!$D$32+F202*Scoring!$E$32+G202/Scoring!$F$32+H202*Scoring!$G$32+I202*Scoring!$H$32+K202*Scoring!$I$32+L202*Scoring!$J$32+U201</f>
        <v>67</v>
      </c>
      <c r="P201" s="8">
        <f>IF(COUNTIF(Rookies!$A:$A,A201)&gt;0,1,0)</f>
        <v>0</v>
      </c>
      <c r="Q201" s="8"/>
      <c r="R201" s="8"/>
      <c r="S201" s="8">
        <f>V201/17</f>
        <v>3.247647059</v>
      </c>
      <c r="T201" s="8">
        <f>IF(P201=1,MAX(0,0.258*(14.9-S201)),0)</f>
        <v>0</v>
      </c>
      <c r="U201" s="8">
        <f>T201*17</f>
        <v>0</v>
      </c>
      <c r="V201" s="8">
        <f>C201*Scoring!$B$32+D201/Scoring!$C$32+E201*Scoring!$D$32+F201*Scoring!$E$32+G201/Scoring!$F$32+H201*Scoring!$G$32+I201*Scoring!$H$32+K201*Scoring!$I$32+RB!L201*Scoring!$J$32</f>
        <v>55.21</v>
      </c>
      <c r="W201" s="8"/>
      <c r="X201" s="8"/>
      <c r="Y201" s="8"/>
      <c r="Z201" s="8"/>
    </row>
    <row r="202" ht="14.25" customHeight="1">
      <c r="B202" s="1" t="s">
        <v>39</v>
      </c>
      <c r="C202" s="1">
        <v>80.0</v>
      </c>
      <c r="D202" s="1">
        <v>352.0</v>
      </c>
      <c r="E202" s="1">
        <v>3.0</v>
      </c>
      <c r="F202" s="1">
        <v>9.0</v>
      </c>
      <c r="G202" s="1">
        <v>75.0</v>
      </c>
      <c r="H202" s="1">
        <v>0.3</v>
      </c>
      <c r="I202" s="1">
        <v>0.0</v>
      </c>
      <c r="J202" s="1">
        <v>56.6</v>
      </c>
      <c r="K202" s="18">
        <f t="shared" si="1"/>
        <v>19.55555556</v>
      </c>
      <c r="L202" s="18">
        <f t="shared" si="2"/>
        <v>3.547169811</v>
      </c>
      <c r="M202" s="112"/>
      <c r="N202" s="112"/>
      <c r="O202" s="112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B203" s="1" t="s">
        <v>48</v>
      </c>
      <c r="C203" s="1">
        <v>66.7</v>
      </c>
      <c r="D203" s="1">
        <v>268.5</v>
      </c>
      <c r="E203" s="1">
        <v>1.4</v>
      </c>
      <c r="F203" s="1">
        <v>8.1</v>
      </c>
      <c r="G203" s="1">
        <v>50.5</v>
      </c>
      <c r="H203" s="1">
        <v>0.0</v>
      </c>
      <c r="I203" s="1">
        <v>0.2</v>
      </c>
      <c r="J203" s="1">
        <v>50.4</v>
      </c>
      <c r="K203" s="18">
        <f t="shared" si="1"/>
        <v>14.91666667</v>
      </c>
      <c r="L203" s="18">
        <f t="shared" si="2"/>
        <v>2.388427673</v>
      </c>
      <c r="M203" s="112"/>
      <c r="N203" s="112"/>
      <c r="O203" s="112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1" t="s">
        <v>525</v>
      </c>
      <c r="B204" s="1" t="s">
        <v>164</v>
      </c>
      <c r="C204" s="1">
        <v>60.2</v>
      </c>
      <c r="D204" s="1">
        <v>234.2</v>
      </c>
      <c r="E204" s="1">
        <v>1.6</v>
      </c>
      <c r="F204" s="1">
        <v>11.9</v>
      </c>
      <c r="G204" s="1">
        <v>104.0</v>
      </c>
      <c r="H204" s="1">
        <v>0.7</v>
      </c>
      <c r="I204" s="1">
        <v>0.1</v>
      </c>
      <c r="J204" s="1">
        <v>59.0</v>
      </c>
      <c r="K204" s="18">
        <f t="shared" si="1"/>
        <v>13.01111111</v>
      </c>
      <c r="L204" s="18">
        <f t="shared" si="2"/>
        <v>4.918742138</v>
      </c>
      <c r="M204" s="112">
        <f>C206*Scoring!$B$32+D206/Scoring!$C$32+E206*Scoring!$D$32+F206*Scoring!$E$32+G206/Scoring!$F$32+H206*Scoring!$G$32+I206*Scoring!$H$32+K206*Scoring!$I$32+RB!L206*Scoring!$J$32+U204</f>
        <v>32.44</v>
      </c>
      <c r="N204" s="112">
        <f>C204*Scoring!$B$32+D204/Scoring!$C$32+E204*Scoring!$D$32+F204*Scoring!$E$32+G204/Scoring!$F$32+H204*Scoring!$G$32+I204*Scoring!$H$32+K204*Scoring!$I$32+RB!L204*Scoring!$J$32+U204</f>
        <v>53.37</v>
      </c>
      <c r="O204" s="112">
        <f>C205*Scoring!$B$32+D205/Scoring!$C$32+E205*Scoring!$D$32+F205*Scoring!$E$32+G205/Scoring!$F$32+H205*Scoring!$G$32+I205*Scoring!$H$32+K205*Scoring!$I$32+L205*Scoring!$J$32+U204</f>
        <v>73.7</v>
      </c>
      <c r="P204" s="8">
        <f>IF(COUNTIF(Rookies!$A:$A,A204)&gt;0,1,0)</f>
        <v>0</v>
      </c>
      <c r="Q204" s="8"/>
      <c r="R204" s="8"/>
      <c r="S204" s="8">
        <f>V204/17</f>
        <v>3.139411765</v>
      </c>
      <c r="T204" s="8">
        <f>IF(P204=1,MAX(0,0.258*(14.9-S204)),0)</f>
        <v>0</v>
      </c>
      <c r="U204" s="8">
        <f>T204*17</f>
        <v>0</v>
      </c>
      <c r="V204" s="8">
        <f>C204*Scoring!$B$32+D204/Scoring!$C$32+E204*Scoring!$D$32+F204*Scoring!$E$32+G204/Scoring!$F$32+H204*Scoring!$G$32+I204*Scoring!$H$32+K204*Scoring!$I$32+RB!L204*Scoring!$J$32</f>
        <v>53.37</v>
      </c>
      <c r="W204" s="8"/>
      <c r="X204" s="8"/>
      <c r="Y204" s="8"/>
      <c r="Z204" s="8"/>
    </row>
    <row r="205" ht="14.25" customHeight="1">
      <c r="B205" s="1" t="s">
        <v>39</v>
      </c>
      <c r="C205" s="1">
        <v>87.0</v>
      </c>
      <c r="D205" s="1">
        <v>332.0</v>
      </c>
      <c r="E205" s="1">
        <v>2.0</v>
      </c>
      <c r="F205" s="1">
        <v>16.0</v>
      </c>
      <c r="G205" s="1">
        <v>145.0</v>
      </c>
      <c r="H205" s="1">
        <v>1.0</v>
      </c>
      <c r="I205" s="1">
        <v>0.0</v>
      </c>
      <c r="J205" s="1">
        <v>59.9</v>
      </c>
      <c r="K205" s="18">
        <f t="shared" si="1"/>
        <v>18.44444444</v>
      </c>
      <c r="L205" s="18">
        <f t="shared" si="2"/>
        <v>6.857861635</v>
      </c>
      <c r="M205" s="112"/>
      <c r="N205" s="112"/>
      <c r="O205" s="112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B206" s="1" t="s">
        <v>48</v>
      </c>
      <c r="C206" s="1">
        <v>33.3</v>
      </c>
      <c r="D206" s="1">
        <v>136.4</v>
      </c>
      <c r="E206" s="1">
        <v>1.1</v>
      </c>
      <c r="F206" s="1">
        <v>7.8</v>
      </c>
      <c r="G206" s="1">
        <v>63.0</v>
      </c>
      <c r="H206" s="1">
        <v>0.4</v>
      </c>
      <c r="I206" s="1">
        <v>0.2</v>
      </c>
      <c r="J206" s="1">
        <v>40.4</v>
      </c>
      <c r="K206" s="18">
        <f t="shared" si="1"/>
        <v>7.577777778</v>
      </c>
      <c r="L206" s="18">
        <f t="shared" si="2"/>
        <v>2.979622642</v>
      </c>
      <c r="M206" s="112"/>
      <c r="N206" s="112"/>
      <c r="O206" s="112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1" t="s">
        <v>527</v>
      </c>
      <c r="B207" s="1" t="s">
        <v>140</v>
      </c>
      <c r="C207" s="1">
        <v>4.2</v>
      </c>
      <c r="D207" s="1">
        <v>10.3</v>
      </c>
      <c r="E207" s="1">
        <v>0.1</v>
      </c>
      <c r="F207" s="1">
        <v>23.7</v>
      </c>
      <c r="G207" s="1">
        <v>208.0</v>
      </c>
      <c r="H207" s="1">
        <v>1.5</v>
      </c>
      <c r="I207" s="1">
        <v>0.1</v>
      </c>
      <c r="J207" s="1">
        <v>54.7</v>
      </c>
      <c r="K207" s="18">
        <f t="shared" si="1"/>
        <v>0.5722222222</v>
      </c>
      <c r="L207" s="18">
        <f t="shared" si="2"/>
        <v>9.837484277</v>
      </c>
      <c r="M207" s="112">
        <f>C209*Scoring!$B$32+D209/Scoring!$C$32+E209*Scoring!$D$32+F209*Scoring!$E$32+G209/Scoring!$F$32+H209*Scoring!$G$32+I209*Scoring!$H$32+K209*Scoring!$I$32+RB!L209*Scoring!$J$32+U207</f>
        <v>32.41</v>
      </c>
      <c r="N207" s="112">
        <f>C207*Scoring!$B$32+D207/Scoring!$C$32+E207*Scoring!$D$32+F207*Scoring!$E$32+G207/Scoring!$F$32+H207*Scoring!$G$32+I207*Scoring!$H$32+K207*Scoring!$I$32+RB!L207*Scoring!$J$32+U207</f>
        <v>43.08</v>
      </c>
      <c r="O207" s="112">
        <f>C208*Scoring!$B$32+D208/Scoring!$C$32+E208*Scoring!$D$32+F208*Scoring!$E$32+G208/Scoring!$F$32+H208*Scoring!$G$32+I208*Scoring!$H$32+K208*Scoring!$I$32+L208*Scoring!$J$32+U207</f>
        <v>53.96</v>
      </c>
      <c r="P207" s="8">
        <f>IF(COUNTIF(Rookies!$A:$A,A207)&gt;0,1,0)</f>
        <v>0</v>
      </c>
      <c r="Q207" s="8"/>
      <c r="R207" s="8"/>
      <c r="S207" s="8">
        <f>V207/17</f>
        <v>2.534117647</v>
      </c>
      <c r="T207" s="8">
        <f>IF(P207=1,MAX(0,0.258*(14.9-S207)),0)</f>
        <v>0</v>
      </c>
      <c r="U207" s="8">
        <f>T207*17</f>
        <v>0</v>
      </c>
      <c r="V207" s="8">
        <f>C207*Scoring!$B$32+D207/Scoring!$C$32+E207*Scoring!$D$32+F207*Scoring!$E$32+G207/Scoring!$F$32+H207*Scoring!$G$32+I207*Scoring!$H$32+K207*Scoring!$I$32+RB!L207*Scoring!$J$32</f>
        <v>43.08</v>
      </c>
      <c r="W207" s="8"/>
      <c r="X207" s="8"/>
      <c r="Y207" s="8"/>
      <c r="Z207" s="8"/>
    </row>
    <row r="208" ht="14.25" customHeight="1">
      <c r="B208" s="1" t="s">
        <v>39</v>
      </c>
      <c r="C208" s="1">
        <v>4.4</v>
      </c>
      <c r="D208" s="1">
        <v>18.6</v>
      </c>
      <c r="E208" s="1">
        <v>0.2</v>
      </c>
      <c r="F208" s="1">
        <v>27.0</v>
      </c>
      <c r="G208" s="1">
        <v>254.0</v>
      </c>
      <c r="H208" s="1">
        <v>2.0</v>
      </c>
      <c r="I208" s="1">
        <v>0.0</v>
      </c>
      <c r="J208" s="1">
        <v>51.7</v>
      </c>
      <c r="K208" s="18">
        <f t="shared" si="1"/>
        <v>1.033333333</v>
      </c>
      <c r="L208" s="18">
        <f t="shared" si="2"/>
        <v>12.01308176</v>
      </c>
      <c r="M208" s="112"/>
      <c r="N208" s="112"/>
      <c r="O208" s="112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B209" s="1" t="s">
        <v>48</v>
      </c>
      <c r="C209" s="1">
        <v>4.0</v>
      </c>
      <c r="D209" s="1">
        <v>2.0</v>
      </c>
      <c r="E209" s="1">
        <v>0.0</v>
      </c>
      <c r="F209" s="1">
        <v>20.4</v>
      </c>
      <c r="G209" s="1">
        <v>162.1</v>
      </c>
      <c r="H209" s="1">
        <v>1.0</v>
      </c>
      <c r="I209" s="1">
        <v>0.1</v>
      </c>
      <c r="J209" s="1">
        <v>48.2</v>
      </c>
      <c r="K209" s="18">
        <f t="shared" si="1"/>
        <v>0.1111111111</v>
      </c>
      <c r="L209" s="18">
        <f t="shared" si="2"/>
        <v>7.666616352</v>
      </c>
      <c r="M209" s="112"/>
      <c r="N209" s="112"/>
      <c r="O209" s="112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1" t="s">
        <v>529</v>
      </c>
      <c r="B210" s="1" t="s">
        <v>150</v>
      </c>
      <c r="C210" s="1">
        <v>62.4</v>
      </c>
      <c r="D210" s="1">
        <v>263.0</v>
      </c>
      <c r="E210" s="1">
        <v>1.9</v>
      </c>
      <c r="F210" s="1">
        <v>8.7</v>
      </c>
      <c r="G210" s="1">
        <v>61.7</v>
      </c>
      <c r="H210" s="1">
        <v>0.4</v>
      </c>
      <c r="I210" s="1">
        <v>0.3</v>
      </c>
      <c r="J210" s="1">
        <v>54.6</v>
      </c>
      <c r="K210" s="18">
        <f t="shared" si="1"/>
        <v>14.61111111</v>
      </c>
      <c r="L210" s="18">
        <f t="shared" si="2"/>
        <v>2.918138365</v>
      </c>
      <c r="M210" s="112">
        <f>C212*Scoring!$B$32+D212/Scoring!$C$32+E212*Scoring!$D$32+F212*Scoring!$E$32+G212/Scoring!$F$32+H212*Scoring!$G$32+I212*Scoring!$H$32+K212*Scoring!$I$32+RB!L212*Scoring!$J$32+U210</f>
        <v>50.02</v>
      </c>
      <c r="N210" s="112">
        <f>C210*Scoring!$B$32+D210/Scoring!$C$32+E210*Scoring!$D$32+F210*Scoring!$E$32+G210/Scoring!$F$32+H210*Scoring!$G$32+I210*Scoring!$H$32+K210*Scoring!$I$32+RB!L210*Scoring!$J$32+U210</f>
        <v>50.02</v>
      </c>
      <c r="O210" s="112">
        <f>C211*Scoring!$B$32+D211/Scoring!$C$32+E211*Scoring!$D$32+F211*Scoring!$E$32+G211/Scoring!$F$32+H211*Scoring!$G$32+I211*Scoring!$H$32+K211*Scoring!$I$32+L211*Scoring!$J$32+U210</f>
        <v>50.02</v>
      </c>
      <c r="P210" s="8">
        <f>IF(COUNTIF(Rookies!$A:$A,A210)&gt;0,1,0)</f>
        <v>0</v>
      </c>
      <c r="Q210" s="8"/>
      <c r="R210" s="8"/>
      <c r="S210" s="8">
        <f>V210/17</f>
        <v>2.942352941</v>
      </c>
      <c r="T210" s="8">
        <f>IF(P210=1,MAX(0,0.258*(14.9-S210)),0)</f>
        <v>0</v>
      </c>
      <c r="U210" s="8">
        <f>T210*17</f>
        <v>0</v>
      </c>
      <c r="V210" s="8">
        <f>C210*Scoring!$B$32+D210/Scoring!$C$32+E210*Scoring!$D$32+F210*Scoring!$E$32+G210/Scoring!$F$32+H210*Scoring!$G$32+I210*Scoring!$H$32+K210*Scoring!$I$32+RB!L210*Scoring!$J$32</f>
        <v>50.02</v>
      </c>
      <c r="W210" s="8"/>
      <c r="X210" s="8"/>
      <c r="Y210" s="8"/>
      <c r="Z210" s="8"/>
    </row>
    <row r="211" ht="14.25" customHeight="1">
      <c r="B211" s="1" t="s">
        <v>39</v>
      </c>
      <c r="C211" s="1">
        <v>62.4</v>
      </c>
      <c r="D211" s="1">
        <v>263.0</v>
      </c>
      <c r="E211" s="1">
        <v>1.9</v>
      </c>
      <c r="F211" s="1">
        <v>8.7</v>
      </c>
      <c r="G211" s="1">
        <v>61.7</v>
      </c>
      <c r="H211" s="1">
        <v>0.4</v>
      </c>
      <c r="I211" s="1">
        <v>0.3</v>
      </c>
      <c r="J211" s="1">
        <v>54.9</v>
      </c>
      <c r="K211" s="18">
        <f t="shared" si="1"/>
        <v>14.61111111</v>
      </c>
      <c r="L211" s="18">
        <f t="shared" si="2"/>
        <v>2.918138365</v>
      </c>
      <c r="M211" s="112"/>
      <c r="N211" s="112"/>
      <c r="O211" s="112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B212" s="1" t="s">
        <v>48</v>
      </c>
      <c r="C212" s="1">
        <v>62.4</v>
      </c>
      <c r="D212" s="1">
        <v>263.0</v>
      </c>
      <c r="E212" s="1">
        <v>1.9</v>
      </c>
      <c r="F212" s="1">
        <v>8.7</v>
      </c>
      <c r="G212" s="1">
        <v>61.7</v>
      </c>
      <c r="H212" s="1">
        <v>0.4</v>
      </c>
      <c r="I212" s="1">
        <v>0.3</v>
      </c>
      <c r="J212" s="1">
        <v>54.9</v>
      </c>
      <c r="K212" s="18">
        <f t="shared" si="1"/>
        <v>14.61111111</v>
      </c>
      <c r="L212" s="18">
        <f t="shared" si="2"/>
        <v>2.918138365</v>
      </c>
      <c r="M212" s="112"/>
      <c r="N212" s="112"/>
      <c r="O212" s="112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1" t="s">
        <v>532</v>
      </c>
      <c r="B213" s="1" t="s">
        <v>199</v>
      </c>
      <c r="C213" s="1">
        <v>62.3</v>
      </c>
      <c r="D213" s="1">
        <v>259.0</v>
      </c>
      <c r="E213" s="1">
        <v>1.9</v>
      </c>
      <c r="F213" s="1">
        <v>8.5</v>
      </c>
      <c r="G213" s="1">
        <v>62.9</v>
      </c>
      <c r="H213" s="1">
        <v>0.4</v>
      </c>
      <c r="I213" s="1">
        <v>0.2</v>
      </c>
      <c r="J213" s="1">
        <v>54.0</v>
      </c>
      <c r="K213" s="18">
        <f t="shared" si="1"/>
        <v>14.38888889</v>
      </c>
      <c r="L213" s="18">
        <f t="shared" si="2"/>
        <v>2.974893082</v>
      </c>
      <c r="M213" s="112">
        <f>C215*Scoring!$B$32+D215/Scoring!$C$32+E215*Scoring!$D$32+F215*Scoring!$E$32+G215/Scoring!$F$32+H215*Scoring!$G$32+I215*Scoring!$H$32+K215*Scoring!$I$32+RB!L215*Scoring!$J$32+U213</f>
        <v>20.6</v>
      </c>
      <c r="N213" s="112">
        <f>C213*Scoring!$B$32+D213/Scoring!$C$32+E213*Scoring!$D$32+F213*Scoring!$E$32+G213/Scoring!$F$32+H213*Scoring!$G$32+I213*Scoring!$H$32+K213*Scoring!$I$32+RB!L213*Scoring!$J$32+U213</f>
        <v>49.84</v>
      </c>
      <c r="O213" s="112">
        <f>C214*Scoring!$B$32+D214/Scoring!$C$32+E214*Scoring!$D$32+F214*Scoring!$E$32+G214/Scoring!$F$32+H214*Scoring!$G$32+I214*Scoring!$H$32+K214*Scoring!$I$32+L214*Scoring!$J$32+U213</f>
        <v>78.52</v>
      </c>
      <c r="P213" s="8">
        <f>IF(COUNTIF(Rookies!$A:$A,A213)&gt;0,1,0)</f>
        <v>0</v>
      </c>
      <c r="Q213" s="8"/>
      <c r="R213" s="8"/>
      <c r="S213" s="8">
        <f>V213/17</f>
        <v>2.931764706</v>
      </c>
      <c r="T213" s="8">
        <f>IF(P213=1,MAX(0,0.258*(14.9-S213)),0)</f>
        <v>0</v>
      </c>
      <c r="U213" s="8">
        <f>T213*17</f>
        <v>0</v>
      </c>
      <c r="V213" s="8">
        <f>C213*Scoring!$B$32+D213/Scoring!$C$32+E213*Scoring!$D$32+F213*Scoring!$E$32+G213/Scoring!$F$32+H213*Scoring!$G$32+I213*Scoring!$H$32+K213*Scoring!$I$32+RB!L213*Scoring!$J$32</f>
        <v>49.84</v>
      </c>
      <c r="W213" s="8"/>
      <c r="X213" s="8"/>
      <c r="Y213" s="8"/>
      <c r="Z213" s="8"/>
    </row>
    <row r="214" ht="14.25" customHeight="1">
      <c r="B214" s="1" t="s">
        <v>39</v>
      </c>
      <c r="C214" s="1">
        <v>89.6</v>
      </c>
      <c r="D214" s="1">
        <v>381.0</v>
      </c>
      <c r="E214" s="1">
        <v>2.8</v>
      </c>
      <c r="F214" s="1">
        <v>16.1</v>
      </c>
      <c r="G214" s="1">
        <v>113.7</v>
      </c>
      <c r="H214" s="1">
        <v>0.7</v>
      </c>
      <c r="I214" s="1">
        <v>0.0</v>
      </c>
      <c r="J214" s="1">
        <v>78.8</v>
      </c>
      <c r="K214" s="18">
        <f t="shared" si="1"/>
        <v>21.16666667</v>
      </c>
      <c r="L214" s="18">
        <f t="shared" si="2"/>
        <v>5.377509434</v>
      </c>
      <c r="M214" s="112"/>
      <c r="N214" s="112"/>
      <c r="O214" s="112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B215" s="1" t="s">
        <v>48</v>
      </c>
      <c r="C215" s="1">
        <v>35.0</v>
      </c>
      <c r="D215" s="1">
        <v>137.0</v>
      </c>
      <c r="E215" s="1">
        <v>1.0</v>
      </c>
      <c r="F215" s="1">
        <v>1.0</v>
      </c>
      <c r="G215" s="1">
        <v>12.0</v>
      </c>
      <c r="H215" s="1">
        <v>0.0</v>
      </c>
      <c r="I215" s="1">
        <v>0.4</v>
      </c>
      <c r="J215" s="1">
        <v>20.5</v>
      </c>
      <c r="K215" s="18">
        <f t="shared" si="1"/>
        <v>7.611111111</v>
      </c>
      <c r="L215" s="18">
        <f t="shared" si="2"/>
        <v>0.5675471698</v>
      </c>
      <c r="M215" s="112"/>
      <c r="N215" s="112"/>
      <c r="O215" s="112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1" t="s">
        <v>534</v>
      </c>
      <c r="B216" s="1" t="s">
        <v>202</v>
      </c>
      <c r="C216" s="1">
        <v>70.2</v>
      </c>
      <c r="D216" s="1">
        <v>290.5</v>
      </c>
      <c r="E216" s="1">
        <v>1.7</v>
      </c>
      <c r="F216" s="1">
        <v>7.7</v>
      </c>
      <c r="G216" s="1">
        <v>52.1</v>
      </c>
      <c r="H216" s="1">
        <v>0.0</v>
      </c>
      <c r="I216" s="1">
        <v>0.5</v>
      </c>
      <c r="J216" s="1">
        <v>51.3</v>
      </c>
      <c r="K216" s="18">
        <f t="shared" si="1"/>
        <v>16.13888889</v>
      </c>
      <c r="L216" s="18">
        <f t="shared" si="2"/>
        <v>2.464100629</v>
      </c>
      <c r="M216" s="112">
        <f>C218*Scoring!$B$32+D218/Scoring!$C$32+E218*Scoring!$D$32+F218*Scoring!$E$32+G218/Scoring!$F$32+H218*Scoring!$G$32+I218*Scoring!$H$32+K218*Scoring!$I$32+RB!L218*Scoring!$J$32+U216</f>
        <v>6.93</v>
      </c>
      <c r="N216" s="112">
        <f>C216*Scoring!$B$32+D216/Scoring!$C$32+E216*Scoring!$D$32+F216*Scoring!$E$32+G216/Scoring!$F$32+H216*Scoring!$G$32+I216*Scoring!$H$32+K216*Scoring!$I$32+RB!L216*Scoring!$J$32+U216</f>
        <v>47.31</v>
      </c>
      <c r="O216" s="112">
        <f>C217*Scoring!$B$32+D217/Scoring!$C$32+E217*Scoring!$D$32+F217*Scoring!$E$32+G217/Scoring!$F$32+H217*Scoring!$G$32+I217*Scoring!$H$32+K217*Scoring!$I$32+L217*Scoring!$J$32+U216</f>
        <v>88.1</v>
      </c>
      <c r="P216" s="8">
        <f>IF(COUNTIF(Rookies!$A:$A,A216)&gt;0,1,0)</f>
        <v>0</v>
      </c>
      <c r="Q216" s="8"/>
      <c r="R216" s="8"/>
      <c r="S216" s="8">
        <f>V216/17</f>
        <v>2.782941176</v>
      </c>
      <c r="T216" s="8">
        <f>IF(P216=1,MAX(0,0.258*(14.9-S216)),0)</f>
        <v>0</v>
      </c>
      <c r="U216" s="8">
        <f>T216*17</f>
        <v>0</v>
      </c>
      <c r="V216" s="8">
        <f>C216*Scoring!$B$32+D216/Scoring!$C$32+E216*Scoring!$D$32+F216*Scoring!$E$32+G216/Scoring!$F$32+H216*Scoring!$G$32+I216*Scoring!$H$32+K216*Scoring!$I$32+RB!L216*Scoring!$J$32</f>
        <v>47.31</v>
      </c>
      <c r="W216" s="8"/>
      <c r="X216" s="8"/>
      <c r="Y216" s="8"/>
      <c r="Z216" s="8"/>
    </row>
    <row r="217" ht="14.25" customHeight="1">
      <c r="B217" s="1" t="s">
        <v>39</v>
      </c>
      <c r="C217" s="1">
        <v>129.0</v>
      </c>
      <c r="D217" s="1">
        <v>533.0</v>
      </c>
      <c r="E217" s="1">
        <v>3.0</v>
      </c>
      <c r="F217" s="1">
        <v>14.0</v>
      </c>
      <c r="G217" s="1">
        <v>94.0</v>
      </c>
      <c r="H217" s="1">
        <v>0.1</v>
      </c>
      <c r="I217" s="1">
        <v>0.1</v>
      </c>
      <c r="J217" s="1">
        <v>73.7</v>
      </c>
      <c r="K217" s="18">
        <f t="shared" si="1"/>
        <v>29.61111111</v>
      </c>
      <c r="L217" s="18">
        <f t="shared" si="2"/>
        <v>4.445786164</v>
      </c>
      <c r="M217" s="112"/>
      <c r="N217" s="112"/>
      <c r="O217" s="112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B218" s="1" t="s">
        <v>48</v>
      </c>
      <c r="C218" s="1">
        <v>11.4</v>
      </c>
      <c r="D218" s="1">
        <v>48.0</v>
      </c>
      <c r="E218" s="1">
        <v>0.4</v>
      </c>
      <c r="F218" s="1">
        <v>1.4</v>
      </c>
      <c r="G218" s="1">
        <v>10.3</v>
      </c>
      <c r="H218" s="1">
        <v>0.0</v>
      </c>
      <c r="I218" s="1">
        <v>1.0</v>
      </c>
      <c r="J218" s="1">
        <v>16.2</v>
      </c>
      <c r="K218" s="18">
        <f t="shared" si="1"/>
        <v>2.666666667</v>
      </c>
      <c r="L218" s="18">
        <f t="shared" si="2"/>
        <v>0.4871446541</v>
      </c>
      <c r="M218" s="112"/>
      <c r="N218" s="112"/>
      <c r="O218" s="112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1" t="s">
        <v>536</v>
      </c>
      <c r="B219" s="1" t="s">
        <v>196</v>
      </c>
      <c r="C219" s="1">
        <v>79.9</v>
      </c>
      <c r="D219" s="1">
        <v>308.9</v>
      </c>
      <c r="E219" s="1">
        <v>1.5</v>
      </c>
      <c r="F219" s="1">
        <v>7.2</v>
      </c>
      <c r="G219" s="1">
        <v>52.5</v>
      </c>
      <c r="H219" s="1">
        <v>0.1</v>
      </c>
      <c r="I219" s="1">
        <v>1.2</v>
      </c>
      <c r="J219" s="1">
        <v>50.7</v>
      </c>
      <c r="K219" s="18">
        <f t="shared" si="1"/>
        <v>17.16111111</v>
      </c>
      <c r="L219" s="18">
        <f t="shared" si="2"/>
        <v>2.483018868</v>
      </c>
      <c r="M219" s="112">
        <f>C221*Scoring!$B$32+D221/Scoring!$C$32+E221*Scoring!$D$32+F221*Scoring!$E$32+G221/Scoring!$F$32+H221*Scoring!$G$32+I221*Scoring!$H$32+K221*Scoring!$I$32+RB!L221*Scoring!$J$32+U219</f>
        <v>34.38</v>
      </c>
      <c r="N219" s="112">
        <f>C219*Scoring!$B$32+D219/Scoring!$C$32+E219*Scoring!$D$32+F219*Scoring!$E$32+G219/Scoring!$F$32+H219*Scoring!$G$32+I219*Scoring!$H$32+K219*Scoring!$I$32+RB!L219*Scoring!$J$32+U219</f>
        <v>46.94</v>
      </c>
      <c r="O219" s="112">
        <f>C220*Scoring!$B$32+D220/Scoring!$C$32+E220*Scoring!$D$32+F220*Scoring!$E$32+G220/Scoring!$F$32+H220*Scoring!$G$32+I220*Scoring!$H$32+K220*Scoring!$I$32+L220*Scoring!$J$32+U219</f>
        <v>59.94</v>
      </c>
      <c r="P219" s="8">
        <f>IF(COUNTIF(Rookies!$A:$A,A219)&gt;0,1,0)</f>
        <v>0</v>
      </c>
      <c r="Q219" s="8"/>
      <c r="R219" s="8"/>
      <c r="S219" s="8">
        <f>V219/17</f>
        <v>2.761176471</v>
      </c>
      <c r="T219" s="8">
        <f>IF(P219=1,MAX(0,0.258*(14.9-S219)),0)</f>
        <v>0</v>
      </c>
      <c r="U219" s="8">
        <f>T219*17</f>
        <v>0</v>
      </c>
      <c r="V219" s="8">
        <f>C219*Scoring!$B$32+D219/Scoring!$C$32+E219*Scoring!$D$32+F219*Scoring!$E$32+G219/Scoring!$F$32+H219*Scoring!$G$32+I219*Scoring!$H$32+K219*Scoring!$I$32+RB!L219*Scoring!$J$32</f>
        <v>46.94</v>
      </c>
      <c r="W219" s="8"/>
      <c r="X219" s="8"/>
      <c r="Y219" s="8"/>
      <c r="Z219" s="8"/>
    </row>
    <row r="220" ht="14.25" customHeight="1">
      <c r="B220" s="1" t="s">
        <v>39</v>
      </c>
      <c r="C220" s="1">
        <v>104.0</v>
      </c>
      <c r="D220" s="1">
        <v>384.0</v>
      </c>
      <c r="E220" s="1">
        <v>2.0</v>
      </c>
      <c r="F220" s="1">
        <v>7.5</v>
      </c>
      <c r="G220" s="1">
        <v>55.9</v>
      </c>
      <c r="H220" s="1">
        <v>0.2</v>
      </c>
      <c r="I220" s="1">
        <v>0.5</v>
      </c>
      <c r="J220" s="1">
        <v>46.2</v>
      </c>
      <c r="K220" s="18">
        <f t="shared" si="1"/>
        <v>21.33333333</v>
      </c>
      <c r="L220" s="18">
        <f t="shared" si="2"/>
        <v>2.643823899</v>
      </c>
      <c r="M220" s="112"/>
      <c r="N220" s="112"/>
      <c r="O220" s="112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B221" s="1" t="s">
        <v>48</v>
      </c>
      <c r="C221" s="1">
        <v>55.9</v>
      </c>
      <c r="D221" s="1">
        <v>233.8</v>
      </c>
      <c r="E221" s="1">
        <v>1.1</v>
      </c>
      <c r="F221" s="1">
        <v>7.0</v>
      </c>
      <c r="G221" s="1">
        <v>49.0</v>
      </c>
      <c r="H221" s="1">
        <v>0.0</v>
      </c>
      <c r="I221" s="1">
        <v>2.0</v>
      </c>
      <c r="J221" s="1">
        <v>43.2</v>
      </c>
      <c r="K221" s="18">
        <f t="shared" si="1"/>
        <v>12.98888889</v>
      </c>
      <c r="L221" s="18">
        <f t="shared" si="2"/>
        <v>2.317484277</v>
      </c>
      <c r="M221" s="112"/>
      <c r="N221" s="112"/>
      <c r="O221" s="112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1" t="s">
        <v>539</v>
      </c>
      <c r="B222" s="1" t="s">
        <v>205</v>
      </c>
      <c r="C222" s="1">
        <v>51.3</v>
      </c>
      <c r="D222" s="1">
        <v>218.0</v>
      </c>
      <c r="E222" s="1">
        <v>1.1</v>
      </c>
      <c r="F222" s="1">
        <v>11.0</v>
      </c>
      <c r="G222" s="1">
        <v>86.0</v>
      </c>
      <c r="H222" s="1">
        <v>0.5</v>
      </c>
      <c r="I222" s="1">
        <v>0.5</v>
      </c>
      <c r="J222" s="1">
        <v>50.1</v>
      </c>
      <c r="K222" s="18">
        <f t="shared" si="1"/>
        <v>12.11111111</v>
      </c>
      <c r="L222" s="18">
        <f t="shared" si="2"/>
        <v>4.067421384</v>
      </c>
      <c r="M222" s="112">
        <f>C224*Scoring!$B$32+D224/Scoring!$C$32+E224*Scoring!$D$32+F224*Scoring!$E$32+G224/Scoring!$F$32+H224*Scoring!$G$32+I224*Scoring!$H$32+K224*Scoring!$I$32+RB!L224*Scoring!$J$32+U222</f>
        <v>5.21</v>
      </c>
      <c r="N222" s="112">
        <f>C222*Scoring!$B$32+D222/Scoring!$C$32+E222*Scoring!$D$32+F222*Scoring!$E$32+G222/Scoring!$F$32+H222*Scoring!$G$32+I222*Scoring!$H$32+K222*Scoring!$I$32+RB!L222*Scoring!$J$32+U222</f>
        <v>44.5</v>
      </c>
      <c r="O222" s="112">
        <f>C223*Scoring!$B$32+D223/Scoring!$C$32+E223*Scoring!$D$32+F223*Scoring!$E$32+G223/Scoring!$F$32+H223*Scoring!$G$32+I223*Scoring!$H$32+K223*Scoring!$I$32+L223*Scoring!$J$32+U222</f>
        <v>84.4</v>
      </c>
      <c r="P222" s="8">
        <f>IF(COUNTIF(Rookies!$A:$A,A222)&gt;0,1,0)</f>
        <v>0</v>
      </c>
      <c r="Q222" s="8"/>
      <c r="R222" s="8"/>
      <c r="S222" s="8">
        <f>V222/17</f>
        <v>2.617647059</v>
      </c>
      <c r="T222" s="8">
        <f>IF(P222=1,MAX(0,0.258*(14.9-S222)),0)</f>
        <v>0</v>
      </c>
      <c r="U222" s="8">
        <f>T222*17</f>
        <v>0</v>
      </c>
      <c r="V222" s="8">
        <f>C222*Scoring!$B$32+D222/Scoring!$C$32+E222*Scoring!$D$32+F222*Scoring!$E$32+G222/Scoring!$F$32+H222*Scoring!$G$32+I222*Scoring!$H$32+K222*Scoring!$I$32+RB!L222*Scoring!$J$32</f>
        <v>44.5</v>
      </c>
      <c r="W222" s="8"/>
      <c r="X222" s="8"/>
      <c r="Y222" s="8"/>
      <c r="Z222" s="8"/>
    </row>
    <row r="223" ht="14.25" customHeight="1">
      <c r="B223" s="1" t="s">
        <v>39</v>
      </c>
      <c r="C223" s="1">
        <v>90.0</v>
      </c>
      <c r="D223" s="1">
        <v>382.0</v>
      </c>
      <c r="E223" s="1">
        <v>2.0</v>
      </c>
      <c r="F223" s="1">
        <v>22.0</v>
      </c>
      <c r="G223" s="1">
        <v>172.0</v>
      </c>
      <c r="H223" s="1">
        <v>1.0</v>
      </c>
      <c r="I223" s="1">
        <v>0.0</v>
      </c>
      <c r="J223" s="1">
        <v>67.0</v>
      </c>
      <c r="K223" s="18">
        <f t="shared" si="1"/>
        <v>21.22222222</v>
      </c>
      <c r="L223" s="18">
        <f t="shared" si="2"/>
        <v>8.134842767</v>
      </c>
      <c r="M223" s="112"/>
      <c r="N223" s="112"/>
      <c r="O223" s="112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B224" s="1" t="s">
        <v>48</v>
      </c>
      <c r="C224" s="1">
        <v>12.6</v>
      </c>
      <c r="D224" s="1">
        <v>54.1</v>
      </c>
      <c r="E224" s="1">
        <v>0.3</v>
      </c>
      <c r="F224" s="1">
        <v>0.0</v>
      </c>
      <c r="G224" s="1">
        <v>0.0</v>
      </c>
      <c r="H224" s="1">
        <v>0.0</v>
      </c>
      <c r="I224" s="1">
        <v>1.0</v>
      </c>
      <c r="J224" s="1">
        <v>17.9</v>
      </c>
      <c r="K224" s="18">
        <f t="shared" si="1"/>
        <v>3.005555556</v>
      </c>
      <c r="L224" s="18">
        <f t="shared" si="2"/>
        <v>0</v>
      </c>
      <c r="M224" s="112"/>
      <c r="N224" s="112"/>
      <c r="O224" s="112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1" t="s">
        <v>541</v>
      </c>
      <c r="B225" s="1" t="s">
        <v>150</v>
      </c>
      <c r="C225" s="1">
        <v>58.0</v>
      </c>
      <c r="D225" s="1">
        <v>277.0</v>
      </c>
      <c r="E225" s="1">
        <v>2.0</v>
      </c>
      <c r="F225" s="1">
        <v>4.5</v>
      </c>
      <c r="G225" s="1">
        <v>37.5</v>
      </c>
      <c r="H225" s="1">
        <v>0.0</v>
      </c>
      <c r="I225" s="1">
        <v>0.5</v>
      </c>
      <c r="J225" s="1">
        <v>47.0</v>
      </c>
      <c r="K225" s="18">
        <f t="shared" si="1"/>
        <v>15.38888889</v>
      </c>
      <c r="L225" s="18">
        <f t="shared" si="2"/>
        <v>1.773584906</v>
      </c>
      <c r="M225" s="112">
        <f>C227*Scoring!$B$32+D227/Scoring!$C$32+E227*Scoring!$D$32+F227*Scoring!$E$32+G227/Scoring!$F$32+H227*Scoring!$G$32+I227*Scoring!$H$32+K227*Scoring!$I$32+RB!L227*Scoring!$J$32+U225</f>
        <v>-2</v>
      </c>
      <c r="N225" s="112">
        <f>C225*Scoring!$B$32+D225/Scoring!$C$32+E225*Scoring!$D$32+F225*Scoring!$E$32+G225/Scoring!$F$32+H225*Scoring!$G$32+I225*Scoring!$H$32+K225*Scoring!$I$32+RB!L225*Scoring!$J$32+U225</f>
        <v>44.7</v>
      </c>
      <c r="O225" s="112">
        <f>C226*Scoring!$B$32+D226/Scoring!$C$32+E226*Scoring!$D$32+F226*Scoring!$E$32+G226/Scoring!$F$32+H226*Scoring!$G$32+I226*Scoring!$H$32+K226*Scoring!$I$32+L226*Scoring!$J$32+U225</f>
        <v>91.4</v>
      </c>
      <c r="P225" s="8">
        <f>IF(COUNTIF(Rookies!$A:$A,A225)&gt;0,1,0)</f>
        <v>0</v>
      </c>
      <c r="Q225" s="8"/>
      <c r="R225" s="8"/>
      <c r="S225" s="8">
        <f>V225/17</f>
        <v>2.629411765</v>
      </c>
      <c r="T225" s="8">
        <f>IF(P225=1,MAX(0,0.258*(14.9-S225)),0)</f>
        <v>0</v>
      </c>
      <c r="U225" s="8">
        <f>T225*17</f>
        <v>0</v>
      </c>
      <c r="V225" s="8">
        <f>C225*Scoring!$B$32+D225/Scoring!$C$32+E225*Scoring!$D$32+F225*Scoring!$E$32+G225/Scoring!$F$32+H225*Scoring!$G$32+I225*Scoring!$H$32+K225*Scoring!$I$32+RB!L225*Scoring!$J$32</f>
        <v>44.7</v>
      </c>
      <c r="W225" s="8"/>
      <c r="X225" s="8"/>
      <c r="Y225" s="8"/>
      <c r="Z225" s="8"/>
    </row>
    <row r="226" ht="14.25" customHeight="1">
      <c r="B226" s="1" t="s">
        <v>39</v>
      </c>
      <c r="C226" s="1">
        <v>116.0</v>
      </c>
      <c r="D226" s="1">
        <v>554.0</v>
      </c>
      <c r="E226" s="1">
        <v>4.0</v>
      </c>
      <c r="F226" s="1">
        <v>9.0</v>
      </c>
      <c r="G226" s="1">
        <v>75.0</v>
      </c>
      <c r="H226" s="1">
        <v>0.0</v>
      </c>
      <c r="I226" s="1">
        <v>0.0</v>
      </c>
      <c r="J226" s="1">
        <v>76.5</v>
      </c>
      <c r="K226" s="18">
        <f t="shared" si="1"/>
        <v>30.77777778</v>
      </c>
      <c r="L226" s="18">
        <f t="shared" si="2"/>
        <v>3.547169811</v>
      </c>
      <c r="M226" s="112"/>
      <c r="N226" s="112"/>
      <c r="O226" s="112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B227" s="1" t="s">
        <v>48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1.0</v>
      </c>
      <c r="J227" s="1">
        <v>4.5</v>
      </c>
      <c r="K227" s="18">
        <f t="shared" si="1"/>
        <v>0</v>
      </c>
      <c r="L227" s="18">
        <f t="shared" si="2"/>
        <v>0</v>
      </c>
      <c r="M227" s="112"/>
      <c r="N227" s="112"/>
      <c r="O227" s="112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1" t="s">
        <v>543</v>
      </c>
      <c r="B228" s="1" t="s">
        <v>145</v>
      </c>
      <c r="C228" s="1">
        <v>32.0</v>
      </c>
      <c r="D228" s="1">
        <v>126.0</v>
      </c>
      <c r="E228" s="1">
        <v>0.6</v>
      </c>
      <c r="F228" s="1">
        <v>15.3</v>
      </c>
      <c r="G228" s="1">
        <v>99.1</v>
      </c>
      <c r="H228" s="1">
        <v>0.4</v>
      </c>
      <c r="I228" s="1">
        <v>0.1</v>
      </c>
      <c r="J228" s="1">
        <v>43.8</v>
      </c>
      <c r="K228" s="18">
        <f t="shared" si="1"/>
        <v>7</v>
      </c>
      <c r="L228" s="18">
        <f t="shared" si="2"/>
        <v>4.686993711</v>
      </c>
      <c r="M228" s="112">
        <f>C230*Scoring!$B$32+D230/Scoring!$C$32+E230*Scoring!$D$32+F230*Scoring!$E$32+G230/Scoring!$F$32+H230*Scoring!$G$32+I230*Scoring!$H$32+K230*Scoring!$I$32+RB!L230*Scoring!$J$32+U228</f>
        <v>13.9</v>
      </c>
      <c r="N228" s="112">
        <f>C228*Scoring!$B$32+D228/Scoring!$C$32+E228*Scoring!$D$32+F228*Scoring!$E$32+G228/Scoring!$F$32+H228*Scoring!$G$32+I228*Scoring!$H$32+K228*Scoring!$I$32+RB!L228*Scoring!$J$32+U228</f>
        <v>35.96</v>
      </c>
      <c r="O228" s="112">
        <f>C229*Scoring!$B$32+D229/Scoring!$C$32+E229*Scoring!$D$32+F229*Scoring!$E$32+G229/Scoring!$F$32+H229*Scoring!$G$32+I229*Scoring!$H$32+K229*Scoring!$I$32+L229*Scoring!$J$32+U228</f>
        <v>58.88</v>
      </c>
      <c r="P228" s="8">
        <f>IF(COUNTIF(Rookies!$A:$A,A228)&gt;0,1,0)</f>
        <v>0</v>
      </c>
      <c r="Q228" s="8"/>
      <c r="R228" s="8"/>
      <c r="S228" s="8">
        <f>V228/17</f>
        <v>2.115294118</v>
      </c>
      <c r="T228" s="8">
        <f>IF(P228=1,MAX(0,0.258*(14.9-S228)),0)</f>
        <v>0</v>
      </c>
      <c r="U228" s="8">
        <f>T228*17</f>
        <v>0</v>
      </c>
      <c r="V228" s="8">
        <f>C228*Scoring!$B$32+D228/Scoring!$C$32+E228*Scoring!$D$32+F228*Scoring!$E$32+G228/Scoring!$F$32+H228*Scoring!$G$32+I228*Scoring!$H$32+K228*Scoring!$I$32+RB!L228*Scoring!$J$32</f>
        <v>35.96</v>
      </c>
      <c r="W228" s="8"/>
      <c r="X228" s="8"/>
      <c r="Y228" s="8"/>
      <c r="Z228" s="8"/>
    </row>
    <row r="229" ht="14.25" customHeight="1">
      <c r="B229" s="1" t="s">
        <v>39</v>
      </c>
      <c r="C229" s="1">
        <v>56.0</v>
      </c>
      <c r="D229" s="1">
        <v>218.0</v>
      </c>
      <c r="E229" s="1">
        <v>1.0</v>
      </c>
      <c r="F229" s="1">
        <v>21.7</v>
      </c>
      <c r="G229" s="1">
        <v>148.3</v>
      </c>
      <c r="H229" s="1">
        <v>0.9</v>
      </c>
      <c r="I229" s="1">
        <v>0.0</v>
      </c>
      <c r="J229" s="1">
        <v>40.1</v>
      </c>
      <c r="K229" s="18">
        <f t="shared" si="1"/>
        <v>12.11111111</v>
      </c>
      <c r="L229" s="18">
        <f t="shared" si="2"/>
        <v>7.013937107</v>
      </c>
      <c r="M229" s="112"/>
      <c r="N229" s="112"/>
      <c r="O229" s="112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B230" s="1" t="s">
        <v>48</v>
      </c>
      <c r="C230" s="1">
        <v>8.0</v>
      </c>
      <c r="D230" s="1">
        <v>34.0</v>
      </c>
      <c r="E230" s="1">
        <v>0.2</v>
      </c>
      <c r="F230" s="1">
        <v>9.0</v>
      </c>
      <c r="G230" s="1">
        <v>50.0</v>
      </c>
      <c r="H230" s="1">
        <v>0.0</v>
      </c>
      <c r="I230" s="1">
        <v>0.1</v>
      </c>
      <c r="J230" s="1">
        <v>35.3</v>
      </c>
      <c r="K230" s="18">
        <f t="shared" si="1"/>
        <v>1.888888889</v>
      </c>
      <c r="L230" s="18">
        <f t="shared" si="2"/>
        <v>2.364779874</v>
      </c>
      <c r="M230" s="112"/>
      <c r="N230" s="112"/>
      <c r="O230" s="112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1" t="s">
        <v>545</v>
      </c>
      <c r="B231" s="1" t="s">
        <v>210</v>
      </c>
      <c r="C231" s="1">
        <v>35.1</v>
      </c>
      <c r="D231" s="1">
        <v>174.7</v>
      </c>
      <c r="E231" s="1">
        <v>1.2</v>
      </c>
      <c r="F231" s="1">
        <v>9.9</v>
      </c>
      <c r="G231" s="1">
        <v>78.7</v>
      </c>
      <c r="H231" s="1">
        <v>0.2</v>
      </c>
      <c r="I231" s="1">
        <v>0.1</v>
      </c>
      <c r="J231" s="1">
        <v>43.4</v>
      </c>
      <c r="K231" s="18">
        <f t="shared" si="1"/>
        <v>9.705555556</v>
      </c>
      <c r="L231" s="18">
        <f t="shared" si="2"/>
        <v>3.722163522</v>
      </c>
      <c r="M231" s="112">
        <f>C233*Scoring!$B$32+D233/Scoring!$C$32+E233*Scoring!$D$32+F233*Scoring!$E$32+G233/Scoring!$F$32+H233*Scoring!$G$32+I233*Scoring!$H$32+K233*Scoring!$I$32+RB!L233*Scoring!$J$32+U231</f>
        <v>32.5</v>
      </c>
      <c r="N231" s="112">
        <f>C231*Scoring!$B$32+D231/Scoring!$C$32+E231*Scoring!$D$32+F231*Scoring!$E$32+G231/Scoring!$F$32+H231*Scoring!$G$32+I231*Scoring!$H$32+K231*Scoring!$I$32+RB!L231*Scoring!$J$32+U231</f>
        <v>38.49</v>
      </c>
      <c r="O231" s="112">
        <f>C232*Scoring!$B$32+D232/Scoring!$C$32+E232*Scoring!$D$32+F232*Scoring!$E$32+G232/Scoring!$F$32+H232*Scoring!$G$32+I232*Scoring!$H$32+K232*Scoring!$I$32+L232*Scoring!$J$32+U231</f>
        <v>44.14</v>
      </c>
      <c r="P231" s="8">
        <f>IF(COUNTIF(Rookies!$A:$A,A231)&gt;0,1,0)</f>
        <v>0</v>
      </c>
      <c r="Q231" s="8"/>
      <c r="R231" s="8"/>
      <c r="S231" s="8">
        <f>V231/17</f>
        <v>2.264117647</v>
      </c>
      <c r="T231" s="8">
        <f>IF(P231=1,MAX(0,0.258*(14.9-S231)),0)</f>
        <v>0</v>
      </c>
      <c r="U231" s="8">
        <f>T231*17</f>
        <v>0</v>
      </c>
      <c r="V231" s="8">
        <f>C231*Scoring!$B$32+D231/Scoring!$C$32+E231*Scoring!$D$32+F231*Scoring!$E$32+G231/Scoring!$F$32+H231*Scoring!$G$32+I231*Scoring!$H$32+K231*Scoring!$I$32+RB!L231*Scoring!$J$32</f>
        <v>38.49</v>
      </c>
      <c r="W231" s="8"/>
      <c r="X231" s="8"/>
      <c r="Y231" s="8"/>
      <c r="Z231" s="8"/>
    </row>
    <row r="232" ht="14.25" customHeight="1">
      <c r="B232" s="1" t="s">
        <v>39</v>
      </c>
      <c r="C232" s="1">
        <v>39.1</v>
      </c>
      <c r="D232" s="1">
        <v>178.4</v>
      </c>
      <c r="E232" s="1">
        <v>1.3</v>
      </c>
      <c r="F232" s="1">
        <v>12.9</v>
      </c>
      <c r="G232" s="1">
        <v>96.5</v>
      </c>
      <c r="H232" s="1">
        <v>0.4</v>
      </c>
      <c r="I232" s="1">
        <v>0.0</v>
      </c>
      <c r="J232" s="1">
        <v>48.1</v>
      </c>
      <c r="K232" s="18">
        <f t="shared" si="1"/>
        <v>9.911111111</v>
      </c>
      <c r="L232" s="18">
        <f t="shared" si="2"/>
        <v>4.564025157</v>
      </c>
      <c r="M232" s="112"/>
      <c r="N232" s="112"/>
      <c r="O232" s="112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B233" s="1" t="s">
        <v>48</v>
      </c>
      <c r="C233" s="1">
        <v>31.0</v>
      </c>
      <c r="D233" s="1">
        <v>171.0</v>
      </c>
      <c r="E233" s="1">
        <v>1.0</v>
      </c>
      <c r="F233" s="1">
        <v>7.0</v>
      </c>
      <c r="G233" s="1">
        <v>61.0</v>
      </c>
      <c r="H233" s="1">
        <v>0.0</v>
      </c>
      <c r="I233" s="1">
        <v>0.1</v>
      </c>
      <c r="J233" s="1">
        <v>27.9</v>
      </c>
      <c r="K233" s="18">
        <f t="shared" si="1"/>
        <v>9.5</v>
      </c>
      <c r="L233" s="18">
        <f t="shared" si="2"/>
        <v>2.885031447</v>
      </c>
      <c r="M233" s="112"/>
      <c r="N233" s="112"/>
      <c r="O233" s="112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1" t="s">
        <v>547</v>
      </c>
      <c r="B234" s="1" t="s">
        <v>202</v>
      </c>
      <c r="C234" s="1">
        <v>38.9</v>
      </c>
      <c r="D234" s="1">
        <v>164.1</v>
      </c>
      <c r="E234" s="1">
        <v>1.5</v>
      </c>
      <c r="F234" s="1">
        <v>8.0</v>
      </c>
      <c r="G234" s="1">
        <v>62.2</v>
      </c>
      <c r="H234" s="1">
        <v>0.3</v>
      </c>
      <c r="I234" s="1">
        <v>0.2</v>
      </c>
      <c r="J234" s="1">
        <v>41.1</v>
      </c>
      <c r="K234" s="18">
        <f t="shared" si="1"/>
        <v>9.116666667</v>
      </c>
      <c r="L234" s="18">
        <f t="shared" si="2"/>
        <v>2.941786164</v>
      </c>
      <c r="M234" s="112">
        <f>C236*Scoring!$B$32+D236/Scoring!$C$32+E236*Scoring!$D$32+F236*Scoring!$E$32+G236/Scoring!$F$32+H236*Scoring!$G$32+I236*Scoring!$H$32+K236*Scoring!$I$32+RB!L236*Scoring!$J$32+U234</f>
        <v>37.03</v>
      </c>
      <c r="N234" s="112">
        <f>C234*Scoring!$B$32+D234/Scoring!$C$32+E234*Scoring!$D$32+F234*Scoring!$E$32+G234/Scoring!$F$32+H234*Scoring!$G$32+I234*Scoring!$H$32+K234*Scoring!$I$32+RB!L234*Scoring!$J$32+U234</f>
        <v>37.03</v>
      </c>
      <c r="O234" s="112">
        <f>C235*Scoring!$B$32+D235/Scoring!$C$32+E235*Scoring!$D$32+F235*Scoring!$E$32+G235/Scoring!$F$32+H235*Scoring!$G$32+I235*Scoring!$H$32+K235*Scoring!$I$32+L235*Scoring!$J$32+U234</f>
        <v>37.03</v>
      </c>
      <c r="P234" s="8">
        <f>IF(COUNTIF(Rookies!$A:$A,A234)&gt;0,1,0)</f>
        <v>0</v>
      </c>
      <c r="Q234" s="8"/>
      <c r="R234" s="8"/>
      <c r="S234" s="8">
        <f>V234/17</f>
        <v>2.178235294</v>
      </c>
      <c r="T234" s="8">
        <f>IF(P234=1,MAX(0,0.258*(14.9-S234)),0)</f>
        <v>0</v>
      </c>
      <c r="U234" s="8">
        <f>T234*17</f>
        <v>0</v>
      </c>
      <c r="V234" s="8">
        <f>C234*Scoring!$B$32+D234/Scoring!$C$32+E234*Scoring!$D$32+F234*Scoring!$E$32+G234/Scoring!$F$32+H234*Scoring!$G$32+I234*Scoring!$H$32+K234*Scoring!$I$32+RB!L234*Scoring!$J$32</f>
        <v>37.03</v>
      </c>
      <c r="W234" s="8"/>
      <c r="X234" s="8"/>
      <c r="Y234" s="8"/>
      <c r="Z234" s="8"/>
    </row>
    <row r="235" ht="14.25" customHeight="1">
      <c r="B235" s="1" t="s">
        <v>39</v>
      </c>
      <c r="C235" s="1">
        <v>38.9</v>
      </c>
      <c r="D235" s="1">
        <v>164.1</v>
      </c>
      <c r="E235" s="1">
        <v>1.5</v>
      </c>
      <c r="F235" s="1">
        <v>8.0</v>
      </c>
      <c r="G235" s="1">
        <v>62.2</v>
      </c>
      <c r="H235" s="1">
        <v>0.3</v>
      </c>
      <c r="I235" s="1">
        <v>0.2</v>
      </c>
      <c r="J235" s="1">
        <v>41.5</v>
      </c>
      <c r="K235" s="18">
        <f t="shared" si="1"/>
        <v>9.116666667</v>
      </c>
      <c r="L235" s="18">
        <f t="shared" si="2"/>
        <v>2.941786164</v>
      </c>
      <c r="M235" s="112"/>
      <c r="N235" s="112"/>
      <c r="O235" s="112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B236" s="1" t="s">
        <v>48</v>
      </c>
      <c r="C236" s="1">
        <v>38.9</v>
      </c>
      <c r="D236" s="1">
        <v>164.1</v>
      </c>
      <c r="E236" s="1">
        <v>1.5</v>
      </c>
      <c r="F236" s="1">
        <v>8.0</v>
      </c>
      <c r="G236" s="1">
        <v>62.2</v>
      </c>
      <c r="H236" s="1">
        <v>0.3</v>
      </c>
      <c r="I236" s="1">
        <v>0.2</v>
      </c>
      <c r="J236" s="1">
        <v>41.5</v>
      </c>
      <c r="K236" s="18">
        <f t="shared" si="1"/>
        <v>9.116666667</v>
      </c>
      <c r="L236" s="18">
        <f t="shared" si="2"/>
        <v>2.941786164</v>
      </c>
      <c r="M236" s="112"/>
      <c r="N236" s="112"/>
      <c r="O236" s="112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1" t="s">
        <v>550</v>
      </c>
      <c r="B237" s="1" t="s">
        <v>182</v>
      </c>
      <c r="C237" s="1">
        <v>52.0</v>
      </c>
      <c r="D237" s="1">
        <v>139.0</v>
      </c>
      <c r="E237" s="1">
        <v>1.0</v>
      </c>
      <c r="F237" s="1">
        <v>12.0</v>
      </c>
      <c r="G237" s="1">
        <v>58.0</v>
      </c>
      <c r="H237" s="1">
        <v>0.0</v>
      </c>
      <c r="I237" s="1">
        <v>0.0</v>
      </c>
      <c r="J237" s="1">
        <v>37.7</v>
      </c>
      <c r="K237" s="18">
        <f t="shared" si="1"/>
        <v>7.722222222</v>
      </c>
      <c r="L237" s="18">
        <f t="shared" si="2"/>
        <v>2.743144654</v>
      </c>
      <c r="M237" s="112">
        <f>C239*Scoring!$B$32+D239/Scoring!$C$32+E239*Scoring!$D$32+F239*Scoring!$E$32+G239/Scoring!$F$32+H239*Scoring!$G$32+I239*Scoring!$H$32+K239*Scoring!$I$32+RB!L239*Scoring!$J$32+U237</f>
        <v>31.7</v>
      </c>
      <c r="N237" s="112">
        <f>C237*Scoring!$B$32+D237/Scoring!$C$32+E237*Scoring!$D$32+F237*Scoring!$E$32+G237/Scoring!$F$32+H237*Scoring!$G$32+I237*Scoring!$H$32+K237*Scoring!$I$32+RB!L237*Scoring!$J$32+U237</f>
        <v>31.7</v>
      </c>
      <c r="O237" s="112">
        <f>C238*Scoring!$B$32+D238/Scoring!$C$32+E238*Scoring!$D$32+F238*Scoring!$E$32+G238/Scoring!$F$32+H238*Scoring!$G$32+I238*Scoring!$H$32+K238*Scoring!$I$32+L238*Scoring!$J$32+U237</f>
        <v>31.7</v>
      </c>
      <c r="P237" s="8">
        <f>IF(COUNTIF(Rookies!$A:$A,A237)&gt;0,1,0)</f>
        <v>0</v>
      </c>
      <c r="Q237" s="8"/>
      <c r="R237" s="8"/>
      <c r="S237" s="8">
        <f>V237/17</f>
        <v>1.864705882</v>
      </c>
      <c r="T237" s="8">
        <f>IF(P237=1,MAX(0,0.258*(14.9-S237)),0)</f>
        <v>0</v>
      </c>
      <c r="U237" s="8">
        <f>T237*17</f>
        <v>0</v>
      </c>
      <c r="V237" s="8">
        <f>C237*Scoring!$B$32+D237/Scoring!$C$32+E237*Scoring!$D$32+F237*Scoring!$E$32+G237/Scoring!$F$32+H237*Scoring!$G$32+I237*Scoring!$H$32+K237*Scoring!$I$32+RB!L237*Scoring!$J$32</f>
        <v>31.7</v>
      </c>
      <c r="W237" s="8"/>
      <c r="X237" s="8"/>
      <c r="Y237" s="8"/>
      <c r="Z237" s="8"/>
    </row>
    <row r="238" ht="14.25" customHeight="1">
      <c r="B238" s="1" t="s">
        <v>39</v>
      </c>
      <c r="C238" s="1">
        <v>52.0</v>
      </c>
      <c r="D238" s="1">
        <v>139.0</v>
      </c>
      <c r="E238" s="1">
        <v>1.0</v>
      </c>
      <c r="F238" s="1">
        <v>12.0</v>
      </c>
      <c r="G238" s="1">
        <v>58.0</v>
      </c>
      <c r="H238" s="1">
        <v>0.0</v>
      </c>
      <c r="I238" s="1">
        <v>0.0</v>
      </c>
      <c r="J238" s="1">
        <v>26.0</v>
      </c>
      <c r="K238" s="18">
        <f t="shared" si="1"/>
        <v>7.722222222</v>
      </c>
      <c r="L238" s="18">
        <f t="shared" si="2"/>
        <v>2.743144654</v>
      </c>
      <c r="M238" s="112"/>
      <c r="N238" s="112"/>
      <c r="O238" s="112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B239" s="1" t="s">
        <v>48</v>
      </c>
      <c r="C239" s="1">
        <v>52.0</v>
      </c>
      <c r="D239" s="1">
        <v>139.0</v>
      </c>
      <c r="E239" s="1">
        <v>1.0</v>
      </c>
      <c r="F239" s="1">
        <v>12.0</v>
      </c>
      <c r="G239" s="1">
        <v>58.0</v>
      </c>
      <c r="H239" s="1">
        <v>0.0</v>
      </c>
      <c r="I239" s="1">
        <v>0.0</v>
      </c>
      <c r="J239" s="1">
        <v>26.0</v>
      </c>
      <c r="K239" s="18">
        <f t="shared" si="1"/>
        <v>7.722222222</v>
      </c>
      <c r="L239" s="18">
        <f t="shared" si="2"/>
        <v>2.743144654</v>
      </c>
      <c r="M239" s="112"/>
      <c r="N239" s="112"/>
      <c r="O239" s="112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1" t="s">
        <v>553</v>
      </c>
      <c r="B240" s="1" t="s">
        <v>179</v>
      </c>
      <c r="C240" s="1">
        <v>32.0</v>
      </c>
      <c r="D240" s="1">
        <v>138.0</v>
      </c>
      <c r="E240" s="1">
        <v>1.0</v>
      </c>
      <c r="F240" s="1">
        <v>9.0</v>
      </c>
      <c r="G240" s="1">
        <v>77.0</v>
      </c>
      <c r="H240" s="1">
        <v>0.0</v>
      </c>
      <c r="I240" s="1">
        <v>0.0</v>
      </c>
      <c r="J240" s="1">
        <v>36.5</v>
      </c>
      <c r="K240" s="18">
        <f t="shared" si="1"/>
        <v>7.666666667</v>
      </c>
      <c r="L240" s="18">
        <f t="shared" si="2"/>
        <v>3.641761006</v>
      </c>
      <c r="M240" s="112">
        <f>C242*Scoring!$B$32+D242/Scoring!$C$32+E242*Scoring!$D$32+F242*Scoring!$E$32+G242/Scoring!$F$32+H242*Scoring!$G$32+I242*Scoring!$H$32+K242*Scoring!$I$32+RB!L242*Scoring!$J$32+U240</f>
        <v>32</v>
      </c>
      <c r="N240" s="112">
        <f>C240*Scoring!$B$32+D240/Scoring!$C$32+E240*Scoring!$D$32+F240*Scoring!$E$32+G240/Scoring!$F$32+H240*Scoring!$G$32+I240*Scoring!$H$32+K240*Scoring!$I$32+RB!L240*Scoring!$J$32+U240</f>
        <v>32</v>
      </c>
      <c r="O240" s="112">
        <f>C241*Scoring!$B$32+D241/Scoring!$C$32+E241*Scoring!$D$32+F241*Scoring!$E$32+G241/Scoring!$F$32+H241*Scoring!$G$32+I241*Scoring!$H$32+K241*Scoring!$I$32+L241*Scoring!$J$32+U240</f>
        <v>32</v>
      </c>
      <c r="P240" s="8">
        <f>IF(COUNTIF(Rookies!$A:$A,A240)&gt;0,1,0)</f>
        <v>0</v>
      </c>
      <c r="Q240" s="8"/>
      <c r="R240" s="8"/>
      <c r="S240" s="8">
        <f>V240/17</f>
        <v>1.882352941</v>
      </c>
      <c r="T240" s="8">
        <f>IF(P240=1,MAX(0,0.258*(14.9-S240)),0)</f>
        <v>0</v>
      </c>
      <c r="U240" s="8">
        <f>T240*17</f>
        <v>0</v>
      </c>
      <c r="V240" s="8">
        <f>C240*Scoring!$B$32+D240/Scoring!$C$32+E240*Scoring!$D$32+F240*Scoring!$E$32+G240/Scoring!$F$32+H240*Scoring!$G$32+I240*Scoring!$H$32+K240*Scoring!$I$32+RB!L240*Scoring!$J$32</f>
        <v>32</v>
      </c>
      <c r="W240" s="8"/>
      <c r="X240" s="8"/>
      <c r="Y240" s="8"/>
      <c r="Z240" s="8"/>
    </row>
    <row r="241" ht="14.25" customHeight="1">
      <c r="B241" s="1" t="s">
        <v>39</v>
      </c>
      <c r="C241" s="1">
        <v>32.0</v>
      </c>
      <c r="D241" s="1">
        <v>138.0</v>
      </c>
      <c r="E241" s="1">
        <v>1.0</v>
      </c>
      <c r="F241" s="1">
        <v>9.0</v>
      </c>
      <c r="G241" s="1">
        <v>77.0</v>
      </c>
      <c r="H241" s="1">
        <v>0.0</v>
      </c>
      <c r="I241" s="1">
        <v>0.0</v>
      </c>
      <c r="J241" s="1">
        <v>24.0</v>
      </c>
      <c r="K241" s="18">
        <f t="shared" si="1"/>
        <v>7.666666667</v>
      </c>
      <c r="L241" s="18">
        <f t="shared" si="2"/>
        <v>3.641761006</v>
      </c>
      <c r="M241" s="112"/>
      <c r="N241" s="112"/>
      <c r="O241" s="112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B242" s="1" t="s">
        <v>48</v>
      </c>
      <c r="C242" s="1">
        <v>32.0</v>
      </c>
      <c r="D242" s="1">
        <v>138.0</v>
      </c>
      <c r="E242" s="1">
        <v>1.0</v>
      </c>
      <c r="F242" s="1">
        <v>9.0</v>
      </c>
      <c r="G242" s="1">
        <v>77.0</v>
      </c>
      <c r="H242" s="1">
        <v>0.0</v>
      </c>
      <c r="I242" s="1">
        <v>0.0</v>
      </c>
      <c r="J242" s="1">
        <v>24.0</v>
      </c>
      <c r="K242" s="18">
        <f t="shared" si="1"/>
        <v>7.666666667</v>
      </c>
      <c r="L242" s="18">
        <f t="shared" si="2"/>
        <v>3.641761006</v>
      </c>
      <c r="M242" s="112"/>
      <c r="N242" s="112"/>
      <c r="O242" s="112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1" t="s">
        <v>555</v>
      </c>
      <c r="B243" s="1" t="s">
        <v>18</v>
      </c>
      <c r="C243" s="1">
        <v>32.3</v>
      </c>
      <c r="D243" s="1">
        <v>137.9</v>
      </c>
      <c r="E243" s="1">
        <v>1.1</v>
      </c>
      <c r="F243" s="1">
        <v>7.8</v>
      </c>
      <c r="G243" s="1">
        <v>60.0</v>
      </c>
      <c r="H243" s="1">
        <v>0.4</v>
      </c>
      <c r="I243" s="1">
        <v>0.2</v>
      </c>
      <c r="J243" s="1">
        <v>35.9</v>
      </c>
      <c r="K243" s="18">
        <f t="shared" si="1"/>
        <v>7.661111111</v>
      </c>
      <c r="L243" s="18">
        <f t="shared" si="2"/>
        <v>2.837735849</v>
      </c>
      <c r="M243" s="112">
        <f>C245*Scoring!$B$32+D245/Scoring!$C$32+E245*Scoring!$D$32+F245*Scoring!$E$32+G245/Scoring!$F$32+H245*Scoring!$G$32+I245*Scoring!$H$32+K245*Scoring!$I$32+RB!L245*Scoring!$J$32+U243</f>
        <v>32.29</v>
      </c>
      <c r="N243" s="112">
        <f>C243*Scoring!$B$32+D243/Scoring!$C$32+E243*Scoring!$D$32+F243*Scoring!$E$32+G243/Scoring!$F$32+H243*Scoring!$G$32+I243*Scoring!$H$32+K243*Scoring!$I$32+RB!L243*Scoring!$J$32+U243</f>
        <v>32.29</v>
      </c>
      <c r="O243" s="112">
        <f>C244*Scoring!$B$32+D244/Scoring!$C$32+E244*Scoring!$D$32+F244*Scoring!$E$32+G244/Scoring!$F$32+H244*Scoring!$G$32+I244*Scoring!$H$32+K244*Scoring!$I$32+L244*Scoring!$J$32+U243</f>
        <v>32.29</v>
      </c>
      <c r="P243" s="8">
        <f>IF(COUNTIF(Rookies!$A:$A,A243)&gt;0,1,0)</f>
        <v>0</v>
      </c>
      <c r="Q243" s="8"/>
      <c r="R243" s="8"/>
      <c r="S243" s="8">
        <f>V243/17</f>
        <v>1.899411765</v>
      </c>
      <c r="T243" s="8">
        <f>IF(P243=1,MAX(0,0.258*(14.9-S243)),0)</f>
        <v>0</v>
      </c>
      <c r="U243" s="8">
        <f>T243*17</f>
        <v>0</v>
      </c>
      <c r="V243" s="8">
        <f>C243*Scoring!$B$32+D243/Scoring!$C$32+E243*Scoring!$D$32+F243*Scoring!$E$32+G243/Scoring!$F$32+H243*Scoring!$G$32+I243*Scoring!$H$32+K243*Scoring!$I$32+RB!L243*Scoring!$J$32</f>
        <v>32.29</v>
      </c>
      <c r="W243" s="8"/>
      <c r="X243" s="8"/>
      <c r="Y243" s="8"/>
      <c r="Z243" s="8"/>
    </row>
    <row r="244" ht="14.25" customHeight="1">
      <c r="B244" s="1" t="s">
        <v>39</v>
      </c>
      <c r="C244" s="1">
        <v>32.3</v>
      </c>
      <c r="D244" s="1">
        <v>137.9</v>
      </c>
      <c r="E244" s="1">
        <v>1.1</v>
      </c>
      <c r="F244" s="1">
        <v>7.8</v>
      </c>
      <c r="G244" s="1">
        <v>60.0</v>
      </c>
      <c r="H244" s="1">
        <v>0.4</v>
      </c>
      <c r="I244" s="1">
        <v>0.2</v>
      </c>
      <c r="J244" s="1">
        <v>38.1</v>
      </c>
      <c r="K244" s="18">
        <f t="shared" si="1"/>
        <v>7.661111111</v>
      </c>
      <c r="L244" s="18">
        <f t="shared" si="2"/>
        <v>2.837735849</v>
      </c>
      <c r="M244" s="112"/>
      <c r="N244" s="112"/>
      <c r="O244" s="112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B245" s="1" t="s">
        <v>48</v>
      </c>
      <c r="C245" s="1">
        <v>32.3</v>
      </c>
      <c r="D245" s="1">
        <v>137.9</v>
      </c>
      <c r="E245" s="1">
        <v>1.1</v>
      </c>
      <c r="F245" s="1">
        <v>7.8</v>
      </c>
      <c r="G245" s="1">
        <v>60.0</v>
      </c>
      <c r="H245" s="1">
        <v>0.4</v>
      </c>
      <c r="I245" s="1">
        <v>0.2</v>
      </c>
      <c r="J245" s="1">
        <v>38.1</v>
      </c>
      <c r="K245" s="18">
        <f t="shared" si="1"/>
        <v>7.661111111</v>
      </c>
      <c r="L245" s="18">
        <f t="shared" si="2"/>
        <v>2.837735849</v>
      </c>
      <c r="M245" s="112"/>
      <c r="N245" s="112"/>
      <c r="O245" s="112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1" t="s">
        <v>558</v>
      </c>
      <c r="B246" s="1" t="s">
        <v>193</v>
      </c>
      <c r="C246" s="1">
        <v>33.3</v>
      </c>
      <c r="D246" s="1">
        <v>140.5</v>
      </c>
      <c r="E246" s="1">
        <v>1.0</v>
      </c>
      <c r="F246" s="1">
        <v>8.4</v>
      </c>
      <c r="G246" s="1">
        <v>58.3</v>
      </c>
      <c r="H246" s="1">
        <v>0.3</v>
      </c>
      <c r="I246" s="1">
        <v>0.2</v>
      </c>
      <c r="J246" s="1">
        <v>35.8</v>
      </c>
      <c r="K246" s="18">
        <f t="shared" si="1"/>
        <v>7.805555556</v>
      </c>
      <c r="L246" s="18">
        <f t="shared" si="2"/>
        <v>2.757333333</v>
      </c>
      <c r="M246" s="112">
        <f>C248*Scoring!$B$32+D248/Scoring!$C$32+E248*Scoring!$D$32+F248*Scoring!$E$32+G248/Scoring!$F$32+H248*Scoring!$G$32+I248*Scoring!$H$32+K248*Scoring!$I$32+RB!L248*Scoring!$J$32+U246</f>
        <v>31.48</v>
      </c>
      <c r="N246" s="112">
        <f>C246*Scoring!$B$32+D246/Scoring!$C$32+E246*Scoring!$D$32+F246*Scoring!$E$32+G246/Scoring!$F$32+H246*Scoring!$G$32+I246*Scoring!$H$32+K246*Scoring!$I$32+RB!L246*Scoring!$J$32+U246</f>
        <v>31.48</v>
      </c>
      <c r="O246" s="112">
        <f>C247*Scoring!$B$32+D247/Scoring!$C$32+E247*Scoring!$D$32+F247*Scoring!$E$32+G247/Scoring!$F$32+H247*Scoring!$G$32+I247*Scoring!$H$32+K247*Scoring!$I$32+L247*Scoring!$J$32+U246</f>
        <v>31.48</v>
      </c>
      <c r="P246" s="8">
        <f>IF(COUNTIF(Rookies!$A:$A,A246)&gt;0,1,0)</f>
        <v>0</v>
      </c>
      <c r="Q246" s="8"/>
      <c r="R246" s="8"/>
      <c r="S246" s="8">
        <f>V246/17</f>
        <v>1.851764706</v>
      </c>
      <c r="T246" s="8">
        <f>IF(P246=1,MAX(0,0.258*(14.9-S246)),0)</f>
        <v>0</v>
      </c>
      <c r="U246" s="8">
        <f>T246*17</f>
        <v>0</v>
      </c>
      <c r="V246" s="8">
        <f>C246*Scoring!$B$32+D246/Scoring!$C$32+E246*Scoring!$D$32+F246*Scoring!$E$32+G246/Scoring!$F$32+H246*Scoring!$G$32+I246*Scoring!$H$32+K246*Scoring!$I$32+RB!L246*Scoring!$J$32</f>
        <v>31.48</v>
      </c>
      <c r="W246" s="8"/>
      <c r="X246" s="8"/>
      <c r="Y246" s="8"/>
      <c r="Z246" s="8"/>
    </row>
    <row r="247" ht="14.25" customHeight="1">
      <c r="B247" s="1" t="s">
        <v>39</v>
      </c>
      <c r="C247" s="1">
        <v>33.3</v>
      </c>
      <c r="D247" s="1">
        <v>140.5</v>
      </c>
      <c r="E247" s="1">
        <v>1.0</v>
      </c>
      <c r="F247" s="1">
        <v>8.4</v>
      </c>
      <c r="G247" s="1">
        <v>58.3</v>
      </c>
      <c r="H247" s="1">
        <v>0.3</v>
      </c>
      <c r="I247" s="1">
        <v>0.2</v>
      </c>
      <c r="J247" s="1">
        <v>36.0</v>
      </c>
      <c r="K247" s="18">
        <f t="shared" si="1"/>
        <v>7.805555556</v>
      </c>
      <c r="L247" s="18">
        <f t="shared" si="2"/>
        <v>2.757333333</v>
      </c>
      <c r="M247" s="112"/>
      <c r="N247" s="112"/>
      <c r="O247" s="112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B248" s="1" t="s">
        <v>48</v>
      </c>
      <c r="C248" s="1">
        <v>33.3</v>
      </c>
      <c r="D248" s="1">
        <v>140.5</v>
      </c>
      <c r="E248" s="1">
        <v>1.0</v>
      </c>
      <c r="F248" s="1">
        <v>8.4</v>
      </c>
      <c r="G248" s="1">
        <v>58.3</v>
      </c>
      <c r="H248" s="1">
        <v>0.3</v>
      </c>
      <c r="I248" s="1">
        <v>0.2</v>
      </c>
      <c r="J248" s="1">
        <v>36.0</v>
      </c>
      <c r="K248" s="18">
        <f t="shared" si="1"/>
        <v>7.805555556</v>
      </c>
      <c r="L248" s="18">
        <f t="shared" si="2"/>
        <v>2.757333333</v>
      </c>
      <c r="M248" s="112"/>
      <c r="N248" s="112"/>
      <c r="O248" s="112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1" t="s">
        <v>561</v>
      </c>
      <c r="B249" s="1" t="s">
        <v>155</v>
      </c>
      <c r="C249" s="1">
        <v>39.8</v>
      </c>
      <c r="D249" s="1">
        <v>166.2</v>
      </c>
      <c r="E249" s="1">
        <v>1.3</v>
      </c>
      <c r="F249" s="1">
        <v>5.7</v>
      </c>
      <c r="G249" s="1">
        <v>41.2</v>
      </c>
      <c r="H249" s="1">
        <v>0.2</v>
      </c>
      <c r="I249" s="1">
        <v>0.1</v>
      </c>
      <c r="J249" s="1">
        <v>35.1</v>
      </c>
      <c r="K249" s="18">
        <f t="shared" si="1"/>
        <v>9.233333333</v>
      </c>
      <c r="L249" s="18">
        <f t="shared" si="2"/>
        <v>1.948578616</v>
      </c>
      <c r="M249" s="112">
        <f>C251*Scoring!$B$32+D251/Scoring!$C$32+E251*Scoring!$D$32+F251*Scoring!$E$32+G251/Scoring!$F$32+H251*Scoring!$G$32+I251*Scoring!$H$32+K251*Scoring!$I$32+RB!L251*Scoring!$J$32+U249</f>
        <v>78.99478</v>
      </c>
      <c r="N249" s="112">
        <f>C249*Scoring!$B$32+D249/Scoring!$C$32+E249*Scoring!$D$32+F249*Scoring!$E$32+G249/Scoring!$F$32+H249*Scoring!$G$32+I249*Scoring!$H$32+K249*Scoring!$I$32+RB!L249*Scoring!$J$32+U249</f>
        <v>89.38478</v>
      </c>
      <c r="O249" s="112">
        <f>C250*Scoring!$B$32+D250/Scoring!$C$32+E250*Scoring!$D$32+F250*Scoring!$E$32+G250/Scoring!$F$32+H250*Scoring!$G$32+I250*Scoring!$H$32+K250*Scoring!$I$32+L250*Scoring!$J$32+U249</f>
        <v>99.76478</v>
      </c>
      <c r="P249" s="8">
        <f>IF(COUNTIF(Rookies!$A:$A,A249)&gt;0,1,0)</f>
        <v>1</v>
      </c>
      <c r="Q249" s="8"/>
      <c r="R249" s="8"/>
      <c r="S249" s="8">
        <f>V249/17</f>
        <v>1.905294118</v>
      </c>
      <c r="T249" s="8">
        <f>IF(P249=1,MAX(0,0.258*(14.9-S249)),0)</f>
        <v>3.352634118</v>
      </c>
      <c r="U249" s="8">
        <f>T249*17</f>
        <v>56.99478</v>
      </c>
      <c r="V249" s="8">
        <f>C249*Scoring!$B$32+D249/Scoring!$C$32+E249*Scoring!$D$32+F249*Scoring!$E$32+G249/Scoring!$F$32+H249*Scoring!$G$32+I249*Scoring!$H$32+K249*Scoring!$I$32+RB!L249*Scoring!$J$32</f>
        <v>32.39</v>
      </c>
      <c r="W249" s="8"/>
      <c r="X249" s="8"/>
      <c r="Y249" s="8"/>
      <c r="Z249" s="8"/>
    </row>
    <row r="250" ht="14.25" customHeight="1">
      <c r="B250" s="1" t="s">
        <v>39</v>
      </c>
      <c r="C250" s="1">
        <v>49.5</v>
      </c>
      <c r="D250" s="1">
        <v>206.3</v>
      </c>
      <c r="E250" s="1">
        <v>1.6</v>
      </c>
      <c r="F250" s="1">
        <v>8.4</v>
      </c>
      <c r="G250" s="1">
        <v>59.4</v>
      </c>
      <c r="H250" s="1">
        <v>0.4</v>
      </c>
      <c r="I250" s="1">
        <v>0.0</v>
      </c>
      <c r="J250" s="1">
        <v>43.9</v>
      </c>
      <c r="K250" s="18">
        <f t="shared" si="1"/>
        <v>11.46111111</v>
      </c>
      <c r="L250" s="18">
        <f t="shared" si="2"/>
        <v>2.809358491</v>
      </c>
      <c r="M250" s="112"/>
      <c r="N250" s="112"/>
      <c r="O250" s="112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B251" s="1" t="s">
        <v>48</v>
      </c>
      <c r="C251" s="1">
        <v>30.0</v>
      </c>
      <c r="D251" s="1">
        <v>126.0</v>
      </c>
      <c r="E251" s="1">
        <v>1.0</v>
      </c>
      <c r="F251" s="1">
        <v>3.0</v>
      </c>
      <c r="G251" s="1">
        <v>23.0</v>
      </c>
      <c r="H251" s="1">
        <v>0.0</v>
      </c>
      <c r="I251" s="1">
        <v>0.2</v>
      </c>
      <c r="J251" s="1">
        <v>17.7</v>
      </c>
      <c r="K251" s="18">
        <f t="shared" si="1"/>
        <v>7</v>
      </c>
      <c r="L251" s="18">
        <f t="shared" si="2"/>
        <v>1.087798742</v>
      </c>
      <c r="M251" s="112"/>
      <c r="N251" s="112"/>
      <c r="O251" s="112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1" t="s">
        <v>564</v>
      </c>
      <c r="B252" s="1" t="s">
        <v>18</v>
      </c>
      <c r="C252" s="1">
        <v>37.0</v>
      </c>
      <c r="D252" s="1">
        <v>175.0</v>
      </c>
      <c r="E252" s="1">
        <v>2.0</v>
      </c>
      <c r="F252" s="1">
        <v>3.0</v>
      </c>
      <c r="G252" s="1">
        <v>26.0</v>
      </c>
      <c r="H252" s="1">
        <v>0.0</v>
      </c>
      <c r="I252" s="1">
        <v>0.0</v>
      </c>
      <c r="J252" s="1">
        <v>35.1</v>
      </c>
      <c r="K252" s="18">
        <f t="shared" si="1"/>
        <v>9.722222222</v>
      </c>
      <c r="L252" s="18">
        <f t="shared" si="2"/>
        <v>1.229685535</v>
      </c>
      <c r="M252" s="112">
        <f>C254*Scoring!$B$32+D254/Scoring!$C$32+E254*Scoring!$D$32+F254*Scoring!$E$32+G254/Scoring!$F$32+H254*Scoring!$G$32+I254*Scoring!$H$32+K254*Scoring!$I$32+RB!L254*Scoring!$J$32+U252</f>
        <v>33.6</v>
      </c>
      <c r="N252" s="112">
        <f>C252*Scoring!$B$32+D252/Scoring!$C$32+E252*Scoring!$D$32+F252*Scoring!$E$32+G252/Scoring!$F$32+H252*Scoring!$G$32+I252*Scoring!$H$32+K252*Scoring!$I$32+RB!L252*Scoring!$J$32+U252</f>
        <v>33.6</v>
      </c>
      <c r="O252" s="112">
        <f>C253*Scoring!$B$32+D253/Scoring!$C$32+E253*Scoring!$D$32+F253*Scoring!$E$32+G253/Scoring!$F$32+H253*Scoring!$G$32+I253*Scoring!$H$32+K253*Scoring!$I$32+L253*Scoring!$J$32+U252</f>
        <v>33.6</v>
      </c>
      <c r="P252" s="8">
        <f>IF(COUNTIF(Rookies!$A:$A,A252)&gt;0,1,0)</f>
        <v>0</v>
      </c>
      <c r="Q252" s="8"/>
      <c r="R252" s="8"/>
      <c r="S252" s="8">
        <f>V252/17</f>
        <v>1.976470588</v>
      </c>
      <c r="T252" s="8">
        <f>IF(P252=1,MAX(0,0.258*(14.9-S252)),0)</f>
        <v>0</v>
      </c>
      <c r="U252" s="8">
        <f>T252*17</f>
        <v>0</v>
      </c>
      <c r="V252" s="8">
        <f>C252*Scoring!$B$32+D252/Scoring!$C$32+E252*Scoring!$D$32+F252*Scoring!$E$32+G252/Scoring!$F$32+H252*Scoring!$G$32+I252*Scoring!$H$32+K252*Scoring!$I$32+RB!L252*Scoring!$J$32</f>
        <v>33.6</v>
      </c>
      <c r="W252" s="8"/>
      <c r="X252" s="8"/>
      <c r="Y252" s="8"/>
      <c r="Z252" s="8"/>
    </row>
    <row r="253" ht="14.25" customHeight="1">
      <c r="B253" s="1" t="s">
        <v>39</v>
      </c>
      <c r="C253" s="1">
        <v>37.0</v>
      </c>
      <c r="D253" s="1">
        <v>175.0</v>
      </c>
      <c r="E253" s="1">
        <v>2.0</v>
      </c>
      <c r="F253" s="1">
        <v>3.0</v>
      </c>
      <c r="G253" s="1">
        <v>26.0</v>
      </c>
      <c r="H253" s="1">
        <v>0.0</v>
      </c>
      <c r="I253" s="1">
        <v>0.0</v>
      </c>
      <c r="J253" s="1">
        <v>26.0</v>
      </c>
      <c r="K253" s="18">
        <f t="shared" si="1"/>
        <v>9.722222222</v>
      </c>
      <c r="L253" s="18">
        <f t="shared" si="2"/>
        <v>1.229685535</v>
      </c>
      <c r="M253" s="112"/>
      <c r="N253" s="112"/>
      <c r="O253" s="112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B254" s="1" t="s">
        <v>48</v>
      </c>
      <c r="C254" s="1">
        <v>37.0</v>
      </c>
      <c r="D254" s="1">
        <v>175.0</v>
      </c>
      <c r="E254" s="1">
        <v>2.0</v>
      </c>
      <c r="F254" s="1">
        <v>3.0</v>
      </c>
      <c r="G254" s="1">
        <v>26.0</v>
      </c>
      <c r="H254" s="1">
        <v>0.0</v>
      </c>
      <c r="I254" s="1">
        <v>0.0</v>
      </c>
      <c r="J254" s="1">
        <v>26.0</v>
      </c>
      <c r="K254" s="18">
        <f t="shared" si="1"/>
        <v>9.722222222</v>
      </c>
      <c r="L254" s="18">
        <f t="shared" si="2"/>
        <v>1.229685535</v>
      </c>
      <c r="M254" s="112"/>
      <c r="N254" s="112"/>
      <c r="O254" s="112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1" t="s">
        <v>568</v>
      </c>
      <c r="B255" s="1" t="s">
        <v>196</v>
      </c>
      <c r="C255" s="1">
        <v>49.4</v>
      </c>
      <c r="D255" s="1">
        <v>203.5</v>
      </c>
      <c r="E255" s="1">
        <v>1.2</v>
      </c>
      <c r="F255" s="1">
        <v>3.9</v>
      </c>
      <c r="G255" s="1">
        <v>27.7</v>
      </c>
      <c r="H255" s="1">
        <v>0.1</v>
      </c>
      <c r="I255" s="1">
        <v>0.2</v>
      </c>
      <c r="J255" s="1">
        <v>34.8</v>
      </c>
      <c r="K255" s="18">
        <f t="shared" si="1"/>
        <v>11.30555556</v>
      </c>
      <c r="L255" s="18">
        <f t="shared" si="2"/>
        <v>1.31008805</v>
      </c>
      <c r="M255" s="112">
        <f>C257*Scoring!$B$32+D257/Scoring!$C$32+E257*Scoring!$D$32+F257*Scoring!$E$32+G257/Scoring!$F$32+H257*Scoring!$G$32+I257*Scoring!$H$32+K257*Scoring!$I$32+RB!L257*Scoring!$J$32+U255</f>
        <v>32.47</v>
      </c>
      <c r="N255" s="112">
        <f>C255*Scoring!$B$32+D255/Scoring!$C$32+E255*Scoring!$D$32+F255*Scoring!$E$32+G255/Scoring!$F$32+H255*Scoring!$G$32+I255*Scoring!$H$32+K255*Scoring!$I$32+RB!L255*Scoring!$J$32+U255</f>
        <v>32.47</v>
      </c>
      <c r="O255" s="112">
        <f>C256*Scoring!$B$32+D256/Scoring!$C$32+E256*Scoring!$D$32+F256*Scoring!$E$32+G256/Scoring!$F$32+H256*Scoring!$G$32+I256*Scoring!$H$32+K256*Scoring!$I$32+L256*Scoring!$J$32+U255</f>
        <v>32.47</v>
      </c>
      <c r="P255" s="8">
        <f>IF(COUNTIF(Rookies!$A:$A,A255)&gt;0,1,0)</f>
        <v>0</v>
      </c>
      <c r="Q255" s="8"/>
      <c r="R255" s="8"/>
      <c r="S255" s="8">
        <f>V255/17</f>
        <v>1.91</v>
      </c>
      <c r="T255" s="8">
        <f>IF(P255=1,MAX(0,0.258*(14.9-S255)),0)</f>
        <v>0</v>
      </c>
      <c r="U255" s="8">
        <f>T255*17</f>
        <v>0</v>
      </c>
      <c r="V255" s="8">
        <f>C255*Scoring!$B$32+D255/Scoring!$C$32+E255*Scoring!$D$32+F255*Scoring!$E$32+G255/Scoring!$F$32+H255*Scoring!$G$32+I255*Scoring!$H$32+K255*Scoring!$I$32+RB!L255*Scoring!$J$32</f>
        <v>32.47</v>
      </c>
      <c r="W255" s="8"/>
      <c r="X255" s="8"/>
      <c r="Y255" s="8"/>
      <c r="Z255" s="8"/>
    </row>
    <row r="256" ht="14.25" customHeight="1">
      <c r="B256" s="1" t="s">
        <v>39</v>
      </c>
      <c r="C256" s="1">
        <v>49.4</v>
      </c>
      <c r="D256" s="1">
        <v>203.5</v>
      </c>
      <c r="E256" s="1">
        <v>1.2</v>
      </c>
      <c r="F256" s="1">
        <v>3.9</v>
      </c>
      <c r="G256" s="1">
        <v>27.7</v>
      </c>
      <c r="H256" s="1">
        <v>0.1</v>
      </c>
      <c r="I256" s="1">
        <v>0.2</v>
      </c>
      <c r="J256" s="1">
        <v>34.9</v>
      </c>
      <c r="K256" s="18">
        <f t="shared" si="1"/>
        <v>11.30555556</v>
      </c>
      <c r="L256" s="18">
        <f t="shared" si="2"/>
        <v>1.31008805</v>
      </c>
      <c r="M256" s="112"/>
      <c r="N256" s="112"/>
      <c r="O256" s="112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B257" s="1" t="s">
        <v>48</v>
      </c>
      <c r="C257" s="1">
        <v>49.4</v>
      </c>
      <c r="D257" s="1">
        <v>203.5</v>
      </c>
      <c r="E257" s="1">
        <v>1.2</v>
      </c>
      <c r="F257" s="1">
        <v>3.9</v>
      </c>
      <c r="G257" s="1">
        <v>27.7</v>
      </c>
      <c r="H257" s="1">
        <v>0.1</v>
      </c>
      <c r="I257" s="1">
        <v>0.2</v>
      </c>
      <c r="J257" s="1">
        <v>34.9</v>
      </c>
      <c r="K257" s="18">
        <f t="shared" si="1"/>
        <v>11.30555556</v>
      </c>
      <c r="L257" s="18">
        <f t="shared" si="2"/>
        <v>1.31008805</v>
      </c>
      <c r="M257" s="112"/>
      <c r="N257" s="112"/>
      <c r="O257" s="112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1" t="s">
        <v>571</v>
      </c>
      <c r="B258" s="1" t="s">
        <v>159</v>
      </c>
      <c r="C258" s="1">
        <v>34.0</v>
      </c>
      <c r="D258" s="1">
        <v>116.0</v>
      </c>
      <c r="E258" s="1">
        <v>3.0</v>
      </c>
      <c r="F258" s="1">
        <v>3.0</v>
      </c>
      <c r="G258" s="1">
        <v>18.0</v>
      </c>
      <c r="H258" s="1">
        <v>0.0</v>
      </c>
      <c r="I258" s="1">
        <v>0.0</v>
      </c>
      <c r="J258" s="1">
        <v>34.4</v>
      </c>
      <c r="K258" s="18">
        <f t="shared" si="1"/>
        <v>6.444444444</v>
      </c>
      <c r="L258" s="18">
        <f t="shared" si="2"/>
        <v>0.8513207547</v>
      </c>
      <c r="M258" s="112">
        <f>C260*Scoring!$B$32+D260/Scoring!$C$32+E260*Scoring!$D$32+F260*Scoring!$E$32+G260/Scoring!$F$32+H260*Scoring!$G$32+I260*Scoring!$H$32+K260*Scoring!$I$32+RB!L260*Scoring!$J$32+U258</f>
        <v>32.9</v>
      </c>
      <c r="N258" s="112">
        <f>C258*Scoring!$B$32+D258/Scoring!$C$32+E258*Scoring!$D$32+F258*Scoring!$E$32+G258/Scoring!$F$32+H258*Scoring!$G$32+I258*Scoring!$H$32+K258*Scoring!$I$32+RB!L258*Scoring!$J$32+U258</f>
        <v>32.9</v>
      </c>
      <c r="O258" s="112">
        <f>C259*Scoring!$B$32+D259/Scoring!$C$32+E259*Scoring!$D$32+F259*Scoring!$E$32+G259/Scoring!$F$32+H259*Scoring!$G$32+I259*Scoring!$H$32+K259*Scoring!$I$32+L259*Scoring!$J$32+U258</f>
        <v>32.9</v>
      </c>
      <c r="P258" s="8">
        <f>IF(COUNTIF(Rookies!$A:$A,A258)&gt;0,1,0)</f>
        <v>0</v>
      </c>
      <c r="Q258" s="8"/>
      <c r="R258" s="8"/>
      <c r="S258" s="8">
        <f>V258/17</f>
        <v>1.935294118</v>
      </c>
      <c r="T258" s="8">
        <f>IF(P258=1,MAX(0,0.258*(14.9-S258)),0)</f>
        <v>0</v>
      </c>
      <c r="U258" s="8">
        <f>T258*17</f>
        <v>0</v>
      </c>
      <c r="V258" s="8">
        <f>C258*Scoring!$B$32+D258/Scoring!$C$32+E258*Scoring!$D$32+F258*Scoring!$E$32+G258/Scoring!$F$32+H258*Scoring!$G$32+I258*Scoring!$H$32+K258*Scoring!$I$32+RB!L258*Scoring!$J$32</f>
        <v>32.9</v>
      </c>
      <c r="W258" s="8"/>
      <c r="X258" s="8"/>
      <c r="Y258" s="8"/>
      <c r="Z258" s="8"/>
    </row>
    <row r="259" ht="14.25" customHeight="1">
      <c r="B259" s="1" t="s">
        <v>39</v>
      </c>
      <c r="C259" s="1">
        <v>34.0</v>
      </c>
      <c r="D259" s="1">
        <v>116.0</v>
      </c>
      <c r="E259" s="1">
        <v>3.0</v>
      </c>
      <c r="F259" s="1">
        <v>3.0</v>
      </c>
      <c r="G259" s="1">
        <v>18.0</v>
      </c>
      <c r="H259" s="1">
        <v>0.0</v>
      </c>
      <c r="I259" s="1">
        <v>0.0</v>
      </c>
      <c r="J259" s="1">
        <v>26.0</v>
      </c>
      <c r="K259" s="18">
        <f t="shared" si="1"/>
        <v>6.444444444</v>
      </c>
      <c r="L259" s="18">
        <f t="shared" si="2"/>
        <v>0.8513207547</v>
      </c>
      <c r="M259" s="112"/>
      <c r="N259" s="112"/>
      <c r="O259" s="112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B260" s="1" t="s">
        <v>48</v>
      </c>
      <c r="C260" s="1">
        <v>34.0</v>
      </c>
      <c r="D260" s="1">
        <v>116.0</v>
      </c>
      <c r="E260" s="1">
        <v>3.0</v>
      </c>
      <c r="F260" s="1">
        <v>3.0</v>
      </c>
      <c r="G260" s="1">
        <v>18.0</v>
      </c>
      <c r="H260" s="1">
        <v>0.0</v>
      </c>
      <c r="I260" s="1">
        <v>0.0</v>
      </c>
      <c r="J260" s="1">
        <v>26.0</v>
      </c>
      <c r="K260" s="18">
        <f t="shared" si="1"/>
        <v>6.444444444</v>
      </c>
      <c r="L260" s="18">
        <f t="shared" si="2"/>
        <v>0.8513207547</v>
      </c>
      <c r="M260" s="112"/>
      <c r="N260" s="112"/>
      <c r="O260" s="112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1" t="s">
        <v>574</v>
      </c>
      <c r="B261" s="1" t="s">
        <v>155</v>
      </c>
      <c r="C261" s="1">
        <v>25.0</v>
      </c>
      <c r="D261" s="1">
        <v>89.5</v>
      </c>
      <c r="E261" s="1">
        <v>0.5</v>
      </c>
      <c r="F261" s="1">
        <v>10.5</v>
      </c>
      <c r="G261" s="1">
        <v>71.0</v>
      </c>
      <c r="H261" s="1">
        <v>0.5</v>
      </c>
      <c r="I261" s="1">
        <v>0.0</v>
      </c>
      <c r="J261" s="1">
        <v>32.6</v>
      </c>
      <c r="K261" s="18">
        <f t="shared" si="1"/>
        <v>4.972222222</v>
      </c>
      <c r="L261" s="18">
        <f t="shared" si="2"/>
        <v>3.357987421</v>
      </c>
      <c r="M261" s="112">
        <f>C263*Scoring!$B$32+D263/Scoring!$C$32+E263*Scoring!$D$32+F263*Scoring!$E$32+G263/Scoring!$F$32+H263*Scoring!$G$32+I263*Scoring!$H$32+K263*Scoring!$I$32+RB!L263*Scoring!$J$32+U261</f>
        <v>0</v>
      </c>
      <c r="N261" s="112">
        <f>C261*Scoring!$B$32+D261/Scoring!$C$32+E261*Scoring!$D$32+F261*Scoring!$E$32+G261/Scoring!$F$32+H261*Scoring!$G$32+I261*Scoring!$H$32+K261*Scoring!$I$32+RB!L261*Scoring!$J$32+U261</f>
        <v>27.3</v>
      </c>
      <c r="O261" s="112">
        <f>C262*Scoring!$B$32+D262/Scoring!$C$32+E262*Scoring!$D$32+F262*Scoring!$E$32+G262/Scoring!$F$32+H262*Scoring!$G$32+I262*Scoring!$H$32+K262*Scoring!$I$32+L262*Scoring!$J$32+U261</f>
        <v>54.6</v>
      </c>
      <c r="P261" s="8">
        <f>IF(COUNTIF(Rookies!$A:$A,A261)&gt;0,1,0)</f>
        <v>0</v>
      </c>
      <c r="Q261" s="8"/>
      <c r="R261" s="8"/>
      <c r="S261" s="8">
        <f>V261/17</f>
        <v>1.605882353</v>
      </c>
      <c r="T261" s="8">
        <f>IF(P261=1,MAX(0,0.258*(14.9-S261)),0)</f>
        <v>0</v>
      </c>
      <c r="U261" s="8">
        <f>T261*17</f>
        <v>0</v>
      </c>
      <c r="V261" s="8">
        <f>C261*Scoring!$B$32+D261/Scoring!$C$32+E261*Scoring!$D$32+F261*Scoring!$E$32+G261/Scoring!$F$32+H261*Scoring!$G$32+I261*Scoring!$H$32+K261*Scoring!$I$32+RB!L261*Scoring!$J$32</f>
        <v>27.3</v>
      </c>
      <c r="W261" s="8"/>
      <c r="X261" s="8"/>
      <c r="Y261" s="8"/>
      <c r="Z261" s="8"/>
    </row>
    <row r="262" ht="14.25" customHeight="1">
      <c r="B262" s="1" t="s">
        <v>39</v>
      </c>
      <c r="C262" s="1">
        <v>50.0</v>
      </c>
      <c r="D262" s="1">
        <v>179.0</v>
      </c>
      <c r="E262" s="1">
        <v>1.0</v>
      </c>
      <c r="F262" s="1">
        <v>21.0</v>
      </c>
      <c r="G262" s="1">
        <v>142.0</v>
      </c>
      <c r="H262" s="1">
        <v>1.0</v>
      </c>
      <c r="I262" s="1">
        <v>0.0</v>
      </c>
      <c r="J262" s="1">
        <v>38.5</v>
      </c>
      <c r="K262" s="18">
        <f t="shared" si="1"/>
        <v>9.944444444</v>
      </c>
      <c r="L262" s="18">
        <f t="shared" si="2"/>
        <v>6.715974843</v>
      </c>
      <c r="M262" s="112"/>
      <c r="N262" s="112"/>
      <c r="O262" s="112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B263" s="1" t="s">
        <v>48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11.5</v>
      </c>
      <c r="K263" s="18">
        <f t="shared" si="1"/>
        <v>0</v>
      </c>
      <c r="L263" s="18">
        <f t="shared" si="2"/>
        <v>0</v>
      </c>
      <c r="M263" s="112"/>
      <c r="N263" s="112"/>
      <c r="O263" s="112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1" t="s">
        <v>577</v>
      </c>
      <c r="B264" s="1" t="s">
        <v>186</v>
      </c>
      <c r="C264" s="1">
        <v>39.3</v>
      </c>
      <c r="D264" s="1">
        <v>163.6</v>
      </c>
      <c r="E264" s="1">
        <v>2.2</v>
      </c>
      <c r="F264" s="1">
        <v>1.5</v>
      </c>
      <c r="G264" s="1">
        <v>10.2</v>
      </c>
      <c r="H264" s="1">
        <v>0.0</v>
      </c>
      <c r="I264" s="1">
        <v>0.1</v>
      </c>
      <c r="J264" s="1">
        <v>32.1</v>
      </c>
      <c r="K264" s="18">
        <f t="shared" si="1"/>
        <v>9.088888889</v>
      </c>
      <c r="L264" s="18">
        <f t="shared" si="2"/>
        <v>0.4824150943</v>
      </c>
      <c r="M264" s="112">
        <f>C266*Scoring!$B$32+D266/Scoring!$C$32+E266*Scoring!$D$32+F266*Scoring!$E$32+G266/Scoring!$F$32+H266*Scoring!$G$32+I266*Scoring!$H$32+K266*Scoring!$I$32+RB!L266*Scoring!$J$32+U264</f>
        <v>27</v>
      </c>
      <c r="N264" s="112">
        <f>C264*Scoring!$B$32+D264/Scoring!$C$32+E264*Scoring!$D$32+F264*Scoring!$E$32+G264/Scoring!$F$32+H264*Scoring!$G$32+I264*Scoring!$H$32+K264*Scoring!$I$32+RB!L264*Scoring!$J$32+U264</f>
        <v>31.13</v>
      </c>
      <c r="O264" s="112">
        <f>C265*Scoring!$B$32+D265/Scoring!$C$32+E265*Scoring!$D$32+F265*Scoring!$E$32+G265/Scoring!$F$32+H265*Scoring!$G$32+I265*Scoring!$H$32+K265*Scoring!$I$32+L265*Scoring!$J$32+U264</f>
        <v>35.66</v>
      </c>
      <c r="P264" s="8">
        <f>IF(COUNTIF(Rookies!$A:$A,A264)&gt;0,1,0)</f>
        <v>0</v>
      </c>
      <c r="Q264" s="8"/>
      <c r="R264" s="8"/>
      <c r="S264" s="8">
        <f>V264/17</f>
        <v>1.831176471</v>
      </c>
      <c r="T264" s="8">
        <f>IF(P264=1,MAX(0,0.258*(14.9-S264)),0)</f>
        <v>0</v>
      </c>
      <c r="U264" s="8">
        <f>T264*17</f>
        <v>0</v>
      </c>
      <c r="V264" s="8">
        <f>C264*Scoring!$B$32+D264/Scoring!$C$32+E264*Scoring!$D$32+F264*Scoring!$E$32+G264/Scoring!$F$32+H264*Scoring!$G$32+I264*Scoring!$H$32+K264*Scoring!$I$32+RB!L264*Scoring!$J$32</f>
        <v>31.13</v>
      </c>
      <c r="W264" s="8"/>
      <c r="X264" s="8"/>
      <c r="Y264" s="8"/>
      <c r="Z264" s="8"/>
    </row>
    <row r="265" ht="14.25" customHeight="1">
      <c r="B265" s="1" t="s">
        <v>39</v>
      </c>
      <c r="C265" s="1">
        <v>43.6</v>
      </c>
      <c r="D265" s="1">
        <v>182.2</v>
      </c>
      <c r="E265" s="1">
        <v>2.4</v>
      </c>
      <c r="F265" s="1">
        <v>2.0</v>
      </c>
      <c r="G265" s="1">
        <v>14.4</v>
      </c>
      <c r="H265" s="1">
        <v>0.1</v>
      </c>
      <c r="I265" s="1">
        <v>0.0</v>
      </c>
      <c r="J265" s="1">
        <v>36.4</v>
      </c>
      <c r="K265" s="18">
        <f t="shared" si="1"/>
        <v>10.12222222</v>
      </c>
      <c r="L265" s="18">
        <f t="shared" si="2"/>
        <v>0.6810566038</v>
      </c>
      <c r="M265" s="112"/>
      <c r="N265" s="112"/>
      <c r="O265" s="112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B266" s="1" t="s">
        <v>48</v>
      </c>
      <c r="C266" s="1">
        <v>35.0</v>
      </c>
      <c r="D266" s="1">
        <v>145.0</v>
      </c>
      <c r="E266" s="1">
        <v>2.0</v>
      </c>
      <c r="F266" s="1">
        <v>1.0</v>
      </c>
      <c r="G266" s="1">
        <v>6.0</v>
      </c>
      <c r="H266" s="1">
        <v>0.0</v>
      </c>
      <c r="I266" s="1">
        <v>0.3</v>
      </c>
      <c r="J266" s="1">
        <v>19.5</v>
      </c>
      <c r="K266" s="18">
        <f t="shared" si="1"/>
        <v>8.055555556</v>
      </c>
      <c r="L266" s="18">
        <f t="shared" si="2"/>
        <v>0.2837735849</v>
      </c>
      <c r="M266" s="112"/>
      <c r="N266" s="112"/>
      <c r="O266" s="112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1" t="s">
        <v>580</v>
      </c>
      <c r="B267" s="1" t="s">
        <v>150</v>
      </c>
      <c r="C267" s="1">
        <v>31.6</v>
      </c>
      <c r="D267" s="1">
        <v>137.2</v>
      </c>
      <c r="E267" s="1">
        <v>1.5</v>
      </c>
      <c r="F267" s="1">
        <v>4.2</v>
      </c>
      <c r="G267" s="1">
        <v>32.3</v>
      </c>
      <c r="H267" s="1">
        <v>0.1</v>
      </c>
      <c r="I267" s="1">
        <v>0.1</v>
      </c>
      <c r="J267" s="1">
        <v>30.9</v>
      </c>
      <c r="K267" s="18">
        <f t="shared" si="1"/>
        <v>7.622222222</v>
      </c>
      <c r="L267" s="18">
        <f t="shared" si="2"/>
        <v>1.527647799</v>
      </c>
      <c r="M267" s="112">
        <f>C269*Scoring!$B$32+D269/Scoring!$C$32+E269*Scoring!$D$32+F269*Scoring!$E$32+G269/Scoring!$F$32+H269*Scoring!$G$32+I269*Scoring!$H$32+K269*Scoring!$I$32+RB!L269*Scoring!$J$32+U267</f>
        <v>24.71</v>
      </c>
      <c r="N267" s="112">
        <f>C267*Scoring!$B$32+D267/Scoring!$C$32+E267*Scoring!$D$32+F267*Scoring!$E$32+G267/Scoring!$F$32+H267*Scoring!$G$32+I267*Scoring!$H$32+K267*Scoring!$I$32+RB!L267*Scoring!$J$32+U267</f>
        <v>28.45</v>
      </c>
      <c r="O267" s="112">
        <f>C268*Scoring!$B$32+D268/Scoring!$C$32+E268*Scoring!$D$32+F268*Scoring!$E$32+G268/Scoring!$F$32+H268*Scoring!$G$32+I268*Scoring!$H$32+K268*Scoring!$I$32+L268*Scoring!$J$32+U267</f>
        <v>33</v>
      </c>
      <c r="P267" s="8">
        <f>IF(COUNTIF(Rookies!$A:$A,A267)&gt;0,1,0)</f>
        <v>0</v>
      </c>
      <c r="Q267" s="8"/>
      <c r="R267" s="8"/>
      <c r="S267" s="8">
        <f>V267/17</f>
        <v>1.673529412</v>
      </c>
      <c r="T267" s="8">
        <f>IF(P267=1,MAX(0,0.258*(14.9-S267)),0)</f>
        <v>0</v>
      </c>
      <c r="U267" s="8">
        <f>T267*17</f>
        <v>0</v>
      </c>
      <c r="V267" s="8">
        <f>C267*Scoring!$B$32+D267/Scoring!$C$32+E267*Scoring!$D$32+F267*Scoring!$E$32+G267/Scoring!$F$32+H267*Scoring!$G$32+I267*Scoring!$H$32+K267*Scoring!$I$32+RB!L267*Scoring!$J$32</f>
        <v>28.45</v>
      </c>
      <c r="W267" s="8"/>
      <c r="X267" s="8"/>
      <c r="Y267" s="8"/>
      <c r="Z267" s="8"/>
    </row>
    <row r="268" ht="14.25" customHeight="1">
      <c r="B268" s="1" t="s">
        <v>39</v>
      </c>
      <c r="C268" s="1">
        <v>32.0</v>
      </c>
      <c r="D268" s="1">
        <v>142.0</v>
      </c>
      <c r="E268" s="1">
        <v>2.0</v>
      </c>
      <c r="F268" s="1">
        <v>4.4</v>
      </c>
      <c r="G268" s="1">
        <v>34.0</v>
      </c>
      <c r="H268" s="1">
        <v>0.2</v>
      </c>
      <c r="I268" s="1">
        <v>0.0</v>
      </c>
      <c r="J268" s="1">
        <v>28.0</v>
      </c>
      <c r="K268" s="18">
        <f t="shared" si="1"/>
        <v>7.888888889</v>
      </c>
      <c r="L268" s="18">
        <f t="shared" si="2"/>
        <v>1.608050314</v>
      </c>
      <c r="M268" s="112"/>
      <c r="N268" s="112"/>
      <c r="O268" s="112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B269" s="1" t="s">
        <v>48</v>
      </c>
      <c r="C269" s="1">
        <v>31.2</v>
      </c>
      <c r="D269" s="1">
        <v>132.4</v>
      </c>
      <c r="E269" s="1">
        <v>1.1</v>
      </c>
      <c r="F269" s="1">
        <v>4.0</v>
      </c>
      <c r="G269" s="1">
        <v>30.7</v>
      </c>
      <c r="H269" s="1">
        <v>0.0</v>
      </c>
      <c r="I269" s="1">
        <v>0.1</v>
      </c>
      <c r="J269" s="1">
        <v>23.2</v>
      </c>
      <c r="K269" s="18">
        <f t="shared" si="1"/>
        <v>7.355555556</v>
      </c>
      <c r="L269" s="18">
        <f t="shared" si="2"/>
        <v>1.451974843</v>
      </c>
      <c r="M269" s="112"/>
      <c r="N269" s="112"/>
      <c r="O269" s="112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1" t="s">
        <v>583</v>
      </c>
      <c r="B270" s="1" t="s">
        <v>117</v>
      </c>
      <c r="C270" s="1">
        <v>9.3</v>
      </c>
      <c r="D270" s="1">
        <v>39.6</v>
      </c>
      <c r="E270" s="1">
        <v>0.3</v>
      </c>
      <c r="F270" s="1">
        <v>11.3</v>
      </c>
      <c r="G270" s="1">
        <v>83.5</v>
      </c>
      <c r="H270" s="1">
        <v>0.4</v>
      </c>
      <c r="I270" s="1">
        <v>0.1</v>
      </c>
      <c r="J270" s="1">
        <v>27.6</v>
      </c>
      <c r="K270" s="18">
        <f t="shared" si="1"/>
        <v>2.2</v>
      </c>
      <c r="L270" s="18">
        <f t="shared" si="2"/>
        <v>3.94918239</v>
      </c>
      <c r="M270" s="112">
        <f>C272*Scoring!$B$32+D272/Scoring!$C$32+E272*Scoring!$D$32+F272*Scoring!$E$32+G272/Scoring!$F$32+H272*Scoring!$G$32+I272*Scoring!$H$32+K272*Scoring!$I$32+RB!L272*Scoring!$J$32+U270</f>
        <v>21.96</v>
      </c>
      <c r="N270" s="112">
        <f>C270*Scoring!$B$32+D270/Scoring!$C$32+E270*Scoring!$D$32+F270*Scoring!$E$32+G270/Scoring!$F$32+H270*Scoring!$G$32+I270*Scoring!$H$32+K270*Scoring!$I$32+RB!L270*Scoring!$J$32+U270</f>
        <v>21.96</v>
      </c>
      <c r="O270" s="112">
        <f>C271*Scoring!$B$32+D271/Scoring!$C$32+E271*Scoring!$D$32+F271*Scoring!$E$32+G271/Scoring!$F$32+H271*Scoring!$G$32+I271*Scoring!$H$32+K271*Scoring!$I$32+L271*Scoring!$J$32+U270</f>
        <v>21.96</v>
      </c>
      <c r="P270" s="8">
        <f>IF(COUNTIF(Rookies!$A:$A,A270)&gt;0,1,0)</f>
        <v>0</v>
      </c>
      <c r="Q270" s="8"/>
      <c r="R270" s="8"/>
      <c r="S270" s="8">
        <f>V270/17</f>
        <v>1.291764706</v>
      </c>
      <c r="T270" s="8">
        <f>IF(P270=1,MAX(0,0.258*(14.9-S270)),0)</f>
        <v>0</v>
      </c>
      <c r="U270" s="8">
        <f>T270*17</f>
        <v>0</v>
      </c>
      <c r="V270" s="8">
        <f>C270*Scoring!$B$32+D270/Scoring!$C$32+E270*Scoring!$D$32+F270*Scoring!$E$32+G270/Scoring!$F$32+H270*Scoring!$G$32+I270*Scoring!$H$32+K270*Scoring!$I$32+RB!L270*Scoring!$J$32</f>
        <v>21.96</v>
      </c>
      <c r="W270" s="8"/>
      <c r="X270" s="8"/>
      <c r="Y270" s="8"/>
      <c r="Z270" s="8"/>
    </row>
    <row r="271" ht="14.25" customHeight="1">
      <c r="B271" s="1" t="s">
        <v>39</v>
      </c>
      <c r="C271" s="1">
        <v>9.3</v>
      </c>
      <c r="D271" s="1">
        <v>39.6</v>
      </c>
      <c r="E271" s="1">
        <v>0.3</v>
      </c>
      <c r="F271" s="1">
        <v>11.3</v>
      </c>
      <c r="G271" s="1">
        <v>83.5</v>
      </c>
      <c r="H271" s="1">
        <v>0.4</v>
      </c>
      <c r="I271" s="1">
        <v>0.1</v>
      </c>
      <c r="J271" s="1">
        <v>28.1</v>
      </c>
      <c r="K271" s="18">
        <f t="shared" si="1"/>
        <v>2.2</v>
      </c>
      <c r="L271" s="18">
        <f t="shared" si="2"/>
        <v>3.94918239</v>
      </c>
      <c r="M271" s="112"/>
      <c r="N271" s="112"/>
      <c r="O271" s="112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B272" s="1" t="s">
        <v>48</v>
      </c>
      <c r="C272" s="1">
        <v>9.3</v>
      </c>
      <c r="D272" s="1">
        <v>39.6</v>
      </c>
      <c r="E272" s="1">
        <v>0.3</v>
      </c>
      <c r="F272" s="1">
        <v>11.3</v>
      </c>
      <c r="G272" s="1">
        <v>83.5</v>
      </c>
      <c r="H272" s="1">
        <v>0.4</v>
      </c>
      <c r="I272" s="1">
        <v>0.1</v>
      </c>
      <c r="J272" s="1">
        <v>28.1</v>
      </c>
      <c r="K272" s="18">
        <f t="shared" si="1"/>
        <v>2.2</v>
      </c>
      <c r="L272" s="18">
        <f t="shared" si="2"/>
        <v>3.94918239</v>
      </c>
      <c r="M272" s="112"/>
      <c r="N272" s="112"/>
      <c r="O272" s="112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1" t="s">
        <v>586</v>
      </c>
      <c r="B273" s="1" t="s">
        <v>94</v>
      </c>
      <c r="C273" s="1">
        <v>34.0</v>
      </c>
      <c r="D273" s="1">
        <v>145.0</v>
      </c>
      <c r="E273" s="1">
        <v>1.0</v>
      </c>
      <c r="F273" s="1">
        <v>2.0</v>
      </c>
      <c r="G273" s="1">
        <v>25.0</v>
      </c>
      <c r="H273" s="1">
        <v>0.0</v>
      </c>
      <c r="I273" s="1">
        <v>0.0</v>
      </c>
      <c r="J273" s="1">
        <v>25.0</v>
      </c>
      <c r="K273" s="18">
        <f t="shared" si="1"/>
        <v>8.055555556</v>
      </c>
      <c r="L273" s="18">
        <f t="shared" si="2"/>
        <v>1.182389937</v>
      </c>
      <c r="M273" s="112">
        <f>C275*Scoring!$B$32+D275/Scoring!$C$32+E275*Scoring!$D$32+F275*Scoring!$E$32+G275/Scoring!$F$32+H275*Scoring!$G$32+I275*Scoring!$H$32+K275*Scoring!$I$32+RB!L275*Scoring!$J$32+U273</f>
        <v>83.1594</v>
      </c>
      <c r="N273" s="112">
        <f>C273*Scoring!$B$32+D273/Scoring!$C$32+E273*Scoring!$D$32+F273*Scoring!$E$32+G273/Scoring!$F$32+H273*Scoring!$G$32+I273*Scoring!$H$32+K273*Scoring!$I$32+RB!L273*Scoring!$J$32+U273</f>
        <v>83.1594</v>
      </c>
      <c r="O273" s="112">
        <f>C274*Scoring!$B$32+D274/Scoring!$C$32+E274*Scoring!$D$32+F274*Scoring!$E$32+G274/Scoring!$F$32+H274*Scoring!$G$32+I274*Scoring!$H$32+K274*Scoring!$I$32+L274*Scoring!$J$32+U273</f>
        <v>83.1594</v>
      </c>
      <c r="P273" s="8">
        <f>IF(COUNTIF(Rookies!$A:$A,A273)&gt;0,1,0)</f>
        <v>1</v>
      </c>
      <c r="Q273" s="8"/>
      <c r="R273" s="8"/>
      <c r="S273" s="8">
        <f>V273/17</f>
        <v>1.411764706</v>
      </c>
      <c r="T273" s="8">
        <f>IF(P273=1,MAX(0,0.258*(14.9-S273)),0)</f>
        <v>3.479964706</v>
      </c>
      <c r="U273" s="8">
        <f>T273*17</f>
        <v>59.1594</v>
      </c>
      <c r="V273" s="8">
        <f>C273*Scoring!$B$32+D273/Scoring!$C$32+E273*Scoring!$D$32+F273*Scoring!$E$32+G273/Scoring!$F$32+H273*Scoring!$G$32+I273*Scoring!$H$32+K273*Scoring!$I$32+RB!L273*Scoring!$J$32</f>
        <v>24</v>
      </c>
      <c r="W273" s="8"/>
      <c r="X273" s="8"/>
      <c r="Y273" s="8"/>
      <c r="Z273" s="8"/>
    </row>
    <row r="274" ht="14.25" customHeight="1">
      <c r="B274" s="1" t="s">
        <v>39</v>
      </c>
      <c r="C274" s="1">
        <v>34.0</v>
      </c>
      <c r="D274" s="1">
        <v>145.0</v>
      </c>
      <c r="E274" s="1">
        <v>1.0</v>
      </c>
      <c r="F274" s="1">
        <v>2.0</v>
      </c>
      <c r="G274" s="1">
        <v>25.0</v>
      </c>
      <c r="H274" s="1">
        <v>0.0</v>
      </c>
      <c r="I274" s="1">
        <v>0.0</v>
      </c>
      <c r="J274" s="1">
        <v>15.0</v>
      </c>
      <c r="K274" s="18">
        <f t="shared" si="1"/>
        <v>8.055555556</v>
      </c>
      <c r="L274" s="18">
        <f t="shared" si="2"/>
        <v>1.182389937</v>
      </c>
      <c r="M274" s="112"/>
      <c r="N274" s="112"/>
      <c r="O274" s="112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B275" s="1" t="s">
        <v>48</v>
      </c>
      <c r="C275" s="1">
        <v>34.0</v>
      </c>
      <c r="D275" s="1">
        <v>145.0</v>
      </c>
      <c r="E275" s="1">
        <v>1.0</v>
      </c>
      <c r="F275" s="1">
        <v>2.0</v>
      </c>
      <c r="G275" s="1">
        <v>25.0</v>
      </c>
      <c r="H275" s="1">
        <v>0.0</v>
      </c>
      <c r="I275" s="1">
        <v>0.0</v>
      </c>
      <c r="J275" s="1">
        <v>15.0</v>
      </c>
      <c r="K275" s="18">
        <f t="shared" si="1"/>
        <v>8.055555556</v>
      </c>
      <c r="L275" s="18">
        <f t="shared" si="2"/>
        <v>1.182389937</v>
      </c>
      <c r="M275" s="112"/>
      <c r="N275" s="112"/>
      <c r="O275" s="112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1" t="s">
        <v>589</v>
      </c>
      <c r="B276" s="1" t="s">
        <v>150</v>
      </c>
      <c r="C276" s="1">
        <v>13.4</v>
      </c>
      <c r="D276" s="1">
        <v>56.5</v>
      </c>
      <c r="E276" s="1">
        <v>0.4</v>
      </c>
      <c r="F276" s="1">
        <v>8.6</v>
      </c>
      <c r="G276" s="1">
        <v>61.6</v>
      </c>
      <c r="H276" s="1">
        <v>0.4</v>
      </c>
      <c r="I276" s="1">
        <v>0.1</v>
      </c>
      <c r="J276" s="1">
        <v>25.0</v>
      </c>
      <c r="K276" s="18">
        <f t="shared" si="1"/>
        <v>3.138888889</v>
      </c>
      <c r="L276" s="18">
        <f t="shared" si="2"/>
        <v>2.913408805</v>
      </c>
      <c r="M276" s="112">
        <f>C278*Scoring!$B$32+D278/Scoring!$C$32+E278*Scoring!$D$32+F278*Scoring!$E$32+G278/Scoring!$F$32+H278*Scoring!$G$32+I278*Scoring!$H$32+K278*Scoring!$I$32+RB!L278*Scoring!$J$32+U276</f>
        <v>20.71</v>
      </c>
      <c r="N276" s="112">
        <f>C276*Scoring!$B$32+D276/Scoring!$C$32+E276*Scoring!$D$32+F276*Scoring!$E$32+G276/Scoring!$F$32+H276*Scoring!$G$32+I276*Scoring!$H$32+K276*Scoring!$I$32+RB!L276*Scoring!$J$32+U276</f>
        <v>20.71</v>
      </c>
      <c r="O276" s="112">
        <f>C277*Scoring!$B$32+D277/Scoring!$C$32+E277*Scoring!$D$32+F277*Scoring!$E$32+G277/Scoring!$F$32+H277*Scoring!$G$32+I277*Scoring!$H$32+K277*Scoring!$I$32+L277*Scoring!$J$32+U276</f>
        <v>20.71</v>
      </c>
      <c r="P276" s="8">
        <f>IF(COUNTIF(Rookies!$A:$A,A276)&gt;0,1,0)</f>
        <v>0</v>
      </c>
      <c r="Q276" s="8"/>
      <c r="R276" s="8"/>
      <c r="S276" s="8">
        <f>V276/17</f>
        <v>1.218235294</v>
      </c>
      <c r="T276" s="8">
        <f>IF(P276=1,MAX(0,0.258*(14.9-S276)),0)</f>
        <v>0</v>
      </c>
      <c r="U276" s="8">
        <f>T276*17</f>
        <v>0</v>
      </c>
      <c r="V276" s="8">
        <f>C276*Scoring!$B$32+D276/Scoring!$C$32+E276*Scoring!$D$32+F276*Scoring!$E$32+G276/Scoring!$F$32+H276*Scoring!$G$32+I276*Scoring!$H$32+K276*Scoring!$I$32+RB!L276*Scoring!$J$32</f>
        <v>20.71</v>
      </c>
      <c r="W276" s="8"/>
      <c r="X276" s="8"/>
      <c r="Y276" s="8"/>
      <c r="Z276" s="8"/>
    </row>
    <row r="277" ht="14.25" customHeight="1">
      <c r="B277" s="1" t="s">
        <v>39</v>
      </c>
      <c r="C277" s="1">
        <v>13.4</v>
      </c>
      <c r="D277" s="1">
        <v>56.5</v>
      </c>
      <c r="E277" s="1">
        <v>0.4</v>
      </c>
      <c r="F277" s="1">
        <v>8.6</v>
      </c>
      <c r="G277" s="1">
        <v>61.6</v>
      </c>
      <c r="H277" s="1">
        <v>0.4</v>
      </c>
      <c r="I277" s="1">
        <v>0.1</v>
      </c>
      <c r="J277" s="1">
        <v>25.0</v>
      </c>
      <c r="K277" s="18">
        <f t="shared" si="1"/>
        <v>3.138888889</v>
      </c>
      <c r="L277" s="18">
        <f t="shared" si="2"/>
        <v>2.913408805</v>
      </c>
      <c r="M277" s="112"/>
      <c r="N277" s="112"/>
      <c r="O277" s="112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B278" s="1" t="s">
        <v>48</v>
      </c>
      <c r="C278" s="1">
        <v>13.4</v>
      </c>
      <c r="D278" s="1">
        <v>56.5</v>
      </c>
      <c r="E278" s="1">
        <v>0.4</v>
      </c>
      <c r="F278" s="1">
        <v>8.6</v>
      </c>
      <c r="G278" s="1">
        <v>61.6</v>
      </c>
      <c r="H278" s="1">
        <v>0.4</v>
      </c>
      <c r="I278" s="1">
        <v>0.1</v>
      </c>
      <c r="J278" s="1">
        <v>25.0</v>
      </c>
      <c r="K278" s="18">
        <f t="shared" si="1"/>
        <v>3.138888889</v>
      </c>
      <c r="L278" s="18">
        <f t="shared" si="2"/>
        <v>2.913408805</v>
      </c>
      <c r="M278" s="112"/>
      <c r="N278" s="112"/>
      <c r="O278" s="112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1" t="s">
        <v>593</v>
      </c>
      <c r="B279" s="1" t="s">
        <v>159</v>
      </c>
      <c r="C279" s="1">
        <v>35.0</v>
      </c>
      <c r="D279" s="1">
        <v>153.0</v>
      </c>
      <c r="E279" s="1">
        <v>1.0</v>
      </c>
      <c r="F279" s="1">
        <v>1.0</v>
      </c>
      <c r="G279" s="1">
        <v>12.0</v>
      </c>
      <c r="H279" s="1">
        <v>0.0</v>
      </c>
      <c r="I279" s="1">
        <v>0.0</v>
      </c>
      <c r="J279" s="1">
        <v>23.5</v>
      </c>
      <c r="K279" s="18">
        <f t="shared" si="1"/>
        <v>8.5</v>
      </c>
      <c r="L279" s="18">
        <f t="shared" si="2"/>
        <v>0.5675471698</v>
      </c>
      <c r="M279" s="112">
        <f>C281*Scoring!$B$32+D281/Scoring!$C$32+E281*Scoring!$D$32+F281*Scoring!$E$32+G281/Scoring!$F$32+H281*Scoring!$G$32+I281*Scoring!$H$32+K281*Scoring!$I$32+RB!L281*Scoring!$J$32+U279</f>
        <v>23</v>
      </c>
      <c r="N279" s="112">
        <f>C279*Scoring!$B$32+D279/Scoring!$C$32+E279*Scoring!$D$32+F279*Scoring!$E$32+G279/Scoring!$F$32+H279*Scoring!$G$32+I279*Scoring!$H$32+K279*Scoring!$I$32+RB!L279*Scoring!$J$32+U279</f>
        <v>23</v>
      </c>
      <c r="O279" s="112">
        <f>C280*Scoring!$B$32+D280/Scoring!$C$32+E280*Scoring!$D$32+F280*Scoring!$E$32+G280/Scoring!$F$32+H280*Scoring!$G$32+I280*Scoring!$H$32+K280*Scoring!$I$32+L280*Scoring!$J$32+U279</f>
        <v>23</v>
      </c>
      <c r="P279" s="8">
        <f>IF(COUNTIF(Rookies!$A:$A,A279)&gt;0,1,0)</f>
        <v>0</v>
      </c>
      <c r="Q279" s="8"/>
      <c r="R279" s="8"/>
      <c r="S279" s="8">
        <f>V279/17</f>
        <v>1.352941176</v>
      </c>
      <c r="T279" s="8">
        <f>IF(P279=1,MAX(0,0.258*(14.9-S279)),0)</f>
        <v>0</v>
      </c>
      <c r="U279" s="8">
        <f>T279*17</f>
        <v>0</v>
      </c>
      <c r="V279" s="8">
        <f>C279*Scoring!$B$32+D279/Scoring!$C$32+E279*Scoring!$D$32+F279*Scoring!$E$32+G279/Scoring!$F$32+H279*Scoring!$G$32+I279*Scoring!$H$32+K279*Scoring!$I$32+RB!L279*Scoring!$J$32</f>
        <v>23</v>
      </c>
      <c r="W279" s="8"/>
      <c r="X279" s="8"/>
      <c r="Y279" s="8"/>
      <c r="Z279" s="8"/>
    </row>
    <row r="280" ht="14.25" customHeight="1">
      <c r="B280" s="1" t="s">
        <v>39</v>
      </c>
      <c r="C280" s="1">
        <v>35.0</v>
      </c>
      <c r="D280" s="1">
        <v>153.0</v>
      </c>
      <c r="E280" s="1">
        <v>1.0</v>
      </c>
      <c r="F280" s="1">
        <v>1.0</v>
      </c>
      <c r="G280" s="1">
        <v>12.0</v>
      </c>
      <c r="H280" s="1">
        <v>0.0</v>
      </c>
      <c r="I280" s="1">
        <v>0.0</v>
      </c>
      <c r="J280" s="1">
        <v>14.0</v>
      </c>
      <c r="K280" s="18">
        <f t="shared" si="1"/>
        <v>8.5</v>
      </c>
      <c r="L280" s="18">
        <f t="shared" si="2"/>
        <v>0.5675471698</v>
      </c>
      <c r="M280" s="112"/>
      <c r="N280" s="112"/>
      <c r="O280" s="112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B281" s="1" t="s">
        <v>48</v>
      </c>
      <c r="C281" s="1">
        <v>35.0</v>
      </c>
      <c r="D281" s="1">
        <v>153.0</v>
      </c>
      <c r="E281" s="1">
        <v>1.0</v>
      </c>
      <c r="F281" s="1">
        <v>1.0</v>
      </c>
      <c r="G281" s="1">
        <v>12.0</v>
      </c>
      <c r="H281" s="1">
        <v>0.0</v>
      </c>
      <c r="I281" s="1">
        <v>0.0</v>
      </c>
      <c r="J281" s="1">
        <v>14.0</v>
      </c>
      <c r="K281" s="18">
        <f t="shared" si="1"/>
        <v>8.5</v>
      </c>
      <c r="L281" s="18">
        <f t="shared" si="2"/>
        <v>0.5675471698</v>
      </c>
      <c r="M281" s="112"/>
      <c r="N281" s="112"/>
      <c r="O281" s="112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1" t="s">
        <v>596</v>
      </c>
      <c r="B282" s="1" t="s">
        <v>193</v>
      </c>
      <c r="C282" s="1">
        <v>22.3</v>
      </c>
      <c r="D282" s="1">
        <v>96.4</v>
      </c>
      <c r="E282" s="1">
        <v>1.2</v>
      </c>
      <c r="F282" s="1">
        <v>3.2</v>
      </c>
      <c r="G282" s="1">
        <v>27.3</v>
      </c>
      <c r="H282" s="1">
        <v>0.1</v>
      </c>
      <c r="I282" s="1">
        <v>0.0</v>
      </c>
      <c r="J282" s="1">
        <v>23.1</v>
      </c>
      <c r="K282" s="18">
        <f t="shared" si="1"/>
        <v>5.355555556</v>
      </c>
      <c r="L282" s="18">
        <f t="shared" si="2"/>
        <v>1.291169811</v>
      </c>
      <c r="M282" s="112">
        <f>C284*Scoring!$B$32+D284/Scoring!$C$32+E284*Scoring!$D$32+F284*Scoring!$E$32+G284/Scoring!$F$32+H284*Scoring!$G$32+I284*Scoring!$H$32+K284*Scoring!$I$32+RB!L284*Scoring!$J$32+U282</f>
        <v>70.60474</v>
      </c>
      <c r="N282" s="112">
        <f>C282*Scoring!$B$32+D282/Scoring!$C$32+E282*Scoring!$D$32+F282*Scoring!$E$32+G282/Scoring!$F$32+H282*Scoring!$G$32+I282*Scoring!$H$32+K282*Scoring!$I$32+RB!L282*Scoring!$J$32+U282</f>
        <v>81.50474</v>
      </c>
      <c r="O282" s="112">
        <f>C283*Scoring!$B$32+D283/Scoring!$C$32+E283*Scoring!$D$32+F283*Scoring!$E$32+G283/Scoring!$F$32+H283*Scoring!$G$32+I283*Scoring!$H$32+K283*Scoring!$I$32+L283*Scoring!$J$32+U282</f>
        <v>92.14474</v>
      </c>
      <c r="P282" s="8">
        <f>IF(COUNTIF(Rookies!$A:$A,A282)&gt;0,1,0)</f>
        <v>1</v>
      </c>
      <c r="Q282" s="8"/>
      <c r="R282" s="8"/>
      <c r="S282" s="8">
        <f>V282/17</f>
        <v>1.280588235</v>
      </c>
      <c r="T282" s="8">
        <f>IF(P282=1,MAX(0,0.258*(14.9-S282)),0)</f>
        <v>3.513808235</v>
      </c>
      <c r="U282" s="8">
        <f>T282*17</f>
        <v>59.73474</v>
      </c>
      <c r="V282" s="8">
        <f>C282*Scoring!$B$32+D282/Scoring!$C$32+E282*Scoring!$D$32+F282*Scoring!$E$32+G282/Scoring!$F$32+H282*Scoring!$G$32+I282*Scoring!$H$32+K282*Scoring!$I$32+RB!L282*Scoring!$J$32</f>
        <v>21.77</v>
      </c>
      <c r="W282" s="8"/>
      <c r="X282" s="8"/>
      <c r="Y282" s="8"/>
      <c r="Z282" s="8"/>
    </row>
    <row r="283" ht="14.25" customHeight="1">
      <c r="B283" s="1" t="s">
        <v>39</v>
      </c>
      <c r="C283" s="1">
        <v>32.0</v>
      </c>
      <c r="D283" s="1">
        <v>141.0</v>
      </c>
      <c r="E283" s="1">
        <v>2.0</v>
      </c>
      <c r="F283" s="1">
        <v>4.3</v>
      </c>
      <c r="G283" s="1">
        <v>29.6</v>
      </c>
      <c r="H283" s="1">
        <v>0.2</v>
      </c>
      <c r="I283" s="1">
        <v>0.0</v>
      </c>
      <c r="J283" s="1">
        <v>22.2</v>
      </c>
      <c r="K283" s="18">
        <f t="shared" si="1"/>
        <v>7.833333333</v>
      </c>
      <c r="L283" s="18">
        <f t="shared" si="2"/>
        <v>1.399949686</v>
      </c>
      <c r="M283" s="112"/>
      <c r="N283" s="112"/>
      <c r="O283" s="112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B284" s="1" t="s">
        <v>48</v>
      </c>
      <c r="C284" s="1">
        <v>12.5</v>
      </c>
      <c r="D284" s="1">
        <v>51.7</v>
      </c>
      <c r="E284" s="1">
        <v>0.4</v>
      </c>
      <c r="F284" s="1">
        <v>2.0</v>
      </c>
      <c r="G284" s="1">
        <v>25.0</v>
      </c>
      <c r="H284" s="1">
        <v>0.0</v>
      </c>
      <c r="I284" s="1">
        <v>0.1</v>
      </c>
      <c r="J284" s="1">
        <v>14.6</v>
      </c>
      <c r="K284" s="18">
        <f t="shared" si="1"/>
        <v>2.872222222</v>
      </c>
      <c r="L284" s="18">
        <f t="shared" si="2"/>
        <v>1.182389937</v>
      </c>
      <c r="M284" s="112"/>
      <c r="N284" s="112"/>
      <c r="O284" s="112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1" t="s">
        <v>599</v>
      </c>
      <c r="B285" s="1" t="s">
        <v>150</v>
      </c>
      <c r="C285" s="1">
        <v>32.0</v>
      </c>
      <c r="D285" s="1">
        <v>146.0</v>
      </c>
      <c r="E285" s="1">
        <v>1.0</v>
      </c>
      <c r="F285" s="1">
        <v>1.0</v>
      </c>
      <c r="G285" s="1">
        <v>14.0</v>
      </c>
      <c r="H285" s="1">
        <v>0.0</v>
      </c>
      <c r="I285" s="1">
        <v>0.0</v>
      </c>
      <c r="J285" s="1">
        <v>23.0</v>
      </c>
      <c r="K285" s="18">
        <f t="shared" si="1"/>
        <v>8.111111111</v>
      </c>
      <c r="L285" s="18">
        <f t="shared" si="2"/>
        <v>0.6621383648</v>
      </c>
      <c r="M285" s="112">
        <f>C287*Scoring!$B$32+D287/Scoring!$C$32+E287*Scoring!$D$32+F287*Scoring!$E$32+G287/Scoring!$F$32+H287*Scoring!$G$32+I287*Scoring!$H$32+K287*Scoring!$I$32+RB!L287*Scoring!$J$32+U285</f>
        <v>22.5</v>
      </c>
      <c r="N285" s="112">
        <f>C285*Scoring!$B$32+D285/Scoring!$C$32+E285*Scoring!$D$32+F285*Scoring!$E$32+G285/Scoring!$F$32+H285*Scoring!$G$32+I285*Scoring!$H$32+K285*Scoring!$I$32+RB!L285*Scoring!$J$32+U285</f>
        <v>22.5</v>
      </c>
      <c r="O285" s="112">
        <f>C286*Scoring!$B$32+D286/Scoring!$C$32+E286*Scoring!$D$32+F286*Scoring!$E$32+G286/Scoring!$F$32+H286*Scoring!$G$32+I286*Scoring!$H$32+K286*Scoring!$I$32+L286*Scoring!$J$32+U285</f>
        <v>22.5</v>
      </c>
      <c r="P285" s="8">
        <f>IF(COUNTIF(Rookies!$A:$A,A285)&gt;0,1,0)</f>
        <v>0</v>
      </c>
      <c r="Q285" s="8"/>
      <c r="R285" s="8"/>
      <c r="S285" s="8">
        <f>V285/17</f>
        <v>1.323529412</v>
      </c>
      <c r="T285" s="8">
        <f>IF(P285=1,MAX(0,0.258*(14.9-S285)),0)</f>
        <v>0</v>
      </c>
      <c r="U285" s="8">
        <f>T285*17</f>
        <v>0</v>
      </c>
      <c r="V285" s="8">
        <f>C285*Scoring!$B$32+D285/Scoring!$C$32+E285*Scoring!$D$32+F285*Scoring!$E$32+G285/Scoring!$F$32+H285*Scoring!$G$32+I285*Scoring!$H$32+K285*Scoring!$I$32+RB!L285*Scoring!$J$32</f>
        <v>22.5</v>
      </c>
      <c r="W285" s="8"/>
      <c r="X285" s="8"/>
      <c r="Y285" s="8"/>
      <c r="Z285" s="8"/>
    </row>
    <row r="286" ht="14.25" customHeight="1">
      <c r="B286" s="1" t="s">
        <v>39</v>
      </c>
      <c r="C286" s="1">
        <v>32.0</v>
      </c>
      <c r="D286" s="1">
        <v>146.0</v>
      </c>
      <c r="E286" s="1">
        <v>1.0</v>
      </c>
      <c r="F286" s="1">
        <v>1.0</v>
      </c>
      <c r="G286" s="1">
        <v>14.0</v>
      </c>
      <c r="H286" s="1">
        <v>0.0</v>
      </c>
      <c r="I286" s="1">
        <v>0.0</v>
      </c>
      <c r="J286" s="1">
        <v>13.0</v>
      </c>
      <c r="K286" s="18">
        <f t="shared" si="1"/>
        <v>8.111111111</v>
      </c>
      <c r="L286" s="18">
        <f t="shared" si="2"/>
        <v>0.6621383648</v>
      </c>
      <c r="M286" s="112"/>
      <c r="N286" s="112"/>
      <c r="O286" s="112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B287" s="1" t="s">
        <v>48</v>
      </c>
      <c r="C287" s="1">
        <v>32.0</v>
      </c>
      <c r="D287" s="1">
        <v>146.0</v>
      </c>
      <c r="E287" s="1">
        <v>1.0</v>
      </c>
      <c r="F287" s="1">
        <v>1.0</v>
      </c>
      <c r="G287" s="1">
        <v>14.0</v>
      </c>
      <c r="H287" s="1">
        <v>0.0</v>
      </c>
      <c r="I287" s="1">
        <v>0.0</v>
      </c>
      <c r="J287" s="1">
        <v>13.0</v>
      </c>
      <c r="K287" s="18">
        <f t="shared" si="1"/>
        <v>8.111111111</v>
      </c>
      <c r="L287" s="18">
        <f t="shared" si="2"/>
        <v>0.6621383648</v>
      </c>
      <c r="M287" s="112"/>
      <c r="N287" s="112"/>
      <c r="O287" s="112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1" t="s">
        <v>602</v>
      </c>
      <c r="B288" s="1" t="s">
        <v>196</v>
      </c>
      <c r="C288" s="1">
        <v>31.0</v>
      </c>
      <c r="D288" s="1">
        <v>130.0</v>
      </c>
      <c r="E288" s="1">
        <v>1.0</v>
      </c>
      <c r="F288" s="1">
        <v>2.0</v>
      </c>
      <c r="G288" s="1">
        <v>19.0</v>
      </c>
      <c r="H288" s="1">
        <v>0.0</v>
      </c>
      <c r="I288" s="1">
        <v>0.0</v>
      </c>
      <c r="J288" s="1">
        <v>22.9</v>
      </c>
      <c r="K288" s="18">
        <f t="shared" si="1"/>
        <v>7.222222222</v>
      </c>
      <c r="L288" s="18">
        <f t="shared" si="2"/>
        <v>0.8986163522</v>
      </c>
      <c r="M288" s="112">
        <f>C290*Scoring!$B$32+D290/Scoring!$C$32+E290*Scoring!$D$32+F290*Scoring!$E$32+G290/Scoring!$F$32+H290*Scoring!$G$32+I290*Scoring!$H$32+K290*Scoring!$I$32+RB!L290*Scoring!$J$32+U288</f>
        <v>21.9</v>
      </c>
      <c r="N288" s="112">
        <f>C288*Scoring!$B$32+D288/Scoring!$C$32+E288*Scoring!$D$32+F288*Scoring!$E$32+G288/Scoring!$F$32+H288*Scoring!$G$32+I288*Scoring!$H$32+K288*Scoring!$I$32+RB!L288*Scoring!$J$32+U288</f>
        <v>21.9</v>
      </c>
      <c r="O288" s="112">
        <f>C289*Scoring!$B$32+D289/Scoring!$C$32+E289*Scoring!$D$32+F289*Scoring!$E$32+G289/Scoring!$F$32+H289*Scoring!$G$32+I289*Scoring!$H$32+K289*Scoring!$I$32+L289*Scoring!$J$32+U288</f>
        <v>21.9</v>
      </c>
      <c r="P288" s="8">
        <f>IF(COUNTIF(Rookies!$A:$A,A288)&gt;0,1,0)</f>
        <v>0</v>
      </c>
      <c r="Q288" s="8"/>
      <c r="R288" s="8"/>
      <c r="S288" s="8">
        <f>V288/17</f>
        <v>1.288235294</v>
      </c>
      <c r="T288" s="8">
        <f>IF(P288=1,MAX(0,0.258*(14.9-S288)),0)</f>
        <v>0</v>
      </c>
      <c r="U288" s="8">
        <f>T288*17</f>
        <v>0</v>
      </c>
      <c r="V288" s="8">
        <f>C288*Scoring!$B$32+D288/Scoring!$C$32+E288*Scoring!$D$32+F288*Scoring!$E$32+G288/Scoring!$F$32+H288*Scoring!$G$32+I288*Scoring!$H$32+K288*Scoring!$I$32+RB!L288*Scoring!$J$32</f>
        <v>21.9</v>
      </c>
      <c r="W288" s="8"/>
      <c r="X288" s="8"/>
      <c r="Y288" s="8"/>
      <c r="Z288" s="8"/>
    </row>
    <row r="289" ht="14.25" customHeight="1">
      <c r="B289" s="1" t="s">
        <v>39</v>
      </c>
      <c r="C289" s="1">
        <v>31.0</v>
      </c>
      <c r="D289" s="1">
        <v>130.0</v>
      </c>
      <c r="E289" s="1">
        <v>1.0</v>
      </c>
      <c r="F289" s="1">
        <v>2.0</v>
      </c>
      <c r="G289" s="1">
        <v>19.0</v>
      </c>
      <c r="H289" s="1">
        <v>0.0</v>
      </c>
      <c r="I289" s="1">
        <v>0.0</v>
      </c>
      <c r="J289" s="1">
        <v>14.0</v>
      </c>
      <c r="K289" s="18">
        <f t="shared" si="1"/>
        <v>7.222222222</v>
      </c>
      <c r="L289" s="18">
        <f t="shared" si="2"/>
        <v>0.8986163522</v>
      </c>
      <c r="M289" s="112"/>
      <c r="N289" s="112"/>
      <c r="O289" s="112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B290" s="1" t="s">
        <v>48</v>
      </c>
      <c r="C290" s="1">
        <v>31.0</v>
      </c>
      <c r="D290" s="1">
        <v>130.0</v>
      </c>
      <c r="E290" s="1">
        <v>1.0</v>
      </c>
      <c r="F290" s="1">
        <v>2.0</v>
      </c>
      <c r="G290" s="1">
        <v>19.0</v>
      </c>
      <c r="H290" s="1">
        <v>0.0</v>
      </c>
      <c r="I290" s="1">
        <v>0.0</v>
      </c>
      <c r="J290" s="1">
        <v>14.0</v>
      </c>
      <c r="K290" s="18">
        <f t="shared" si="1"/>
        <v>7.222222222</v>
      </c>
      <c r="L290" s="18">
        <f t="shared" si="2"/>
        <v>0.8986163522</v>
      </c>
      <c r="M290" s="112"/>
      <c r="N290" s="112"/>
      <c r="O290" s="112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1" t="s">
        <v>606</v>
      </c>
      <c r="B291" s="1" t="s">
        <v>182</v>
      </c>
      <c r="C291" s="1">
        <v>29.4</v>
      </c>
      <c r="D291" s="1">
        <v>119.9</v>
      </c>
      <c r="E291" s="1">
        <v>1.3</v>
      </c>
      <c r="F291" s="1">
        <v>1.8</v>
      </c>
      <c r="G291" s="1">
        <v>10.9</v>
      </c>
      <c r="H291" s="1">
        <v>0.0</v>
      </c>
      <c r="I291" s="1">
        <v>0.0</v>
      </c>
      <c r="J291" s="1">
        <v>22.4</v>
      </c>
      <c r="K291" s="18">
        <f t="shared" si="1"/>
        <v>6.661111111</v>
      </c>
      <c r="L291" s="18">
        <f t="shared" si="2"/>
        <v>0.5155220126</v>
      </c>
      <c r="M291" s="112">
        <f>C293*Scoring!$B$32+D293/Scoring!$C$32+E293*Scoring!$D$32+F293*Scoring!$E$32+G293/Scoring!$F$32+H293*Scoring!$G$32+I293*Scoring!$H$32+K293*Scoring!$I$32+RB!L293*Scoring!$J$32+U291</f>
        <v>14.63</v>
      </c>
      <c r="N291" s="112">
        <f>C291*Scoring!$B$32+D291/Scoring!$C$32+E291*Scoring!$D$32+F291*Scoring!$E$32+G291/Scoring!$F$32+H291*Scoring!$G$32+I291*Scoring!$H$32+K291*Scoring!$I$32+RB!L291*Scoring!$J$32+U291</f>
        <v>21.78</v>
      </c>
      <c r="O291" s="112">
        <f>C292*Scoring!$B$32+D292/Scoring!$C$32+E292*Scoring!$D$32+F292*Scoring!$E$32+G292/Scoring!$F$32+H292*Scoring!$G$32+I292*Scoring!$H$32+K292*Scoring!$I$32+L292*Scoring!$J$32+U291</f>
        <v>28.1</v>
      </c>
      <c r="P291" s="8">
        <f>IF(COUNTIF(Rookies!$A:$A,A291)&gt;0,1,0)</f>
        <v>0</v>
      </c>
      <c r="Q291" s="8"/>
      <c r="R291" s="8"/>
      <c r="S291" s="8">
        <f>V291/17</f>
        <v>1.281176471</v>
      </c>
      <c r="T291" s="8">
        <f>IF(P291=1,MAX(0,0.258*(14.9-S291)),0)</f>
        <v>0</v>
      </c>
      <c r="U291" s="8">
        <f>T291*17</f>
        <v>0</v>
      </c>
      <c r="V291" s="8">
        <f>C291*Scoring!$B$32+D291/Scoring!$C$32+E291*Scoring!$D$32+F291*Scoring!$E$32+G291/Scoring!$F$32+H291*Scoring!$G$32+I291*Scoring!$H$32+K291*Scoring!$I$32+RB!L291*Scoring!$J$32</f>
        <v>21.78</v>
      </c>
      <c r="W291" s="8"/>
      <c r="X291" s="8"/>
      <c r="Y291" s="8"/>
      <c r="Z291" s="8"/>
    </row>
    <row r="292" ht="14.25" customHeight="1">
      <c r="B292" s="1" t="s">
        <v>39</v>
      </c>
      <c r="C292" s="1">
        <v>35.0</v>
      </c>
      <c r="D292" s="1">
        <v>140.0</v>
      </c>
      <c r="E292" s="1">
        <v>2.0</v>
      </c>
      <c r="F292" s="1">
        <v>2.0</v>
      </c>
      <c r="G292" s="1">
        <v>11.0</v>
      </c>
      <c r="H292" s="1">
        <v>0.0</v>
      </c>
      <c r="I292" s="1">
        <v>0.0</v>
      </c>
      <c r="J292" s="1">
        <v>19.8</v>
      </c>
      <c r="K292" s="18">
        <f t="shared" si="1"/>
        <v>7.777777778</v>
      </c>
      <c r="L292" s="18">
        <f t="shared" si="2"/>
        <v>0.5202515723</v>
      </c>
      <c r="M292" s="112"/>
      <c r="N292" s="112"/>
      <c r="O292" s="112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B293" s="1" t="s">
        <v>48</v>
      </c>
      <c r="C293" s="1">
        <v>23.8</v>
      </c>
      <c r="D293" s="1">
        <v>99.9</v>
      </c>
      <c r="E293" s="1">
        <v>0.5</v>
      </c>
      <c r="F293" s="1">
        <v>1.5</v>
      </c>
      <c r="G293" s="1">
        <v>10.9</v>
      </c>
      <c r="H293" s="1">
        <v>0.0</v>
      </c>
      <c r="I293" s="1">
        <v>0.1</v>
      </c>
      <c r="J293" s="1">
        <v>16.1</v>
      </c>
      <c r="K293" s="18">
        <f t="shared" si="1"/>
        <v>5.55</v>
      </c>
      <c r="L293" s="18">
        <f t="shared" si="2"/>
        <v>0.5155220126</v>
      </c>
      <c r="M293" s="112"/>
      <c r="N293" s="112"/>
      <c r="O293" s="112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1" t="s">
        <v>609</v>
      </c>
      <c r="B294" s="1" t="s">
        <v>117</v>
      </c>
      <c r="C294" s="1">
        <v>35.0</v>
      </c>
      <c r="D294" s="1">
        <v>161.0</v>
      </c>
      <c r="E294" s="1">
        <v>1.0</v>
      </c>
      <c r="F294" s="1">
        <v>0.0</v>
      </c>
      <c r="G294" s="1">
        <v>0.0</v>
      </c>
      <c r="H294" s="1">
        <v>0.0</v>
      </c>
      <c r="I294" s="1">
        <v>0.0</v>
      </c>
      <c r="J294" s="1">
        <v>22.1</v>
      </c>
      <c r="K294" s="18">
        <f t="shared" si="1"/>
        <v>8.944444444</v>
      </c>
      <c r="L294" s="18">
        <f t="shared" si="2"/>
        <v>0</v>
      </c>
      <c r="M294" s="112">
        <f>C296*Scoring!$B$32+D296/Scoring!$C$32+E296*Scoring!$D$32+F296*Scoring!$E$32+G296/Scoring!$F$32+H296*Scoring!$G$32+I296*Scoring!$H$32+K296*Scoring!$I$32+RB!L296*Scoring!$J$32+U294</f>
        <v>22.1</v>
      </c>
      <c r="N294" s="112">
        <f>C294*Scoring!$B$32+D294/Scoring!$C$32+E294*Scoring!$D$32+F294*Scoring!$E$32+G294/Scoring!$F$32+H294*Scoring!$G$32+I294*Scoring!$H$32+K294*Scoring!$I$32+RB!L294*Scoring!$J$32+U294</f>
        <v>22.1</v>
      </c>
      <c r="O294" s="112">
        <f>C295*Scoring!$B$32+D295/Scoring!$C$32+E295*Scoring!$D$32+F295*Scoring!$E$32+G295/Scoring!$F$32+H295*Scoring!$G$32+I295*Scoring!$H$32+K295*Scoring!$I$32+L295*Scoring!$J$32+U294</f>
        <v>22.1</v>
      </c>
      <c r="P294" s="8">
        <f>IF(COUNTIF(Rookies!$A:$A,A294)&gt;0,1,0)</f>
        <v>0</v>
      </c>
      <c r="Q294" s="8"/>
      <c r="R294" s="8"/>
      <c r="S294" s="8">
        <f>V294/17</f>
        <v>1.3</v>
      </c>
      <c r="T294" s="8">
        <f>IF(P294=1,MAX(0,0.258*(14.9-S294)),0)</f>
        <v>0</v>
      </c>
      <c r="U294" s="8">
        <f>T294*17</f>
        <v>0</v>
      </c>
      <c r="V294" s="8">
        <f>C294*Scoring!$B$32+D294/Scoring!$C$32+E294*Scoring!$D$32+F294*Scoring!$E$32+G294/Scoring!$F$32+H294*Scoring!$G$32+I294*Scoring!$H$32+K294*Scoring!$I$32+RB!L294*Scoring!$J$32</f>
        <v>22.1</v>
      </c>
      <c r="W294" s="8"/>
      <c r="X294" s="8"/>
      <c r="Y294" s="8"/>
      <c r="Z294" s="8"/>
    </row>
    <row r="295" ht="14.25" customHeight="1">
      <c r="B295" s="1" t="s">
        <v>39</v>
      </c>
      <c r="C295" s="1">
        <v>35.0</v>
      </c>
      <c r="D295" s="1">
        <v>161.0</v>
      </c>
      <c r="E295" s="1">
        <v>1.0</v>
      </c>
      <c r="F295" s="1">
        <v>0.0</v>
      </c>
      <c r="G295" s="1">
        <v>0.0</v>
      </c>
      <c r="H295" s="1">
        <v>0.0</v>
      </c>
      <c r="I295" s="1">
        <v>0.0</v>
      </c>
      <c r="J295" s="1">
        <v>13.0</v>
      </c>
      <c r="K295" s="18">
        <f t="shared" si="1"/>
        <v>8.944444444</v>
      </c>
      <c r="L295" s="18">
        <f t="shared" si="2"/>
        <v>0</v>
      </c>
      <c r="M295" s="112"/>
      <c r="N295" s="112"/>
      <c r="O295" s="112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B296" s="1" t="s">
        <v>48</v>
      </c>
      <c r="C296" s="1">
        <v>35.0</v>
      </c>
      <c r="D296" s="1">
        <v>161.0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J296" s="1">
        <v>13.0</v>
      </c>
      <c r="K296" s="18">
        <f t="shared" si="1"/>
        <v>8.944444444</v>
      </c>
      <c r="L296" s="18">
        <f t="shared" si="2"/>
        <v>0</v>
      </c>
      <c r="M296" s="112"/>
      <c r="N296" s="112"/>
      <c r="O296" s="112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1" t="s">
        <v>613</v>
      </c>
      <c r="B297" s="1" t="s">
        <v>205</v>
      </c>
      <c r="C297" s="1">
        <v>33.0</v>
      </c>
      <c r="D297" s="1">
        <v>142.0</v>
      </c>
      <c r="E297" s="1">
        <v>1.0</v>
      </c>
      <c r="F297" s="1">
        <v>1.0</v>
      </c>
      <c r="G297" s="1">
        <v>9.0</v>
      </c>
      <c r="H297" s="1">
        <v>0.0</v>
      </c>
      <c r="I297" s="1">
        <v>0.0</v>
      </c>
      <c r="J297" s="1">
        <v>22.1</v>
      </c>
      <c r="K297" s="18">
        <f t="shared" si="1"/>
        <v>7.888888889</v>
      </c>
      <c r="L297" s="18">
        <f t="shared" si="2"/>
        <v>0.4256603774</v>
      </c>
      <c r="M297" s="112">
        <f>C299*Scoring!$B$32+D299/Scoring!$C$32+E299*Scoring!$D$32+F299*Scoring!$E$32+G299/Scoring!$F$32+H299*Scoring!$G$32+I299*Scoring!$H$32+K299*Scoring!$I$32+RB!L299*Scoring!$J$32+U297</f>
        <v>21.6</v>
      </c>
      <c r="N297" s="112">
        <f>C297*Scoring!$B$32+D297/Scoring!$C$32+E297*Scoring!$D$32+F297*Scoring!$E$32+G297/Scoring!$F$32+H297*Scoring!$G$32+I297*Scoring!$H$32+K297*Scoring!$I$32+RB!L297*Scoring!$J$32+U297</f>
        <v>21.6</v>
      </c>
      <c r="O297" s="112">
        <f>C298*Scoring!$B$32+D298/Scoring!$C$32+E298*Scoring!$D$32+F298*Scoring!$E$32+G298/Scoring!$F$32+H298*Scoring!$G$32+I298*Scoring!$H$32+K298*Scoring!$I$32+L298*Scoring!$J$32+U297</f>
        <v>21.6</v>
      </c>
      <c r="P297" s="8">
        <f>IF(COUNTIF(Rookies!$A:$A,A297)&gt;0,1,0)</f>
        <v>0</v>
      </c>
      <c r="Q297" s="8"/>
      <c r="R297" s="8"/>
      <c r="S297" s="8">
        <f>V297/17</f>
        <v>1.270588235</v>
      </c>
      <c r="T297" s="8">
        <f>IF(P297=1,MAX(0,0.258*(14.9-S297)),0)</f>
        <v>0</v>
      </c>
      <c r="U297" s="8">
        <f>T297*17</f>
        <v>0</v>
      </c>
      <c r="V297" s="8">
        <f>C297*Scoring!$B$32+D297/Scoring!$C$32+E297*Scoring!$D$32+F297*Scoring!$E$32+G297/Scoring!$F$32+H297*Scoring!$G$32+I297*Scoring!$H$32+K297*Scoring!$I$32+RB!L297*Scoring!$J$32</f>
        <v>21.6</v>
      </c>
      <c r="W297" s="8"/>
      <c r="X297" s="8"/>
      <c r="Y297" s="8"/>
      <c r="Z297" s="8"/>
    </row>
    <row r="298" ht="14.25" customHeight="1">
      <c r="B298" s="1" t="s">
        <v>39</v>
      </c>
      <c r="C298" s="1">
        <v>33.0</v>
      </c>
      <c r="D298" s="1">
        <v>142.0</v>
      </c>
      <c r="E298" s="1">
        <v>1.0</v>
      </c>
      <c r="F298" s="1">
        <v>1.0</v>
      </c>
      <c r="G298" s="1">
        <v>9.0</v>
      </c>
      <c r="H298" s="1">
        <v>0.0</v>
      </c>
      <c r="I298" s="1">
        <v>0.0</v>
      </c>
      <c r="J298" s="1">
        <v>13.0</v>
      </c>
      <c r="K298" s="18">
        <f t="shared" si="1"/>
        <v>7.888888889</v>
      </c>
      <c r="L298" s="18">
        <f t="shared" si="2"/>
        <v>0.4256603774</v>
      </c>
      <c r="M298" s="112"/>
      <c r="N298" s="112"/>
      <c r="O298" s="112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B299" s="1" t="s">
        <v>48</v>
      </c>
      <c r="C299" s="1">
        <v>33.0</v>
      </c>
      <c r="D299" s="1">
        <v>142.0</v>
      </c>
      <c r="E299" s="1">
        <v>1.0</v>
      </c>
      <c r="F299" s="1">
        <v>1.0</v>
      </c>
      <c r="G299" s="1">
        <v>9.0</v>
      </c>
      <c r="H299" s="1">
        <v>0.0</v>
      </c>
      <c r="I299" s="1">
        <v>0.0</v>
      </c>
      <c r="J299" s="1">
        <v>13.0</v>
      </c>
      <c r="K299" s="18">
        <f t="shared" si="1"/>
        <v>7.888888889</v>
      </c>
      <c r="L299" s="18">
        <f t="shared" si="2"/>
        <v>0.4256603774</v>
      </c>
      <c r="M299" s="112"/>
      <c r="N299" s="112"/>
      <c r="O299" s="112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1" t="s">
        <v>617</v>
      </c>
      <c r="B300" s="1" t="s">
        <v>106</v>
      </c>
      <c r="C300" s="1">
        <v>23.6</v>
      </c>
      <c r="D300" s="1">
        <v>110.9</v>
      </c>
      <c r="E300" s="1">
        <v>0.7</v>
      </c>
      <c r="F300" s="1">
        <v>3.0</v>
      </c>
      <c r="G300" s="1">
        <v>25.7</v>
      </c>
      <c r="H300" s="1">
        <v>0.1</v>
      </c>
      <c r="I300" s="1">
        <v>0.0</v>
      </c>
      <c r="J300" s="1">
        <v>21.5</v>
      </c>
      <c r="K300" s="18">
        <f t="shared" si="1"/>
        <v>6.161111111</v>
      </c>
      <c r="L300" s="18">
        <f t="shared" si="2"/>
        <v>1.215496855</v>
      </c>
      <c r="M300" s="112">
        <f>C302*Scoring!$B$32+D302/Scoring!$C$32+E302*Scoring!$D$32+F302*Scoring!$E$32+G302/Scoring!$F$32+H302*Scoring!$G$32+I302*Scoring!$H$32+K302*Scoring!$I$32+RB!L302*Scoring!$J$32+U300</f>
        <v>70.68172</v>
      </c>
      <c r="N300" s="112">
        <f>C300*Scoring!$B$32+D300/Scoring!$C$32+E300*Scoring!$D$32+F300*Scoring!$E$32+G300/Scoring!$F$32+H300*Scoring!$G$32+I300*Scoring!$H$32+K300*Scoring!$I$32+RB!L300*Scoring!$J$32+U300</f>
        <v>80.16172</v>
      </c>
      <c r="O300" s="112">
        <f>C301*Scoring!$B$32+D301/Scoring!$C$32+E301*Scoring!$D$32+F301*Scoring!$E$32+G301/Scoring!$F$32+H301*Scoring!$G$32+I301*Scoring!$H$32+K301*Scoring!$I$32+L301*Scoring!$J$32+U300</f>
        <v>89.49172</v>
      </c>
      <c r="P300" s="8">
        <f>IF(COUNTIF(Rookies!$A:$A,A300)&gt;0,1,0)</f>
        <v>1</v>
      </c>
      <c r="Q300" s="8"/>
      <c r="R300" s="8"/>
      <c r="S300" s="8">
        <f>V300/17</f>
        <v>1.174117647</v>
      </c>
      <c r="T300" s="8">
        <f>IF(P300=1,MAX(0,0.258*(14.9-S300)),0)</f>
        <v>3.541277647</v>
      </c>
      <c r="U300" s="8">
        <f>T300*17</f>
        <v>60.20172</v>
      </c>
      <c r="V300" s="8">
        <f>C300*Scoring!$B$32+D300/Scoring!$C$32+E300*Scoring!$D$32+F300*Scoring!$E$32+G300/Scoring!$F$32+H300*Scoring!$G$32+I300*Scoring!$H$32+K300*Scoring!$I$32+RB!L300*Scoring!$J$32</f>
        <v>19.96</v>
      </c>
      <c r="W300" s="8"/>
      <c r="X300" s="8"/>
      <c r="Y300" s="8"/>
      <c r="Z300" s="8"/>
    </row>
    <row r="301" ht="14.25" customHeight="1">
      <c r="B301" s="1" t="s">
        <v>39</v>
      </c>
      <c r="C301" s="1">
        <v>35.0</v>
      </c>
      <c r="D301" s="1">
        <v>171.0</v>
      </c>
      <c r="E301" s="1">
        <v>1.0</v>
      </c>
      <c r="F301" s="1">
        <v>4.1</v>
      </c>
      <c r="G301" s="1">
        <v>29.4</v>
      </c>
      <c r="H301" s="1">
        <v>0.2</v>
      </c>
      <c r="I301" s="1">
        <v>0.0</v>
      </c>
      <c r="J301" s="1">
        <v>20.0</v>
      </c>
      <c r="K301" s="18">
        <f t="shared" si="1"/>
        <v>9.5</v>
      </c>
      <c r="L301" s="18">
        <f t="shared" si="2"/>
        <v>1.390490566</v>
      </c>
      <c r="M301" s="112"/>
      <c r="N301" s="112"/>
      <c r="O301" s="112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B302" s="1" t="s">
        <v>48</v>
      </c>
      <c r="C302" s="1">
        <v>12.3</v>
      </c>
      <c r="D302" s="1">
        <v>50.8</v>
      </c>
      <c r="E302" s="1">
        <v>0.4</v>
      </c>
      <c r="F302" s="1">
        <v>2.0</v>
      </c>
      <c r="G302" s="1">
        <v>22.0</v>
      </c>
      <c r="H302" s="1">
        <v>0.0</v>
      </c>
      <c r="I302" s="1">
        <v>0.1</v>
      </c>
      <c r="J302" s="1">
        <v>14.7</v>
      </c>
      <c r="K302" s="18">
        <f t="shared" si="1"/>
        <v>2.822222222</v>
      </c>
      <c r="L302" s="18">
        <f t="shared" si="2"/>
        <v>1.040503145</v>
      </c>
      <c r="M302" s="112"/>
      <c r="N302" s="112"/>
      <c r="O302" s="112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1" t="s">
        <v>620</v>
      </c>
      <c r="B303" s="1" t="s">
        <v>189</v>
      </c>
      <c r="C303" s="1">
        <v>21.6</v>
      </c>
      <c r="D303" s="1">
        <v>96.1</v>
      </c>
      <c r="E303" s="1">
        <v>0.7</v>
      </c>
      <c r="F303" s="1">
        <v>3.3</v>
      </c>
      <c r="G303" s="1">
        <v>25.2</v>
      </c>
      <c r="H303" s="1">
        <v>0.1</v>
      </c>
      <c r="I303" s="1">
        <v>0.0</v>
      </c>
      <c r="J303" s="1">
        <v>20.0</v>
      </c>
      <c r="K303" s="18">
        <f t="shared" si="1"/>
        <v>5.338888889</v>
      </c>
      <c r="L303" s="18">
        <f t="shared" si="2"/>
        <v>1.191849057</v>
      </c>
      <c r="M303" s="112">
        <f>C305*Scoring!$B$32+D305/Scoring!$C$32+E305*Scoring!$D$32+F305*Scoring!$E$32+G305/Scoring!$F$32+H305*Scoring!$G$32+I305*Scoring!$H$32+K305*Scoring!$I$32+RB!L305*Scoring!$J$32+U303</f>
        <v>71.78776</v>
      </c>
      <c r="N303" s="112">
        <f>C303*Scoring!$B$32+D303/Scoring!$C$32+E303*Scoring!$D$32+F303*Scoring!$E$32+G303/Scoring!$F$32+H303*Scoring!$G$32+I303*Scoring!$H$32+K303*Scoring!$I$32+RB!L303*Scoring!$J$32+U303</f>
        <v>79.13776</v>
      </c>
      <c r="O303" s="112">
        <f>C304*Scoring!$B$32+D304/Scoring!$C$32+E304*Scoring!$D$32+F304*Scoring!$E$32+G304/Scoring!$F$32+H304*Scoring!$G$32+I304*Scoring!$H$32+K304*Scoring!$I$32+L304*Scoring!$J$32+U303</f>
        <v>86.24776</v>
      </c>
      <c r="P303" s="8">
        <f>IF(COUNTIF(Rookies!$A:$A,A303)&gt;0,1,0)</f>
        <v>1</v>
      </c>
      <c r="Q303" s="8"/>
      <c r="R303" s="8"/>
      <c r="S303" s="8">
        <f>V303/17</f>
        <v>1.092941176</v>
      </c>
      <c r="T303" s="8">
        <f>IF(P303=1,MAX(0,0.258*(14.9-S303)),0)</f>
        <v>3.562221176</v>
      </c>
      <c r="U303" s="8">
        <f>T303*17</f>
        <v>60.55776</v>
      </c>
      <c r="V303" s="8">
        <f>C303*Scoring!$B$32+D303/Scoring!$C$32+E303*Scoring!$D$32+F303*Scoring!$E$32+G303/Scoring!$F$32+H303*Scoring!$G$32+I303*Scoring!$H$32+K303*Scoring!$I$32+RB!L303*Scoring!$J$32</f>
        <v>18.58</v>
      </c>
      <c r="W303" s="8"/>
      <c r="X303" s="8"/>
      <c r="Y303" s="8"/>
      <c r="Z303" s="8"/>
    </row>
    <row r="304" ht="14.25" customHeight="1">
      <c r="B304" s="1" t="s">
        <v>39</v>
      </c>
      <c r="C304" s="1">
        <v>29.0</v>
      </c>
      <c r="D304" s="1">
        <v>133.0</v>
      </c>
      <c r="E304" s="1">
        <v>1.0</v>
      </c>
      <c r="F304" s="1">
        <v>4.5</v>
      </c>
      <c r="G304" s="1">
        <v>29.4</v>
      </c>
      <c r="H304" s="1">
        <v>0.2</v>
      </c>
      <c r="I304" s="1">
        <v>0.0</v>
      </c>
      <c r="J304" s="1">
        <v>15.5</v>
      </c>
      <c r="K304" s="18">
        <f t="shared" si="1"/>
        <v>7.388888889</v>
      </c>
      <c r="L304" s="18">
        <f t="shared" si="2"/>
        <v>1.390490566</v>
      </c>
      <c r="M304" s="112"/>
      <c r="N304" s="112"/>
      <c r="O304" s="112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B305" s="1" t="s">
        <v>48</v>
      </c>
      <c r="C305" s="1">
        <v>14.2</v>
      </c>
      <c r="D305" s="1">
        <v>59.3</v>
      </c>
      <c r="E305" s="1">
        <v>0.4</v>
      </c>
      <c r="F305" s="1">
        <v>2.0</v>
      </c>
      <c r="G305" s="1">
        <v>21.0</v>
      </c>
      <c r="H305" s="1">
        <v>0.0</v>
      </c>
      <c r="I305" s="1">
        <v>0.1</v>
      </c>
      <c r="J305" s="1">
        <v>15.3</v>
      </c>
      <c r="K305" s="18">
        <f t="shared" si="1"/>
        <v>3.294444444</v>
      </c>
      <c r="L305" s="18">
        <f t="shared" si="2"/>
        <v>0.9932075472</v>
      </c>
      <c r="M305" s="112"/>
      <c r="N305" s="112"/>
      <c r="O305" s="112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1" t="s">
        <v>623</v>
      </c>
      <c r="B306" s="1" t="s">
        <v>214</v>
      </c>
      <c r="C306" s="1">
        <v>20.3</v>
      </c>
      <c r="D306" s="1">
        <v>83.7</v>
      </c>
      <c r="E306" s="1">
        <v>0.6</v>
      </c>
      <c r="F306" s="1">
        <v>4.3</v>
      </c>
      <c r="G306" s="1">
        <v>30.2</v>
      </c>
      <c r="H306" s="1">
        <v>0.2</v>
      </c>
      <c r="I306" s="1">
        <v>0.1</v>
      </c>
      <c r="J306" s="1">
        <v>19.7</v>
      </c>
      <c r="K306" s="18">
        <f t="shared" si="1"/>
        <v>4.65</v>
      </c>
      <c r="L306" s="18">
        <f t="shared" si="2"/>
        <v>1.428327044</v>
      </c>
      <c r="M306" s="112">
        <f>C308*Scoring!$B$32+D308/Scoring!$C$32+E308*Scoring!$D$32+F308*Scoring!$E$32+G308/Scoring!$F$32+H308*Scoring!$G$32+I308*Scoring!$H$32+K308*Scoring!$I$32+RB!L308*Scoring!$J$32+U306</f>
        <v>78.81128</v>
      </c>
      <c r="N306" s="112">
        <f>C306*Scoring!$B$32+D306/Scoring!$C$32+E306*Scoring!$D$32+F306*Scoring!$E$32+G306/Scoring!$F$32+H306*Scoring!$G$32+I306*Scoring!$H$32+K306*Scoring!$I$32+RB!L306*Scoring!$J$32+U306</f>
        <v>78.81128</v>
      </c>
      <c r="O306" s="112">
        <f>C307*Scoring!$B$32+D307/Scoring!$C$32+E307*Scoring!$D$32+F307*Scoring!$E$32+G307/Scoring!$F$32+H307*Scoring!$G$32+I307*Scoring!$H$32+K307*Scoring!$I$32+L307*Scoring!$J$32+U306</f>
        <v>78.81128</v>
      </c>
      <c r="P306" s="8">
        <f>IF(COUNTIF(Rookies!$A:$A,A306)&gt;0,1,0)</f>
        <v>1</v>
      </c>
      <c r="Q306" s="8"/>
      <c r="R306" s="8"/>
      <c r="S306" s="8">
        <f>V306/17</f>
        <v>1.067058824</v>
      </c>
      <c r="T306" s="8">
        <f>IF(P306=1,MAX(0,0.258*(14.9-S306)),0)</f>
        <v>3.568898824</v>
      </c>
      <c r="U306" s="8">
        <f>T306*17</f>
        <v>60.67128</v>
      </c>
      <c r="V306" s="8">
        <f>C306*Scoring!$B$32+D306/Scoring!$C$32+E306*Scoring!$D$32+F306*Scoring!$E$32+G306/Scoring!$F$32+H306*Scoring!$G$32+I306*Scoring!$H$32+K306*Scoring!$I$32+RB!L306*Scoring!$J$32</f>
        <v>18.14</v>
      </c>
      <c r="W306" s="8"/>
      <c r="X306" s="8"/>
      <c r="Y306" s="8"/>
      <c r="Z306" s="8"/>
    </row>
    <row r="307" ht="14.25" customHeight="1">
      <c r="B307" s="1" t="s">
        <v>39</v>
      </c>
      <c r="C307" s="1">
        <v>20.3</v>
      </c>
      <c r="D307" s="1">
        <v>83.7</v>
      </c>
      <c r="E307" s="1">
        <v>0.6</v>
      </c>
      <c r="F307" s="1">
        <v>4.3</v>
      </c>
      <c r="G307" s="1">
        <v>30.2</v>
      </c>
      <c r="H307" s="1">
        <v>0.2</v>
      </c>
      <c r="I307" s="1">
        <v>0.1</v>
      </c>
      <c r="J307" s="1">
        <v>19.8</v>
      </c>
      <c r="K307" s="18">
        <f t="shared" si="1"/>
        <v>4.65</v>
      </c>
      <c r="L307" s="18">
        <f t="shared" si="2"/>
        <v>1.428327044</v>
      </c>
      <c r="M307" s="112"/>
      <c r="N307" s="112"/>
      <c r="O307" s="112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B308" s="1" t="s">
        <v>48</v>
      </c>
      <c r="C308" s="1">
        <v>20.3</v>
      </c>
      <c r="D308" s="1">
        <v>83.7</v>
      </c>
      <c r="E308" s="1">
        <v>0.6</v>
      </c>
      <c r="F308" s="1">
        <v>4.3</v>
      </c>
      <c r="G308" s="1">
        <v>30.2</v>
      </c>
      <c r="H308" s="1">
        <v>0.2</v>
      </c>
      <c r="I308" s="1">
        <v>0.1</v>
      </c>
      <c r="J308" s="1">
        <v>19.8</v>
      </c>
      <c r="K308" s="18">
        <f t="shared" si="1"/>
        <v>4.65</v>
      </c>
      <c r="L308" s="18">
        <f t="shared" si="2"/>
        <v>1.428327044</v>
      </c>
      <c r="M308" s="112"/>
      <c r="N308" s="112"/>
      <c r="O308" s="112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1" t="s">
        <v>627</v>
      </c>
      <c r="B309" s="1" t="s">
        <v>182</v>
      </c>
      <c r="C309" s="1">
        <v>23.0</v>
      </c>
      <c r="D309" s="1">
        <v>90.0</v>
      </c>
      <c r="E309" s="1">
        <v>1.0</v>
      </c>
      <c r="F309" s="1">
        <v>2.5</v>
      </c>
      <c r="G309" s="1">
        <v>17.5</v>
      </c>
      <c r="H309" s="1">
        <v>0.0</v>
      </c>
      <c r="I309" s="1">
        <v>0.0</v>
      </c>
      <c r="J309" s="1">
        <v>19.3</v>
      </c>
      <c r="K309" s="18">
        <f t="shared" si="1"/>
        <v>5</v>
      </c>
      <c r="L309" s="18">
        <f t="shared" si="2"/>
        <v>0.827672956</v>
      </c>
      <c r="M309" s="112">
        <f>C311*Scoring!$B$32+D311/Scoring!$C$32+E311*Scoring!$D$32+F311*Scoring!$E$32+G311/Scoring!$F$32+H311*Scoring!$G$32+I311*Scoring!$H$32+K311*Scoring!$I$32+RB!L311*Scoring!$J$32+U309</f>
        <v>0</v>
      </c>
      <c r="N309" s="112">
        <f>C309*Scoring!$B$32+D309/Scoring!$C$32+E309*Scoring!$D$32+F309*Scoring!$E$32+G309/Scoring!$F$32+H309*Scoring!$G$32+I309*Scoring!$H$32+K309*Scoring!$I$32+RB!L309*Scoring!$J$32+U309</f>
        <v>18</v>
      </c>
      <c r="O309" s="112">
        <f>C310*Scoring!$B$32+D310/Scoring!$C$32+E310*Scoring!$D$32+F310*Scoring!$E$32+G310/Scoring!$F$32+H310*Scoring!$G$32+I310*Scoring!$H$32+K310*Scoring!$I$32+L310*Scoring!$J$32+U309</f>
        <v>36</v>
      </c>
      <c r="P309" s="8">
        <f>IF(COUNTIF(Rookies!$A:$A,A309)&gt;0,1,0)</f>
        <v>0</v>
      </c>
      <c r="Q309" s="8"/>
      <c r="R309" s="8"/>
      <c r="S309" s="8">
        <f>V309/17</f>
        <v>1.058823529</v>
      </c>
      <c r="T309" s="8">
        <f>IF(P309=1,MAX(0,0.258*(14.9-S309)),0)</f>
        <v>0</v>
      </c>
      <c r="U309" s="8">
        <f>T309*17</f>
        <v>0</v>
      </c>
      <c r="V309" s="8">
        <f>C309*Scoring!$B$32+D309/Scoring!$C$32+E309*Scoring!$D$32+F309*Scoring!$E$32+G309/Scoring!$F$32+H309*Scoring!$G$32+I309*Scoring!$H$32+K309*Scoring!$I$32+RB!L309*Scoring!$J$32</f>
        <v>18</v>
      </c>
      <c r="W309" s="8"/>
      <c r="X309" s="8"/>
      <c r="Y309" s="8"/>
      <c r="Z309" s="8"/>
    </row>
    <row r="310" ht="14.25" customHeight="1">
      <c r="B310" s="1" t="s">
        <v>39</v>
      </c>
      <c r="C310" s="1">
        <v>46.0</v>
      </c>
      <c r="D310" s="1">
        <v>180.0</v>
      </c>
      <c r="E310" s="1">
        <v>2.0</v>
      </c>
      <c r="F310" s="1">
        <v>5.0</v>
      </c>
      <c r="G310" s="1">
        <v>35.0</v>
      </c>
      <c r="H310" s="1">
        <v>0.0</v>
      </c>
      <c r="I310" s="1">
        <v>0.0</v>
      </c>
      <c r="J310" s="1">
        <v>25.5</v>
      </c>
      <c r="K310" s="18">
        <f t="shared" si="1"/>
        <v>10</v>
      </c>
      <c r="L310" s="18">
        <f t="shared" si="2"/>
        <v>1.655345912</v>
      </c>
      <c r="M310" s="112"/>
      <c r="N310" s="112"/>
      <c r="O310" s="112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B311" s="1" t="s">
        <v>48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2.5</v>
      </c>
      <c r="K311" s="18">
        <f t="shared" si="1"/>
        <v>0</v>
      </c>
      <c r="L311" s="18">
        <f t="shared" si="2"/>
        <v>0</v>
      </c>
      <c r="M311" s="112"/>
      <c r="N311" s="112"/>
      <c r="O311" s="112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1" t="s">
        <v>630</v>
      </c>
      <c r="B312" s="1" t="s">
        <v>106</v>
      </c>
      <c r="C312" s="1">
        <v>17.5</v>
      </c>
      <c r="D312" s="1">
        <v>97.0</v>
      </c>
      <c r="E312" s="1">
        <v>0.5</v>
      </c>
      <c r="F312" s="1">
        <v>4.0</v>
      </c>
      <c r="G312" s="1">
        <v>23.0</v>
      </c>
      <c r="H312" s="1">
        <v>0.0</v>
      </c>
      <c r="I312" s="1">
        <v>0.0</v>
      </c>
      <c r="J312" s="1">
        <v>19.0</v>
      </c>
      <c r="K312" s="18">
        <f t="shared" si="1"/>
        <v>5.388888889</v>
      </c>
      <c r="L312" s="18">
        <f t="shared" si="2"/>
        <v>1.087798742</v>
      </c>
      <c r="M312" s="112">
        <f>C314*Scoring!$B$32+D314/Scoring!$C$32+E314*Scoring!$D$32+F314*Scoring!$E$32+G314/Scoring!$F$32+H314*Scoring!$G$32+I314*Scoring!$H$32+K314*Scoring!$I$32+RB!L314*Scoring!$J$32+U312</f>
        <v>0</v>
      </c>
      <c r="N312" s="112">
        <f>C312*Scoring!$B$32+D312/Scoring!$C$32+E312*Scoring!$D$32+F312*Scoring!$E$32+G312/Scoring!$F$32+H312*Scoring!$G$32+I312*Scoring!$H$32+K312*Scoring!$I$32+RB!L312*Scoring!$J$32+U312</f>
        <v>17</v>
      </c>
      <c r="O312" s="112">
        <f>C313*Scoring!$B$32+D313/Scoring!$C$32+E313*Scoring!$D$32+F313*Scoring!$E$32+G313/Scoring!$F$32+H313*Scoring!$G$32+I313*Scoring!$H$32+K313*Scoring!$I$32+L313*Scoring!$J$32+U312</f>
        <v>34</v>
      </c>
      <c r="P312" s="8">
        <f>IF(COUNTIF(Rookies!$A:$A,A312)&gt;0,1,0)</f>
        <v>0</v>
      </c>
      <c r="Q312" s="8"/>
      <c r="R312" s="8"/>
      <c r="S312" s="8">
        <f>V312/17</f>
        <v>1</v>
      </c>
      <c r="T312" s="8">
        <f>IF(P312=1,MAX(0,0.258*(14.9-S312)),0)</f>
        <v>0</v>
      </c>
      <c r="U312" s="8">
        <f>T312*17</f>
        <v>0</v>
      </c>
      <c r="V312" s="8">
        <f>C312*Scoring!$B$32+D312/Scoring!$C$32+E312*Scoring!$D$32+F312*Scoring!$E$32+G312/Scoring!$F$32+H312*Scoring!$G$32+I312*Scoring!$H$32+K312*Scoring!$I$32+RB!L312*Scoring!$J$32</f>
        <v>17</v>
      </c>
      <c r="W312" s="8"/>
      <c r="X312" s="8"/>
      <c r="Y312" s="8"/>
      <c r="Z312" s="8"/>
    </row>
    <row r="313" ht="14.25" customHeight="1">
      <c r="B313" s="1" t="s">
        <v>39</v>
      </c>
      <c r="C313" s="1">
        <v>35.0</v>
      </c>
      <c r="D313" s="1">
        <v>194.0</v>
      </c>
      <c r="E313" s="1">
        <v>1.0</v>
      </c>
      <c r="F313" s="1">
        <v>8.0</v>
      </c>
      <c r="G313" s="1">
        <v>46.0</v>
      </c>
      <c r="H313" s="1">
        <v>0.0</v>
      </c>
      <c r="I313" s="1">
        <v>0.0</v>
      </c>
      <c r="J313" s="1">
        <v>23.0</v>
      </c>
      <c r="K313" s="18">
        <f t="shared" si="1"/>
        <v>10.77777778</v>
      </c>
      <c r="L313" s="18">
        <f t="shared" si="2"/>
        <v>2.175597484</v>
      </c>
      <c r="M313" s="112"/>
      <c r="N313" s="112"/>
      <c r="O313" s="112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B314" s="1" t="s">
        <v>48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4.0</v>
      </c>
      <c r="K314" s="18">
        <f t="shared" si="1"/>
        <v>0</v>
      </c>
      <c r="L314" s="18">
        <f t="shared" si="2"/>
        <v>0</v>
      </c>
      <c r="M314" s="112"/>
      <c r="N314" s="112"/>
      <c r="O314" s="112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1" t="s">
        <v>633</v>
      </c>
      <c r="B315" s="1" t="s">
        <v>127</v>
      </c>
      <c r="C315" s="1">
        <v>30.3</v>
      </c>
      <c r="D315" s="1">
        <v>128.4</v>
      </c>
      <c r="E315" s="1">
        <v>0.9</v>
      </c>
      <c r="F315" s="1">
        <v>0.0</v>
      </c>
      <c r="G315" s="1">
        <v>0.0</v>
      </c>
      <c r="H315" s="1">
        <v>0.0</v>
      </c>
      <c r="I315" s="1">
        <v>0.1</v>
      </c>
      <c r="J315" s="1">
        <v>18.2</v>
      </c>
      <c r="K315" s="18">
        <f t="shared" si="1"/>
        <v>7.133333333</v>
      </c>
      <c r="L315" s="18">
        <f t="shared" si="2"/>
        <v>0</v>
      </c>
      <c r="M315" s="112">
        <f>C317*Scoring!$B$32+D317/Scoring!$C$32+E317*Scoring!$D$32+F317*Scoring!$E$32+G317/Scoring!$F$32+H317*Scoring!$G$32+I317*Scoring!$H$32+K317*Scoring!$I$32+RB!L317*Scoring!$J$32+U315</f>
        <v>18.04</v>
      </c>
      <c r="N315" s="112">
        <f>C315*Scoring!$B$32+D315/Scoring!$C$32+E315*Scoring!$D$32+F315*Scoring!$E$32+G315/Scoring!$F$32+H315*Scoring!$G$32+I315*Scoring!$H$32+K315*Scoring!$I$32+RB!L315*Scoring!$J$32+U315</f>
        <v>18.04</v>
      </c>
      <c r="O315" s="112">
        <f>C316*Scoring!$B$32+D316/Scoring!$C$32+E316*Scoring!$D$32+F316*Scoring!$E$32+G316/Scoring!$F$32+H316*Scoring!$G$32+I316*Scoring!$H$32+K316*Scoring!$I$32+L316*Scoring!$J$32+U315</f>
        <v>18.04</v>
      </c>
      <c r="P315" s="8">
        <f>IF(COUNTIF(Rookies!$A:$A,A315)&gt;0,1,0)</f>
        <v>0</v>
      </c>
      <c r="Q315" s="8"/>
      <c r="R315" s="8"/>
      <c r="S315" s="8">
        <f>V315/17</f>
        <v>1.061176471</v>
      </c>
      <c r="T315" s="8">
        <f>IF(P315=1,MAX(0,0.258*(14.9-S315)),0)</f>
        <v>0</v>
      </c>
      <c r="U315" s="8">
        <f>T315*17</f>
        <v>0</v>
      </c>
      <c r="V315" s="8">
        <f>C315*Scoring!$B$32+D315/Scoring!$C$32+E315*Scoring!$D$32+F315*Scoring!$E$32+G315/Scoring!$F$32+H315*Scoring!$G$32+I315*Scoring!$H$32+K315*Scoring!$I$32+RB!L315*Scoring!$J$32</f>
        <v>18.04</v>
      </c>
      <c r="W315" s="8"/>
      <c r="X315" s="8"/>
      <c r="Y315" s="8"/>
      <c r="Z315" s="8"/>
    </row>
    <row r="316" ht="14.25" customHeight="1">
      <c r="B316" s="1" t="s">
        <v>39</v>
      </c>
      <c r="C316" s="1">
        <v>30.3</v>
      </c>
      <c r="D316" s="1">
        <v>128.4</v>
      </c>
      <c r="E316" s="1">
        <v>0.9</v>
      </c>
      <c r="F316" s="1">
        <v>0.0</v>
      </c>
      <c r="G316" s="1">
        <v>0.0</v>
      </c>
      <c r="H316" s="1">
        <v>0.0</v>
      </c>
      <c r="I316" s="1">
        <v>0.1</v>
      </c>
      <c r="J316" s="1">
        <v>18.4</v>
      </c>
      <c r="K316" s="18">
        <f t="shared" si="1"/>
        <v>7.133333333</v>
      </c>
      <c r="L316" s="18">
        <f t="shared" si="2"/>
        <v>0</v>
      </c>
      <c r="M316" s="112"/>
      <c r="N316" s="112"/>
      <c r="O316" s="112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B317" s="1" t="s">
        <v>48</v>
      </c>
      <c r="C317" s="1">
        <v>30.3</v>
      </c>
      <c r="D317" s="1">
        <v>128.4</v>
      </c>
      <c r="E317" s="1">
        <v>0.9</v>
      </c>
      <c r="F317" s="1">
        <v>0.0</v>
      </c>
      <c r="G317" s="1">
        <v>0.0</v>
      </c>
      <c r="H317" s="1">
        <v>0.0</v>
      </c>
      <c r="I317" s="1">
        <v>0.1</v>
      </c>
      <c r="J317" s="1">
        <v>18.4</v>
      </c>
      <c r="K317" s="18">
        <f t="shared" si="1"/>
        <v>7.133333333</v>
      </c>
      <c r="L317" s="18">
        <f t="shared" si="2"/>
        <v>0</v>
      </c>
      <c r="M317" s="112"/>
      <c r="N317" s="112"/>
      <c r="O317" s="112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1" t="s">
        <v>636</v>
      </c>
      <c r="B318" s="1" t="s">
        <v>226</v>
      </c>
      <c r="C318" s="1">
        <v>6.6</v>
      </c>
      <c r="D318" s="1">
        <v>13.9</v>
      </c>
      <c r="E318" s="1">
        <v>0.6</v>
      </c>
      <c r="F318" s="1">
        <v>5.1</v>
      </c>
      <c r="G318" s="1">
        <v>33.3</v>
      </c>
      <c r="H318" s="1">
        <v>0.6</v>
      </c>
      <c r="I318" s="1">
        <v>0.0</v>
      </c>
      <c r="J318" s="1">
        <v>16.5</v>
      </c>
      <c r="K318" s="18">
        <f t="shared" si="1"/>
        <v>0.7722222222</v>
      </c>
      <c r="L318" s="18">
        <f t="shared" si="2"/>
        <v>1.574943396</v>
      </c>
      <c r="M318" s="112">
        <f>C320*Scoring!$B$32+D320/Scoring!$C$32+E320*Scoring!$D$32+F320*Scoring!$E$32+G320/Scoring!$F$32+H320*Scoring!$G$32+I320*Scoring!$H$32+K320*Scoring!$I$32+RB!L320*Scoring!$J$32+U318</f>
        <v>7.55</v>
      </c>
      <c r="N318" s="112">
        <f>C318*Scoring!$B$32+D318/Scoring!$C$32+E318*Scoring!$D$32+F318*Scoring!$E$32+G318/Scoring!$F$32+H318*Scoring!$G$32+I318*Scoring!$H$32+K318*Scoring!$I$32+RB!L318*Scoring!$J$32+U318</f>
        <v>14.47</v>
      </c>
      <c r="O318" s="112">
        <f>C319*Scoring!$B$32+D319/Scoring!$C$32+E319*Scoring!$D$32+F319*Scoring!$E$32+G319/Scoring!$F$32+H319*Scoring!$G$32+I319*Scoring!$H$32+K319*Scoring!$I$32+L319*Scoring!$J$32+U318</f>
        <v>20.77</v>
      </c>
      <c r="P318" s="8">
        <f>IF(COUNTIF(Rookies!$A:$A,A318)&gt;0,1,0)</f>
        <v>0</v>
      </c>
      <c r="Q318" s="8"/>
      <c r="R318" s="8"/>
      <c r="S318" s="8">
        <f>V318/17</f>
        <v>0.8511764706</v>
      </c>
      <c r="T318" s="8">
        <f>IF(P318=1,MAX(0,0.258*(14.9-S318)),0)</f>
        <v>0</v>
      </c>
      <c r="U318" s="8">
        <f>T318*17</f>
        <v>0</v>
      </c>
      <c r="V318" s="8">
        <f>C318*Scoring!$B$32+D318/Scoring!$C$32+E318*Scoring!$D$32+F318*Scoring!$E$32+G318/Scoring!$F$32+H318*Scoring!$G$32+I318*Scoring!$H$32+K318*Scoring!$I$32+RB!L318*Scoring!$J$32</f>
        <v>14.47</v>
      </c>
      <c r="W318" s="8"/>
      <c r="X318" s="8"/>
      <c r="Y318" s="8"/>
      <c r="Z318" s="8"/>
    </row>
    <row r="319" ht="14.25" customHeight="1">
      <c r="B319" s="1" t="s">
        <v>39</v>
      </c>
      <c r="C319" s="1">
        <v>9.0</v>
      </c>
      <c r="D319" s="1">
        <v>17.7</v>
      </c>
      <c r="E319" s="1">
        <v>1.0</v>
      </c>
      <c r="F319" s="1">
        <v>6.0</v>
      </c>
      <c r="G319" s="1">
        <v>40.0</v>
      </c>
      <c r="H319" s="1">
        <v>1.0</v>
      </c>
      <c r="I319" s="1">
        <v>0.0</v>
      </c>
      <c r="J319" s="1">
        <v>18.1</v>
      </c>
      <c r="K319" s="18">
        <f t="shared" si="1"/>
        <v>0.9833333333</v>
      </c>
      <c r="L319" s="18">
        <f t="shared" si="2"/>
        <v>1.891823899</v>
      </c>
      <c r="M319" s="112"/>
      <c r="N319" s="112"/>
      <c r="O319" s="112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B320" s="1" t="s">
        <v>48</v>
      </c>
      <c r="C320" s="1">
        <v>4.3</v>
      </c>
      <c r="D320" s="1">
        <v>10.0</v>
      </c>
      <c r="E320" s="1">
        <v>0.1</v>
      </c>
      <c r="F320" s="1">
        <v>4.2</v>
      </c>
      <c r="G320" s="1">
        <v>26.5</v>
      </c>
      <c r="H320" s="1">
        <v>0.2</v>
      </c>
      <c r="I320" s="1">
        <v>0.0</v>
      </c>
      <c r="J320" s="1">
        <v>11.0</v>
      </c>
      <c r="K320" s="18">
        <f t="shared" si="1"/>
        <v>0.5555555556</v>
      </c>
      <c r="L320" s="18">
        <f t="shared" si="2"/>
        <v>1.253333333</v>
      </c>
      <c r="M320" s="112"/>
      <c r="N320" s="112"/>
      <c r="O320" s="112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1" t="s">
        <v>640</v>
      </c>
      <c r="B321" s="1" t="s">
        <v>164</v>
      </c>
      <c r="C321" s="1">
        <v>2.1</v>
      </c>
      <c r="D321" s="1">
        <v>8.6</v>
      </c>
      <c r="E321" s="1">
        <v>0.1</v>
      </c>
      <c r="F321" s="1">
        <v>7.9</v>
      </c>
      <c r="G321" s="1">
        <v>58.7</v>
      </c>
      <c r="H321" s="1">
        <v>0.2</v>
      </c>
      <c r="I321" s="1">
        <v>0.1</v>
      </c>
      <c r="J321" s="1">
        <v>16.4</v>
      </c>
      <c r="K321" s="18">
        <f t="shared" si="1"/>
        <v>0.4777777778</v>
      </c>
      <c r="L321" s="18">
        <f t="shared" si="2"/>
        <v>2.776251572</v>
      </c>
      <c r="M321" s="112">
        <f>C323*Scoring!$B$32+D323/Scoring!$C$32+E323*Scoring!$D$32+F323*Scoring!$E$32+G323/Scoring!$F$32+H323*Scoring!$G$32+I323*Scoring!$H$32+K323*Scoring!$I$32+RB!L323*Scoring!$J$32+U321</f>
        <v>12.28</v>
      </c>
      <c r="N321" s="112">
        <f>C321*Scoring!$B$32+D321/Scoring!$C$32+E321*Scoring!$D$32+F321*Scoring!$E$32+G321/Scoring!$F$32+H321*Scoring!$G$32+I321*Scoring!$H$32+K321*Scoring!$I$32+RB!L321*Scoring!$J$32+U321</f>
        <v>12.28</v>
      </c>
      <c r="O321" s="112">
        <f>C322*Scoring!$B$32+D322/Scoring!$C$32+E322*Scoring!$D$32+F322*Scoring!$E$32+G322/Scoring!$F$32+H322*Scoring!$G$32+I322*Scoring!$H$32+K322*Scoring!$I$32+L322*Scoring!$J$32+U321</f>
        <v>12.28</v>
      </c>
      <c r="P321" s="8">
        <f>IF(COUNTIF(Rookies!$A:$A,A321)&gt;0,1,0)</f>
        <v>0</v>
      </c>
      <c r="Q321" s="8"/>
      <c r="R321" s="8"/>
      <c r="S321" s="8">
        <f>V321/17</f>
        <v>0.7223529412</v>
      </c>
      <c r="T321" s="8">
        <f>IF(P321=1,MAX(0,0.258*(14.9-S321)),0)</f>
        <v>0</v>
      </c>
      <c r="U321" s="8">
        <f>T321*17</f>
        <v>0</v>
      </c>
      <c r="V321" s="8">
        <f>C321*Scoring!$B$32+D321/Scoring!$C$32+E321*Scoring!$D$32+F321*Scoring!$E$32+G321/Scoring!$F$32+H321*Scoring!$G$32+I321*Scoring!$H$32+K321*Scoring!$I$32+RB!L321*Scoring!$J$32</f>
        <v>12.28</v>
      </c>
      <c r="W321" s="8"/>
      <c r="X321" s="8"/>
      <c r="Y321" s="8"/>
      <c r="Z321" s="8"/>
    </row>
    <row r="322" ht="14.25" customHeight="1">
      <c r="B322" s="1" t="s">
        <v>39</v>
      </c>
      <c r="C322" s="1">
        <v>2.1</v>
      </c>
      <c r="D322" s="1">
        <v>8.6</v>
      </c>
      <c r="E322" s="1">
        <v>0.1</v>
      </c>
      <c r="F322" s="1">
        <v>7.9</v>
      </c>
      <c r="G322" s="1">
        <v>58.7</v>
      </c>
      <c r="H322" s="1">
        <v>0.2</v>
      </c>
      <c r="I322" s="1">
        <v>0.1</v>
      </c>
      <c r="J322" s="1">
        <v>16.4</v>
      </c>
      <c r="K322" s="18">
        <f t="shared" si="1"/>
        <v>0.4777777778</v>
      </c>
      <c r="L322" s="18">
        <f t="shared" si="2"/>
        <v>2.776251572</v>
      </c>
      <c r="M322" s="112"/>
      <c r="N322" s="112"/>
      <c r="O322" s="112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B323" s="1" t="s">
        <v>48</v>
      </c>
      <c r="C323" s="1">
        <v>2.1</v>
      </c>
      <c r="D323" s="1">
        <v>8.6</v>
      </c>
      <c r="E323" s="1">
        <v>0.1</v>
      </c>
      <c r="F323" s="1">
        <v>7.9</v>
      </c>
      <c r="G323" s="1">
        <v>58.7</v>
      </c>
      <c r="H323" s="1">
        <v>0.2</v>
      </c>
      <c r="I323" s="1">
        <v>0.1</v>
      </c>
      <c r="J323" s="1">
        <v>16.4</v>
      </c>
      <c r="K323" s="18">
        <f t="shared" si="1"/>
        <v>0.4777777778</v>
      </c>
      <c r="L323" s="18">
        <f t="shared" si="2"/>
        <v>2.776251572</v>
      </c>
      <c r="M323" s="112"/>
      <c r="N323" s="112"/>
      <c r="O323" s="112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1" t="s">
        <v>643</v>
      </c>
      <c r="B324" s="1" t="s">
        <v>140</v>
      </c>
      <c r="C324" s="1">
        <v>16.5</v>
      </c>
      <c r="D324" s="1">
        <v>80.0</v>
      </c>
      <c r="E324" s="1">
        <v>0.5</v>
      </c>
      <c r="F324" s="1">
        <v>2.0</v>
      </c>
      <c r="G324" s="1">
        <v>18.5</v>
      </c>
      <c r="H324" s="1">
        <v>0.0</v>
      </c>
      <c r="I324" s="1">
        <v>0.0</v>
      </c>
      <c r="J324" s="1">
        <v>14.9</v>
      </c>
      <c r="K324" s="18">
        <f t="shared" si="1"/>
        <v>4.444444444</v>
      </c>
      <c r="L324" s="18">
        <f t="shared" si="2"/>
        <v>0.8749685535</v>
      </c>
      <c r="M324" s="112">
        <f>C326*Scoring!$B$32+D326/Scoring!$C$32+E326*Scoring!$D$32+F326*Scoring!$E$32+G326/Scoring!$F$32+H326*Scoring!$G$32+I326*Scoring!$H$32+K326*Scoring!$I$32+RB!L326*Scoring!$J$32+U324</f>
        <v>0</v>
      </c>
      <c r="N324" s="112">
        <f>C324*Scoring!$B$32+D324/Scoring!$C$32+E324*Scoring!$D$32+F324*Scoring!$E$32+G324/Scoring!$F$32+H324*Scoring!$G$32+I324*Scoring!$H$32+K324*Scoring!$I$32+RB!L324*Scoring!$J$32+U324</f>
        <v>13.85</v>
      </c>
      <c r="O324" s="112">
        <f>C325*Scoring!$B$32+D325/Scoring!$C$32+E325*Scoring!$D$32+F325*Scoring!$E$32+G325/Scoring!$F$32+H325*Scoring!$G$32+I325*Scoring!$H$32+K325*Scoring!$I$32+L325*Scoring!$J$32+U324</f>
        <v>27.7</v>
      </c>
      <c r="P324" s="8">
        <f>IF(COUNTIF(Rookies!$A:$A,A324)&gt;0,1,0)</f>
        <v>0</v>
      </c>
      <c r="Q324" s="8"/>
      <c r="R324" s="8"/>
      <c r="S324" s="8">
        <f>V324/17</f>
        <v>0.8147058824</v>
      </c>
      <c r="T324" s="8">
        <f>IF(P324=1,MAX(0,0.258*(14.9-S324)),0)</f>
        <v>0</v>
      </c>
      <c r="U324" s="8">
        <f>T324*17</f>
        <v>0</v>
      </c>
      <c r="V324" s="8">
        <f>C324*Scoring!$B$32+D324/Scoring!$C$32+E324*Scoring!$D$32+F324*Scoring!$E$32+G324/Scoring!$F$32+H324*Scoring!$G$32+I324*Scoring!$H$32+K324*Scoring!$I$32+RB!L324*Scoring!$J$32</f>
        <v>13.85</v>
      </c>
      <c r="W324" s="8"/>
      <c r="X324" s="8"/>
      <c r="Y324" s="8"/>
      <c r="Z324" s="8"/>
    </row>
    <row r="325" ht="14.25" customHeight="1">
      <c r="B325" s="1" t="s">
        <v>39</v>
      </c>
      <c r="C325" s="1">
        <v>33.0</v>
      </c>
      <c r="D325" s="1">
        <v>160.0</v>
      </c>
      <c r="E325" s="1">
        <v>1.0</v>
      </c>
      <c r="F325" s="1">
        <v>4.0</v>
      </c>
      <c r="G325" s="1">
        <v>37.0</v>
      </c>
      <c r="H325" s="1">
        <v>0.0</v>
      </c>
      <c r="I325" s="1">
        <v>0.0</v>
      </c>
      <c r="J325" s="1">
        <v>16.0</v>
      </c>
      <c r="K325" s="18">
        <f t="shared" si="1"/>
        <v>8.888888889</v>
      </c>
      <c r="L325" s="18">
        <f t="shared" si="2"/>
        <v>1.749937107</v>
      </c>
      <c r="M325" s="112"/>
      <c r="N325" s="112"/>
      <c r="O325" s="112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B326" s="1" t="s">
        <v>48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3.1</v>
      </c>
      <c r="K326" s="18">
        <f t="shared" si="1"/>
        <v>0</v>
      </c>
      <c r="L326" s="18">
        <f t="shared" si="2"/>
        <v>0</v>
      </c>
      <c r="M326" s="112"/>
      <c r="N326" s="112"/>
      <c r="O326" s="112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1" t="s">
        <v>646</v>
      </c>
      <c r="B327" s="1" t="s">
        <v>210</v>
      </c>
      <c r="C327" s="1">
        <v>0.5</v>
      </c>
      <c r="D327" s="1">
        <v>4.0</v>
      </c>
      <c r="E327" s="1">
        <v>0.0</v>
      </c>
      <c r="F327" s="1">
        <v>4.6</v>
      </c>
      <c r="G327" s="1">
        <v>31.8</v>
      </c>
      <c r="H327" s="1">
        <v>1.1</v>
      </c>
      <c r="I327" s="1">
        <v>0.0</v>
      </c>
      <c r="J327" s="1">
        <v>14.8</v>
      </c>
      <c r="K327" s="18">
        <f t="shared" si="1"/>
        <v>0.2222222222</v>
      </c>
      <c r="L327" s="18">
        <f t="shared" si="2"/>
        <v>1.504</v>
      </c>
      <c r="M327" s="112">
        <f>C329*Scoring!$B$32+D329/Scoring!$C$32+E329*Scoring!$D$32+F329*Scoring!$E$32+G329/Scoring!$F$32+H329*Scoring!$G$32+I329*Scoring!$H$32+K329*Scoring!$I$32+RB!L329*Scoring!$J$32+U327</f>
        <v>6.16</v>
      </c>
      <c r="N327" s="112">
        <f>C327*Scoring!$B$32+D327/Scoring!$C$32+E327*Scoring!$D$32+F327*Scoring!$E$32+G327/Scoring!$F$32+H327*Scoring!$G$32+I327*Scoring!$H$32+K327*Scoring!$I$32+RB!L327*Scoring!$J$32+U327</f>
        <v>12.48</v>
      </c>
      <c r="O327" s="112">
        <f>C328*Scoring!$B$32+D328/Scoring!$C$32+E328*Scoring!$D$32+F328*Scoring!$E$32+G328/Scoring!$F$32+H328*Scoring!$G$32+I328*Scoring!$H$32+K328*Scoring!$I$32+L328*Scoring!$J$32+U327</f>
        <v>18.8</v>
      </c>
      <c r="P327" s="8">
        <f>IF(COUNTIF(Rookies!$A:$A,A327)&gt;0,1,0)</f>
        <v>0</v>
      </c>
      <c r="Q327" s="8"/>
      <c r="R327" s="8"/>
      <c r="S327" s="8">
        <f>V327/17</f>
        <v>0.7341176471</v>
      </c>
      <c r="T327" s="8">
        <f>IF(P327=1,MAX(0,0.258*(14.9-S327)),0)</f>
        <v>0</v>
      </c>
      <c r="U327" s="8">
        <f>T327*17</f>
        <v>0</v>
      </c>
      <c r="V327" s="8">
        <f>C327*Scoring!$B$32+D327/Scoring!$C$32+E327*Scoring!$D$32+F327*Scoring!$E$32+G327/Scoring!$F$32+H327*Scoring!$G$32+I327*Scoring!$H$32+K327*Scoring!$I$32+RB!L327*Scoring!$J$32</f>
        <v>12.48</v>
      </c>
      <c r="W327" s="8"/>
      <c r="X327" s="8"/>
      <c r="Y327" s="8"/>
      <c r="Z327" s="8"/>
    </row>
    <row r="328" ht="14.25" customHeight="1">
      <c r="B328" s="1" t="s">
        <v>39</v>
      </c>
      <c r="C328" s="1">
        <v>1.0</v>
      </c>
      <c r="D328" s="1">
        <v>8.0</v>
      </c>
      <c r="E328" s="1">
        <v>0.0</v>
      </c>
      <c r="F328" s="1">
        <v>5.0</v>
      </c>
      <c r="G328" s="1">
        <v>35.0</v>
      </c>
      <c r="H328" s="1">
        <v>2.0</v>
      </c>
      <c r="I328" s="1">
        <v>0.0</v>
      </c>
      <c r="J328" s="1">
        <v>17.6</v>
      </c>
      <c r="K328" s="18">
        <f t="shared" si="1"/>
        <v>0.4444444444</v>
      </c>
      <c r="L328" s="18">
        <f t="shared" si="2"/>
        <v>1.655345912</v>
      </c>
      <c r="M328" s="112"/>
      <c r="N328" s="112"/>
      <c r="O328" s="112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B329" s="1" t="s">
        <v>48</v>
      </c>
      <c r="C329" s="1">
        <v>0.0</v>
      </c>
      <c r="D329" s="1">
        <v>0.0</v>
      </c>
      <c r="E329" s="1">
        <v>0.0</v>
      </c>
      <c r="F329" s="1">
        <v>4.2</v>
      </c>
      <c r="G329" s="1">
        <v>28.6</v>
      </c>
      <c r="H329" s="1">
        <v>0.2</v>
      </c>
      <c r="I329" s="1">
        <v>0.0</v>
      </c>
      <c r="J329" s="1">
        <v>8.8</v>
      </c>
      <c r="K329" s="18">
        <f t="shared" si="1"/>
        <v>0</v>
      </c>
      <c r="L329" s="18">
        <f t="shared" si="2"/>
        <v>1.352654088</v>
      </c>
      <c r="M329" s="112"/>
      <c r="N329" s="112"/>
      <c r="O329" s="112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1" t="s">
        <v>650</v>
      </c>
      <c r="B330" s="1" t="s">
        <v>208</v>
      </c>
      <c r="C330" s="1">
        <v>12.3</v>
      </c>
      <c r="D330" s="1">
        <v>52.4</v>
      </c>
      <c r="E330" s="1">
        <v>0.3</v>
      </c>
      <c r="F330" s="1">
        <v>4.1</v>
      </c>
      <c r="G330" s="1">
        <v>29.3</v>
      </c>
      <c r="H330" s="1">
        <v>0.1</v>
      </c>
      <c r="I330" s="1">
        <v>0.1</v>
      </c>
      <c r="J330" s="1">
        <v>14.8</v>
      </c>
      <c r="K330" s="18">
        <f t="shared" si="1"/>
        <v>2.911111111</v>
      </c>
      <c r="L330" s="18">
        <f t="shared" si="2"/>
        <v>1.385761006</v>
      </c>
      <c r="M330" s="112">
        <f>C332*Scoring!$B$32+D332/Scoring!$C$32+E332*Scoring!$D$32+F332*Scoring!$E$32+G332/Scoring!$F$32+H332*Scoring!$G$32+I332*Scoring!$H$32+K332*Scoring!$I$32+RB!L332*Scoring!$J$32+U330</f>
        <v>12.42</v>
      </c>
      <c r="N330" s="112">
        <f>C330*Scoring!$B$32+D330/Scoring!$C$32+E330*Scoring!$D$32+F330*Scoring!$E$32+G330/Scoring!$F$32+H330*Scoring!$G$32+I330*Scoring!$H$32+K330*Scoring!$I$32+RB!L330*Scoring!$J$32+U330</f>
        <v>12.42</v>
      </c>
      <c r="O330" s="112">
        <f>C331*Scoring!$B$32+D331/Scoring!$C$32+E331*Scoring!$D$32+F331*Scoring!$E$32+G331/Scoring!$F$32+H331*Scoring!$G$32+I331*Scoring!$H$32+K331*Scoring!$I$32+L331*Scoring!$J$32+U330</f>
        <v>12.42</v>
      </c>
      <c r="P330" s="8">
        <f>IF(COUNTIF(Rookies!$A:$A,A330)&gt;0,1,0)</f>
        <v>0</v>
      </c>
      <c r="Q330" s="8"/>
      <c r="R330" s="8"/>
      <c r="S330" s="8">
        <f>V330/17</f>
        <v>0.7305882353</v>
      </c>
      <c r="T330" s="8">
        <f>IF(P330=1,MAX(0,0.258*(14.9-S330)),0)</f>
        <v>0</v>
      </c>
      <c r="U330" s="8">
        <f>T330*17</f>
        <v>0</v>
      </c>
      <c r="V330" s="8">
        <f>C330*Scoring!$B$32+D330/Scoring!$C$32+E330*Scoring!$D$32+F330*Scoring!$E$32+G330/Scoring!$F$32+H330*Scoring!$G$32+I330*Scoring!$H$32+K330*Scoring!$I$32+RB!L330*Scoring!$J$32</f>
        <v>12.42</v>
      </c>
      <c r="W330" s="8"/>
      <c r="X330" s="8"/>
      <c r="Y330" s="8"/>
      <c r="Z330" s="8"/>
    </row>
    <row r="331" ht="14.25" customHeight="1">
      <c r="B331" s="1" t="s">
        <v>39</v>
      </c>
      <c r="C331" s="1">
        <v>12.3</v>
      </c>
      <c r="D331" s="1">
        <v>52.4</v>
      </c>
      <c r="E331" s="1">
        <v>0.3</v>
      </c>
      <c r="F331" s="1">
        <v>4.1</v>
      </c>
      <c r="G331" s="1">
        <v>29.3</v>
      </c>
      <c r="H331" s="1">
        <v>0.1</v>
      </c>
      <c r="I331" s="1">
        <v>0.1</v>
      </c>
      <c r="J331" s="1">
        <v>16.7</v>
      </c>
      <c r="K331" s="18">
        <f t="shared" si="1"/>
        <v>2.911111111</v>
      </c>
      <c r="L331" s="18">
        <f t="shared" si="2"/>
        <v>1.385761006</v>
      </c>
      <c r="M331" s="112"/>
      <c r="N331" s="112"/>
      <c r="O331" s="112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B332" s="1" t="s">
        <v>48</v>
      </c>
      <c r="C332" s="1">
        <v>12.3</v>
      </c>
      <c r="D332" s="1">
        <v>52.4</v>
      </c>
      <c r="E332" s="1">
        <v>0.3</v>
      </c>
      <c r="F332" s="1">
        <v>4.1</v>
      </c>
      <c r="G332" s="1">
        <v>29.3</v>
      </c>
      <c r="H332" s="1">
        <v>0.1</v>
      </c>
      <c r="I332" s="1">
        <v>0.1</v>
      </c>
      <c r="J332" s="1">
        <v>16.7</v>
      </c>
      <c r="K332" s="18">
        <f t="shared" si="1"/>
        <v>2.911111111</v>
      </c>
      <c r="L332" s="18">
        <f t="shared" si="2"/>
        <v>1.385761006</v>
      </c>
      <c r="M332" s="112"/>
      <c r="N332" s="112"/>
      <c r="O332" s="112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1" t="s">
        <v>653</v>
      </c>
      <c r="B333" s="1" t="s">
        <v>170</v>
      </c>
      <c r="C333" s="1">
        <v>4.1</v>
      </c>
      <c r="D333" s="1">
        <v>17.4</v>
      </c>
      <c r="E333" s="1">
        <v>0.1</v>
      </c>
      <c r="F333" s="1">
        <v>4.1</v>
      </c>
      <c r="G333" s="1">
        <v>29.9</v>
      </c>
      <c r="H333" s="1">
        <v>0.2</v>
      </c>
      <c r="I333" s="1">
        <v>0.0</v>
      </c>
      <c r="J333" s="1">
        <v>10.5</v>
      </c>
      <c r="K333" s="18">
        <f t="shared" si="1"/>
        <v>0.9666666667</v>
      </c>
      <c r="L333" s="18">
        <f t="shared" si="2"/>
        <v>1.414138365</v>
      </c>
      <c r="M333" s="112">
        <f>C335*Scoring!$B$32+D335/Scoring!$C$32+E335*Scoring!$D$32+F335*Scoring!$E$32+G335/Scoring!$F$32+H335*Scoring!$G$32+I335*Scoring!$H$32+K335*Scoring!$I$32+RB!L335*Scoring!$J$32+U333</f>
        <v>8.58</v>
      </c>
      <c r="N333" s="112">
        <f>C333*Scoring!$B$32+D333/Scoring!$C$32+E333*Scoring!$D$32+F333*Scoring!$E$32+G333/Scoring!$F$32+H333*Scoring!$G$32+I333*Scoring!$H$32+K333*Scoring!$I$32+RB!L333*Scoring!$J$32+U333</f>
        <v>8.58</v>
      </c>
      <c r="O333" s="112">
        <f>C334*Scoring!$B$32+D334/Scoring!$C$32+E334*Scoring!$D$32+F334*Scoring!$E$32+G334/Scoring!$F$32+H334*Scoring!$G$32+I334*Scoring!$H$32+K334*Scoring!$I$32+L334*Scoring!$J$32+U333</f>
        <v>8.58</v>
      </c>
      <c r="P333" s="8">
        <f>IF(COUNTIF(Rookies!$A:$A,A333)&gt;0,1,0)</f>
        <v>0</v>
      </c>
      <c r="Q333" s="8"/>
      <c r="R333" s="8"/>
      <c r="S333" s="8">
        <f>V333/17</f>
        <v>0.5047058824</v>
      </c>
      <c r="T333" s="8">
        <f>IF(P333=1,MAX(0,0.258*(14.9-S333)),0)</f>
        <v>0</v>
      </c>
      <c r="U333" s="8">
        <f>T333*17</f>
        <v>0</v>
      </c>
      <c r="V333" s="8">
        <f>C333*Scoring!$B$32+D333/Scoring!$C$32+E333*Scoring!$D$32+F333*Scoring!$E$32+G333/Scoring!$F$32+H333*Scoring!$G$32+I333*Scoring!$H$32+K333*Scoring!$I$32+RB!L333*Scoring!$J$32</f>
        <v>8.58</v>
      </c>
      <c r="W333" s="8"/>
      <c r="X333" s="8"/>
      <c r="Y333" s="8"/>
      <c r="Z333" s="8"/>
    </row>
    <row r="334" ht="14.25" customHeight="1">
      <c r="B334" s="1" t="s">
        <v>39</v>
      </c>
      <c r="C334" s="1">
        <v>4.1</v>
      </c>
      <c r="D334" s="1">
        <v>17.4</v>
      </c>
      <c r="E334" s="1">
        <v>0.1</v>
      </c>
      <c r="F334" s="1">
        <v>4.1</v>
      </c>
      <c r="G334" s="1">
        <v>29.9</v>
      </c>
      <c r="H334" s="1">
        <v>0.2</v>
      </c>
      <c r="I334" s="1">
        <v>0.0</v>
      </c>
      <c r="J334" s="1">
        <v>10.5</v>
      </c>
      <c r="K334" s="18">
        <f t="shared" si="1"/>
        <v>0.9666666667</v>
      </c>
      <c r="L334" s="18">
        <f t="shared" si="2"/>
        <v>1.414138365</v>
      </c>
      <c r="M334" s="112"/>
      <c r="N334" s="112"/>
      <c r="O334" s="112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B335" s="1" t="s">
        <v>48</v>
      </c>
      <c r="C335" s="1">
        <v>4.1</v>
      </c>
      <c r="D335" s="1">
        <v>17.4</v>
      </c>
      <c r="E335" s="1">
        <v>0.1</v>
      </c>
      <c r="F335" s="1">
        <v>4.1</v>
      </c>
      <c r="G335" s="1">
        <v>29.9</v>
      </c>
      <c r="H335" s="1">
        <v>0.2</v>
      </c>
      <c r="I335" s="1">
        <v>0.0</v>
      </c>
      <c r="J335" s="1">
        <v>10.5</v>
      </c>
      <c r="K335" s="18">
        <f t="shared" si="1"/>
        <v>0.9666666667</v>
      </c>
      <c r="L335" s="18">
        <f t="shared" si="2"/>
        <v>1.414138365</v>
      </c>
      <c r="M335" s="112"/>
      <c r="N335" s="112"/>
      <c r="O335" s="112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1" t="s">
        <v>657</v>
      </c>
      <c r="B336" s="1" t="s">
        <v>222</v>
      </c>
      <c r="C336" s="1">
        <v>4.2</v>
      </c>
      <c r="D336" s="1">
        <v>17.4</v>
      </c>
      <c r="E336" s="1">
        <v>0.1</v>
      </c>
      <c r="F336" s="1">
        <v>4.0</v>
      </c>
      <c r="G336" s="1">
        <v>29.0</v>
      </c>
      <c r="H336" s="1">
        <v>0.2</v>
      </c>
      <c r="I336" s="1">
        <v>0.0</v>
      </c>
      <c r="J336" s="1">
        <v>10.2</v>
      </c>
      <c r="K336" s="18">
        <f t="shared" si="1"/>
        <v>0.9666666667</v>
      </c>
      <c r="L336" s="18">
        <f t="shared" si="2"/>
        <v>1.371572327</v>
      </c>
      <c r="M336" s="112">
        <f>C338*Scoring!$B$32+D338/Scoring!$C$32+E338*Scoring!$D$32+F338*Scoring!$E$32+G338/Scoring!$F$32+H338*Scoring!$G$32+I338*Scoring!$H$32+K338*Scoring!$I$32+RB!L338*Scoring!$J$32+U336</f>
        <v>8.44</v>
      </c>
      <c r="N336" s="112">
        <f>C336*Scoring!$B$32+D336/Scoring!$C$32+E336*Scoring!$D$32+F336*Scoring!$E$32+G336/Scoring!$F$32+H336*Scoring!$G$32+I336*Scoring!$H$32+K336*Scoring!$I$32+RB!L336*Scoring!$J$32+U336</f>
        <v>8.44</v>
      </c>
      <c r="O336" s="112">
        <f>C337*Scoring!$B$32+D337/Scoring!$C$32+E337*Scoring!$D$32+F337*Scoring!$E$32+G337/Scoring!$F$32+H337*Scoring!$G$32+I337*Scoring!$H$32+K337*Scoring!$I$32+L337*Scoring!$J$32+U336</f>
        <v>8.44</v>
      </c>
      <c r="P336" s="8">
        <f>IF(COUNTIF(Rookies!$A:$A,A336)&gt;0,1,0)</f>
        <v>0</v>
      </c>
      <c r="Q336" s="8"/>
      <c r="R336" s="8"/>
      <c r="S336" s="8">
        <f>V336/17</f>
        <v>0.4964705882</v>
      </c>
      <c r="T336" s="8">
        <f>IF(P336=1,MAX(0,0.258*(14.9-S336)),0)</f>
        <v>0</v>
      </c>
      <c r="U336" s="8">
        <f>T336*17</f>
        <v>0</v>
      </c>
      <c r="V336" s="8">
        <f>C336*Scoring!$B$32+D336/Scoring!$C$32+E336*Scoring!$D$32+F336*Scoring!$E$32+G336/Scoring!$F$32+H336*Scoring!$G$32+I336*Scoring!$H$32+K336*Scoring!$I$32+RB!L336*Scoring!$J$32</f>
        <v>8.44</v>
      </c>
      <c r="W336" s="8"/>
      <c r="X336" s="8"/>
      <c r="Y336" s="8"/>
      <c r="Z336" s="8"/>
    </row>
    <row r="337" ht="14.25" customHeight="1">
      <c r="B337" s="1" t="s">
        <v>39</v>
      </c>
      <c r="C337" s="1">
        <v>4.2</v>
      </c>
      <c r="D337" s="1">
        <v>17.4</v>
      </c>
      <c r="E337" s="1">
        <v>0.1</v>
      </c>
      <c r="F337" s="1">
        <v>4.0</v>
      </c>
      <c r="G337" s="1">
        <v>29.0</v>
      </c>
      <c r="H337" s="1">
        <v>0.2</v>
      </c>
      <c r="I337" s="1">
        <v>0.0</v>
      </c>
      <c r="J337" s="1">
        <v>10.3</v>
      </c>
      <c r="K337" s="18">
        <f t="shared" si="1"/>
        <v>0.9666666667</v>
      </c>
      <c r="L337" s="18">
        <f t="shared" si="2"/>
        <v>1.371572327</v>
      </c>
      <c r="M337" s="112"/>
      <c r="N337" s="112"/>
      <c r="O337" s="112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B338" s="1" t="s">
        <v>48</v>
      </c>
      <c r="C338" s="1">
        <v>4.2</v>
      </c>
      <c r="D338" s="1">
        <v>17.4</v>
      </c>
      <c r="E338" s="1">
        <v>0.1</v>
      </c>
      <c r="F338" s="1">
        <v>4.0</v>
      </c>
      <c r="G338" s="1">
        <v>29.0</v>
      </c>
      <c r="H338" s="1">
        <v>0.2</v>
      </c>
      <c r="I338" s="1">
        <v>0.0</v>
      </c>
      <c r="J338" s="1">
        <v>10.3</v>
      </c>
      <c r="K338" s="18">
        <f t="shared" si="1"/>
        <v>0.9666666667</v>
      </c>
      <c r="L338" s="18">
        <f t="shared" si="2"/>
        <v>1.371572327</v>
      </c>
      <c r="M338" s="112"/>
      <c r="N338" s="112"/>
      <c r="O338" s="112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1" t="s">
        <v>661</v>
      </c>
      <c r="B339" s="1" t="s">
        <v>189</v>
      </c>
      <c r="C339" s="1">
        <v>2.0</v>
      </c>
      <c r="D339" s="1">
        <v>8.5</v>
      </c>
      <c r="E339" s="1">
        <v>0.1</v>
      </c>
      <c r="F339" s="1">
        <v>4.5</v>
      </c>
      <c r="G339" s="1">
        <v>29.4</v>
      </c>
      <c r="H339" s="1">
        <v>0.2</v>
      </c>
      <c r="I339" s="1">
        <v>0.0</v>
      </c>
      <c r="J339" s="1">
        <v>9.6</v>
      </c>
      <c r="K339" s="18">
        <f t="shared" si="1"/>
        <v>0.4722222222</v>
      </c>
      <c r="L339" s="18">
        <f t="shared" si="2"/>
        <v>1.390490566</v>
      </c>
      <c r="M339" s="112">
        <f>C341*Scoring!$B$32+D341/Scoring!$C$32+E341*Scoring!$D$32+F341*Scoring!$E$32+G341/Scoring!$F$32+H341*Scoring!$G$32+I341*Scoring!$H$32+K341*Scoring!$I$32+RB!L341*Scoring!$J$32+U339</f>
        <v>71.16868</v>
      </c>
      <c r="N339" s="112">
        <f>C339*Scoring!$B$32+D339/Scoring!$C$32+E339*Scoring!$D$32+F339*Scoring!$E$32+G339/Scoring!$F$32+H339*Scoring!$G$32+I339*Scoring!$H$32+K339*Scoring!$I$32+RB!L339*Scoring!$J$32+U339</f>
        <v>71.16868</v>
      </c>
      <c r="O339" s="112">
        <f>C340*Scoring!$B$32+D340/Scoring!$C$32+E340*Scoring!$D$32+F340*Scoring!$E$32+G340/Scoring!$F$32+H340*Scoring!$G$32+I340*Scoring!$H$32+K340*Scoring!$I$32+L340*Scoring!$J$32+U339</f>
        <v>71.16868</v>
      </c>
      <c r="P339" s="8">
        <f>IF(COUNTIF(Rookies!$A:$A,A339)&gt;0,1,0)</f>
        <v>1</v>
      </c>
      <c r="Q339" s="8"/>
      <c r="R339" s="8"/>
      <c r="S339" s="8">
        <f>V339/17</f>
        <v>0.4611764706</v>
      </c>
      <c r="T339" s="8">
        <f>IF(P339=1,MAX(0,0.258*(14.9-S339)),0)</f>
        <v>3.725216471</v>
      </c>
      <c r="U339" s="8">
        <f>T339*17</f>
        <v>63.32868</v>
      </c>
      <c r="V339" s="8">
        <f>C339*Scoring!$B$32+D339/Scoring!$C$32+E339*Scoring!$D$32+F339*Scoring!$E$32+G339/Scoring!$F$32+H339*Scoring!$G$32+I339*Scoring!$H$32+K339*Scoring!$I$32+RB!L339*Scoring!$J$32</f>
        <v>7.84</v>
      </c>
      <c r="W339" s="8"/>
      <c r="X339" s="8"/>
      <c r="Y339" s="8"/>
      <c r="Z339" s="8"/>
    </row>
    <row r="340" ht="14.25" customHeight="1">
      <c r="B340" s="1" t="s">
        <v>39</v>
      </c>
      <c r="C340" s="1">
        <v>2.0</v>
      </c>
      <c r="D340" s="1">
        <v>8.5</v>
      </c>
      <c r="E340" s="1">
        <v>0.1</v>
      </c>
      <c r="F340" s="1">
        <v>4.5</v>
      </c>
      <c r="G340" s="1">
        <v>29.4</v>
      </c>
      <c r="H340" s="1">
        <v>0.2</v>
      </c>
      <c r="I340" s="1">
        <v>0.0</v>
      </c>
      <c r="J340" s="1">
        <v>9.6</v>
      </c>
      <c r="K340" s="18">
        <f t="shared" si="1"/>
        <v>0.4722222222</v>
      </c>
      <c r="L340" s="18">
        <f t="shared" si="2"/>
        <v>1.390490566</v>
      </c>
      <c r="M340" s="112"/>
      <c r="N340" s="112"/>
      <c r="O340" s="112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B341" s="1" t="s">
        <v>48</v>
      </c>
      <c r="C341" s="1">
        <v>2.0</v>
      </c>
      <c r="D341" s="1">
        <v>8.5</v>
      </c>
      <c r="E341" s="1">
        <v>0.1</v>
      </c>
      <c r="F341" s="1">
        <v>4.5</v>
      </c>
      <c r="G341" s="1">
        <v>29.4</v>
      </c>
      <c r="H341" s="1">
        <v>0.2</v>
      </c>
      <c r="I341" s="1">
        <v>0.0</v>
      </c>
      <c r="J341" s="1">
        <v>9.6</v>
      </c>
      <c r="K341" s="18">
        <f t="shared" si="1"/>
        <v>0.4722222222</v>
      </c>
      <c r="L341" s="18">
        <f t="shared" si="2"/>
        <v>1.390490566</v>
      </c>
      <c r="M341" s="112"/>
      <c r="N341" s="112"/>
      <c r="O341" s="112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1" t="s">
        <v>664</v>
      </c>
      <c r="B342" s="1" t="s">
        <v>220</v>
      </c>
      <c r="C342" s="1">
        <v>0.0</v>
      </c>
      <c r="D342" s="1">
        <v>0.0</v>
      </c>
      <c r="E342" s="1">
        <v>0.0</v>
      </c>
      <c r="F342" s="1">
        <v>4.3</v>
      </c>
      <c r="G342" s="1">
        <v>29.2</v>
      </c>
      <c r="H342" s="1">
        <v>0.2</v>
      </c>
      <c r="I342" s="1">
        <v>0.0</v>
      </c>
      <c r="J342" s="1">
        <v>8.1</v>
      </c>
      <c r="K342" s="18">
        <f t="shared" si="1"/>
        <v>0</v>
      </c>
      <c r="L342" s="18">
        <f t="shared" si="2"/>
        <v>1.381031447</v>
      </c>
      <c r="M342" s="112">
        <f>C344*Scoring!$B$32+D344/Scoring!$C$32+E344*Scoring!$D$32+F344*Scoring!$E$32+G344/Scoring!$F$32+H344*Scoring!$G$32+I344*Scoring!$H$32+K344*Scoring!$I$32+RB!L344*Scoring!$J$32+U342</f>
        <v>70.00374</v>
      </c>
      <c r="N342" s="112">
        <f>C342*Scoring!$B$32+D342/Scoring!$C$32+E342*Scoring!$D$32+F342*Scoring!$E$32+G342/Scoring!$F$32+H342*Scoring!$G$32+I342*Scoring!$H$32+K342*Scoring!$I$32+RB!L342*Scoring!$J$32+U342</f>
        <v>70.00374</v>
      </c>
      <c r="O342" s="112">
        <f>C343*Scoring!$B$32+D343/Scoring!$C$32+E343*Scoring!$D$32+F343*Scoring!$E$32+G343/Scoring!$F$32+H343*Scoring!$G$32+I343*Scoring!$H$32+K343*Scoring!$I$32+L343*Scoring!$J$32+U342</f>
        <v>70.00374</v>
      </c>
      <c r="P342" s="8">
        <f>IF(COUNTIF(Rookies!$A:$A,A342)&gt;0,1,0)</f>
        <v>1</v>
      </c>
      <c r="Q342" s="8"/>
      <c r="R342" s="8"/>
      <c r="S342" s="8">
        <f>V342/17</f>
        <v>0.3688235294</v>
      </c>
      <c r="T342" s="8">
        <f>IF(P342=1,MAX(0,0.258*(14.9-S342)),0)</f>
        <v>3.749043529</v>
      </c>
      <c r="U342" s="8">
        <f>T342*17</f>
        <v>63.73374</v>
      </c>
      <c r="V342" s="8">
        <f>C342*Scoring!$B$32+D342/Scoring!$C$32+E342*Scoring!$D$32+F342*Scoring!$E$32+G342/Scoring!$F$32+H342*Scoring!$G$32+I342*Scoring!$H$32+K342*Scoring!$I$32+RB!L342*Scoring!$J$32</f>
        <v>6.27</v>
      </c>
      <c r="W342" s="8"/>
      <c r="X342" s="8"/>
      <c r="Y342" s="8"/>
      <c r="Z342" s="8"/>
    </row>
    <row r="343" ht="14.25" customHeight="1">
      <c r="B343" s="1" t="s">
        <v>39</v>
      </c>
      <c r="C343" s="1">
        <v>0.0</v>
      </c>
      <c r="D343" s="1">
        <v>0.0</v>
      </c>
      <c r="E343" s="1">
        <v>0.0</v>
      </c>
      <c r="F343" s="1">
        <v>4.3</v>
      </c>
      <c r="G343" s="1">
        <v>29.2</v>
      </c>
      <c r="H343" s="1">
        <v>0.2</v>
      </c>
      <c r="I343" s="1">
        <v>0.0</v>
      </c>
      <c r="J343" s="1">
        <v>8.1</v>
      </c>
      <c r="K343" s="18">
        <f t="shared" si="1"/>
        <v>0</v>
      </c>
      <c r="L343" s="18">
        <f t="shared" si="2"/>
        <v>1.381031447</v>
      </c>
      <c r="M343" s="112"/>
      <c r="N343" s="112"/>
      <c r="O343" s="112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B344" s="1" t="s">
        <v>48</v>
      </c>
      <c r="C344" s="1">
        <v>0.0</v>
      </c>
      <c r="D344" s="1">
        <v>0.0</v>
      </c>
      <c r="E344" s="1">
        <v>0.0</v>
      </c>
      <c r="F344" s="1">
        <v>4.3</v>
      </c>
      <c r="G344" s="1">
        <v>29.2</v>
      </c>
      <c r="H344" s="1">
        <v>0.2</v>
      </c>
      <c r="I344" s="1">
        <v>0.0</v>
      </c>
      <c r="J344" s="1">
        <v>8.1</v>
      </c>
      <c r="K344" s="18">
        <f t="shared" si="1"/>
        <v>0</v>
      </c>
      <c r="L344" s="18">
        <f t="shared" si="2"/>
        <v>1.381031447</v>
      </c>
      <c r="M344" s="112"/>
      <c r="N344" s="112"/>
      <c r="O344" s="112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1" t="s">
        <v>667</v>
      </c>
      <c r="B345" s="1" t="s">
        <v>94</v>
      </c>
      <c r="C345" s="1">
        <v>0.0</v>
      </c>
      <c r="D345" s="1">
        <v>0.0</v>
      </c>
      <c r="E345" s="1">
        <v>0.0</v>
      </c>
      <c r="F345" s="1">
        <v>4.1</v>
      </c>
      <c r="G345" s="1">
        <v>29.8</v>
      </c>
      <c r="H345" s="1">
        <v>0.2</v>
      </c>
      <c r="I345" s="1">
        <v>0.0</v>
      </c>
      <c r="J345" s="1">
        <v>7.9</v>
      </c>
      <c r="K345" s="18">
        <f t="shared" si="1"/>
        <v>0</v>
      </c>
      <c r="L345" s="18">
        <f t="shared" si="2"/>
        <v>1.409408805</v>
      </c>
      <c r="M345" s="112">
        <f>C347*Scoring!$B$32+D347/Scoring!$C$32+E347*Scoring!$D$32+F347*Scoring!$E$32+G347/Scoring!$F$32+H347*Scoring!$G$32+I347*Scoring!$H$32+K347*Scoring!$I$32+RB!L347*Scoring!$J$32+U345</f>
        <v>6.23</v>
      </c>
      <c r="N345" s="112">
        <f>C345*Scoring!$B$32+D345/Scoring!$C$32+E345*Scoring!$D$32+F345*Scoring!$E$32+G345/Scoring!$F$32+H345*Scoring!$G$32+I345*Scoring!$H$32+K345*Scoring!$I$32+RB!L345*Scoring!$J$32+U345</f>
        <v>6.23</v>
      </c>
      <c r="O345" s="112">
        <f>C346*Scoring!$B$32+D346/Scoring!$C$32+E346*Scoring!$D$32+F346*Scoring!$E$32+G346/Scoring!$F$32+H346*Scoring!$G$32+I346*Scoring!$H$32+K346*Scoring!$I$32+L346*Scoring!$J$32+U345</f>
        <v>6.23</v>
      </c>
      <c r="P345" s="8">
        <f>IF(COUNTIF(Rookies!$A:$A,A345)&gt;0,1,0)</f>
        <v>0</v>
      </c>
      <c r="Q345" s="8"/>
      <c r="R345" s="8"/>
      <c r="S345" s="8">
        <f>V345/17</f>
        <v>0.3664705882</v>
      </c>
      <c r="T345" s="8">
        <f>IF(P345=1,MAX(0,0.258*(14.9-S345)),0)</f>
        <v>0</v>
      </c>
      <c r="U345" s="8">
        <f>T345*17</f>
        <v>0</v>
      </c>
      <c r="V345" s="8">
        <f>C345*Scoring!$B$32+D345/Scoring!$C$32+E345*Scoring!$D$32+F345*Scoring!$E$32+G345/Scoring!$F$32+H345*Scoring!$G$32+I345*Scoring!$H$32+K345*Scoring!$I$32+RB!L345*Scoring!$J$32</f>
        <v>6.23</v>
      </c>
      <c r="W345" s="8"/>
      <c r="X345" s="8"/>
      <c r="Y345" s="8"/>
      <c r="Z345" s="8"/>
    </row>
    <row r="346" ht="14.25" customHeight="1">
      <c r="B346" s="1" t="s">
        <v>39</v>
      </c>
      <c r="C346" s="1">
        <v>0.0</v>
      </c>
      <c r="D346" s="1">
        <v>0.0</v>
      </c>
      <c r="E346" s="1">
        <v>0.0</v>
      </c>
      <c r="F346" s="1">
        <v>4.1</v>
      </c>
      <c r="G346" s="1">
        <v>29.8</v>
      </c>
      <c r="H346" s="1">
        <v>0.2</v>
      </c>
      <c r="I346" s="1">
        <v>0.0</v>
      </c>
      <c r="J346" s="1">
        <v>8.0</v>
      </c>
      <c r="K346" s="18">
        <f t="shared" si="1"/>
        <v>0</v>
      </c>
      <c r="L346" s="18">
        <f t="shared" si="2"/>
        <v>1.409408805</v>
      </c>
      <c r="M346" s="112"/>
      <c r="N346" s="112"/>
      <c r="O346" s="112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B347" s="1" t="s">
        <v>48</v>
      </c>
      <c r="C347" s="1">
        <v>0.0</v>
      </c>
      <c r="D347" s="1">
        <v>0.0</v>
      </c>
      <c r="E347" s="1">
        <v>0.0</v>
      </c>
      <c r="F347" s="1">
        <v>4.1</v>
      </c>
      <c r="G347" s="1">
        <v>29.8</v>
      </c>
      <c r="H347" s="1">
        <v>0.2</v>
      </c>
      <c r="I347" s="1">
        <v>0.0</v>
      </c>
      <c r="J347" s="1">
        <v>8.0</v>
      </c>
      <c r="K347" s="18">
        <f t="shared" si="1"/>
        <v>0</v>
      </c>
      <c r="L347" s="18">
        <f t="shared" si="2"/>
        <v>1.409408805</v>
      </c>
      <c r="M347" s="112"/>
      <c r="N347" s="112"/>
      <c r="O347" s="112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1" t="s">
        <v>671</v>
      </c>
      <c r="B348" s="1" t="s">
        <v>134</v>
      </c>
      <c r="C348" s="1">
        <v>0.0</v>
      </c>
      <c r="D348" s="1">
        <v>0.0</v>
      </c>
      <c r="E348" s="1">
        <v>0.0</v>
      </c>
      <c r="F348" s="1">
        <v>3.9</v>
      </c>
      <c r="G348" s="1">
        <v>26.8</v>
      </c>
      <c r="H348" s="1">
        <v>0.1</v>
      </c>
      <c r="I348" s="1">
        <v>0.0</v>
      </c>
      <c r="J348" s="1">
        <v>7.4</v>
      </c>
      <c r="K348" s="18">
        <f t="shared" si="1"/>
        <v>0</v>
      </c>
      <c r="L348" s="18">
        <f t="shared" si="2"/>
        <v>1.267522013</v>
      </c>
      <c r="M348" s="112">
        <f>C350*Scoring!$B$32+D350/Scoring!$C$32+E350*Scoring!$D$32+F350*Scoring!$E$32+G350/Scoring!$F$32+H350*Scoring!$G$32+I350*Scoring!$H$32+K350*Scoring!$I$32+RB!L350*Scoring!$J$32+U348</f>
        <v>5.23</v>
      </c>
      <c r="N348" s="112">
        <f>C348*Scoring!$B$32+D348/Scoring!$C$32+E348*Scoring!$D$32+F348*Scoring!$E$32+G348/Scoring!$F$32+H348*Scoring!$G$32+I348*Scoring!$H$32+K348*Scoring!$I$32+RB!L348*Scoring!$J$32+U348</f>
        <v>5.23</v>
      </c>
      <c r="O348" s="112">
        <f>C349*Scoring!$B$32+D349/Scoring!$C$32+E349*Scoring!$D$32+F349*Scoring!$E$32+G349/Scoring!$F$32+H349*Scoring!$G$32+I349*Scoring!$H$32+K349*Scoring!$I$32+L349*Scoring!$J$32+U348</f>
        <v>5.23</v>
      </c>
      <c r="P348" s="8">
        <f>IF(COUNTIF(Rookies!$A:$A,A348)&gt;0,1,0)</f>
        <v>0</v>
      </c>
      <c r="Q348" s="8"/>
      <c r="R348" s="8"/>
      <c r="S348" s="8">
        <f>V348/17</f>
        <v>0.3076470588</v>
      </c>
      <c r="T348" s="8">
        <f>IF(P348=1,MAX(0,0.258*(14.9-S348)),0)</f>
        <v>0</v>
      </c>
      <c r="U348" s="8">
        <f>T348*17</f>
        <v>0</v>
      </c>
      <c r="V348" s="8">
        <f>C348*Scoring!$B$32+D348/Scoring!$C$32+E348*Scoring!$D$32+F348*Scoring!$E$32+G348/Scoring!$F$32+H348*Scoring!$G$32+I348*Scoring!$H$32+K348*Scoring!$I$32+RB!L348*Scoring!$J$32</f>
        <v>5.23</v>
      </c>
      <c r="W348" s="8"/>
      <c r="X348" s="8"/>
      <c r="Y348" s="8"/>
      <c r="Z348" s="8"/>
    </row>
    <row r="349" ht="14.25" customHeight="1">
      <c r="B349" s="1" t="s">
        <v>39</v>
      </c>
      <c r="C349" s="1">
        <v>0.0</v>
      </c>
      <c r="D349" s="1">
        <v>0.0</v>
      </c>
      <c r="E349" s="1">
        <v>0.0</v>
      </c>
      <c r="F349" s="1">
        <v>3.9</v>
      </c>
      <c r="G349" s="1">
        <v>26.8</v>
      </c>
      <c r="H349" s="1">
        <v>0.1</v>
      </c>
      <c r="I349" s="1">
        <v>0.0</v>
      </c>
      <c r="J349" s="1">
        <v>7.4</v>
      </c>
      <c r="K349" s="18">
        <f t="shared" si="1"/>
        <v>0</v>
      </c>
      <c r="L349" s="18">
        <f t="shared" si="2"/>
        <v>1.267522013</v>
      </c>
      <c r="M349" s="112"/>
      <c r="N349" s="112"/>
      <c r="O349" s="112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B350" s="1" t="s">
        <v>48</v>
      </c>
      <c r="C350" s="1">
        <v>0.0</v>
      </c>
      <c r="D350" s="1">
        <v>0.0</v>
      </c>
      <c r="E350" s="1">
        <v>0.0</v>
      </c>
      <c r="F350" s="1">
        <v>3.9</v>
      </c>
      <c r="G350" s="1">
        <v>26.8</v>
      </c>
      <c r="H350" s="1">
        <v>0.1</v>
      </c>
      <c r="I350" s="1">
        <v>0.0</v>
      </c>
      <c r="J350" s="1">
        <v>7.4</v>
      </c>
      <c r="K350" s="18">
        <f t="shared" si="1"/>
        <v>0</v>
      </c>
      <c r="L350" s="18">
        <f t="shared" si="2"/>
        <v>1.267522013</v>
      </c>
      <c r="M350" s="112"/>
      <c r="N350" s="112"/>
      <c r="O350" s="112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1" t="s">
        <v>674</v>
      </c>
      <c r="B351" s="1" t="s">
        <v>220</v>
      </c>
      <c r="C351" s="1">
        <v>8.6</v>
      </c>
      <c r="D351" s="1">
        <v>35.9</v>
      </c>
      <c r="E351" s="1">
        <v>0.2</v>
      </c>
      <c r="F351" s="1">
        <v>0.0</v>
      </c>
      <c r="G351" s="1">
        <v>0.0</v>
      </c>
      <c r="H351" s="1">
        <v>0.0</v>
      </c>
      <c r="I351" s="1">
        <v>0.0</v>
      </c>
      <c r="J351" s="1">
        <v>4.9</v>
      </c>
      <c r="K351" s="18">
        <f t="shared" si="1"/>
        <v>1.994444444</v>
      </c>
      <c r="L351" s="18">
        <f t="shared" si="2"/>
        <v>0</v>
      </c>
      <c r="M351" s="112">
        <f>C353*Scoring!$B$32+D353/Scoring!$C$32+E353*Scoring!$D$32+F353*Scoring!$E$32+G353/Scoring!$F$32+H353*Scoring!$G$32+I353*Scoring!$H$32+K353*Scoring!$I$32+RB!L353*Scoring!$J$32+U351</f>
        <v>4.79</v>
      </c>
      <c r="N351" s="112">
        <f>C351*Scoring!$B$32+D351/Scoring!$C$32+E351*Scoring!$D$32+F351*Scoring!$E$32+G351/Scoring!$F$32+H351*Scoring!$G$32+I351*Scoring!$H$32+K351*Scoring!$I$32+RB!L351*Scoring!$J$32+U351</f>
        <v>4.79</v>
      </c>
      <c r="O351" s="112">
        <f>C352*Scoring!$B$32+D352/Scoring!$C$32+E352*Scoring!$D$32+F352*Scoring!$E$32+G352/Scoring!$F$32+H352*Scoring!$G$32+I352*Scoring!$H$32+K352*Scoring!$I$32+L352*Scoring!$J$32+U351</f>
        <v>4.79</v>
      </c>
      <c r="P351" s="8">
        <f>IF(COUNTIF(Rookies!$A:$A,A351)&gt;0,1,0)</f>
        <v>0</v>
      </c>
      <c r="Q351" s="8"/>
      <c r="R351" s="8"/>
      <c r="S351" s="8">
        <f>V351/17</f>
        <v>0.2817647059</v>
      </c>
      <c r="T351" s="8">
        <f>IF(P351=1,MAX(0,0.258*(14.9-S351)),0)</f>
        <v>0</v>
      </c>
      <c r="U351" s="8">
        <f>T351*17</f>
        <v>0</v>
      </c>
      <c r="V351" s="8">
        <f>C351*Scoring!$B$32+D351/Scoring!$C$32+E351*Scoring!$D$32+F351*Scoring!$E$32+G351/Scoring!$F$32+H351*Scoring!$G$32+I351*Scoring!$H$32+K351*Scoring!$I$32+RB!L351*Scoring!$J$32</f>
        <v>4.79</v>
      </c>
      <c r="W351" s="8"/>
      <c r="X351" s="8"/>
      <c r="Y351" s="8"/>
      <c r="Z351" s="8"/>
    </row>
    <row r="352" ht="14.25" customHeight="1">
      <c r="B352" s="1" t="s">
        <v>39</v>
      </c>
      <c r="C352" s="1">
        <v>8.6</v>
      </c>
      <c r="D352" s="1">
        <v>35.9</v>
      </c>
      <c r="E352" s="1">
        <v>0.2</v>
      </c>
      <c r="F352" s="1">
        <v>0.0</v>
      </c>
      <c r="G352" s="1">
        <v>0.0</v>
      </c>
      <c r="H352" s="1">
        <v>0.0</v>
      </c>
      <c r="I352" s="1">
        <v>0.0</v>
      </c>
      <c r="J352" s="1">
        <v>4.9</v>
      </c>
      <c r="K352" s="18">
        <f t="shared" si="1"/>
        <v>1.994444444</v>
      </c>
      <c r="L352" s="18">
        <f t="shared" si="2"/>
        <v>0</v>
      </c>
      <c r="M352" s="112"/>
      <c r="N352" s="112"/>
      <c r="O352" s="112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B353" s="1" t="s">
        <v>48</v>
      </c>
      <c r="C353" s="1">
        <v>8.6</v>
      </c>
      <c r="D353" s="1">
        <v>35.9</v>
      </c>
      <c r="E353" s="1">
        <v>0.2</v>
      </c>
      <c r="F353" s="1">
        <v>0.0</v>
      </c>
      <c r="G353" s="1">
        <v>0.0</v>
      </c>
      <c r="H353" s="1">
        <v>0.0</v>
      </c>
      <c r="I353" s="1">
        <v>0.0</v>
      </c>
      <c r="J353" s="1">
        <v>4.9</v>
      </c>
      <c r="K353" s="18">
        <f t="shared" si="1"/>
        <v>1.994444444</v>
      </c>
      <c r="L353" s="18">
        <f t="shared" si="2"/>
        <v>0</v>
      </c>
      <c r="M353" s="112"/>
      <c r="N353" s="112"/>
      <c r="O353" s="112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1" t="s">
        <v>677</v>
      </c>
      <c r="B354" s="1" t="s">
        <v>205</v>
      </c>
      <c r="C354" s="1">
        <v>4.2</v>
      </c>
      <c r="D354" s="1">
        <v>18.0</v>
      </c>
      <c r="E354" s="1">
        <v>0.1</v>
      </c>
      <c r="F354" s="1">
        <v>0.0</v>
      </c>
      <c r="G354" s="1">
        <v>0.0</v>
      </c>
      <c r="H354" s="1">
        <v>0.0</v>
      </c>
      <c r="I354" s="1">
        <v>0.0</v>
      </c>
      <c r="J354" s="1">
        <v>2.4</v>
      </c>
      <c r="K354" s="18">
        <f t="shared" si="1"/>
        <v>1</v>
      </c>
      <c r="L354" s="18">
        <f t="shared" si="2"/>
        <v>0</v>
      </c>
      <c r="M354" s="112">
        <f>C356*Scoring!$B$32+D356/Scoring!$C$32+E356*Scoring!$D$32+F356*Scoring!$E$32+G356/Scoring!$F$32+H356*Scoring!$G$32+I356*Scoring!$H$32+K356*Scoring!$I$32+RB!L356*Scoring!$J$32+U354</f>
        <v>2.4</v>
      </c>
      <c r="N354" s="112">
        <f>C354*Scoring!$B$32+D354/Scoring!$C$32+E354*Scoring!$D$32+F354*Scoring!$E$32+G354/Scoring!$F$32+H354*Scoring!$G$32+I354*Scoring!$H$32+K354*Scoring!$I$32+RB!L354*Scoring!$J$32+U354</f>
        <v>2.4</v>
      </c>
      <c r="O354" s="112">
        <f>C355*Scoring!$B$32+D355/Scoring!$C$32+E355*Scoring!$D$32+F355*Scoring!$E$32+G355/Scoring!$F$32+H355*Scoring!$G$32+I355*Scoring!$H$32+K355*Scoring!$I$32+L355*Scoring!$J$32+U354</f>
        <v>2.4</v>
      </c>
      <c r="P354" s="8">
        <f>IF(COUNTIF(Rookies!$A:$A,A354)&gt;0,1,0)</f>
        <v>0</v>
      </c>
      <c r="Q354" s="8"/>
      <c r="R354" s="8"/>
      <c r="S354" s="8">
        <f>V354/17</f>
        <v>0.1411764706</v>
      </c>
      <c r="T354" s="8">
        <f>IF(P354=1,MAX(0,0.258*(14.9-S354)),0)</f>
        <v>0</v>
      </c>
      <c r="U354" s="8">
        <f>T354*17</f>
        <v>0</v>
      </c>
      <c r="V354" s="8">
        <f>C354*Scoring!$B$32+D354/Scoring!$C$32+E354*Scoring!$D$32+F354*Scoring!$E$32+G354/Scoring!$F$32+H354*Scoring!$G$32+I354*Scoring!$H$32+K354*Scoring!$I$32+RB!L354*Scoring!$J$32</f>
        <v>2.4</v>
      </c>
      <c r="W354" s="8"/>
      <c r="X354" s="8"/>
      <c r="Y354" s="8"/>
      <c r="Z354" s="8"/>
    </row>
    <row r="355" ht="14.25" customHeight="1">
      <c r="B355" s="1" t="s">
        <v>39</v>
      </c>
      <c r="C355" s="1">
        <v>4.2</v>
      </c>
      <c r="D355" s="1">
        <v>18.0</v>
      </c>
      <c r="E355" s="1">
        <v>0.1</v>
      </c>
      <c r="F355" s="1">
        <v>0.0</v>
      </c>
      <c r="G355" s="1">
        <v>0.0</v>
      </c>
      <c r="H355" s="1">
        <v>0.0</v>
      </c>
      <c r="I355" s="1">
        <v>0.0</v>
      </c>
      <c r="J355" s="1">
        <v>2.4</v>
      </c>
      <c r="K355" s="18">
        <f t="shared" si="1"/>
        <v>1</v>
      </c>
      <c r="L355" s="18">
        <f t="shared" si="2"/>
        <v>0</v>
      </c>
      <c r="M355" s="112"/>
      <c r="N355" s="112"/>
      <c r="O355" s="112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B356" s="1" t="s">
        <v>48</v>
      </c>
      <c r="C356" s="1">
        <v>4.2</v>
      </c>
      <c r="D356" s="1">
        <v>18.0</v>
      </c>
      <c r="E356" s="1">
        <v>0.1</v>
      </c>
      <c r="F356" s="1">
        <v>0.0</v>
      </c>
      <c r="G356" s="1">
        <v>0.0</v>
      </c>
      <c r="H356" s="1">
        <v>0.0</v>
      </c>
      <c r="I356" s="1">
        <v>0.0</v>
      </c>
      <c r="J356" s="1">
        <v>2.4</v>
      </c>
      <c r="K356" s="18">
        <f t="shared" si="1"/>
        <v>1</v>
      </c>
      <c r="L356" s="18">
        <f t="shared" si="2"/>
        <v>0</v>
      </c>
      <c r="M356" s="112"/>
      <c r="N356" s="112"/>
      <c r="O356" s="112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1" t="s">
        <v>681</v>
      </c>
      <c r="B357" s="1" t="s">
        <v>134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8">
        <f t="shared" si="1"/>
        <v>0</v>
      </c>
      <c r="L357" s="18">
        <f t="shared" si="2"/>
        <v>0</v>
      </c>
      <c r="M357" s="112">
        <f>C359*Scoring!$B$32+D359/Scoring!$C$32+E359*Scoring!$D$32+F359*Scoring!$E$32+G359/Scoring!$F$32+H359*Scoring!$G$32+I359*Scoring!$H$32+K359*Scoring!$I$32+RB!L359*Scoring!$J$32+U357</f>
        <v>0</v>
      </c>
      <c r="N357" s="112">
        <f>C357*Scoring!$B$32+D357/Scoring!$C$32+E357*Scoring!$D$32+F357*Scoring!$E$32+G357/Scoring!$F$32+H357*Scoring!$G$32+I357*Scoring!$H$32+K357*Scoring!$I$32+RB!L357*Scoring!$J$32+U357</f>
        <v>0</v>
      </c>
      <c r="O357" s="112">
        <f>C358*Scoring!$B$32+D358/Scoring!$C$32+E358*Scoring!$D$32+F358*Scoring!$E$32+G358/Scoring!$F$32+H358*Scoring!$G$32+I358*Scoring!$H$32+K358*Scoring!$I$32+L358*Scoring!$J$32+U357</f>
        <v>0</v>
      </c>
      <c r="P357" s="8">
        <f>IF(COUNTIF(Rookies!$A:$A,A357)&gt;0,1,0)</f>
        <v>0</v>
      </c>
      <c r="Q357" s="8"/>
      <c r="R357" s="8"/>
      <c r="S357" s="8">
        <f>V357/17</f>
        <v>0</v>
      </c>
      <c r="T357" s="8">
        <f>IF(P357=1,MAX(0,0.258*(14.9-S357)),0)</f>
        <v>0</v>
      </c>
      <c r="U357" s="8">
        <f>T357*17</f>
        <v>0</v>
      </c>
      <c r="V357" s="8">
        <f>C357*Scoring!$B$32+D357/Scoring!$C$32+E357*Scoring!$D$32+F357*Scoring!$E$32+G357/Scoring!$F$32+H357*Scoring!$G$32+I357*Scoring!$H$32+K357*Scoring!$I$32+RB!L357*Scoring!$J$32</f>
        <v>0</v>
      </c>
      <c r="W357" s="8"/>
      <c r="X357" s="8"/>
      <c r="Y357" s="8"/>
      <c r="Z357" s="8"/>
    </row>
    <row r="358" ht="14.25" customHeight="1">
      <c r="B358" s="1" t="s">
        <v>39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8">
        <f t="shared" si="1"/>
        <v>0</v>
      </c>
      <c r="L358" s="18">
        <f t="shared" si="2"/>
        <v>0</v>
      </c>
      <c r="M358" s="112"/>
      <c r="N358" s="112"/>
      <c r="O358" s="112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B359" s="1" t="s">
        <v>48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8">
        <f t="shared" si="1"/>
        <v>0</v>
      </c>
      <c r="L359" s="18">
        <f t="shared" si="2"/>
        <v>0</v>
      </c>
      <c r="M359" s="112"/>
      <c r="N359" s="112"/>
      <c r="O359" s="112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1" t="s">
        <v>684</v>
      </c>
      <c r="B360" s="1" t="s">
        <v>145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8">
        <f t="shared" si="1"/>
        <v>0</v>
      </c>
      <c r="L360" s="18">
        <f t="shared" si="2"/>
        <v>0</v>
      </c>
      <c r="M360" s="112">
        <f>C362*Scoring!$B$32+D362/Scoring!$C$32+E362*Scoring!$D$32+F362*Scoring!$E$32+G362/Scoring!$F$32+H362*Scoring!$G$32+I362*Scoring!$H$32+K362*Scoring!$I$32+RB!L362*Scoring!$J$32+U360</f>
        <v>0</v>
      </c>
      <c r="N360" s="112">
        <f>C360*Scoring!$B$32+D360/Scoring!$C$32+E360*Scoring!$D$32+F360*Scoring!$E$32+G360/Scoring!$F$32+H360*Scoring!$G$32+I360*Scoring!$H$32+K360*Scoring!$I$32+RB!L360*Scoring!$J$32+U360</f>
        <v>0</v>
      </c>
      <c r="O360" s="112">
        <f>C361*Scoring!$B$32+D361/Scoring!$C$32+E361*Scoring!$D$32+F361*Scoring!$E$32+G361/Scoring!$F$32+H361*Scoring!$G$32+I361*Scoring!$H$32+K361*Scoring!$I$32+L361*Scoring!$J$32+U360</f>
        <v>0</v>
      </c>
      <c r="P360" s="8">
        <f>IF(COUNTIF(Rookies!$A:$A,A360)&gt;0,1,0)</f>
        <v>0</v>
      </c>
      <c r="Q360" s="8"/>
      <c r="R360" s="8"/>
      <c r="S360" s="8">
        <f>V360/17</f>
        <v>0</v>
      </c>
      <c r="T360" s="8">
        <f>IF(P360=1,MAX(0,0.258*(14.9-S360)),0)</f>
        <v>0</v>
      </c>
      <c r="U360" s="8">
        <f>T360*17</f>
        <v>0</v>
      </c>
      <c r="V360" s="8">
        <f>C360*Scoring!$B$32+D360/Scoring!$C$32+E360*Scoring!$D$32+F360*Scoring!$E$32+G360/Scoring!$F$32+H360*Scoring!$G$32+I360*Scoring!$H$32+K360*Scoring!$I$32+RB!L360*Scoring!$J$32</f>
        <v>0</v>
      </c>
      <c r="W360" s="8"/>
      <c r="X360" s="8"/>
      <c r="Y360" s="8"/>
      <c r="Z360" s="8"/>
    </row>
    <row r="361" ht="14.25" customHeight="1">
      <c r="B361" s="1" t="s">
        <v>39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0.2</v>
      </c>
      <c r="K361" s="18">
        <f t="shared" si="1"/>
        <v>0</v>
      </c>
      <c r="L361" s="18">
        <f t="shared" si="2"/>
        <v>0</v>
      </c>
      <c r="M361" s="112"/>
      <c r="N361" s="112"/>
      <c r="O361" s="112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B362" s="1" t="s">
        <v>48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0.2</v>
      </c>
      <c r="K362" s="18">
        <f t="shared" si="1"/>
        <v>0</v>
      </c>
      <c r="L362" s="18">
        <f t="shared" si="2"/>
        <v>0</v>
      </c>
      <c r="M362" s="112"/>
      <c r="N362" s="112"/>
      <c r="O362" s="112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1" t="s">
        <v>687</v>
      </c>
      <c r="B363" s="1" t="s">
        <v>210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8">
        <f t="shared" si="1"/>
        <v>0</v>
      </c>
      <c r="L363" s="18">
        <f t="shared" si="2"/>
        <v>0</v>
      </c>
      <c r="M363" s="112">
        <f>C365*Scoring!$B$32+D365/Scoring!$C$32+E365*Scoring!$D$32+F365*Scoring!$E$32+G365/Scoring!$F$32+H365*Scoring!$G$32+I365*Scoring!$H$32+K365*Scoring!$I$32+RB!L365*Scoring!$J$32+U363</f>
        <v>0</v>
      </c>
      <c r="N363" s="112">
        <f>C363*Scoring!$B$32+D363/Scoring!$C$32+E363*Scoring!$D$32+F363*Scoring!$E$32+G363/Scoring!$F$32+H363*Scoring!$G$32+I363*Scoring!$H$32+K363*Scoring!$I$32+RB!L363*Scoring!$J$32+U363</f>
        <v>0</v>
      </c>
      <c r="O363" s="112">
        <f>C364*Scoring!$B$32+D364/Scoring!$C$32+E364*Scoring!$D$32+F364*Scoring!$E$32+G364/Scoring!$F$32+H364*Scoring!$G$32+I364*Scoring!$H$32+K364*Scoring!$I$32+L364*Scoring!$J$32+U363</f>
        <v>0</v>
      </c>
      <c r="P363" s="8">
        <f>IF(COUNTIF(Rookies!$A:$A,A363)&gt;0,1,0)</f>
        <v>0</v>
      </c>
      <c r="Q363" s="8"/>
      <c r="R363" s="8"/>
      <c r="S363" s="8">
        <f>V363/17</f>
        <v>0</v>
      </c>
      <c r="T363" s="8">
        <f>IF(P363=1,MAX(0,0.258*(14.9-S363)),0)</f>
        <v>0</v>
      </c>
      <c r="U363" s="8">
        <f>T363*17</f>
        <v>0</v>
      </c>
      <c r="V363" s="8">
        <f>C363*Scoring!$B$32+D363/Scoring!$C$32+E363*Scoring!$D$32+F363*Scoring!$E$32+G363/Scoring!$F$32+H363*Scoring!$G$32+I363*Scoring!$H$32+K363*Scoring!$I$32+RB!L363*Scoring!$J$32</f>
        <v>0</v>
      </c>
      <c r="W363" s="8"/>
      <c r="X363" s="8"/>
      <c r="Y363" s="8"/>
      <c r="Z363" s="8"/>
    </row>
    <row r="364" ht="14.25" customHeight="1">
      <c r="B364" s="1" t="s">
        <v>39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2.3</v>
      </c>
      <c r="K364" s="18">
        <f t="shared" si="1"/>
        <v>0</v>
      </c>
      <c r="L364" s="18">
        <f t="shared" si="2"/>
        <v>0</v>
      </c>
      <c r="M364" s="112"/>
      <c r="N364" s="112"/>
      <c r="O364" s="112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B365" s="1" t="s">
        <v>48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2.3</v>
      </c>
      <c r="K365" s="18">
        <f t="shared" si="1"/>
        <v>0</v>
      </c>
      <c r="L365" s="18">
        <f t="shared" si="2"/>
        <v>0</v>
      </c>
      <c r="M365" s="112"/>
      <c r="N365" s="112"/>
      <c r="O365" s="112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1" t="s">
        <v>690</v>
      </c>
      <c r="B366" s="1" t="s">
        <v>170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8">
        <f t="shared" si="1"/>
        <v>0</v>
      </c>
      <c r="L366" s="18">
        <f t="shared" si="2"/>
        <v>0</v>
      </c>
      <c r="M366" s="112">
        <f>C368*Scoring!$B$32+D368/Scoring!$C$32+E368*Scoring!$D$32+F368*Scoring!$E$32+G368/Scoring!$F$32+H368*Scoring!$G$32+I368*Scoring!$H$32+K368*Scoring!$I$32+RB!L368*Scoring!$J$32+U366</f>
        <v>0</v>
      </c>
      <c r="N366" s="112">
        <f>C366*Scoring!$B$32+D366/Scoring!$C$32+E366*Scoring!$D$32+F366*Scoring!$E$32+G366/Scoring!$F$32+H366*Scoring!$G$32+I366*Scoring!$H$32+K366*Scoring!$I$32+RB!L366*Scoring!$J$32+U366</f>
        <v>0</v>
      </c>
      <c r="O366" s="112">
        <f>C367*Scoring!$B$32+D367/Scoring!$C$32+E367*Scoring!$D$32+F367*Scoring!$E$32+G367/Scoring!$F$32+H367*Scoring!$G$32+I367*Scoring!$H$32+K367*Scoring!$I$32+L367*Scoring!$J$32+U366</f>
        <v>0</v>
      </c>
      <c r="P366" s="8">
        <f>IF(COUNTIF(Rookies!$A:$A,A366)&gt;0,1,0)</f>
        <v>0</v>
      </c>
      <c r="Q366" s="8"/>
      <c r="R366" s="8"/>
      <c r="S366" s="8">
        <f>V366/17</f>
        <v>0</v>
      </c>
      <c r="T366" s="8">
        <f>IF(P366=1,MAX(0,0.258*(14.9-S366)),0)</f>
        <v>0</v>
      </c>
      <c r="U366" s="8">
        <f>T366*17</f>
        <v>0</v>
      </c>
      <c r="V366" s="8">
        <f>C366*Scoring!$B$32+D366/Scoring!$C$32+E366*Scoring!$D$32+F366*Scoring!$E$32+G366/Scoring!$F$32+H366*Scoring!$G$32+I366*Scoring!$H$32+K366*Scoring!$I$32+RB!L366*Scoring!$J$32</f>
        <v>0</v>
      </c>
      <c r="W366" s="8"/>
      <c r="X366" s="8"/>
      <c r="Y366" s="8"/>
      <c r="Z366" s="8"/>
    </row>
    <row r="367" ht="14.25" customHeight="1">
      <c r="B367" s="1" t="s">
        <v>39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0.4</v>
      </c>
      <c r="K367" s="18">
        <f t="shared" si="1"/>
        <v>0</v>
      </c>
      <c r="L367" s="18">
        <f t="shared" si="2"/>
        <v>0</v>
      </c>
      <c r="M367" s="112"/>
      <c r="N367" s="112"/>
      <c r="O367" s="112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B368" s="1" t="s">
        <v>48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0.4</v>
      </c>
      <c r="K368" s="18">
        <f t="shared" si="1"/>
        <v>0</v>
      </c>
      <c r="L368" s="18">
        <f t="shared" si="2"/>
        <v>0</v>
      </c>
      <c r="M368" s="112"/>
      <c r="N368" s="112"/>
      <c r="O368" s="112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1" t="s">
        <v>694</v>
      </c>
      <c r="B369" s="1" t="s">
        <v>217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8">
        <f t="shared" si="1"/>
        <v>0</v>
      </c>
      <c r="L369" s="18">
        <f t="shared" si="2"/>
        <v>0</v>
      </c>
      <c r="M369" s="112">
        <f>C371*Scoring!$B$32+D371/Scoring!$C$32+E371*Scoring!$D$32+F371*Scoring!$E$32+G371/Scoring!$F$32+H371*Scoring!$G$32+I371*Scoring!$H$32+K371*Scoring!$I$32+RB!L371*Scoring!$J$32+U369</f>
        <v>0</v>
      </c>
      <c r="N369" s="112">
        <f>C369*Scoring!$B$32+D369/Scoring!$C$32+E369*Scoring!$D$32+F369*Scoring!$E$32+G369/Scoring!$F$32+H369*Scoring!$G$32+I369*Scoring!$H$32+K369*Scoring!$I$32+RB!L369*Scoring!$J$32+U369</f>
        <v>0</v>
      </c>
      <c r="O369" s="112">
        <f>C370*Scoring!$B$32+D370/Scoring!$C$32+E370*Scoring!$D$32+F370*Scoring!$E$32+G370/Scoring!$F$32+H370*Scoring!$G$32+I370*Scoring!$H$32+K370*Scoring!$I$32+L370*Scoring!$J$32+U369</f>
        <v>0</v>
      </c>
      <c r="P369" s="8">
        <f>IF(COUNTIF(Rookies!$A:$A,A369)&gt;0,1,0)</f>
        <v>0</v>
      </c>
      <c r="Q369" s="8"/>
      <c r="R369" s="8"/>
      <c r="S369" s="8">
        <f>V369/17</f>
        <v>0</v>
      </c>
      <c r="T369" s="8">
        <f>IF(P369=1,MAX(0,0.258*(14.9-S369)),0)</f>
        <v>0</v>
      </c>
      <c r="U369" s="8">
        <f>T369*17</f>
        <v>0</v>
      </c>
      <c r="V369" s="8">
        <f>C369*Scoring!$B$32+D369/Scoring!$C$32+E369*Scoring!$D$32+F369*Scoring!$E$32+G369/Scoring!$F$32+H369*Scoring!$G$32+I369*Scoring!$H$32+K369*Scoring!$I$32+RB!L369*Scoring!$J$32</f>
        <v>0</v>
      </c>
      <c r="W369" s="8"/>
      <c r="X369" s="8"/>
      <c r="Y369" s="8"/>
      <c r="Z369" s="8"/>
    </row>
    <row r="370" ht="14.25" customHeight="1">
      <c r="B370" s="1" t="s">
        <v>39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0.8</v>
      </c>
      <c r="K370" s="18">
        <f t="shared" si="1"/>
        <v>0</v>
      </c>
      <c r="L370" s="18">
        <f t="shared" si="2"/>
        <v>0</v>
      </c>
      <c r="M370" s="112"/>
      <c r="N370" s="112"/>
      <c r="O370" s="112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B371" s="1" t="s">
        <v>48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0.8</v>
      </c>
      <c r="K371" s="18">
        <f t="shared" si="1"/>
        <v>0</v>
      </c>
      <c r="L371" s="18">
        <f t="shared" si="2"/>
        <v>0</v>
      </c>
      <c r="M371" s="112"/>
      <c r="N371" s="112"/>
      <c r="O371" s="112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1" t="s">
        <v>697</v>
      </c>
      <c r="B372" s="1" t="s">
        <v>217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8">
        <f t="shared" si="1"/>
        <v>0</v>
      </c>
      <c r="L372" s="18">
        <f t="shared" si="2"/>
        <v>0</v>
      </c>
      <c r="M372" s="112">
        <f>C374*Scoring!$B$32+D374/Scoring!$C$32+E374*Scoring!$D$32+F374*Scoring!$E$32+G374/Scoring!$F$32+H374*Scoring!$G$32+I374*Scoring!$H$32+K374*Scoring!$I$32+RB!L374*Scoring!$J$32+U372</f>
        <v>0</v>
      </c>
      <c r="N372" s="112">
        <f>C372*Scoring!$B$32+D372/Scoring!$C$32+E372*Scoring!$D$32+F372*Scoring!$E$32+G372/Scoring!$F$32+H372*Scoring!$G$32+I372*Scoring!$H$32+K372*Scoring!$I$32+RB!L372*Scoring!$J$32+U372</f>
        <v>0</v>
      </c>
      <c r="O372" s="112">
        <f>C373*Scoring!$B$32+D373/Scoring!$C$32+E373*Scoring!$D$32+F373*Scoring!$E$32+G373/Scoring!$F$32+H373*Scoring!$G$32+I373*Scoring!$H$32+K373*Scoring!$I$32+L373*Scoring!$J$32+U372</f>
        <v>0</v>
      </c>
      <c r="P372" s="8">
        <f>IF(COUNTIF(Rookies!$A:$A,A372)&gt;0,1,0)</f>
        <v>0</v>
      </c>
      <c r="Q372" s="8"/>
      <c r="R372" s="8"/>
      <c r="S372" s="8">
        <f>V372/17</f>
        <v>0</v>
      </c>
      <c r="T372" s="8">
        <f>IF(P372=1,MAX(0,0.258*(14.9-S372)),0)</f>
        <v>0</v>
      </c>
      <c r="U372" s="8">
        <f>T372*17</f>
        <v>0</v>
      </c>
      <c r="V372" s="8">
        <f>C372*Scoring!$B$32+D372/Scoring!$C$32+E372*Scoring!$D$32+F372*Scoring!$E$32+G372/Scoring!$F$32+H372*Scoring!$G$32+I372*Scoring!$H$32+K372*Scoring!$I$32+RB!L372*Scoring!$J$32</f>
        <v>0</v>
      </c>
      <c r="W372" s="8"/>
      <c r="X372" s="8"/>
      <c r="Y372" s="8"/>
      <c r="Z372" s="8"/>
    </row>
    <row r="373" ht="14.25" customHeight="1">
      <c r="B373" s="1" t="s">
        <v>39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8">
        <f t="shared" si="1"/>
        <v>0</v>
      </c>
      <c r="L373" s="18">
        <f t="shared" si="2"/>
        <v>0</v>
      </c>
      <c r="M373" s="112"/>
      <c r="N373" s="112"/>
      <c r="O373" s="112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B374" s="1" t="s">
        <v>48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8">
        <f t="shared" si="1"/>
        <v>0</v>
      </c>
      <c r="L374" s="18">
        <f t="shared" si="2"/>
        <v>0</v>
      </c>
      <c r="M374" s="112"/>
      <c r="N374" s="112"/>
      <c r="O374" s="112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1" t="s">
        <v>700</v>
      </c>
      <c r="B375" s="1" t="s">
        <v>179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8">
        <f t="shared" si="1"/>
        <v>0</v>
      </c>
      <c r="L375" s="18">
        <f t="shared" si="2"/>
        <v>0</v>
      </c>
      <c r="M375" s="112">
        <f>C377*Scoring!$B$32+D377/Scoring!$C$32+E377*Scoring!$D$32+F377*Scoring!$E$32+G377/Scoring!$F$32+H377*Scoring!$G$32+I377*Scoring!$H$32+K377*Scoring!$I$32+RB!L377*Scoring!$J$32+U375</f>
        <v>0</v>
      </c>
      <c r="N375" s="112">
        <f>C375*Scoring!$B$32+D375/Scoring!$C$32+E375*Scoring!$D$32+F375*Scoring!$E$32+G375/Scoring!$F$32+H375*Scoring!$G$32+I375*Scoring!$H$32+K375*Scoring!$I$32+RB!L375*Scoring!$J$32+U375</f>
        <v>0</v>
      </c>
      <c r="O375" s="112">
        <f>C376*Scoring!$B$32+D376/Scoring!$C$32+E376*Scoring!$D$32+F376*Scoring!$E$32+G376/Scoring!$F$32+H376*Scoring!$G$32+I376*Scoring!$H$32+K376*Scoring!$I$32+L376*Scoring!$J$32+U375</f>
        <v>0</v>
      </c>
      <c r="P375" s="8">
        <f>IF(COUNTIF(Rookies!$A:$A,A375)&gt;0,1,0)</f>
        <v>0</v>
      </c>
      <c r="Q375" s="8"/>
      <c r="R375" s="8"/>
      <c r="S375" s="8">
        <f>V375/17</f>
        <v>0</v>
      </c>
      <c r="T375" s="8">
        <f>IF(P375=1,MAX(0,0.258*(14.9-S375)),0)</f>
        <v>0</v>
      </c>
      <c r="U375" s="8">
        <f>T375*17</f>
        <v>0</v>
      </c>
      <c r="V375" s="8">
        <f>C375*Scoring!$B$32+D375/Scoring!$C$32+E375*Scoring!$D$32+F375*Scoring!$E$32+G375/Scoring!$F$32+H375*Scoring!$G$32+I375*Scoring!$H$32+K375*Scoring!$I$32+RB!L375*Scoring!$J$32</f>
        <v>0</v>
      </c>
      <c r="W375" s="8"/>
      <c r="X375" s="8"/>
      <c r="Y375" s="8"/>
      <c r="Z375" s="8"/>
    </row>
    <row r="376" ht="14.25" customHeight="1">
      <c r="B376" s="1" t="s">
        <v>39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0.3</v>
      </c>
      <c r="K376" s="18">
        <f t="shared" si="1"/>
        <v>0</v>
      </c>
      <c r="L376" s="18">
        <f t="shared" si="2"/>
        <v>0</v>
      </c>
      <c r="M376" s="112"/>
      <c r="N376" s="112"/>
      <c r="O376" s="112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B377" s="1" t="s">
        <v>48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0.3</v>
      </c>
      <c r="K377" s="18">
        <f t="shared" si="1"/>
        <v>0</v>
      </c>
      <c r="L377" s="18">
        <f t="shared" si="2"/>
        <v>0</v>
      </c>
      <c r="M377" s="112"/>
      <c r="N377" s="112"/>
      <c r="O377" s="112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1" t="s">
        <v>704</v>
      </c>
      <c r="B378" s="1" t="s">
        <v>189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8">
        <f t="shared" si="1"/>
        <v>0</v>
      </c>
      <c r="L378" s="18">
        <f t="shared" si="2"/>
        <v>0</v>
      </c>
      <c r="M378" s="112">
        <f>C380*Scoring!$B$32+D380/Scoring!$C$32+E380*Scoring!$D$32+F380*Scoring!$E$32+G380/Scoring!$F$32+H380*Scoring!$G$32+I380*Scoring!$H$32+K380*Scoring!$I$32+RB!L380*Scoring!$J$32+U378</f>
        <v>0</v>
      </c>
      <c r="N378" s="112">
        <f>C378*Scoring!$B$32+D378/Scoring!$C$32+E378*Scoring!$D$32+F378*Scoring!$E$32+G378/Scoring!$F$32+H378*Scoring!$G$32+I378*Scoring!$H$32+K378*Scoring!$I$32+RB!L378*Scoring!$J$32+U378</f>
        <v>0</v>
      </c>
      <c r="O378" s="112">
        <f>C379*Scoring!$B$32+D379/Scoring!$C$32+E379*Scoring!$D$32+F379*Scoring!$E$32+G379/Scoring!$F$32+H379*Scoring!$G$32+I379*Scoring!$H$32+K379*Scoring!$I$32+L379*Scoring!$J$32+U378</f>
        <v>0</v>
      </c>
      <c r="P378" s="8">
        <f>IF(COUNTIF(Rookies!$A:$A,A378)&gt;0,1,0)</f>
        <v>0</v>
      </c>
      <c r="Q378" s="8"/>
      <c r="R378" s="8"/>
      <c r="S378" s="8">
        <f>V378/17</f>
        <v>0</v>
      </c>
      <c r="T378" s="8">
        <f>IF(P378=1,MAX(0,0.258*(14.9-S378)),0)</f>
        <v>0</v>
      </c>
      <c r="U378" s="8">
        <f>T378*17</f>
        <v>0</v>
      </c>
      <c r="V378" s="8">
        <f>C378*Scoring!$B$32+D378/Scoring!$C$32+E378*Scoring!$D$32+F378*Scoring!$E$32+G378/Scoring!$F$32+H378*Scoring!$G$32+I378*Scoring!$H$32+K378*Scoring!$I$32+RB!L378*Scoring!$J$32</f>
        <v>0</v>
      </c>
      <c r="W378" s="8"/>
      <c r="X378" s="8"/>
      <c r="Y378" s="8"/>
      <c r="Z378" s="8"/>
    </row>
    <row r="379" ht="14.25" customHeight="1">
      <c r="B379" s="1" t="s">
        <v>39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8">
        <f t="shared" si="1"/>
        <v>0</v>
      </c>
      <c r="L379" s="18">
        <f t="shared" si="2"/>
        <v>0</v>
      </c>
      <c r="M379" s="112"/>
      <c r="N379" s="112"/>
      <c r="O379" s="112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B380" s="1" t="s">
        <v>48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8">
        <f t="shared" si="1"/>
        <v>0</v>
      </c>
      <c r="L380" s="18">
        <f t="shared" si="2"/>
        <v>0</v>
      </c>
      <c r="M380" s="112"/>
      <c r="N380" s="112"/>
      <c r="O380" s="112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1" t="s">
        <v>707</v>
      </c>
      <c r="B381" s="1" t="s">
        <v>61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8">
        <f t="shared" si="1"/>
        <v>0</v>
      </c>
      <c r="L381" s="18">
        <f t="shared" si="2"/>
        <v>0</v>
      </c>
      <c r="M381" s="112">
        <f>C383*Scoring!$B$32+D383/Scoring!$C$32+E383*Scoring!$D$32+F383*Scoring!$E$32+G383/Scoring!$F$32+H383*Scoring!$G$32+I383*Scoring!$H$32+K383*Scoring!$I$32+RB!L383*Scoring!$J$32+U381</f>
        <v>0</v>
      </c>
      <c r="N381" s="112">
        <f>C381*Scoring!$B$32+D381/Scoring!$C$32+E381*Scoring!$D$32+F381*Scoring!$E$32+G381/Scoring!$F$32+H381*Scoring!$G$32+I381*Scoring!$H$32+K381*Scoring!$I$32+RB!L381*Scoring!$J$32+U381</f>
        <v>0</v>
      </c>
      <c r="O381" s="112">
        <f>C382*Scoring!$B$32+D382/Scoring!$C$32+E382*Scoring!$D$32+F382*Scoring!$E$32+G382/Scoring!$F$32+H382*Scoring!$G$32+I382*Scoring!$H$32+K382*Scoring!$I$32+L382*Scoring!$J$32+U381</f>
        <v>0</v>
      </c>
      <c r="P381" s="8">
        <f>IF(COUNTIF(Rookies!$A:$A,A381)&gt;0,1,0)</f>
        <v>0</v>
      </c>
      <c r="Q381" s="8"/>
      <c r="R381" s="8"/>
      <c r="S381" s="8">
        <f>V381/17</f>
        <v>0</v>
      </c>
      <c r="T381" s="8">
        <f>IF(P381=1,MAX(0,0.258*(14.9-S381)),0)</f>
        <v>0</v>
      </c>
      <c r="U381" s="8">
        <f>T381*17</f>
        <v>0</v>
      </c>
      <c r="V381" s="8">
        <f>C381*Scoring!$B$32+D381/Scoring!$C$32+E381*Scoring!$D$32+F381*Scoring!$E$32+G381/Scoring!$F$32+H381*Scoring!$G$32+I381*Scoring!$H$32+K381*Scoring!$I$32+RB!L381*Scoring!$J$32</f>
        <v>0</v>
      </c>
      <c r="W381" s="8"/>
      <c r="X381" s="8"/>
      <c r="Y381" s="8"/>
      <c r="Z381" s="8"/>
    </row>
    <row r="382" ht="14.25" customHeight="1">
      <c r="B382" s="1" t="s">
        <v>39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0.5</v>
      </c>
      <c r="K382" s="18">
        <f t="shared" si="1"/>
        <v>0</v>
      </c>
      <c r="L382" s="18">
        <f t="shared" si="2"/>
        <v>0</v>
      </c>
      <c r="M382" s="112"/>
      <c r="N382" s="112"/>
      <c r="O382" s="112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B383" s="1" t="s">
        <v>48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0.5</v>
      </c>
      <c r="K383" s="18">
        <f t="shared" si="1"/>
        <v>0</v>
      </c>
      <c r="L383" s="18">
        <f t="shared" si="2"/>
        <v>0</v>
      </c>
      <c r="M383" s="112"/>
      <c r="N383" s="112"/>
      <c r="O383" s="112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1" t="s">
        <v>710</v>
      </c>
      <c r="B384" s="1" t="s">
        <v>222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8">
        <f t="shared" si="1"/>
        <v>0</v>
      </c>
      <c r="L384" s="18">
        <f t="shared" si="2"/>
        <v>0</v>
      </c>
      <c r="M384" s="112">
        <f>C386*Scoring!$B$32+D386/Scoring!$C$32+E386*Scoring!$D$32+F386*Scoring!$E$32+G386/Scoring!$F$32+H386*Scoring!$G$32+I386*Scoring!$H$32+K386*Scoring!$I$32+RB!L386*Scoring!$J$32+U384</f>
        <v>0</v>
      </c>
      <c r="N384" s="112">
        <f>C384*Scoring!$B$32+D384/Scoring!$C$32+E384*Scoring!$D$32+F384*Scoring!$E$32+G384/Scoring!$F$32+H384*Scoring!$G$32+I384*Scoring!$H$32+K384*Scoring!$I$32+RB!L384*Scoring!$J$32+U384</f>
        <v>0</v>
      </c>
      <c r="O384" s="112">
        <f>C385*Scoring!$B$32+D385/Scoring!$C$32+E385*Scoring!$D$32+F385*Scoring!$E$32+G385/Scoring!$F$32+H385*Scoring!$G$32+I385*Scoring!$H$32+K385*Scoring!$I$32+L385*Scoring!$J$32+U384</f>
        <v>0</v>
      </c>
      <c r="P384" s="8">
        <f>IF(COUNTIF(Rookies!$A:$A,A384)&gt;0,1,0)</f>
        <v>0</v>
      </c>
      <c r="Q384" s="8"/>
      <c r="R384" s="8"/>
      <c r="S384" s="8">
        <f>V384/17</f>
        <v>0</v>
      </c>
      <c r="T384" s="8">
        <f>IF(P384=1,MAX(0,0.258*(14.9-S384)),0)</f>
        <v>0</v>
      </c>
      <c r="U384" s="8">
        <f>T384*17</f>
        <v>0</v>
      </c>
      <c r="V384" s="8">
        <f>C384*Scoring!$B$32+D384/Scoring!$C$32+E384*Scoring!$D$32+F384*Scoring!$E$32+G384/Scoring!$F$32+H384*Scoring!$G$32+I384*Scoring!$H$32+K384*Scoring!$I$32+RB!L384*Scoring!$J$32</f>
        <v>0</v>
      </c>
      <c r="W384" s="8"/>
      <c r="X384" s="8"/>
      <c r="Y384" s="8"/>
      <c r="Z384" s="8"/>
    </row>
    <row r="385" ht="14.25" customHeight="1">
      <c r="B385" s="1" t="s">
        <v>39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0.7</v>
      </c>
      <c r="K385" s="18">
        <f t="shared" si="1"/>
        <v>0</v>
      </c>
      <c r="L385" s="18">
        <f t="shared" si="2"/>
        <v>0</v>
      </c>
      <c r="M385" s="112"/>
      <c r="N385" s="112"/>
      <c r="O385" s="112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B386" s="1" t="s">
        <v>48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0.7</v>
      </c>
      <c r="K386" s="18">
        <f t="shared" si="1"/>
        <v>0</v>
      </c>
      <c r="L386" s="18">
        <f t="shared" si="2"/>
        <v>0</v>
      </c>
      <c r="M386" s="112"/>
      <c r="N386" s="112"/>
      <c r="O386" s="112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1" t="s">
        <v>713</v>
      </c>
      <c r="B387" s="1" t="s">
        <v>222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8">
        <f t="shared" si="1"/>
        <v>0</v>
      </c>
      <c r="L387" s="18">
        <f t="shared" si="2"/>
        <v>0</v>
      </c>
      <c r="M387" s="112">
        <f>C389*Scoring!$B$32+D389/Scoring!$C$32+E389*Scoring!$D$32+F389*Scoring!$E$32+G389/Scoring!$F$32+H389*Scoring!$G$32+I389*Scoring!$H$32+K389*Scoring!$I$32+RB!L389*Scoring!$J$32+U387</f>
        <v>0</v>
      </c>
      <c r="N387" s="112">
        <f>C387*Scoring!$B$32+D387/Scoring!$C$32+E387*Scoring!$D$32+F387*Scoring!$E$32+G387/Scoring!$F$32+H387*Scoring!$G$32+I387*Scoring!$H$32+K387*Scoring!$I$32+RB!L387*Scoring!$J$32+U387</f>
        <v>0</v>
      </c>
      <c r="O387" s="112">
        <f>C388*Scoring!$B$32+D388/Scoring!$C$32+E388*Scoring!$D$32+F388*Scoring!$E$32+G388/Scoring!$F$32+H388*Scoring!$G$32+I388*Scoring!$H$32+K388*Scoring!$I$32+L388*Scoring!$J$32+U387</f>
        <v>0</v>
      </c>
      <c r="P387" s="8">
        <f>IF(COUNTIF(Rookies!$A:$A,A387)&gt;0,1,0)</f>
        <v>0</v>
      </c>
      <c r="Q387" s="8"/>
      <c r="R387" s="8"/>
      <c r="S387" s="8">
        <f>V387/17</f>
        <v>0</v>
      </c>
      <c r="T387" s="8">
        <f>IF(P387=1,MAX(0,0.258*(14.9-S387)),0)</f>
        <v>0</v>
      </c>
      <c r="U387" s="8">
        <f>T387*17</f>
        <v>0</v>
      </c>
      <c r="V387" s="8">
        <f>C387*Scoring!$B$32+D387/Scoring!$C$32+E387*Scoring!$D$32+F387*Scoring!$E$32+G387/Scoring!$F$32+H387*Scoring!$G$32+I387*Scoring!$H$32+K387*Scoring!$I$32+RB!L387*Scoring!$J$32</f>
        <v>0</v>
      </c>
      <c r="W387" s="8"/>
      <c r="X387" s="8"/>
      <c r="Y387" s="8"/>
      <c r="Z387" s="8"/>
    </row>
    <row r="388" ht="14.25" customHeight="1">
      <c r="B388" s="1" t="s">
        <v>39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8">
        <f t="shared" si="1"/>
        <v>0</v>
      </c>
      <c r="L388" s="18">
        <f t="shared" si="2"/>
        <v>0</v>
      </c>
      <c r="M388" s="112"/>
      <c r="N388" s="112"/>
      <c r="O388" s="112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B389" s="1" t="s">
        <v>48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8">
        <f t="shared" si="1"/>
        <v>0</v>
      </c>
      <c r="L389" s="18">
        <f t="shared" si="2"/>
        <v>0</v>
      </c>
      <c r="M389" s="112"/>
      <c r="N389" s="112"/>
      <c r="O389" s="112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1" t="s">
        <v>717</v>
      </c>
      <c r="B390" s="1" t="s">
        <v>186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8">
        <f t="shared" si="1"/>
        <v>0</v>
      </c>
      <c r="L390" s="18">
        <f t="shared" si="2"/>
        <v>0</v>
      </c>
      <c r="M390" s="112">
        <f>C392*Scoring!$B$32+D392/Scoring!$C$32+E392*Scoring!$D$32+F392*Scoring!$E$32+G392/Scoring!$F$32+H392*Scoring!$G$32+I392*Scoring!$H$32+K392*Scoring!$I$32+RB!L392*Scoring!$J$32+U390</f>
        <v>0</v>
      </c>
      <c r="N390" s="112">
        <f>C390*Scoring!$B$32+D390/Scoring!$C$32+E390*Scoring!$D$32+F390*Scoring!$E$32+G390/Scoring!$F$32+H390*Scoring!$G$32+I390*Scoring!$H$32+K390*Scoring!$I$32+RB!L390*Scoring!$J$32+U390</f>
        <v>0</v>
      </c>
      <c r="O390" s="112">
        <f>C391*Scoring!$B$32+D391/Scoring!$C$32+E391*Scoring!$D$32+F391*Scoring!$E$32+G391/Scoring!$F$32+H391*Scoring!$G$32+I391*Scoring!$H$32+K391*Scoring!$I$32+L391*Scoring!$J$32+U390</f>
        <v>0</v>
      </c>
      <c r="P390" s="8">
        <f>IF(COUNTIF(Rookies!$A:$A,A390)&gt;0,1,0)</f>
        <v>0</v>
      </c>
      <c r="Q390" s="8"/>
      <c r="R390" s="8"/>
      <c r="S390" s="8">
        <f>V390/17</f>
        <v>0</v>
      </c>
      <c r="T390" s="8">
        <f>IF(P390=1,MAX(0,0.258*(14.9-S390)),0)</f>
        <v>0</v>
      </c>
      <c r="U390" s="8">
        <f>T390*17</f>
        <v>0</v>
      </c>
      <c r="V390" s="8">
        <f>C390*Scoring!$B$32+D390/Scoring!$C$32+E390*Scoring!$D$32+F390*Scoring!$E$32+G390/Scoring!$F$32+H390*Scoring!$G$32+I390*Scoring!$H$32+K390*Scoring!$I$32+RB!L390*Scoring!$J$32</f>
        <v>0</v>
      </c>
      <c r="W390" s="8"/>
      <c r="X390" s="8"/>
      <c r="Y390" s="8"/>
      <c r="Z390" s="8"/>
    </row>
    <row r="391" ht="14.25" customHeight="1">
      <c r="B391" s="1" t="s">
        <v>39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0.1</v>
      </c>
      <c r="K391" s="18">
        <f t="shared" si="1"/>
        <v>0</v>
      </c>
      <c r="L391" s="18">
        <f t="shared" si="2"/>
        <v>0</v>
      </c>
      <c r="M391" s="112"/>
      <c r="N391" s="112"/>
      <c r="O391" s="112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B392" s="1" t="s">
        <v>48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0.1</v>
      </c>
      <c r="K392" s="18">
        <f t="shared" si="1"/>
        <v>0</v>
      </c>
      <c r="L392" s="18">
        <f t="shared" si="2"/>
        <v>0</v>
      </c>
      <c r="M392" s="112"/>
      <c r="N392" s="112"/>
      <c r="O392" s="112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K393" s="18">
        <f t="shared" si="1"/>
        <v>0</v>
      </c>
      <c r="L393" s="18">
        <f t="shared" si="2"/>
        <v>0</v>
      </c>
      <c r="M393" s="112">
        <f>C395*Scoring!$B$32+D395/Scoring!$C$32+E395*Scoring!$D$32+F395*Scoring!$E$32+G395/Scoring!$F$32+H395*Scoring!$G$32+I395*Scoring!$H$32+K395*Scoring!$I$32+RB!L395*Scoring!$J$32+U393</f>
        <v>0</v>
      </c>
      <c r="N393" s="112">
        <f>C393*Scoring!$B$32+D393/Scoring!$C$32+E393*Scoring!$D$32+F393*Scoring!$E$32+G393/Scoring!$F$32+H393*Scoring!$G$32+I393*Scoring!$H$32+K393*Scoring!$I$32+RB!L393*Scoring!$J$32+U393</f>
        <v>0</v>
      </c>
      <c r="O393" s="112">
        <f>C394*Scoring!$B$32+D394/Scoring!$C$32+E394*Scoring!$D$32+F394*Scoring!$E$32+G394/Scoring!$F$32+H394*Scoring!$G$32+I394*Scoring!$H$32+K394*Scoring!$I$32+L394*Scoring!$J$32+U393</f>
        <v>0</v>
      </c>
      <c r="P393" s="8">
        <f>IF(COUNTIF(Rookies!$A:$A,A393)&gt;0,1,0)</f>
        <v>0</v>
      </c>
      <c r="Q393" s="8"/>
      <c r="R393" s="8"/>
      <c r="S393" s="8">
        <f>V393/17</f>
        <v>0</v>
      </c>
      <c r="T393" s="8">
        <f>IF(P393=1,MAX(0,0.258*(14.9-S393)),0)</f>
        <v>0</v>
      </c>
      <c r="U393" s="8">
        <f>T393*17</f>
        <v>0</v>
      </c>
      <c r="V393" s="8">
        <f>C393*Scoring!$B$32+D393/Scoring!$C$32+E393*Scoring!$D$32+F393*Scoring!$E$32+G393/Scoring!$F$32+H393*Scoring!$G$32+I393*Scoring!$H$32+K393*Scoring!$I$32+RB!L393*Scoring!$J$32</f>
        <v>0</v>
      </c>
      <c r="W393" s="8"/>
      <c r="X393" s="8"/>
      <c r="Y393" s="8"/>
      <c r="Z393" s="8"/>
    </row>
    <row r="394" ht="14.25" customHeight="1">
      <c r="K394" s="18">
        <f t="shared" si="1"/>
        <v>0</v>
      </c>
      <c r="L394" s="18">
        <f t="shared" si="2"/>
        <v>0</v>
      </c>
      <c r="M394" s="112"/>
      <c r="N394" s="112"/>
      <c r="O394" s="112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K395" s="18">
        <f t="shared" si="1"/>
        <v>0</v>
      </c>
      <c r="L395" s="18">
        <f t="shared" si="2"/>
        <v>0</v>
      </c>
      <c r="M395" s="112"/>
      <c r="N395" s="112"/>
      <c r="O395" s="112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K396" s="18">
        <f t="shared" si="1"/>
        <v>0</v>
      </c>
      <c r="L396" s="18">
        <f t="shared" si="2"/>
        <v>0</v>
      </c>
      <c r="M396" s="112">
        <f>C398*Scoring!$B$32+D398/Scoring!$C$32+E398*Scoring!$D$32+F398*Scoring!$E$32+G398/Scoring!$F$32+H398*Scoring!$G$32+I398*Scoring!$H$32+K398*Scoring!$I$32+RB!L398*Scoring!$J$32+U396</f>
        <v>0</v>
      </c>
      <c r="N396" s="112">
        <f>C396*Scoring!$B$32+D396/Scoring!$C$32+E396*Scoring!$D$32+F396*Scoring!$E$32+G396/Scoring!$F$32+H396*Scoring!$G$32+I396*Scoring!$H$32+K396*Scoring!$I$32+RB!L396*Scoring!$J$32+U396</f>
        <v>0</v>
      </c>
      <c r="O396" s="112">
        <f>C397*Scoring!$B$32+D397/Scoring!$C$32+E397*Scoring!$D$32+F397*Scoring!$E$32+G397/Scoring!$F$32+H397*Scoring!$G$32+I397*Scoring!$H$32+K397*Scoring!$I$32+L397*Scoring!$J$32+U396</f>
        <v>0</v>
      </c>
      <c r="P396" s="8">
        <f>IF(COUNTIF(Rookies!$A:$A,A396)&gt;0,1,0)</f>
        <v>0</v>
      </c>
      <c r="Q396" s="8"/>
      <c r="R396" s="8"/>
      <c r="S396" s="8">
        <f>V396/17</f>
        <v>0</v>
      </c>
      <c r="T396" s="8">
        <f>IF(P396=1,MAX(0,0.258*(14.9-S396)),0)</f>
        <v>0</v>
      </c>
      <c r="U396" s="8">
        <f>T396*17</f>
        <v>0</v>
      </c>
      <c r="V396" s="8">
        <f>C396*Scoring!$B$32+D396/Scoring!$C$32+E396*Scoring!$D$32+F396*Scoring!$E$32+G396/Scoring!$F$32+H396*Scoring!$G$32+I396*Scoring!$H$32+K396*Scoring!$I$32+RB!L396*Scoring!$J$32</f>
        <v>0</v>
      </c>
      <c r="W396" s="8"/>
      <c r="X396" s="8"/>
      <c r="Y396" s="8"/>
      <c r="Z396" s="8"/>
    </row>
    <row r="397" ht="14.25" customHeight="1">
      <c r="K397" s="18">
        <f t="shared" si="1"/>
        <v>0</v>
      </c>
      <c r="L397" s="18">
        <f t="shared" si="2"/>
        <v>0</v>
      </c>
      <c r="M397" s="112"/>
      <c r="N397" s="112"/>
      <c r="O397" s="112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K398" s="18">
        <f t="shared" si="1"/>
        <v>0</v>
      </c>
      <c r="L398" s="18">
        <f t="shared" si="2"/>
        <v>0</v>
      </c>
      <c r="M398" s="112"/>
      <c r="N398" s="112"/>
      <c r="O398" s="112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K399" s="18">
        <f t="shared" si="1"/>
        <v>0</v>
      </c>
      <c r="L399" s="18">
        <f t="shared" si="2"/>
        <v>0</v>
      </c>
      <c r="M399" s="112">
        <f>C401*Scoring!$B$32+D401/Scoring!$C$32+E401*Scoring!$D$32+F401*Scoring!$E$32+G401/Scoring!$F$32+H401*Scoring!$G$32+I401*Scoring!$H$32+K401*Scoring!$I$32+RB!L401*Scoring!$J$32+U399</f>
        <v>0</v>
      </c>
      <c r="N399" s="112">
        <f>C399*Scoring!$B$32+D399/Scoring!$C$32+E399*Scoring!$D$32+F399*Scoring!$E$32+G399/Scoring!$F$32+H399*Scoring!$G$32+I399*Scoring!$H$32+K399*Scoring!$I$32+RB!L399*Scoring!$J$32+U399</f>
        <v>0</v>
      </c>
      <c r="O399" s="112">
        <f>C400*Scoring!$B$32+D400/Scoring!$C$32+E400*Scoring!$D$32+F400*Scoring!$E$32+G400/Scoring!$F$32+H400*Scoring!$G$32+I400*Scoring!$H$32+K400*Scoring!$I$32+L400*Scoring!$J$32+U399</f>
        <v>0</v>
      </c>
      <c r="P399" s="8">
        <f>IF(COUNTIF(Rookies!$A:$A,A399)&gt;0,1,0)</f>
        <v>0</v>
      </c>
      <c r="Q399" s="8"/>
      <c r="R399" s="8"/>
      <c r="S399" s="8">
        <f>V399/17</f>
        <v>0</v>
      </c>
      <c r="T399" s="8">
        <f>IF(P399=1,MAX(0,0.258*(14.9-S399)),0)</f>
        <v>0</v>
      </c>
      <c r="U399" s="8">
        <f>T399*17</f>
        <v>0</v>
      </c>
      <c r="V399" s="8">
        <f>C399*Scoring!$B$32+D399/Scoring!$C$32+E399*Scoring!$D$32+F399*Scoring!$E$32+G399/Scoring!$F$32+H399*Scoring!$G$32+I399*Scoring!$H$32+K399*Scoring!$I$32+RB!L399*Scoring!$J$32</f>
        <v>0</v>
      </c>
      <c r="W399" s="8"/>
      <c r="X399" s="8"/>
      <c r="Y399" s="8"/>
      <c r="Z399" s="8"/>
    </row>
    <row r="400" ht="14.25" customHeight="1">
      <c r="K400" s="18">
        <f t="shared" si="1"/>
        <v>0</v>
      </c>
      <c r="L400" s="18">
        <f t="shared" si="2"/>
        <v>0</v>
      </c>
      <c r="M400" s="112"/>
      <c r="N400" s="112"/>
      <c r="O400" s="112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K401" s="18">
        <f t="shared" si="1"/>
        <v>0</v>
      </c>
      <c r="L401" s="18">
        <f t="shared" si="2"/>
        <v>0</v>
      </c>
      <c r="M401" s="112"/>
      <c r="N401" s="112"/>
      <c r="O401" s="112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K402" s="18">
        <f t="shared" si="1"/>
        <v>0</v>
      </c>
      <c r="L402" s="18">
        <f t="shared" si="2"/>
        <v>0</v>
      </c>
      <c r="M402" s="112">
        <f>C404*Scoring!$B$32+D404/Scoring!$C$32+E404*Scoring!$D$32+F404*Scoring!$E$32+G404/Scoring!$F$32+H404*Scoring!$G$32+I404*Scoring!$H$32+K404*Scoring!$I$32+RB!L404*Scoring!$J$32+U402</f>
        <v>0</v>
      </c>
      <c r="N402" s="112">
        <f>C402*Scoring!$B$32+D402/Scoring!$C$32+E402*Scoring!$D$32+F402*Scoring!$E$32+G402/Scoring!$F$32+H402*Scoring!$G$32+I402*Scoring!$H$32+K402*Scoring!$I$32+RB!L402*Scoring!$J$32+U402</f>
        <v>0</v>
      </c>
      <c r="O402" s="112">
        <f>C403*Scoring!$B$32+D403/Scoring!$C$32+E403*Scoring!$D$32+F403*Scoring!$E$32+G403/Scoring!$F$32+H403*Scoring!$G$32+I403*Scoring!$H$32+K403*Scoring!$I$32+L403*Scoring!$J$32+U402</f>
        <v>0</v>
      </c>
      <c r="P402" s="8">
        <f>IF(COUNTIF(Rookies!$A:$A,A402)&gt;0,1,0)</f>
        <v>0</v>
      </c>
      <c r="Q402" s="8"/>
      <c r="R402" s="8"/>
      <c r="S402" s="8">
        <f>V402/17</f>
        <v>0</v>
      </c>
      <c r="T402" s="8">
        <f>IF(P402=1,MAX(0,0.258*(14.9-S402)),0)</f>
        <v>0</v>
      </c>
      <c r="U402" s="8">
        <f>T402*17</f>
        <v>0</v>
      </c>
      <c r="V402" s="8">
        <f>C402*Scoring!$B$32+D402/Scoring!$C$32+E402*Scoring!$D$32+F402*Scoring!$E$32+G402/Scoring!$F$32+H402*Scoring!$G$32+I402*Scoring!$H$32+K402*Scoring!$I$32+RB!L402*Scoring!$J$32</f>
        <v>0</v>
      </c>
      <c r="W402" s="8"/>
      <c r="X402" s="8"/>
      <c r="Y402" s="8"/>
      <c r="Z402" s="8"/>
    </row>
    <row r="403" ht="14.25" customHeight="1">
      <c r="K403" s="18">
        <f t="shared" si="1"/>
        <v>0</v>
      </c>
      <c r="L403" s="18">
        <f t="shared" si="2"/>
        <v>0</v>
      </c>
      <c r="M403" s="112"/>
      <c r="N403" s="112"/>
      <c r="O403" s="112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K404" s="18">
        <f t="shared" si="1"/>
        <v>0</v>
      </c>
      <c r="L404" s="18">
        <f t="shared" si="2"/>
        <v>0</v>
      </c>
      <c r="M404" s="112"/>
      <c r="N404" s="112"/>
      <c r="O404" s="112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K405" s="18">
        <f t="shared" si="1"/>
        <v>0</v>
      </c>
      <c r="L405" s="18">
        <f t="shared" si="2"/>
        <v>0</v>
      </c>
      <c r="M405" s="112">
        <f>C407*Scoring!$B$32+D407/Scoring!$C$32+E407*Scoring!$D$32+F407*Scoring!$E$32+G407/Scoring!$F$32+H407*Scoring!$G$32+I407*Scoring!$H$32+K407*Scoring!$I$32+RB!L407*Scoring!$J$32+U405</f>
        <v>0</v>
      </c>
      <c r="N405" s="112">
        <f>C405*Scoring!$B$32+D405/Scoring!$C$32+E405*Scoring!$D$32+F405*Scoring!$E$32+G405/Scoring!$F$32+H405*Scoring!$G$32+I405*Scoring!$H$32+K405*Scoring!$I$32+RB!L405*Scoring!$J$32+U405</f>
        <v>0</v>
      </c>
      <c r="O405" s="112">
        <f>C406*Scoring!$B$32+D406/Scoring!$C$32+E406*Scoring!$D$32+F406*Scoring!$E$32+G406/Scoring!$F$32+H406*Scoring!$G$32+I406*Scoring!$H$32+K406*Scoring!$I$32+L406*Scoring!$J$32+U405</f>
        <v>0</v>
      </c>
      <c r="P405" s="8">
        <f>IF(COUNTIF(Rookies!$A:$A,A405)&gt;0,1,0)</f>
        <v>0</v>
      </c>
      <c r="Q405" s="8"/>
      <c r="R405" s="8"/>
      <c r="S405" s="8">
        <f>V405/17</f>
        <v>0</v>
      </c>
      <c r="T405" s="8">
        <f>IF(P405=1,MAX(0,0.258*(14.9-S405)),0)</f>
        <v>0</v>
      </c>
      <c r="U405" s="8">
        <f>T405*17</f>
        <v>0</v>
      </c>
      <c r="V405" s="8">
        <f>C405*Scoring!$B$32+D405/Scoring!$C$32+E405*Scoring!$D$32+F405*Scoring!$E$32+G405/Scoring!$F$32+H405*Scoring!$G$32+I405*Scoring!$H$32+K405*Scoring!$I$32+RB!L405*Scoring!$J$32</f>
        <v>0</v>
      </c>
      <c r="W405" s="8"/>
      <c r="X405" s="8"/>
      <c r="Y405" s="8"/>
      <c r="Z405" s="8"/>
    </row>
    <row r="406" ht="14.25" customHeight="1">
      <c r="K406" s="18">
        <f t="shared" si="1"/>
        <v>0</v>
      </c>
      <c r="L406" s="18">
        <f t="shared" si="2"/>
        <v>0</v>
      </c>
      <c r="M406" s="112"/>
      <c r="N406" s="112"/>
      <c r="O406" s="112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K407" s="18">
        <f t="shared" si="1"/>
        <v>0</v>
      </c>
      <c r="L407" s="18">
        <f t="shared" si="2"/>
        <v>0</v>
      </c>
      <c r="M407" s="112"/>
      <c r="N407" s="112"/>
      <c r="O407" s="112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K408" s="18">
        <f t="shared" si="1"/>
        <v>0</v>
      </c>
      <c r="L408" s="18">
        <f t="shared" si="2"/>
        <v>0</v>
      </c>
      <c r="M408" s="112">
        <f>C410*Scoring!$B$32+D410/Scoring!$C$32+E410*Scoring!$D$32+F410*Scoring!$E$32+G410/Scoring!$F$32+H410*Scoring!$G$32+I410*Scoring!$H$32+K410*Scoring!$I$32+RB!L410*Scoring!$J$32+U408</f>
        <v>0</v>
      </c>
      <c r="N408" s="112">
        <f>C408*Scoring!$B$32+D408/Scoring!$C$32+E408*Scoring!$D$32+F408*Scoring!$E$32+G408/Scoring!$F$32+H408*Scoring!$G$32+I408*Scoring!$H$32+K408*Scoring!$I$32+RB!L408*Scoring!$J$32+U408</f>
        <v>0</v>
      </c>
      <c r="O408" s="112">
        <f>C409*Scoring!$B$32+D409/Scoring!$C$32+E409*Scoring!$D$32+F409*Scoring!$E$32+G409/Scoring!$F$32+H409*Scoring!$G$32+I409*Scoring!$H$32+K409*Scoring!$I$32+L409*Scoring!$J$32+U408</f>
        <v>0</v>
      </c>
      <c r="P408" s="8">
        <f>IF(COUNTIF(Rookies!$A:$A,A408)&gt;0,1,0)</f>
        <v>0</v>
      </c>
      <c r="Q408" s="8"/>
      <c r="R408" s="8"/>
      <c r="S408" s="8">
        <f>V408/17</f>
        <v>0</v>
      </c>
      <c r="T408" s="8">
        <f>IF(P408=1,MAX(0,0.258*(14.9-S408)),0)</f>
        <v>0</v>
      </c>
      <c r="U408" s="8">
        <f>T408*17</f>
        <v>0</v>
      </c>
      <c r="V408" s="8">
        <f>C408*Scoring!$B$32+D408/Scoring!$C$32+E408*Scoring!$D$32+F408*Scoring!$E$32+G408/Scoring!$F$32+H408*Scoring!$G$32+I408*Scoring!$H$32+K408*Scoring!$I$32+RB!L408*Scoring!$J$32</f>
        <v>0</v>
      </c>
      <c r="W408" s="8"/>
      <c r="X408" s="8"/>
      <c r="Y408" s="8"/>
      <c r="Z408" s="8"/>
    </row>
    <row r="409" ht="14.25" customHeight="1">
      <c r="K409" s="18">
        <f t="shared" si="1"/>
        <v>0</v>
      </c>
      <c r="L409" s="18">
        <f t="shared" si="2"/>
        <v>0</v>
      </c>
      <c r="M409" s="112"/>
      <c r="N409" s="112"/>
      <c r="O409" s="112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K410" s="18">
        <f t="shared" si="1"/>
        <v>0</v>
      </c>
      <c r="L410" s="18">
        <f t="shared" si="2"/>
        <v>0</v>
      </c>
      <c r="M410" s="112"/>
      <c r="N410" s="112"/>
      <c r="O410" s="112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K411" s="18">
        <f t="shared" si="1"/>
        <v>0</v>
      </c>
      <c r="L411" s="18">
        <f t="shared" si="2"/>
        <v>0</v>
      </c>
      <c r="M411" s="112">
        <f>C413*Scoring!$B$32+D413/Scoring!$C$32+E413*Scoring!$D$32+F413*Scoring!$E$32+G413/Scoring!$F$32+H413*Scoring!$G$32+I413*Scoring!$H$32+K413*Scoring!$I$32+RB!L413*Scoring!$J$32+U411</f>
        <v>0</v>
      </c>
      <c r="N411" s="112">
        <f>C411*Scoring!$B$32+D411/Scoring!$C$32+E411*Scoring!$D$32+F411*Scoring!$E$32+G411/Scoring!$F$32+H411*Scoring!$G$32+I411*Scoring!$H$32+K411*Scoring!$I$32+RB!L411*Scoring!$J$32+U411</f>
        <v>0</v>
      </c>
      <c r="O411" s="112">
        <f>C412*Scoring!$B$32+D412/Scoring!$C$32+E412*Scoring!$D$32+F412*Scoring!$E$32+G412/Scoring!$F$32+H412*Scoring!$G$32+I412*Scoring!$H$32+K412*Scoring!$I$32+L412*Scoring!$J$32+U411</f>
        <v>0</v>
      </c>
      <c r="P411" s="8">
        <f>IF(COUNTIF(Rookies!$A:$A,A411)&gt;0,1,0)</f>
        <v>0</v>
      </c>
      <c r="Q411" s="8"/>
      <c r="R411" s="8"/>
      <c r="S411" s="8">
        <f>V411/17</f>
        <v>0</v>
      </c>
      <c r="T411" s="8">
        <f>IF(P411=1,MAX(0,0.258*(14.9-S411)),0)</f>
        <v>0</v>
      </c>
      <c r="U411" s="8">
        <f>T411*17</f>
        <v>0</v>
      </c>
      <c r="V411" s="8">
        <f>C411*Scoring!$B$32+D411/Scoring!$C$32+E411*Scoring!$D$32+F411*Scoring!$E$32+G411/Scoring!$F$32+H411*Scoring!$G$32+I411*Scoring!$H$32+K411*Scoring!$I$32+RB!L411*Scoring!$J$32</f>
        <v>0</v>
      </c>
      <c r="W411" s="8"/>
      <c r="X411" s="8"/>
      <c r="Y411" s="8"/>
      <c r="Z411" s="8"/>
    </row>
    <row r="412" ht="14.25" customHeight="1">
      <c r="K412" s="18">
        <f t="shared" si="1"/>
        <v>0</v>
      </c>
      <c r="L412" s="18">
        <f t="shared" si="2"/>
        <v>0</v>
      </c>
      <c r="M412" s="112"/>
      <c r="N412" s="112"/>
      <c r="O412" s="112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K413" s="18">
        <f t="shared" si="1"/>
        <v>0</v>
      </c>
      <c r="L413" s="18">
        <f t="shared" si="2"/>
        <v>0</v>
      </c>
      <c r="M413" s="112"/>
      <c r="N413" s="112"/>
      <c r="O413" s="112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K414" s="18">
        <f t="shared" si="1"/>
        <v>0</v>
      </c>
      <c r="L414" s="18">
        <f t="shared" si="2"/>
        <v>0</v>
      </c>
      <c r="M414" s="112">
        <f>C416*Scoring!$B$32+D416/Scoring!$C$32+E416*Scoring!$D$32+F416*Scoring!$E$32+G416/Scoring!$F$32+H416*Scoring!$G$32+I416*Scoring!$H$32+K416*Scoring!$I$32+RB!L416*Scoring!$J$32+U414</f>
        <v>0</v>
      </c>
      <c r="N414" s="112">
        <f>C414*Scoring!$B$32+D414/Scoring!$C$32+E414*Scoring!$D$32+F414*Scoring!$E$32+G414/Scoring!$F$32+H414*Scoring!$G$32+I414*Scoring!$H$32+K414*Scoring!$I$32+RB!L414*Scoring!$J$32+U414</f>
        <v>0</v>
      </c>
      <c r="O414" s="112">
        <f>C415*Scoring!$B$32+D415/Scoring!$C$32+E415*Scoring!$D$32+F415*Scoring!$E$32+G415/Scoring!$F$32+H415*Scoring!$G$32+I415*Scoring!$H$32+K415*Scoring!$I$32+L415*Scoring!$J$32+U414</f>
        <v>0</v>
      </c>
      <c r="P414" s="8">
        <f>IF(COUNTIF(Rookies!$A:$A,A414)&gt;0,1,0)</f>
        <v>0</v>
      </c>
      <c r="Q414" s="8"/>
      <c r="R414" s="8"/>
      <c r="S414" s="8">
        <f>V414/17</f>
        <v>0</v>
      </c>
      <c r="T414" s="8">
        <f>IF(P414=1,MAX(0,0.258*(14.9-S414)),0)</f>
        <v>0</v>
      </c>
      <c r="U414" s="8">
        <f>T414*17</f>
        <v>0</v>
      </c>
      <c r="V414" s="8">
        <f>C414*Scoring!$B$32+D414/Scoring!$C$32+E414*Scoring!$D$32+F414*Scoring!$E$32+G414/Scoring!$F$32+H414*Scoring!$G$32+I414*Scoring!$H$32+K414*Scoring!$I$32+RB!L414*Scoring!$J$32</f>
        <v>0</v>
      </c>
      <c r="W414" s="8"/>
      <c r="X414" s="8"/>
      <c r="Y414" s="8"/>
      <c r="Z414" s="8"/>
    </row>
    <row r="415" ht="14.25" customHeight="1">
      <c r="K415" s="18">
        <f t="shared" si="1"/>
        <v>0</v>
      </c>
      <c r="L415" s="18">
        <f t="shared" si="2"/>
        <v>0</v>
      </c>
      <c r="M415" s="112"/>
      <c r="N415" s="112"/>
      <c r="O415" s="112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K416" s="18">
        <f t="shared" si="1"/>
        <v>0</v>
      </c>
      <c r="L416" s="18">
        <f t="shared" si="2"/>
        <v>0</v>
      </c>
      <c r="M416" s="112"/>
      <c r="N416" s="112"/>
      <c r="O416" s="112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K417" s="18">
        <f t="shared" si="1"/>
        <v>0</v>
      </c>
      <c r="L417" s="18">
        <f t="shared" si="2"/>
        <v>0</v>
      </c>
      <c r="M417" s="112">
        <f>C419*Scoring!$B$32+D419/Scoring!$C$32+E419*Scoring!$D$32+F419*Scoring!$E$32+G419/Scoring!$F$32+H419*Scoring!$G$32+I419*Scoring!$H$32+K419*Scoring!$I$32+RB!L419*Scoring!$J$32+U417</f>
        <v>0</v>
      </c>
      <c r="N417" s="112">
        <f>C417*Scoring!$B$32+D417/Scoring!$C$32+E417*Scoring!$D$32+F417*Scoring!$E$32+G417/Scoring!$F$32+H417*Scoring!$G$32+I417*Scoring!$H$32+K417*Scoring!$I$32+RB!L417*Scoring!$J$32+U417</f>
        <v>0</v>
      </c>
      <c r="O417" s="112">
        <f>C418*Scoring!$B$32+D418/Scoring!$C$32+E418*Scoring!$D$32+F418*Scoring!$E$32+G418/Scoring!$F$32+H418*Scoring!$G$32+I418*Scoring!$H$32+K418*Scoring!$I$32+L418*Scoring!$J$32+U417</f>
        <v>0</v>
      </c>
      <c r="P417" s="8">
        <f>IF(COUNTIF(Rookies!$A:$A,A417)&gt;0,1,0)</f>
        <v>0</v>
      </c>
      <c r="Q417" s="8"/>
      <c r="R417" s="8"/>
      <c r="S417" s="8">
        <f>V417/17</f>
        <v>0</v>
      </c>
      <c r="T417" s="8">
        <f>IF(P417=1,MAX(0,0.258*(14.9-S417)),0)</f>
        <v>0</v>
      </c>
      <c r="U417" s="8">
        <f>T417*17</f>
        <v>0</v>
      </c>
      <c r="V417" s="8">
        <f>C417*Scoring!$B$32+D417/Scoring!$C$32+E417*Scoring!$D$32+F417*Scoring!$E$32+G417/Scoring!$F$32+H417*Scoring!$G$32+I417*Scoring!$H$32+K417*Scoring!$I$32+RB!L417*Scoring!$J$32</f>
        <v>0</v>
      </c>
      <c r="W417" s="8"/>
      <c r="X417" s="8"/>
      <c r="Y417" s="8"/>
      <c r="Z417" s="8"/>
    </row>
    <row r="418" ht="14.25" customHeight="1">
      <c r="K418" s="18">
        <f t="shared" si="1"/>
        <v>0</v>
      </c>
      <c r="L418" s="18">
        <f t="shared" si="2"/>
        <v>0</v>
      </c>
      <c r="M418" s="112"/>
      <c r="N418" s="112"/>
      <c r="O418" s="112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K419" s="18">
        <f t="shared" si="1"/>
        <v>0</v>
      </c>
      <c r="L419" s="18">
        <f t="shared" si="2"/>
        <v>0</v>
      </c>
      <c r="M419" s="112"/>
      <c r="N419" s="112"/>
      <c r="O419" s="112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K420" s="18">
        <f t="shared" si="1"/>
        <v>0</v>
      </c>
      <c r="L420" s="18">
        <f t="shared" si="2"/>
        <v>0</v>
      </c>
      <c r="M420" s="112">
        <f>C422*Scoring!$B$32+D422/Scoring!$C$32+E422*Scoring!$D$32+F422*Scoring!$E$32+G422/Scoring!$F$32+H422*Scoring!$G$32+I422*Scoring!$H$32+K422*Scoring!$I$32+RB!L422*Scoring!$J$32+U420</f>
        <v>0</v>
      </c>
      <c r="N420" s="112">
        <f>C420*Scoring!$B$32+D420/Scoring!$C$32+E420*Scoring!$D$32+F420*Scoring!$E$32+G420/Scoring!$F$32+H420*Scoring!$G$32+I420*Scoring!$H$32+K420*Scoring!$I$32+RB!L420*Scoring!$J$32+U420</f>
        <v>0</v>
      </c>
      <c r="O420" s="112">
        <f>C421*Scoring!$B$32+D421/Scoring!$C$32+E421*Scoring!$D$32+F421*Scoring!$E$32+G421/Scoring!$F$32+H421*Scoring!$G$32+I421*Scoring!$H$32+K421*Scoring!$I$32+L421*Scoring!$J$32+U420</f>
        <v>0</v>
      </c>
      <c r="P420" s="8">
        <f>IF(COUNTIF(Rookies!$A:$A,A420)&gt;0,1,0)</f>
        <v>0</v>
      </c>
      <c r="Q420" s="8"/>
      <c r="R420" s="8"/>
      <c r="S420" s="8">
        <f>V420/17</f>
        <v>0</v>
      </c>
      <c r="T420" s="8">
        <f>IF(P420=1,MAX(0,0.258*(14.9-S420)),0)</f>
        <v>0</v>
      </c>
      <c r="U420" s="8">
        <f>T420*17</f>
        <v>0</v>
      </c>
      <c r="V420" s="8">
        <f>C420*Scoring!$B$32+D420/Scoring!$C$32+E420*Scoring!$D$32+F420*Scoring!$E$32+G420/Scoring!$F$32+H420*Scoring!$G$32+I420*Scoring!$H$32+K420*Scoring!$I$32+RB!L420*Scoring!$J$32</f>
        <v>0</v>
      </c>
      <c r="W420" s="8"/>
      <c r="X420" s="8"/>
      <c r="Y420" s="8"/>
      <c r="Z420" s="8"/>
    </row>
    <row r="421" ht="14.25" customHeight="1">
      <c r="K421" s="18">
        <f t="shared" si="1"/>
        <v>0</v>
      </c>
      <c r="L421" s="18">
        <f t="shared" si="2"/>
        <v>0</v>
      </c>
      <c r="M421" s="112"/>
      <c r="N421" s="112"/>
      <c r="O421" s="112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K422" s="18">
        <f t="shared" si="1"/>
        <v>0</v>
      </c>
      <c r="L422" s="18">
        <f t="shared" si="2"/>
        <v>0</v>
      </c>
      <c r="M422" s="112"/>
      <c r="N422" s="112"/>
      <c r="O422" s="112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K423" s="18">
        <f t="shared" si="1"/>
        <v>0</v>
      </c>
      <c r="L423" s="18">
        <f t="shared" si="2"/>
        <v>0</v>
      </c>
      <c r="M423" s="112">
        <f>C425*Scoring!$B$32+D425/Scoring!$C$32+E425*Scoring!$D$32+F425*Scoring!$E$32+G425/Scoring!$F$32+H425*Scoring!$G$32+I425*Scoring!$H$32+K425*Scoring!$I$32+RB!L425*Scoring!$J$32+U423</f>
        <v>0</v>
      </c>
      <c r="N423" s="112">
        <f>C423*Scoring!$B$32+D423/Scoring!$C$32+E423*Scoring!$D$32+F423*Scoring!$E$32+G423/Scoring!$F$32+H423*Scoring!$G$32+I423*Scoring!$H$32+K423*Scoring!$I$32+RB!L423*Scoring!$J$32+U423</f>
        <v>0</v>
      </c>
      <c r="O423" s="112">
        <f>C424*Scoring!$B$32+D424/Scoring!$C$32+E424*Scoring!$D$32+F424*Scoring!$E$32+G424/Scoring!$F$32+H424*Scoring!$G$32+I424*Scoring!$H$32+K424*Scoring!$I$32+L424*Scoring!$J$32+U423</f>
        <v>0</v>
      </c>
      <c r="P423" s="8">
        <f>IF(COUNTIF(Rookies!$A:$A,A423)&gt;0,1,0)</f>
        <v>0</v>
      </c>
      <c r="Q423" s="8"/>
      <c r="R423" s="8"/>
      <c r="S423" s="8">
        <f>V423/17</f>
        <v>0</v>
      </c>
      <c r="T423" s="8">
        <f>IF(P423=1,MAX(0,0.258*(14.9-S423)),0)</f>
        <v>0</v>
      </c>
      <c r="U423" s="8">
        <f>T423*17</f>
        <v>0</v>
      </c>
      <c r="V423" s="8">
        <f>C423*Scoring!$B$32+D423/Scoring!$C$32+E423*Scoring!$D$32+F423*Scoring!$E$32+G423/Scoring!$F$32+H423*Scoring!$G$32+I423*Scoring!$H$32+K423*Scoring!$I$32+RB!L423*Scoring!$J$32</f>
        <v>0</v>
      </c>
      <c r="W423" s="8"/>
      <c r="X423" s="8"/>
      <c r="Y423" s="8"/>
      <c r="Z423" s="8"/>
    </row>
    <row r="424" ht="14.25" customHeight="1">
      <c r="K424" s="18">
        <f t="shared" si="1"/>
        <v>0</v>
      </c>
      <c r="L424" s="18">
        <f t="shared" si="2"/>
        <v>0</v>
      </c>
      <c r="M424" s="112"/>
      <c r="N424" s="112"/>
      <c r="O424" s="112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K425" s="18">
        <f t="shared" si="1"/>
        <v>0</v>
      </c>
      <c r="L425" s="18">
        <f t="shared" si="2"/>
        <v>0</v>
      </c>
      <c r="M425" s="112"/>
      <c r="N425" s="112"/>
      <c r="O425" s="112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K426" s="18">
        <f t="shared" si="1"/>
        <v>0</v>
      </c>
      <c r="L426" s="18">
        <f t="shared" si="2"/>
        <v>0</v>
      </c>
      <c r="M426" s="112">
        <f>C428*Scoring!$B$32+D428/Scoring!$C$32+E428*Scoring!$D$32+F428*Scoring!$E$32+G428/Scoring!$F$32+H428*Scoring!$G$32+I428*Scoring!$H$32+K428*Scoring!$I$32+RB!L428*Scoring!$J$32+U426</f>
        <v>0</v>
      </c>
      <c r="N426" s="112">
        <f>C426*Scoring!$B$32+D426/Scoring!$C$32+E426*Scoring!$D$32+F426*Scoring!$E$32+G426/Scoring!$F$32+H426*Scoring!$G$32+I426*Scoring!$H$32+K426*Scoring!$I$32+RB!L426*Scoring!$J$32+U426</f>
        <v>0</v>
      </c>
      <c r="O426" s="112">
        <f>C427*Scoring!$B$32+D427/Scoring!$C$32+E427*Scoring!$D$32+F427*Scoring!$E$32+G427/Scoring!$F$32+H427*Scoring!$G$32+I427*Scoring!$H$32+K427*Scoring!$I$32+L427*Scoring!$J$32+U426</f>
        <v>0</v>
      </c>
      <c r="P426" s="8">
        <f>IF(COUNTIF(Rookies!$A:$A,A426)&gt;0,1,0)</f>
        <v>0</v>
      </c>
      <c r="Q426" s="8"/>
      <c r="R426" s="8"/>
      <c r="S426" s="8">
        <f>V426/17</f>
        <v>0</v>
      </c>
      <c r="T426" s="8">
        <f>IF(P426=1,MAX(0,0.258*(14.9-S426)),0)</f>
        <v>0</v>
      </c>
      <c r="U426" s="8">
        <f>T426*17</f>
        <v>0</v>
      </c>
      <c r="V426" s="8">
        <f>C426*Scoring!$B$32+D426/Scoring!$C$32+E426*Scoring!$D$32+F426*Scoring!$E$32+G426/Scoring!$F$32+H426*Scoring!$G$32+I426*Scoring!$H$32+K426*Scoring!$I$32+RB!L426*Scoring!$J$32</f>
        <v>0</v>
      </c>
      <c r="W426" s="8"/>
      <c r="X426" s="8"/>
      <c r="Y426" s="8"/>
      <c r="Z426" s="8"/>
    </row>
    <row r="427" ht="14.25" customHeight="1">
      <c r="K427" s="18">
        <f t="shared" si="1"/>
        <v>0</v>
      </c>
      <c r="L427" s="18">
        <f t="shared" si="2"/>
        <v>0</v>
      </c>
      <c r="M427" s="112"/>
      <c r="N427" s="112"/>
      <c r="O427" s="112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K428" s="18">
        <f t="shared" si="1"/>
        <v>0</v>
      </c>
      <c r="L428" s="18">
        <f t="shared" si="2"/>
        <v>0</v>
      </c>
      <c r="M428" s="112"/>
      <c r="N428" s="112"/>
      <c r="O428" s="112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K429" s="18">
        <f t="shared" si="1"/>
        <v>0</v>
      </c>
      <c r="L429" s="18">
        <f t="shared" si="2"/>
        <v>0</v>
      </c>
      <c r="M429" s="112">
        <f>C431*Scoring!$B$32+D431/Scoring!$C$32+E431*Scoring!$D$32+F431*Scoring!$E$32+G431/Scoring!$F$32+H431*Scoring!$G$32+I431*Scoring!$H$32+K431*Scoring!$I$32+RB!L431*Scoring!$J$32+U429</f>
        <v>0</v>
      </c>
      <c r="N429" s="112">
        <f>C429*Scoring!$B$32+D429/Scoring!$C$32+E429*Scoring!$D$32+F429*Scoring!$E$32+G429/Scoring!$F$32+H429*Scoring!$G$32+I429*Scoring!$H$32+K429*Scoring!$I$32+RB!L429*Scoring!$J$32+U429</f>
        <v>0</v>
      </c>
      <c r="O429" s="112">
        <f>C430*Scoring!$B$32+D430/Scoring!$C$32+E430*Scoring!$D$32+F430*Scoring!$E$32+G430/Scoring!$F$32+H430*Scoring!$G$32+I430*Scoring!$H$32+K430*Scoring!$I$32+L430*Scoring!$J$32+U429</f>
        <v>0</v>
      </c>
      <c r="P429" s="8">
        <f>IF(COUNTIF(Rookies!$A:$A,A429)&gt;0,1,0)</f>
        <v>0</v>
      </c>
      <c r="Q429" s="8"/>
      <c r="R429" s="8"/>
      <c r="S429" s="8">
        <f>V429/17</f>
        <v>0</v>
      </c>
      <c r="T429" s="8">
        <f>IF(P429=1,MAX(0,0.258*(14.9-S429)),0)</f>
        <v>0</v>
      </c>
      <c r="U429" s="8">
        <f>T429*17</f>
        <v>0</v>
      </c>
      <c r="V429" s="8">
        <f>C429*Scoring!$B$32+D429/Scoring!$C$32+E429*Scoring!$D$32+F429*Scoring!$E$32+G429/Scoring!$F$32+H429*Scoring!$G$32+I429*Scoring!$H$32+K429*Scoring!$I$32+RB!L429*Scoring!$J$32</f>
        <v>0</v>
      </c>
      <c r="W429" s="8"/>
      <c r="X429" s="8"/>
      <c r="Y429" s="8"/>
      <c r="Z429" s="8"/>
    </row>
    <row r="430" ht="14.25" customHeight="1">
      <c r="K430" s="18">
        <f t="shared" si="1"/>
        <v>0</v>
      </c>
      <c r="L430" s="18">
        <f t="shared" si="2"/>
        <v>0</v>
      </c>
      <c r="M430" s="112"/>
      <c r="N430" s="112"/>
      <c r="O430" s="112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K431" s="18">
        <f t="shared" si="1"/>
        <v>0</v>
      </c>
      <c r="L431" s="18">
        <f t="shared" si="2"/>
        <v>0</v>
      </c>
      <c r="M431" s="112"/>
      <c r="N431" s="112"/>
      <c r="O431" s="112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K432" s="18">
        <f t="shared" si="1"/>
        <v>0</v>
      </c>
      <c r="L432" s="18">
        <f t="shared" si="2"/>
        <v>0</v>
      </c>
      <c r="M432" s="112">
        <f>C434*Scoring!$B$32+D434/Scoring!$C$32+E434*Scoring!$D$32+F434*Scoring!$E$32+G434/Scoring!$F$32+H434*Scoring!$G$32+I434*Scoring!$H$32+K434*Scoring!$I$32+RB!L434*Scoring!$J$32+U432</f>
        <v>0</v>
      </c>
      <c r="N432" s="112">
        <f>C432*Scoring!$B$32+D432/Scoring!$C$32+E432*Scoring!$D$32+F432*Scoring!$E$32+G432/Scoring!$F$32+H432*Scoring!$G$32+I432*Scoring!$H$32+K432*Scoring!$I$32+RB!L432*Scoring!$J$32+U432</f>
        <v>0</v>
      </c>
      <c r="O432" s="112">
        <f>C433*Scoring!$B$32+D433/Scoring!$C$32+E433*Scoring!$D$32+F433*Scoring!$E$32+G433/Scoring!$F$32+H433*Scoring!$G$32+I433*Scoring!$H$32+K433*Scoring!$I$32+L433*Scoring!$J$32+U432</f>
        <v>0</v>
      </c>
      <c r="P432" s="8">
        <f>IF(COUNTIF(Rookies!$A:$A,A432)&gt;0,1,0)</f>
        <v>0</v>
      </c>
      <c r="Q432" s="8"/>
      <c r="R432" s="8"/>
      <c r="S432" s="8">
        <f>V432/17</f>
        <v>0</v>
      </c>
      <c r="T432" s="8">
        <f>IF(P432=1,MAX(0,0.258*(14.9-S432)),0)</f>
        <v>0</v>
      </c>
      <c r="U432" s="8">
        <f>T432*17</f>
        <v>0</v>
      </c>
      <c r="V432" s="8">
        <f>C432*Scoring!$B$32+D432/Scoring!$C$32+E432*Scoring!$D$32+F432*Scoring!$E$32+G432/Scoring!$F$32+H432*Scoring!$G$32+I432*Scoring!$H$32+K432*Scoring!$I$32+RB!L432*Scoring!$J$32</f>
        <v>0</v>
      </c>
      <c r="W432" s="8"/>
      <c r="X432" s="8"/>
      <c r="Y432" s="8"/>
      <c r="Z432" s="8"/>
    </row>
    <row r="433" ht="14.25" customHeight="1">
      <c r="K433" s="18">
        <f t="shared" si="1"/>
        <v>0</v>
      </c>
      <c r="L433" s="18">
        <f t="shared" si="2"/>
        <v>0</v>
      </c>
      <c r="M433" s="112"/>
      <c r="N433" s="112"/>
      <c r="O433" s="112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K434" s="18">
        <f t="shared" si="1"/>
        <v>0</v>
      </c>
      <c r="L434" s="18">
        <f t="shared" si="2"/>
        <v>0</v>
      </c>
      <c r="M434" s="112"/>
      <c r="N434" s="112"/>
      <c r="O434" s="112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K435" s="18">
        <f t="shared" si="1"/>
        <v>0</v>
      </c>
      <c r="L435" s="18">
        <f t="shared" si="2"/>
        <v>0</v>
      </c>
      <c r="M435" s="112">
        <f>C437*Scoring!$B$32+D437/Scoring!$C$32+E437*Scoring!$D$32+F437*Scoring!$E$32+G437/Scoring!$F$32+H437*Scoring!$G$32+I437*Scoring!$H$32+K437*Scoring!$I$32+RB!L437*Scoring!$J$32+U435</f>
        <v>0</v>
      </c>
      <c r="N435" s="112">
        <f>C435*Scoring!$B$32+D435/Scoring!$C$32+E435*Scoring!$D$32+F435*Scoring!$E$32+G435/Scoring!$F$32+H435*Scoring!$G$32+I435*Scoring!$H$32+K435*Scoring!$I$32+RB!L435*Scoring!$J$32+U435</f>
        <v>0</v>
      </c>
      <c r="O435" s="112">
        <f>C436*Scoring!$B$32+D436/Scoring!$C$32+E436*Scoring!$D$32+F436*Scoring!$E$32+G436/Scoring!$F$32+H436*Scoring!$G$32+I436*Scoring!$H$32+K436*Scoring!$I$32+L436*Scoring!$J$32+U435</f>
        <v>0</v>
      </c>
      <c r="P435" s="8">
        <f>IF(COUNTIF(Rookies!$A:$A,A435)&gt;0,1,0)</f>
        <v>0</v>
      </c>
      <c r="Q435" s="8"/>
      <c r="R435" s="8"/>
      <c r="S435" s="8">
        <f>V435/17</f>
        <v>0</v>
      </c>
      <c r="T435" s="8">
        <f>IF(P435=1,MAX(0,0.258*(14.9-S435)),0)</f>
        <v>0</v>
      </c>
      <c r="U435" s="8">
        <f>T435*17</f>
        <v>0</v>
      </c>
      <c r="V435" s="8">
        <f>C435*Scoring!$B$32+D435/Scoring!$C$32+E435*Scoring!$D$32+F435*Scoring!$E$32+G435/Scoring!$F$32+H435*Scoring!$G$32+I435*Scoring!$H$32+K435*Scoring!$I$32+RB!L435*Scoring!$J$32</f>
        <v>0</v>
      </c>
      <c r="W435" s="8"/>
      <c r="X435" s="8"/>
      <c r="Y435" s="8"/>
      <c r="Z435" s="8"/>
    </row>
    <row r="436" ht="14.25" customHeight="1">
      <c r="K436" s="18">
        <f t="shared" si="1"/>
        <v>0</v>
      </c>
      <c r="L436" s="18">
        <f t="shared" si="2"/>
        <v>0</v>
      </c>
      <c r="M436" s="112"/>
      <c r="N436" s="112"/>
      <c r="O436" s="112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K437" s="18">
        <f t="shared" si="1"/>
        <v>0</v>
      </c>
      <c r="L437" s="18">
        <f t="shared" si="2"/>
        <v>0</v>
      </c>
      <c r="M437" s="112"/>
      <c r="N437" s="112"/>
      <c r="O437" s="112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K438" s="18">
        <f t="shared" si="1"/>
        <v>0</v>
      </c>
      <c r="L438" s="18">
        <f t="shared" si="2"/>
        <v>0</v>
      </c>
      <c r="M438" s="112">
        <f>C440*Scoring!$B$32+D440/Scoring!$C$32+E440*Scoring!$D$32+F440*Scoring!$E$32+G440/Scoring!$F$32+H440*Scoring!$G$32+I440*Scoring!$H$32+K440*Scoring!$I$32+RB!L440*Scoring!$J$32+U438</f>
        <v>0</v>
      </c>
      <c r="N438" s="112">
        <f>C438*Scoring!$B$32+D438/Scoring!$C$32+E438*Scoring!$D$32+F438*Scoring!$E$32+G438/Scoring!$F$32+H438*Scoring!$G$32+I438*Scoring!$H$32+K438*Scoring!$I$32+RB!L438*Scoring!$J$32+U438</f>
        <v>0</v>
      </c>
      <c r="O438" s="112">
        <f>C439*Scoring!$B$32+D439/Scoring!$C$32+E439*Scoring!$D$32+F439*Scoring!$E$32+G439/Scoring!$F$32+H439*Scoring!$G$32+I439*Scoring!$H$32+K439*Scoring!$I$32+L439*Scoring!$J$32+U438</f>
        <v>0</v>
      </c>
      <c r="P438" s="8">
        <f>IF(COUNTIF(Rookies!$A:$A,A438)&gt;0,1,0)</f>
        <v>0</v>
      </c>
      <c r="Q438" s="8"/>
      <c r="R438" s="8"/>
      <c r="S438" s="8">
        <f>V438/17</f>
        <v>0</v>
      </c>
      <c r="T438" s="8">
        <f>IF(P438=1,MAX(0,0.258*(14.9-S438)),0)</f>
        <v>0</v>
      </c>
      <c r="U438" s="8">
        <f>T438*17</f>
        <v>0</v>
      </c>
      <c r="V438" s="8">
        <f>C438*Scoring!$B$32+D438/Scoring!$C$32+E438*Scoring!$D$32+F438*Scoring!$E$32+G438/Scoring!$F$32+H438*Scoring!$G$32+I438*Scoring!$H$32+K438*Scoring!$I$32+RB!L438*Scoring!$J$32</f>
        <v>0</v>
      </c>
      <c r="W438" s="8"/>
      <c r="X438" s="8"/>
      <c r="Y438" s="8"/>
      <c r="Z438" s="8"/>
    </row>
    <row r="439" ht="14.25" customHeight="1">
      <c r="K439" s="18">
        <f t="shared" si="1"/>
        <v>0</v>
      </c>
      <c r="L439" s="18">
        <f t="shared" si="2"/>
        <v>0</v>
      </c>
      <c r="M439" s="112"/>
      <c r="N439" s="112"/>
      <c r="O439" s="112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K440" s="18">
        <f t="shared" si="1"/>
        <v>0</v>
      </c>
      <c r="L440" s="18">
        <f t="shared" si="2"/>
        <v>0</v>
      </c>
      <c r="M440" s="112"/>
      <c r="N440" s="112"/>
      <c r="O440" s="112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K441" s="18">
        <f t="shared" si="1"/>
        <v>0</v>
      </c>
      <c r="L441" s="18">
        <f t="shared" si="2"/>
        <v>0</v>
      </c>
      <c r="M441" s="112">
        <f>C443*Scoring!$B$32+D443/Scoring!$C$32+E443*Scoring!$D$32+F443*Scoring!$E$32+G443/Scoring!$F$32+H443*Scoring!$G$32+I443*Scoring!$H$32+K443*Scoring!$I$32+RB!L443*Scoring!$J$32+U441</f>
        <v>0</v>
      </c>
      <c r="N441" s="112">
        <f>C441*Scoring!$B$32+D441/Scoring!$C$32+E441*Scoring!$D$32+F441*Scoring!$E$32+G441/Scoring!$F$32+H441*Scoring!$G$32+I441*Scoring!$H$32+K441*Scoring!$I$32+RB!L441*Scoring!$J$32+U441</f>
        <v>0</v>
      </c>
      <c r="O441" s="112">
        <f>C442*Scoring!$B$32+D442/Scoring!$C$32+E442*Scoring!$D$32+F442*Scoring!$E$32+G442/Scoring!$F$32+H442*Scoring!$G$32+I442*Scoring!$H$32+K442*Scoring!$I$32+L442*Scoring!$J$32+U441</f>
        <v>0</v>
      </c>
      <c r="P441" s="8">
        <f>IF(COUNTIF(Rookies!$A:$A,A441)&gt;0,1,0)</f>
        <v>0</v>
      </c>
      <c r="Q441" s="8"/>
      <c r="R441" s="8"/>
      <c r="S441" s="8">
        <f>V441/17</f>
        <v>0</v>
      </c>
      <c r="T441" s="8">
        <f>IF(P441=1,MAX(0,0.258*(14.9-S441)),0)</f>
        <v>0</v>
      </c>
      <c r="U441" s="8">
        <f>T441*17</f>
        <v>0</v>
      </c>
      <c r="V441" s="8">
        <f>C441*Scoring!$B$32+D441/Scoring!$C$32+E441*Scoring!$D$32+F441*Scoring!$E$32+G441/Scoring!$F$32+H441*Scoring!$G$32+I441*Scoring!$H$32+K441*Scoring!$I$32+RB!L441*Scoring!$J$32</f>
        <v>0</v>
      </c>
      <c r="W441" s="8"/>
      <c r="X441" s="8"/>
      <c r="Y441" s="8"/>
      <c r="Z441" s="8"/>
    </row>
    <row r="442" ht="14.25" customHeight="1">
      <c r="K442" s="18">
        <f t="shared" si="1"/>
        <v>0</v>
      </c>
      <c r="L442" s="18">
        <f t="shared" si="2"/>
        <v>0</v>
      </c>
      <c r="M442" s="112"/>
      <c r="N442" s="112"/>
      <c r="O442" s="112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K443" s="18">
        <f t="shared" si="1"/>
        <v>0</v>
      </c>
      <c r="L443" s="18">
        <f t="shared" si="2"/>
        <v>0</v>
      </c>
      <c r="M443" s="112"/>
      <c r="N443" s="112"/>
      <c r="O443" s="112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K444" s="18">
        <f t="shared" si="1"/>
        <v>0</v>
      </c>
      <c r="L444" s="18">
        <f t="shared" si="2"/>
        <v>0</v>
      </c>
      <c r="M444" s="112">
        <f>C446*Scoring!$B$32+D446/Scoring!$C$32+E446*Scoring!$D$32+F446*Scoring!$E$32+G446/Scoring!$F$32+H446*Scoring!$G$32+I446*Scoring!$H$32+K446*Scoring!$I$32+RB!L446*Scoring!$J$32+U444</f>
        <v>0</v>
      </c>
      <c r="N444" s="112">
        <f>C444*Scoring!$B$32+D444/Scoring!$C$32+E444*Scoring!$D$32+F444*Scoring!$E$32+G444/Scoring!$F$32+H444*Scoring!$G$32+I444*Scoring!$H$32+K444*Scoring!$I$32+RB!L444*Scoring!$J$32+U444</f>
        <v>0</v>
      </c>
      <c r="O444" s="112">
        <f>C445*Scoring!$B$32+D445/Scoring!$C$32+E445*Scoring!$D$32+F445*Scoring!$E$32+G445/Scoring!$F$32+H445*Scoring!$G$32+I445*Scoring!$H$32+K445*Scoring!$I$32+L445*Scoring!$J$32+U444</f>
        <v>0</v>
      </c>
      <c r="P444" s="8">
        <f>IF(COUNTIF(Rookies!$A:$A,A444)&gt;0,1,0)</f>
        <v>0</v>
      </c>
      <c r="Q444" s="8"/>
      <c r="R444" s="8"/>
      <c r="S444" s="8">
        <f>V444/17</f>
        <v>0</v>
      </c>
      <c r="T444" s="8">
        <f>IF(P444=1,MAX(0,0.258*(14.9-S444)),0)</f>
        <v>0</v>
      </c>
      <c r="U444" s="8">
        <f>T444*17</f>
        <v>0</v>
      </c>
      <c r="V444" s="8">
        <f>C444*Scoring!$B$32+D444/Scoring!$C$32+E444*Scoring!$D$32+F444*Scoring!$E$32+G444/Scoring!$F$32+H444*Scoring!$G$32+I444*Scoring!$H$32+K444*Scoring!$I$32+RB!L444*Scoring!$J$32</f>
        <v>0</v>
      </c>
      <c r="W444" s="8"/>
      <c r="X444" s="8"/>
      <c r="Y444" s="8"/>
      <c r="Z444" s="8"/>
    </row>
    <row r="445" ht="14.25" customHeight="1">
      <c r="K445" s="18">
        <f t="shared" si="1"/>
        <v>0</v>
      </c>
      <c r="L445" s="18">
        <f t="shared" si="2"/>
        <v>0</v>
      </c>
      <c r="M445" s="112"/>
      <c r="N445" s="112"/>
      <c r="O445" s="112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K446" s="18">
        <f t="shared" si="1"/>
        <v>0</v>
      </c>
      <c r="L446" s="18">
        <f t="shared" si="2"/>
        <v>0</v>
      </c>
      <c r="M446" s="112"/>
      <c r="N446" s="112"/>
      <c r="O446" s="112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K447" s="18">
        <f t="shared" si="1"/>
        <v>0</v>
      </c>
      <c r="L447" s="18">
        <f t="shared" si="2"/>
        <v>0</v>
      </c>
      <c r="M447" s="112">
        <f>C449*Scoring!$B$32+D449/Scoring!$C$32+E449*Scoring!$D$32+F449*Scoring!$E$32+G449/Scoring!$F$32+H449*Scoring!$G$32+I449*Scoring!$H$32+K449*Scoring!$I$32+RB!L449*Scoring!$J$32+U447</f>
        <v>0</v>
      </c>
      <c r="N447" s="112">
        <f>C447*Scoring!$B$32+D447/Scoring!$C$32+E447*Scoring!$D$32+F447*Scoring!$E$32+G447/Scoring!$F$32+H447*Scoring!$G$32+I447*Scoring!$H$32+K447*Scoring!$I$32+RB!L447*Scoring!$J$32+U447</f>
        <v>0</v>
      </c>
      <c r="O447" s="112">
        <f>C448*Scoring!$B$32+D448/Scoring!$C$32+E448*Scoring!$D$32+F448*Scoring!$E$32+G448/Scoring!$F$32+H448*Scoring!$G$32+I448*Scoring!$H$32+K448*Scoring!$I$32+L448*Scoring!$J$32+U447</f>
        <v>0</v>
      </c>
      <c r="P447" s="8">
        <f>IF(COUNTIF(Rookies!$A:$A,A447)&gt;0,1,0)</f>
        <v>0</v>
      </c>
      <c r="Q447" s="8"/>
      <c r="R447" s="8"/>
      <c r="S447" s="8">
        <f>V447/17</f>
        <v>0</v>
      </c>
      <c r="T447" s="8">
        <f>IF(P447=1,MAX(0,0.258*(14.9-S447)),0)</f>
        <v>0</v>
      </c>
      <c r="U447" s="8">
        <f>T447*17</f>
        <v>0</v>
      </c>
      <c r="V447" s="8">
        <f>C447*Scoring!$B$32+D447/Scoring!$C$32+E447*Scoring!$D$32+F447*Scoring!$E$32+G447/Scoring!$F$32+H447*Scoring!$G$32+I447*Scoring!$H$32+K447*Scoring!$I$32+RB!L447*Scoring!$J$32</f>
        <v>0</v>
      </c>
      <c r="W447" s="8"/>
      <c r="X447" s="8"/>
      <c r="Y447" s="8"/>
      <c r="Z447" s="8"/>
    </row>
    <row r="448" ht="14.25" customHeight="1">
      <c r="K448" s="18">
        <f t="shared" si="1"/>
        <v>0</v>
      </c>
      <c r="L448" s="18">
        <f t="shared" si="2"/>
        <v>0</v>
      </c>
      <c r="M448" s="112"/>
      <c r="N448" s="112"/>
      <c r="O448" s="112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K449" s="18">
        <f t="shared" si="1"/>
        <v>0</v>
      </c>
      <c r="L449" s="18">
        <f t="shared" si="2"/>
        <v>0</v>
      </c>
      <c r="M449" s="112"/>
      <c r="N449" s="112"/>
      <c r="O449" s="112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K450" s="18">
        <f t="shared" si="1"/>
        <v>0</v>
      </c>
      <c r="L450" s="18">
        <f t="shared" si="2"/>
        <v>0</v>
      </c>
      <c r="M450" s="112">
        <f>C452*Scoring!$B$32+D452/Scoring!$C$32+E452*Scoring!$D$32+F452*Scoring!$E$32+G452/Scoring!$F$32+H452*Scoring!$G$32+I452*Scoring!$H$32+K452*Scoring!$I$32+RB!L452*Scoring!$J$32+U450</f>
        <v>0</v>
      </c>
      <c r="N450" s="112">
        <f>C450*Scoring!$B$32+D450/Scoring!$C$32+E450*Scoring!$D$32+F450*Scoring!$E$32+G450/Scoring!$F$32+H450*Scoring!$G$32+I450*Scoring!$H$32+K450*Scoring!$I$32+RB!L450*Scoring!$J$32+U450</f>
        <v>0</v>
      </c>
      <c r="O450" s="112">
        <f>C451*Scoring!$B$32+D451/Scoring!$C$32+E451*Scoring!$D$32+F451*Scoring!$E$32+G451/Scoring!$F$32+H451*Scoring!$G$32+I451*Scoring!$H$32+K451*Scoring!$I$32+L451*Scoring!$J$32+U450</f>
        <v>0</v>
      </c>
      <c r="P450" s="8">
        <f>IF(COUNTIF(Rookies!$A:$A,A450)&gt;0,1,0)</f>
        <v>0</v>
      </c>
      <c r="Q450" s="8"/>
      <c r="R450" s="8"/>
      <c r="S450" s="8">
        <f>V450/17</f>
        <v>0</v>
      </c>
      <c r="T450" s="8">
        <f>IF(P450=1,MAX(0,0.258*(14.9-S450)),0)</f>
        <v>0</v>
      </c>
      <c r="U450" s="8">
        <f>T450*17</f>
        <v>0</v>
      </c>
      <c r="V450" s="8">
        <f>C450*Scoring!$B$32+D450/Scoring!$C$32+E450*Scoring!$D$32+F450*Scoring!$E$32+G450/Scoring!$F$32+H450*Scoring!$G$32+I450*Scoring!$H$32+K450*Scoring!$I$32+RB!L450*Scoring!$J$32</f>
        <v>0</v>
      </c>
      <c r="W450" s="8"/>
      <c r="X450" s="8"/>
      <c r="Y450" s="8"/>
      <c r="Z450" s="8"/>
    </row>
    <row r="451" ht="14.25" customHeight="1">
      <c r="K451" s="18">
        <f t="shared" si="1"/>
        <v>0</v>
      </c>
      <c r="L451" s="18">
        <f t="shared" si="2"/>
        <v>0</v>
      </c>
      <c r="M451" s="112"/>
      <c r="N451" s="112"/>
      <c r="O451" s="112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K452" s="18">
        <f t="shared" si="1"/>
        <v>0</v>
      </c>
      <c r="L452" s="18">
        <f t="shared" si="2"/>
        <v>0</v>
      </c>
      <c r="M452" s="112"/>
      <c r="N452" s="112"/>
      <c r="O452" s="112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K453" s="18">
        <f t="shared" si="1"/>
        <v>0</v>
      </c>
      <c r="L453" s="18">
        <f t="shared" si="2"/>
        <v>0</v>
      </c>
      <c r="M453" s="112">
        <f>C455*Scoring!$B$32+D455/Scoring!$C$32+E455*Scoring!$D$32+F455*Scoring!$E$32+G455/Scoring!$F$32+H455*Scoring!$G$32+I455*Scoring!$H$32+K455*Scoring!$I$32+RB!L455*Scoring!$J$32+U453</f>
        <v>0</v>
      </c>
      <c r="N453" s="112">
        <f>C453*Scoring!$B$32+D453/Scoring!$C$32+E453*Scoring!$D$32+F453*Scoring!$E$32+G453/Scoring!$F$32+H453*Scoring!$G$32+I453*Scoring!$H$32+K453*Scoring!$I$32+RB!L453*Scoring!$J$32+U453</f>
        <v>0</v>
      </c>
      <c r="O453" s="112">
        <f>C454*Scoring!$B$32+D454/Scoring!$C$32+E454*Scoring!$D$32+F454*Scoring!$E$32+G454/Scoring!$F$32+H454*Scoring!$G$32+I454*Scoring!$H$32+K454*Scoring!$I$32+L454*Scoring!$J$32+U453</f>
        <v>0</v>
      </c>
      <c r="P453" s="8">
        <f>IF(COUNTIF(Rookies!$A:$A,A453)&gt;0,1,0)</f>
        <v>0</v>
      </c>
      <c r="Q453" s="8"/>
      <c r="R453" s="8"/>
      <c r="S453" s="8">
        <f>V453/17</f>
        <v>0</v>
      </c>
      <c r="T453" s="8">
        <f>IF(P453=1,MAX(0,0.258*(14.9-S453)),0)</f>
        <v>0</v>
      </c>
      <c r="U453" s="8">
        <f>T453*17</f>
        <v>0</v>
      </c>
      <c r="V453" s="8">
        <f>C453*Scoring!$B$32+D453/Scoring!$C$32+E453*Scoring!$D$32+F453*Scoring!$E$32+G453/Scoring!$F$32+H453*Scoring!$G$32+I453*Scoring!$H$32+K453*Scoring!$I$32+RB!L453*Scoring!$J$32</f>
        <v>0</v>
      </c>
      <c r="W453" s="8"/>
      <c r="X453" s="8"/>
      <c r="Y453" s="8"/>
      <c r="Z453" s="8"/>
    </row>
    <row r="454" ht="14.25" customHeight="1">
      <c r="K454" s="18">
        <f t="shared" si="1"/>
        <v>0</v>
      </c>
      <c r="L454" s="18">
        <f t="shared" si="2"/>
        <v>0</v>
      </c>
      <c r="M454" s="112"/>
      <c r="N454" s="112"/>
      <c r="O454" s="112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K455" s="18">
        <f t="shared" si="1"/>
        <v>0</v>
      </c>
      <c r="L455" s="18">
        <f t="shared" si="2"/>
        <v>0</v>
      </c>
      <c r="M455" s="112"/>
      <c r="N455" s="112"/>
      <c r="O455" s="112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K456" s="18">
        <f t="shared" si="1"/>
        <v>0</v>
      </c>
      <c r="L456" s="18">
        <f t="shared" si="2"/>
        <v>0</v>
      </c>
      <c r="M456" s="112">
        <f>C458*Scoring!$B$32+D458/Scoring!$C$32+E458*Scoring!$D$32+F458*Scoring!$E$32+G458/Scoring!$F$32+H458*Scoring!$G$32+I458*Scoring!$H$32+K458*Scoring!$I$32+RB!L458*Scoring!$J$32+U456</f>
        <v>0</v>
      </c>
      <c r="N456" s="112">
        <f>C456*Scoring!$B$32+D456/Scoring!$C$32+E456*Scoring!$D$32+F456*Scoring!$E$32+G456/Scoring!$F$32+H456*Scoring!$G$32+I456*Scoring!$H$32+K456*Scoring!$I$32+RB!L456*Scoring!$J$32+U456</f>
        <v>0</v>
      </c>
      <c r="O456" s="112">
        <f>C457*Scoring!$B$32+D457/Scoring!$C$32+E457*Scoring!$D$32+F457*Scoring!$E$32+G457/Scoring!$F$32+H457*Scoring!$G$32+I457*Scoring!$H$32+K457*Scoring!$I$32+L457*Scoring!$J$32+U456</f>
        <v>0</v>
      </c>
      <c r="P456" s="8">
        <f>IF(COUNTIF(Rookies!$A:$A,A456)&gt;0,1,0)</f>
        <v>0</v>
      </c>
      <c r="Q456" s="8"/>
      <c r="R456" s="8"/>
      <c r="S456" s="8">
        <f>V456/17</f>
        <v>0</v>
      </c>
      <c r="T456" s="8">
        <f>IF(P456=1,MAX(0,0.258*(14.9-S456)),0)</f>
        <v>0</v>
      </c>
      <c r="U456" s="8">
        <f>T456*17</f>
        <v>0</v>
      </c>
      <c r="V456" s="8">
        <f>C456*Scoring!$B$32+D456/Scoring!$C$32+E456*Scoring!$D$32+F456*Scoring!$E$32+G456/Scoring!$F$32+H456*Scoring!$G$32+I456*Scoring!$H$32+K456*Scoring!$I$32+RB!L456*Scoring!$J$32</f>
        <v>0</v>
      </c>
      <c r="W456" s="8"/>
      <c r="X456" s="8"/>
      <c r="Y456" s="8"/>
      <c r="Z456" s="8"/>
    </row>
    <row r="457" ht="14.25" customHeight="1">
      <c r="K457" s="18">
        <f t="shared" si="1"/>
        <v>0</v>
      </c>
      <c r="L457" s="18">
        <f t="shared" si="2"/>
        <v>0</v>
      </c>
      <c r="M457" s="112"/>
      <c r="N457" s="112"/>
      <c r="O457" s="112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K458" s="18">
        <f t="shared" si="1"/>
        <v>0</v>
      </c>
      <c r="L458" s="18">
        <f t="shared" si="2"/>
        <v>0</v>
      </c>
      <c r="M458" s="112"/>
      <c r="N458" s="112"/>
      <c r="O458" s="112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K459" s="18">
        <f t="shared" si="1"/>
        <v>0</v>
      </c>
      <c r="L459" s="18">
        <f t="shared" si="2"/>
        <v>0</v>
      </c>
      <c r="M459" s="112">
        <f>C461*Scoring!$B$32+D461/Scoring!$C$32+E461*Scoring!$D$32+F461*Scoring!$E$32+G461/Scoring!$F$32+H461*Scoring!$G$32+I461*Scoring!$H$32+K461*Scoring!$I$32+RB!L461*Scoring!$J$32+U459</f>
        <v>0</v>
      </c>
      <c r="N459" s="112">
        <f>C459*Scoring!$B$32+D459/Scoring!$C$32+E459*Scoring!$D$32+F459*Scoring!$E$32+G459/Scoring!$F$32+H459*Scoring!$G$32+I459*Scoring!$H$32+K459*Scoring!$I$32+RB!L459*Scoring!$J$32+U459</f>
        <v>0</v>
      </c>
      <c r="O459" s="112">
        <f>C460*Scoring!$B$32+D460/Scoring!$C$32+E460*Scoring!$D$32+F460*Scoring!$E$32+G460/Scoring!$F$32+H460*Scoring!$G$32+I460*Scoring!$H$32+K460*Scoring!$I$32+L460*Scoring!$J$32+U459</f>
        <v>0</v>
      </c>
      <c r="P459" s="8">
        <f>IF(COUNTIF(Rookies!$A:$A,A459)&gt;0,1,0)</f>
        <v>0</v>
      </c>
      <c r="Q459" s="8"/>
      <c r="R459" s="8"/>
      <c r="S459" s="8">
        <f>V459/17</f>
        <v>0</v>
      </c>
      <c r="T459" s="8">
        <f>IF(P459=1,MAX(0,0.258*(14.9-S459)),0)</f>
        <v>0</v>
      </c>
      <c r="U459" s="8">
        <f>T459*17</f>
        <v>0</v>
      </c>
      <c r="V459" s="8">
        <f>C459*Scoring!$B$32+D459/Scoring!$C$32+E459*Scoring!$D$32+F459*Scoring!$E$32+G459/Scoring!$F$32+H459*Scoring!$G$32+I459*Scoring!$H$32+K459*Scoring!$I$32+RB!L459*Scoring!$J$32</f>
        <v>0</v>
      </c>
      <c r="W459" s="8"/>
      <c r="X459" s="8"/>
      <c r="Y459" s="8"/>
      <c r="Z459" s="8"/>
    </row>
    <row r="460" ht="14.25" customHeight="1">
      <c r="K460" s="18">
        <f t="shared" si="1"/>
        <v>0</v>
      </c>
      <c r="L460" s="18">
        <f t="shared" si="2"/>
        <v>0</v>
      </c>
      <c r="M460" s="112"/>
      <c r="N460" s="112"/>
      <c r="O460" s="112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K461" s="18">
        <f t="shared" si="1"/>
        <v>0</v>
      </c>
      <c r="L461" s="18">
        <f t="shared" si="2"/>
        <v>0</v>
      </c>
      <c r="M461" s="112"/>
      <c r="N461" s="112"/>
      <c r="O461" s="112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K462" s="18">
        <f t="shared" si="1"/>
        <v>0</v>
      </c>
      <c r="L462" s="18">
        <f t="shared" si="2"/>
        <v>0</v>
      </c>
      <c r="M462" s="112">
        <f>C464*Scoring!$B$32+D464/Scoring!$C$32+E464*Scoring!$D$32+F464*Scoring!$E$32+G464/Scoring!$F$32+H464*Scoring!$G$32+I464*Scoring!$H$32+K464*Scoring!$I$32+RB!L464*Scoring!$J$32+U462</f>
        <v>0</v>
      </c>
      <c r="N462" s="112">
        <f>C462*Scoring!$B$32+D462/Scoring!$C$32+E462*Scoring!$D$32+F462*Scoring!$E$32+G462/Scoring!$F$32+H462*Scoring!$G$32+I462*Scoring!$H$32+K462*Scoring!$I$32+RB!L462*Scoring!$J$32+U462</f>
        <v>0</v>
      </c>
      <c r="O462" s="112">
        <f>C463*Scoring!$B$32+D463/Scoring!$C$32+E463*Scoring!$D$32+F463*Scoring!$E$32+G463/Scoring!$F$32+H463*Scoring!$G$32+I463*Scoring!$H$32+K463*Scoring!$I$32+L463*Scoring!$J$32+U462</f>
        <v>0</v>
      </c>
      <c r="P462" s="8">
        <f>IF(COUNTIF(Rookies!$A:$A,A462)&gt;0,1,0)</f>
        <v>0</v>
      </c>
      <c r="Q462" s="8"/>
      <c r="R462" s="8"/>
      <c r="S462" s="8">
        <f>V462/17</f>
        <v>0</v>
      </c>
      <c r="T462" s="8">
        <f>IF(P462=1,MAX(0,0.258*(14.9-S462)),0)</f>
        <v>0</v>
      </c>
      <c r="U462" s="8">
        <f>T462*17</f>
        <v>0</v>
      </c>
      <c r="V462" s="8">
        <f>C462*Scoring!$B$32+D462/Scoring!$C$32+E462*Scoring!$D$32+F462*Scoring!$E$32+G462/Scoring!$F$32+H462*Scoring!$G$32+I462*Scoring!$H$32+K462*Scoring!$I$32+RB!L462*Scoring!$J$32</f>
        <v>0</v>
      </c>
      <c r="W462" s="8"/>
      <c r="X462" s="8"/>
      <c r="Y462" s="8"/>
      <c r="Z462" s="8"/>
    </row>
    <row r="463" ht="14.25" customHeight="1">
      <c r="K463" s="18">
        <f t="shared" si="1"/>
        <v>0</v>
      </c>
      <c r="L463" s="18">
        <f t="shared" si="2"/>
        <v>0</v>
      </c>
      <c r="M463" s="112"/>
      <c r="N463" s="112"/>
      <c r="O463" s="112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K464" s="18">
        <f t="shared" si="1"/>
        <v>0</v>
      </c>
      <c r="L464" s="18">
        <f t="shared" si="2"/>
        <v>0</v>
      </c>
      <c r="M464" s="112"/>
      <c r="N464" s="112"/>
      <c r="O464" s="112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K465" s="18">
        <f t="shared" si="1"/>
        <v>0</v>
      </c>
      <c r="L465" s="18">
        <f t="shared" si="2"/>
        <v>0</v>
      </c>
      <c r="M465" s="112">
        <f>C467*Scoring!$B$32+D467/Scoring!$C$32+E467*Scoring!$D$32+F467*Scoring!$E$32+G467/Scoring!$F$32+H467*Scoring!$G$32+I467*Scoring!$H$32+K467*Scoring!$I$32+RB!L467*Scoring!$J$32+U465</f>
        <v>0</v>
      </c>
      <c r="N465" s="112">
        <f>C465*Scoring!$B$32+D465/Scoring!$C$32+E465*Scoring!$D$32+F465*Scoring!$E$32+G465/Scoring!$F$32+H465*Scoring!$G$32+I465*Scoring!$H$32+K465*Scoring!$I$32+RB!L465*Scoring!$J$32+U465</f>
        <v>0</v>
      </c>
      <c r="O465" s="112">
        <f>C466*Scoring!$B$32+D466/Scoring!$C$32+E466*Scoring!$D$32+F466*Scoring!$E$32+G466/Scoring!$F$32+H466*Scoring!$G$32+I466*Scoring!$H$32+K466*Scoring!$I$32+L466*Scoring!$J$32+U465</f>
        <v>0</v>
      </c>
      <c r="P465" s="8">
        <f>IF(COUNTIF(Rookies!$A:$A,A465)&gt;0,1,0)</f>
        <v>0</v>
      </c>
      <c r="Q465" s="8"/>
      <c r="R465" s="8"/>
      <c r="S465" s="8">
        <f>V465/17</f>
        <v>0</v>
      </c>
      <c r="T465" s="8">
        <f>IF(P465=1,MAX(0,0.258*(14.9-S465)),0)</f>
        <v>0</v>
      </c>
      <c r="U465" s="8">
        <f>T465*17</f>
        <v>0</v>
      </c>
      <c r="V465" s="8">
        <f>C465*Scoring!$B$32+D465/Scoring!$C$32+E465*Scoring!$D$32+F465*Scoring!$E$32+G465/Scoring!$F$32+H465*Scoring!$G$32+I465*Scoring!$H$32+K465*Scoring!$I$32+RB!L465*Scoring!$J$32</f>
        <v>0</v>
      </c>
      <c r="W465" s="8"/>
      <c r="X465" s="8"/>
      <c r="Y465" s="8"/>
      <c r="Z465" s="8"/>
    </row>
    <row r="466" ht="14.25" customHeight="1">
      <c r="K466" s="18">
        <f t="shared" si="1"/>
        <v>0</v>
      </c>
      <c r="L466" s="18">
        <f t="shared" si="2"/>
        <v>0</v>
      </c>
      <c r="M466" s="112"/>
      <c r="N466" s="112"/>
      <c r="O466" s="112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K467" s="18">
        <f t="shared" si="1"/>
        <v>0</v>
      </c>
      <c r="L467" s="18">
        <f t="shared" si="2"/>
        <v>0</v>
      </c>
      <c r="M467" s="112"/>
      <c r="N467" s="112"/>
      <c r="O467" s="112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K468" s="18">
        <f t="shared" si="1"/>
        <v>0</v>
      </c>
      <c r="L468" s="18">
        <f t="shared" si="2"/>
        <v>0</v>
      </c>
      <c r="M468" s="112">
        <f>C470*Scoring!$B$32+D470/Scoring!$C$32+E470*Scoring!$D$32+F470*Scoring!$E$32+G470/Scoring!$F$32+H470*Scoring!$G$32+I470*Scoring!$H$32+K470*Scoring!$I$32+RB!L470*Scoring!$J$32+U468</f>
        <v>0</v>
      </c>
      <c r="N468" s="112">
        <f>C468*Scoring!$B$32+D468/Scoring!$C$32+E468*Scoring!$D$32+F468*Scoring!$E$32+G468/Scoring!$F$32+H468*Scoring!$G$32+I468*Scoring!$H$32+K468*Scoring!$I$32+RB!L468*Scoring!$J$32+U468</f>
        <v>0</v>
      </c>
      <c r="O468" s="112">
        <f>C469*Scoring!$B$32+D469/Scoring!$C$32+E469*Scoring!$D$32+F469*Scoring!$E$32+G469/Scoring!$F$32+H469*Scoring!$G$32+I469*Scoring!$H$32+K469*Scoring!$I$32+L469*Scoring!$J$32+U468</f>
        <v>0</v>
      </c>
      <c r="P468" s="8">
        <f>IF(COUNTIF(Rookies!$A:$A,A468)&gt;0,1,0)</f>
        <v>0</v>
      </c>
      <c r="Q468" s="8"/>
      <c r="R468" s="8"/>
      <c r="S468" s="8">
        <f>V468/17</f>
        <v>0</v>
      </c>
      <c r="T468" s="8">
        <f>IF(P468=1,MAX(0,0.258*(14.9-S468)),0)</f>
        <v>0</v>
      </c>
      <c r="U468" s="8">
        <f>T468*17</f>
        <v>0</v>
      </c>
      <c r="V468" s="8">
        <f>C468*Scoring!$B$32+D468/Scoring!$C$32+E468*Scoring!$D$32+F468*Scoring!$E$32+G468/Scoring!$F$32+H468*Scoring!$G$32+I468*Scoring!$H$32+K468*Scoring!$I$32+RB!L468*Scoring!$J$32</f>
        <v>0</v>
      </c>
      <c r="W468" s="8"/>
      <c r="X468" s="8"/>
      <c r="Y468" s="8"/>
      <c r="Z468" s="8"/>
    </row>
    <row r="469" ht="14.25" customHeight="1">
      <c r="K469" s="18">
        <f t="shared" si="1"/>
        <v>0</v>
      </c>
      <c r="L469" s="18">
        <f t="shared" si="2"/>
        <v>0</v>
      </c>
      <c r="M469" s="112"/>
      <c r="N469" s="112"/>
      <c r="O469" s="112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K470" s="18">
        <f t="shared" si="1"/>
        <v>0</v>
      </c>
      <c r="L470" s="18">
        <f t="shared" si="2"/>
        <v>0</v>
      </c>
      <c r="M470" s="112"/>
      <c r="N470" s="112"/>
      <c r="O470" s="112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K471" s="18">
        <f t="shared" si="1"/>
        <v>0</v>
      </c>
      <c r="L471" s="18">
        <f t="shared" si="2"/>
        <v>0</v>
      </c>
      <c r="M471" s="112">
        <f>C473*Scoring!$B$32+D473/Scoring!$C$32+E473*Scoring!$D$32+F473*Scoring!$E$32+G473/Scoring!$F$32+H473*Scoring!$G$32+I473*Scoring!$H$32+K473*Scoring!$I$32+RB!L473*Scoring!$J$32+U471</f>
        <v>0</v>
      </c>
      <c r="N471" s="112">
        <f>C471*Scoring!$B$32+D471/Scoring!$C$32+E471*Scoring!$D$32+F471*Scoring!$E$32+G471/Scoring!$F$32+H471*Scoring!$G$32+I471*Scoring!$H$32+K471*Scoring!$I$32+RB!L471*Scoring!$J$32+U471</f>
        <v>0</v>
      </c>
      <c r="O471" s="112">
        <f>C472*Scoring!$B$32+D472/Scoring!$C$32+E472*Scoring!$D$32+F472*Scoring!$E$32+G472/Scoring!$F$32+H472*Scoring!$G$32+I472*Scoring!$H$32+K472*Scoring!$I$32+L472*Scoring!$J$32+U471</f>
        <v>0</v>
      </c>
      <c r="P471" s="8">
        <f>IF(COUNTIF(Rookies!$A:$A,A471)&gt;0,1,0)</f>
        <v>0</v>
      </c>
      <c r="Q471" s="8"/>
      <c r="R471" s="8"/>
      <c r="S471" s="8">
        <f>V471/17</f>
        <v>0</v>
      </c>
      <c r="T471" s="8">
        <f>IF(P471=1,MAX(0,0.258*(14.9-S471)),0)</f>
        <v>0</v>
      </c>
      <c r="U471" s="8">
        <f>T471*17</f>
        <v>0</v>
      </c>
      <c r="V471" s="8">
        <f>C471*Scoring!$B$32+D471/Scoring!$C$32+E471*Scoring!$D$32+F471*Scoring!$E$32+G471/Scoring!$F$32+H471*Scoring!$G$32+I471*Scoring!$H$32+K471*Scoring!$I$32+RB!L471*Scoring!$J$32</f>
        <v>0</v>
      </c>
      <c r="W471" s="8"/>
      <c r="X471" s="8"/>
      <c r="Y471" s="8"/>
      <c r="Z471" s="8"/>
    </row>
    <row r="472" ht="14.25" customHeight="1">
      <c r="K472" s="18">
        <f t="shared" si="1"/>
        <v>0</v>
      </c>
      <c r="L472" s="18">
        <f t="shared" si="2"/>
        <v>0</v>
      </c>
      <c r="M472" s="112"/>
      <c r="N472" s="112"/>
      <c r="O472" s="112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K473" s="18">
        <f t="shared" si="1"/>
        <v>0</v>
      </c>
      <c r="L473" s="18">
        <f t="shared" si="2"/>
        <v>0</v>
      </c>
      <c r="M473" s="112"/>
      <c r="N473" s="112"/>
      <c r="O473" s="112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K474" s="18">
        <f t="shared" si="1"/>
        <v>0</v>
      </c>
      <c r="L474" s="18">
        <f t="shared" si="2"/>
        <v>0</v>
      </c>
      <c r="M474" s="112">
        <f>C476*Scoring!$B$32+D476/Scoring!$C$32+E476*Scoring!$D$32+F476*Scoring!$E$32+G476/Scoring!$F$32+H476*Scoring!$G$32+I476*Scoring!$H$32+K476*Scoring!$I$32+RB!L476*Scoring!$J$32</f>
        <v>0</v>
      </c>
      <c r="N474" s="112">
        <f>C474*Scoring!$B$32+D474/Scoring!$C$32+E474*Scoring!$D$32+F474*Scoring!$E$32+G474/Scoring!$F$32+H474*Scoring!$G$32+I474*Scoring!$H$32+K474*Scoring!$I$32+RB!L474*Scoring!$J$32</f>
        <v>0</v>
      </c>
      <c r="O474" s="112">
        <f>C475*Scoring!$B$32+D475/Scoring!$C$32+E475*Scoring!$D$32+F475*Scoring!$E$32+G475/Scoring!$F$32+H475*Scoring!$G$32+I475*Scoring!$H$32+K475*Scoring!$I$32+L475*Scoring!$J$32</f>
        <v>0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K475" s="18">
        <f t="shared" si="1"/>
        <v>0</v>
      </c>
      <c r="L475" s="18">
        <f t="shared" si="2"/>
        <v>0</v>
      </c>
      <c r="M475" s="112"/>
      <c r="N475" s="112"/>
      <c r="O475" s="112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K476" s="18">
        <f t="shared" si="1"/>
        <v>0</v>
      </c>
      <c r="L476" s="18">
        <f t="shared" si="2"/>
        <v>0</v>
      </c>
      <c r="M476" s="112"/>
      <c r="N476" s="112"/>
      <c r="O476" s="112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K477" s="18">
        <f t="shared" si="1"/>
        <v>0</v>
      </c>
      <c r="L477" s="18">
        <f t="shared" si="2"/>
        <v>0</v>
      </c>
      <c r="M477" s="112">
        <f>C479*Scoring!$B$32+D479/Scoring!$C$32+E479*Scoring!$D$32+F479*Scoring!$E$32+G479/Scoring!$F$32+H479*Scoring!$G$32+I479*Scoring!$H$32+K479*Scoring!$I$32+RB!L479*Scoring!$J$32</f>
        <v>0</v>
      </c>
      <c r="N477" s="112">
        <f>C477*Scoring!$B$32+D477/Scoring!$C$32+E477*Scoring!$D$32+F477*Scoring!$E$32+G477/Scoring!$F$32+H477*Scoring!$G$32+I477*Scoring!$H$32+K477*Scoring!$I$32+RB!L477*Scoring!$J$32</f>
        <v>0</v>
      </c>
      <c r="O477" s="112">
        <f>C478*Scoring!$B$32+D478/Scoring!$C$32+E478*Scoring!$D$32+F478*Scoring!$E$32+G478/Scoring!$F$32+H478*Scoring!$G$32+I478*Scoring!$H$32+K478*Scoring!$I$32+L478*Scoring!$J$32</f>
        <v>0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K478" s="18">
        <f t="shared" si="1"/>
        <v>0</v>
      </c>
      <c r="L478" s="18">
        <f t="shared" si="2"/>
        <v>0</v>
      </c>
      <c r="M478" s="112"/>
      <c r="N478" s="112"/>
      <c r="O478" s="112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K479" s="18">
        <f t="shared" si="1"/>
        <v>0</v>
      </c>
      <c r="L479" s="18">
        <f t="shared" si="2"/>
        <v>0</v>
      </c>
      <c r="M479" s="112"/>
      <c r="N479" s="112"/>
      <c r="O479" s="112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K480" s="18">
        <f t="shared" si="1"/>
        <v>0</v>
      </c>
      <c r="L480" s="18">
        <f t="shared" si="2"/>
        <v>0</v>
      </c>
      <c r="M480" s="112">
        <f>C482*Scoring!$B$32+D482/Scoring!$C$32+E482*Scoring!$D$32+F482*Scoring!$E$32+G482/Scoring!$F$32+H482*Scoring!$G$32+I482*Scoring!$H$32+K482*Scoring!$I$32+RB!L482*Scoring!$J$32</f>
        <v>0</v>
      </c>
      <c r="N480" s="112">
        <f>C480*Scoring!$B$32+D480/Scoring!$C$32+E480*Scoring!$D$32+F480*Scoring!$E$32+G480/Scoring!$F$32+H480*Scoring!$G$32+I480*Scoring!$H$32+K480*Scoring!$I$32+RB!L480*Scoring!$J$32</f>
        <v>0</v>
      </c>
      <c r="O480" s="112">
        <f>C481*Scoring!$B$32+D481/Scoring!$C$32+E481*Scoring!$D$32+F481*Scoring!$E$32+G481/Scoring!$F$32+H481*Scoring!$G$32+I481*Scoring!$H$32+K481*Scoring!$I$32+L481*Scoring!$J$32</f>
        <v>0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K481" s="18">
        <f t="shared" si="1"/>
        <v>0</v>
      </c>
      <c r="L481" s="18">
        <f t="shared" si="2"/>
        <v>0</v>
      </c>
      <c r="M481" s="112"/>
      <c r="N481" s="112"/>
      <c r="O481" s="112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K482" s="18">
        <f t="shared" si="1"/>
        <v>0</v>
      </c>
      <c r="L482" s="18">
        <f t="shared" si="2"/>
        <v>0</v>
      </c>
      <c r="M482" s="112"/>
      <c r="N482" s="112"/>
      <c r="O482" s="112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K483" s="18">
        <f t="shared" si="1"/>
        <v>0</v>
      </c>
      <c r="L483" s="18">
        <f t="shared" si="2"/>
        <v>0</v>
      </c>
      <c r="M483" s="112">
        <f>C485*Scoring!$B$32+D485/Scoring!$C$32+E485*Scoring!$D$32+F485*Scoring!$E$32+G485/Scoring!$F$32+H485*Scoring!$G$32+I485*Scoring!$H$32+K485*Scoring!$I$32+RB!L485*Scoring!$J$32</f>
        <v>0</v>
      </c>
      <c r="N483" s="112">
        <f>C483*Scoring!$B$32+D483/Scoring!$C$32+E483*Scoring!$D$32+F483*Scoring!$E$32+G483/Scoring!$F$32+H483*Scoring!$G$32+I483*Scoring!$H$32+K483*Scoring!$I$32+RB!L483*Scoring!$J$32</f>
        <v>0</v>
      </c>
      <c r="O483" s="112">
        <f>C484*Scoring!$B$32+D484/Scoring!$C$32+E484*Scoring!$D$32+F484*Scoring!$E$32+G484/Scoring!$F$32+H484*Scoring!$G$32+I484*Scoring!$H$32+K484*Scoring!$I$32+L484*Scoring!$J$32</f>
        <v>0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K484" s="18">
        <f t="shared" si="1"/>
        <v>0</v>
      </c>
      <c r="L484" s="18">
        <f t="shared" si="2"/>
        <v>0</v>
      </c>
      <c r="M484" s="112"/>
      <c r="N484" s="112"/>
      <c r="O484" s="112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K485" s="18">
        <f t="shared" si="1"/>
        <v>0</v>
      </c>
      <c r="L485" s="18">
        <f t="shared" si="2"/>
        <v>0</v>
      </c>
      <c r="M485" s="112"/>
      <c r="N485" s="112"/>
      <c r="O485" s="112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K486" s="18">
        <f t="shared" si="1"/>
        <v>0</v>
      </c>
      <c r="L486" s="18">
        <f t="shared" si="2"/>
        <v>0</v>
      </c>
      <c r="M486" s="112">
        <f>C488*Scoring!$B$32+D488/Scoring!$C$32+E488*Scoring!$D$32+F488*Scoring!$E$32+G488/Scoring!$F$32+H488*Scoring!$G$32+I488*Scoring!$H$32+K488*Scoring!$I$32+RB!L488*Scoring!$J$32</f>
        <v>0</v>
      </c>
      <c r="N486" s="112">
        <f>C486*Scoring!$B$32+D486/Scoring!$C$32+E486*Scoring!$D$32+F486*Scoring!$E$32+G486/Scoring!$F$32+H486*Scoring!$G$32+I486*Scoring!$H$32+K486*Scoring!$I$32+RB!L486*Scoring!$J$32</f>
        <v>0</v>
      </c>
      <c r="O486" s="112">
        <f>C487*Scoring!$B$32+D487/Scoring!$C$32+E487*Scoring!$D$32+F487*Scoring!$E$32+G487/Scoring!$F$32+H487*Scoring!$G$32+I487*Scoring!$H$32+K487*Scoring!$I$32+L487*Scoring!$J$32</f>
        <v>0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K487" s="18">
        <f t="shared" si="1"/>
        <v>0</v>
      </c>
      <c r="L487" s="18">
        <f t="shared" si="2"/>
        <v>0</v>
      </c>
      <c r="M487" s="112"/>
      <c r="N487" s="112"/>
      <c r="O487" s="112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K488" s="18">
        <f t="shared" si="1"/>
        <v>0</v>
      </c>
      <c r="L488" s="18">
        <f t="shared" si="2"/>
        <v>0</v>
      </c>
      <c r="M488" s="112"/>
      <c r="N488" s="112"/>
      <c r="O488" s="112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K489" s="18">
        <f t="shared" si="1"/>
        <v>0</v>
      </c>
      <c r="L489" s="18">
        <f t="shared" si="2"/>
        <v>0</v>
      </c>
      <c r="M489" s="112">
        <f>C491*Scoring!$B$32+D491/Scoring!$C$32+E491*Scoring!$D$32+F491*Scoring!$E$32+G491/Scoring!$F$32+H491*Scoring!$G$32+I491*Scoring!$H$32+K491*Scoring!$I$32+RB!L491*Scoring!$J$32</f>
        <v>0</v>
      </c>
      <c r="N489" s="112">
        <f>C489*Scoring!$B$32+D489/Scoring!$C$32+E489*Scoring!$D$32+F489*Scoring!$E$32+G489/Scoring!$F$32+H489*Scoring!$G$32+I489*Scoring!$H$32+K489*Scoring!$I$32+RB!L489*Scoring!$J$32</f>
        <v>0</v>
      </c>
      <c r="O489" s="112">
        <f>C490*Scoring!$B$32+D490/Scoring!$C$32+E490*Scoring!$D$32+F490*Scoring!$E$32+G490/Scoring!$F$32+H490*Scoring!$G$32+I490*Scoring!$H$32+K490*Scoring!$I$32+L490*Scoring!$J$32</f>
        <v>0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K490" s="18">
        <f t="shared" si="1"/>
        <v>0</v>
      </c>
      <c r="L490" s="18">
        <f t="shared" si="2"/>
        <v>0</v>
      </c>
      <c r="M490" s="112"/>
      <c r="N490" s="112"/>
      <c r="O490" s="112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K491" s="18">
        <f t="shared" si="1"/>
        <v>0</v>
      </c>
      <c r="L491" s="18">
        <f t="shared" si="2"/>
        <v>0</v>
      </c>
      <c r="M491" s="112"/>
      <c r="N491" s="112"/>
      <c r="O491" s="112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K492" s="18">
        <f t="shared" si="1"/>
        <v>0</v>
      </c>
      <c r="L492" s="18">
        <f t="shared" si="2"/>
        <v>0</v>
      </c>
      <c r="M492" s="112">
        <f>C494*Scoring!$B$32+D494/Scoring!$C$32+E494*Scoring!$D$32+F494*Scoring!$E$32+G494/Scoring!$F$32+H494*Scoring!$G$32+I494*Scoring!$H$32+K494*Scoring!$I$32+RB!L494*Scoring!$J$32</f>
        <v>0</v>
      </c>
      <c r="N492" s="112">
        <f>C492*Scoring!$B$32+D492/Scoring!$C$32+E492*Scoring!$D$32+F492*Scoring!$E$32+G492/Scoring!$F$32+H492*Scoring!$G$32+I492*Scoring!$H$32+K492*Scoring!$I$32+RB!L492*Scoring!$J$32</f>
        <v>0</v>
      </c>
      <c r="O492" s="112">
        <f>C493*Scoring!$B$32+D493/Scoring!$C$32+E493*Scoring!$D$32+F493*Scoring!$E$32+G493/Scoring!$F$32+H493*Scoring!$G$32+I493*Scoring!$H$32+K493*Scoring!$I$32+L493*Scoring!$J$32</f>
        <v>0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K493" s="18">
        <f t="shared" si="1"/>
        <v>0</v>
      </c>
      <c r="L493" s="18">
        <f t="shared" si="2"/>
        <v>0</v>
      </c>
      <c r="M493" s="112"/>
      <c r="N493" s="112"/>
      <c r="O493" s="112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K494" s="18">
        <f t="shared" si="1"/>
        <v>0</v>
      </c>
      <c r="L494" s="18">
        <f t="shared" si="2"/>
        <v>0</v>
      </c>
      <c r="M494" s="112"/>
      <c r="N494" s="112"/>
      <c r="O494" s="112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K495" s="18">
        <f t="shared" si="1"/>
        <v>0</v>
      </c>
      <c r="L495" s="18">
        <f t="shared" si="2"/>
        <v>0</v>
      </c>
      <c r="M495" s="112">
        <f>C497*Scoring!$B$32+D497/Scoring!$C$32+E497*Scoring!$D$32+F497*Scoring!$E$32+G497/Scoring!$F$32+H497*Scoring!$G$32+I497*Scoring!$H$32+K497*Scoring!$I$32+RB!L497*Scoring!$J$32</f>
        <v>0</v>
      </c>
      <c r="N495" s="112">
        <f>C495*Scoring!$B$32+D495/Scoring!$C$32+E495*Scoring!$D$32+F495*Scoring!$E$32+G495/Scoring!$F$32+H495*Scoring!$G$32+I495*Scoring!$H$32+K495*Scoring!$I$32+RB!L495*Scoring!$J$32</f>
        <v>0</v>
      </c>
      <c r="O495" s="112">
        <f>C496*Scoring!$B$32+D496/Scoring!$C$32+E496*Scoring!$D$32+F496*Scoring!$E$32+G496/Scoring!$F$32+H496*Scoring!$G$32+I496*Scoring!$H$32+K496*Scoring!$I$32+L496*Scoring!$J$32</f>
        <v>0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K496" s="18">
        <f t="shared" si="1"/>
        <v>0</v>
      </c>
      <c r="L496" s="18">
        <f t="shared" si="2"/>
        <v>0</v>
      </c>
      <c r="M496" s="112"/>
      <c r="N496" s="112"/>
      <c r="O496" s="112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K497" s="18">
        <f t="shared" si="1"/>
        <v>0</v>
      </c>
      <c r="L497" s="18">
        <f t="shared" si="2"/>
        <v>0</v>
      </c>
      <c r="M497" s="112"/>
      <c r="N497" s="112"/>
      <c r="O497" s="112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K498" s="18">
        <f t="shared" si="1"/>
        <v>0</v>
      </c>
      <c r="L498" s="18">
        <f t="shared" si="2"/>
        <v>0</v>
      </c>
      <c r="M498" s="112">
        <f>C500*Scoring!$B$32+D500/Scoring!$C$32+E500*Scoring!$D$32+F500*Scoring!$E$32+G500/Scoring!$F$32+H500*Scoring!$G$32+I500*Scoring!$H$32+K500*Scoring!$I$32+RB!L500*Scoring!$J$32</f>
        <v>0</v>
      </c>
      <c r="N498" s="112">
        <f>C498*Scoring!$B$32+D498/Scoring!$C$32+E498*Scoring!$D$32+F498*Scoring!$E$32+G498/Scoring!$F$32+H498*Scoring!$G$32+I498*Scoring!$H$32+K498*Scoring!$I$32+RB!L498*Scoring!$J$32</f>
        <v>0</v>
      </c>
      <c r="O498" s="112">
        <f>C499*Scoring!$B$32+D499/Scoring!$C$32+E499*Scoring!$D$32+F499*Scoring!$E$32+G499/Scoring!$F$32+H499*Scoring!$G$32+I499*Scoring!$H$32+K499*Scoring!$I$32+L499*Scoring!$J$32</f>
        <v>0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K499" s="18">
        <f t="shared" si="1"/>
        <v>0</v>
      </c>
      <c r="L499" s="18">
        <f t="shared" si="2"/>
        <v>0</v>
      </c>
      <c r="M499" s="112"/>
      <c r="N499" s="112"/>
      <c r="O499" s="112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K500" s="18">
        <f t="shared" si="1"/>
        <v>0</v>
      </c>
      <c r="L500" s="18">
        <f t="shared" si="2"/>
        <v>0</v>
      </c>
      <c r="M500" s="112"/>
      <c r="N500" s="112"/>
      <c r="O500" s="112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K501" s="18">
        <f t="shared" si="1"/>
        <v>0</v>
      </c>
      <c r="L501" s="18">
        <f t="shared" si="2"/>
        <v>0</v>
      </c>
      <c r="M501" s="112">
        <f>C503*Scoring!$B$32+D503/Scoring!$C$32+E503*Scoring!$D$32+F503*Scoring!$E$32+G503/Scoring!$F$32+H503*Scoring!$G$32+I503*Scoring!$H$32+K503*Scoring!$I$32+RB!L503*Scoring!$J$32</f>
        <v>0</v>
      </c>
      <c r="N501" s="112">
        <f>C501*Scoring!$B$32+D501/Scoring!$C$32+E501*Scoring!$D$32+F501*Scoring!$E$32+G501/Scoring!$F$32+H501*Scoring!$G$32+I501*Scoring!$H$32+K501*Scoring!$I$32+RB!L501*Scoring!$J$32</f>
        <v>0</v>
      </c>
      <c r="O501" s="112">
        <f>C502*Scoring!$B$32+D502/Scoring!$C$32+E502*Scoring!$D$32+F502*Scoring!$E$32+G502/Scoring!$F$32+H502*Scoring!$G$32+I502*Scoring!$H$32+K502*Scoring!$I$32+L502*Scoring!$J$32</f>
        <v>0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K502" s="18">
        <f t="shared" si="1"/>
        <v>0</v>
      </c>
      <c r="L502" s="18">
        <f t="shared" si="2"/>
        <v>0</v>
      </c>
      <c r="M502" s="112"/>
      <c r="N502" s="112"/>
      <c r="O502" s="112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K503" s="18">
        <f t="shared" si="1"/>
        <v>0</v>
      </c>
      <c r="L503" s="18">
        <f t="shared" si="2"/>
        <v>0</v>
      </c>
      <c r="M503" s="112"/>
      <c r="N503" s="112"/>
      <c r="O503" s="112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K504" s="18">
        <f t="shared" si="1"/>
        <v>0</v>
      </c>
      <c r="L504" s="18">
        <f t="shared" si="2"/>
        <v>0</v>
      </c>
      <c r="M504" s="112">
        <f>C506*Scoring!$B$32+D506/Scoring!$C$32+E506*Scoring!$D$32+F506*Scoring!$E$32+G506/Scoring!$F$32+H506*Scoring!$G$32+I506*Scoring!$H$32+K506*Scoring!$I$32+RB!L506*Scoring!$J$32</f>
        <v>0</v>
      </c>
      <c r="N504" s="112">
        <f>C504*Scoring!$B$32+D504/Scoring!$C$32+E504*Scoring!$D$32+F504*Scoring!$E$32+G504/Scoring!$F$32+H504*Scoring!$G$32+I504*Scoring!$H$32+K504*Scoring!$I$32+RB!L504*Scoring!$J$32</f>
        <v>0</v>
      </c>
      <c r="O504" s="112">
        <f>C505*Scoring!$B$32+D505/Scoring!$C$32+E505*Scoring!$D$32+F505*Scoring!$E$32+G505/Scoring!$F$32+H505*Scoring!$G$32+I505*Scoring!$H$32+K505*Scoring!$I$32+L505*Scoring!$J$32</f>
        <v>0</v>
      </c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K505" s="18">
        <f t="shared" si="1"/>
        <v>0</v>
      </c>
      <c r="L505" s="18">
        <f t="shared" si="2"/>
        <v>0</v>
      </c>
      <c r="M505" s="112"/>
      <c r="N505" s="112"/>
      <c r="O505" s="112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K506" s="18">
        <f t="shared" si="1"/>
        <v>0</v>
      </c>
      <c r="L506" s="18">
        <f t="shared" si="2"/>
        <v>0</v>
      </c>
      <c r="M506" s="112"/>
      <c r="N506" s="112"/>
      <c r="O506" s="112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K507" s="18">
        <f t="shared" si="1"/>
        <v>0</v>
      </c>
      <c r="L507" s="18">
        <f t="shared" si="2"/>
        <v>0</v>
      </c>
      <c r="M507" s="112">
        <f>C509*Scoring!$B$32+D509/Scoring!$C$32+E509*Scoring!$D$32+F509*Scoring!$E$32+G509/Scoring!$F$32+H509*Scoring!$G$32+I509*Scoring!$H$32+K509*Scoring!$I$32+RB!L509*Scoring!$J$32</f>
        <v>0</v>
      </c>
      <c r="N507" s="112">
        <f>C507*Scoring!$B$32+D507/Scoring!$C$32+E507*Scoring!$D$32+F507*Scoring!$E$32+G507/Scoring!$F$32+H507*Scoring!$G$32+I507*Scoring!$H$32+K507*Scoring!$I$32+RB!L507*Scoring!$J$32</f>
        <v>0</v>
      </c>
      <c r="O507" s="112">
        <f>C508*Scoring!$B$32+D508/Scoring!$C$32+E508*Scoring!$D$32+F508*Scoring!$E$32+G508/Scoring!$F$32+H508*Scoring!$G$32+I508*Scoring!$H$32+K508*Scoring!$I$32+L508*Scoring!$J$32</f>
        <v>0</v>
      </c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K508" s="18">
        <f t="shared" si="1"/>
        <v>0</v>
      </c>
      <c r="L508" s="18">
        <f t="shared" si="2"/>
        <v>0</v>
      </c>
      <c r="M508" s="112"/>
      <c r="N508" s="112"/>
      <c r="O508" s="112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K509" s="18">
        <f t="shared" si="1"/>
        <v>0</v>
      </c>
      <c r="L509" s="18">
        <f t="shared" si="2"/>
        <v>0</v>
      </c>
      <c r="M509" s="112"/>
      <c r="N509" s="112"/>
      <c r="O509" s="112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K510" s="18">
        <f t="shared" si="1"/>
        <v>0</v>
      </c>
      <c r="L510" s="18">
        <f t="shared" si="2"/>
        <v>0</v>
      </c>
      <c r="M510" s="112">
        <f>C512*Scoring!$B$32+D512/Scoring!$C$32+E512*Scoring!$D$32+F512*Scoring!$E$32+G512/Scoring!$F$32+H512*Scoring!$G$32+I512*Scoring!$H$32+K512*Scoring!$I$32+RB!L512*Scoring!$J$32</f>
        <v>0</v>
      </c>
      <c r="N510" s="112">
        <f>C510*Scoring!$B$32+D510/Scoring!$C$32+E510*Scoring!$D$32+F510*Scoring!$E$32+G510/Scoring!$F$32+H510*Scoring!$G$32+I510*Scoring!$H$32+K510*Scoring!$I$32+RB!L510*Scoring!$J$32</f>
        <v>0</v>
      </c>
      <c r="O510" s="112">
        <f>C511*Scoring!$B$32+D511/Scoring!$C$32+E511*Scoring!$D$32+F511*Scoring!$E$32+G511/Scoring!$F$32+H511*Scoring!$G$32+I511*Scoring!$H$32+K511*Scoring!$I$32+L511*Scoring!$J$32</f>
        <v>0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K511" s="18">
        <f t="shared" si="1"/>
        <v>0</v>
      </c>
      <c r="L511" s="18">
        <f t="shared" si="2"/>
        <v>0</v>
      </c>
      <c r="M511" s="112"/>
      <c r="N511" s="112"/>
      <c r="O511" s="112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K512" s="18">
        <f t="shared" si="1"/>
        <v>0</v>
      </c>
      <c r="L512" s="18">
        <f t="shared" si="2"/>
        <v>0</v>
      </c>
      <c r="M512" s="112"/>
      <c r="N512" s="112"/>
      <c r="O512" s="112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K513" s="18">
        <f t="shared" si="1"/>
        <v>0</v>
      </c>
      <c r="L513" s="18">
        <f t="shared" si="2"/>
        <v>0</v>
      </c>
      <c r="M513" s="112">
        <f>C515*Scoring!$B$32+D515/Scoring!$C$32+E515*Scoring!$D$32+F515*Scoring!$E$32+G515/Scoring!$F$32+H515*Scoring!$G$32+I515*Scoring!$H$32+K515*Scoring!$I$32+RB!L515*Scoring!$J$32</f>
        <v>0</v>
      </c>
      <c r="N513" s="112">
        <f>C513*Scoring!$B$32+D513/Scoring!$C$32+E513*Scoring!$D$32+F513*Scoring!$E$32+G513/Scoring!$F$32+H513*Scoring!$G$32+I513*Scoring!$H$32+K513*Scoring!$I$32+RB!L513*Scoring!$J$32</f>
        <v>0</v>
      </c>
      <c r="O513" s="112">
        <f>C514*Scoring!$B$32+D514/Scoring!$C$32+E514*Scoring!$D$32+F514*Scoring!$E$32+G514/Scoring!$F$32+H514*Scoring!$G$32+I514*Scoring!$H$32+K514*Scoring!$I$32+L514*Scoring!$J$32</f>
        <v>0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K514" s="18">
        <f t="shared" si="1"/>
        <v>0</v>
      </c>
      <c r="L514" s="18">
        <f t="shared" si="2"/>
        <v>0</v>
      </c>
      <c r="M514" s="112"/>
      <c r="N514" s="112"/>
      <c r="O514" s="112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K515" s="18">
        <f t="shared" si="1"/>
        <v>0</v>
      </c>
      <c r="L515" s="18">
        <f t="shared" si="2"/>
        <v>0</v>
      </c>
      <c r="M515" s="112"/>
      <c r="N515" s="112"/>
      <c r="O515" s="112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K516" s="18">
        <f t="shared" si="1"/>
        <v>0</v>
      </c>
      <c r="L516" s="18">
        <f t="shared" si="2"/>
        <v>0</v>
      </c>
      <c r="M516" s="112">
        <f>C518*Scoring!$B$32+D518/Scoring!$C$32+E518*Scoring!$D$32+F518*Scoring!$E$32+G518/Scoring!$F$32+H518*Scoring!$G$32+I518*Scoring!$H$32+K518*Scoring!$I$32+RB!L518*Scoring!$J$32</f>
        <v>0</v>
      </c>
      <c r="N516" s="112">
        <f>C516*Scoring!$B$32+D516/Scoring!$C$32+E516*Scoring!$D$32+F516*Scoring!$E$32+G516/Scoring!$F$32+H516*Scoring!$G$32+I516*Scoring!$H$32+K516*Scoring!$I$32+RB!L516*Scoring!$J$32</f>
        <v>0</v>
      </c>
      <c r="O516" s="112">
        <f>C517*Scoring!$B$32+D517/Scoring!$C$32+E517*Scoring!$D$32+F517*Scoring!$E$32+G517/Scoring!$F$32+H517*Scoring!$G$32+I517*Scoring!$H$32+K517*Scoring!$I$32+L517*Scoring!$J$32</f>
        <v>0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K517" s="18">
        <f t="shared" si="1"/>
        <v>0</v>
      </c>
      <c r="L517" s="18">
        <f t="shared" si="2"/>
        <v>0</v>
      </c>
      <c r="M517" s="112"/>
      <c r="N517" s="112"/>
      <c r="O517" s="112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K518" s="18">
        <f t="shared" si="1"/>
        <v>0</v>
      </c>
      <c r="L518" s="18">
        <f t="shared" si="2"/>
        <v>0</v>
      </c>
      <c r="M518" s="112"/>
      <c r="N518" s="112"/>
      <c r="O518" s="112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K519" s="18">
        <f t="shared" si="1"/>
        <v>0</v>
      </c>
      <c r="L519" s="18">
        <f t="shared" si="2"/>
        <v>0</v>
      </c>
      <c r="M519" s="112">
        <f>C521*Scoring!$B$32+D521/Scoring!$C$32+E521*Scoring!$D$32+F521*Scoring!$E$32+G521/Scoring!$F$32+H521*Scoring!$G$32+I521*Scoring!$H$32+K521*Scoring!$I$32+RB!L521*Scoring!$J$32</f>
        <v>0</v>
      </c>
      <c r="N519" s="112">
        <f>C519*Scoring!$B$32+D519/Scoring!$C$32+E519*Scoring!$D$32+F519*Scoring!$E$32+G519/Scoring!$F$32+H519*Scoring!$G$32+I519*Scoring!$H$32+K519*Scoring!$I$32+RB!L519*Scoring!$J$32</f>
        <v>0</v>
      </c>
      <c r="O519" s="112">
        <f>C520*Scoring!$B$32+D520/Scoring!$C$32+E520*Scoring!$D$32+F520*Scoring!$E$32+G520/Scoring!$F$32+H520*Scoring!$G$32+I520*Scoring!$H$32+K520*Scoring!$I$32+L520*Scoring!$J$32</f>
        <v>0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K520" s="18">
        <f t="shared" si="1"/>
        <v>0</v>
      </c>
      <c r="L520" s="18">
        <f t="shared" si="2"/>
        <v>0</v>
      </c>
      <c r="M520" s="112"/>
      <c r="N520" s="112"/>
      <c r="O520" s="112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K521" s="18">
        <f t="shared" si="1"/>
        <v>0</v>
      </c>
      <c r="L521" s="18">
        <f t="shared" si="2"/>
        <v>0</v>
      </c>
      <c r="M521" s="112"/>
      <c r="N521" s="112"/>
      <c r="O521" s="112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K522" s="18">
        <f t="shared" si="1"/>
        <v>0</v>
      </c>
      <c r="L522" s="18">
        <f t="shared" si="2"/>
        <v>0</v>
      </c>
      <c r="M522" s="112">
        <f>C524*Scoring!$B$32+D524/Scoring!$C$32+E524*Scoring!$D$32+F524*Scoring!$E$32+G524/Scoring!$F$32+H524*Scoring!$G$32+I524*Scoring!$H$32+K524*Scoring!$I$32+RB!L524*Scoring!$J$32</f>
        <v>0</v>
      </c>
      <c r="N522" s="112">
        <f>C522*Scoring!$B$32+D522/Scoring!$C$32+E522*Scoring!$D$32+F522*Scoring!$E$32+G522/Scoring!$F$32+H522*Scoring!$G$32+I522*Scoring!$H$32+K522*Scoring!$I$32+RB!L522*Scoring!$J$32</f>
        <v>0</v>
      </c>
      <c r="O522" s="112">
        <f>C523*Scoring!$B$32+D523/Scoring!$C$32+E523*Scoring!$D$32+F523*Scoring!$E$32+G523/Scoring!$F$32+H523*Scoring!$G$32+I523*Scoring!$H$32+K523*Scoring!$I$32+L523*Scoring!$J$32</f>
        <v>0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K523" s="18">
        <f t="shared" si="1"/>
        <v>0</v>
      </c>
      <c r="L523" s="18">
        <f t="shared" si="2"/>
        <v>0</v>
      </c>
      <c r="M523" s="112"/>
      <c r="N523" s="112"/>
      <c r="O523" s="112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K524" s="18">
        <f t="shared" si="1"/>
        <v>0</v>
      </c>
      <c r="L524" s="18">
        <f t="shared" si="2"/>
        <v>0</v>
      </c>
      <c r="M524" s="112"/>
      <c r="N524" s="112"/>
      <c r="O524" s="112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K525" s="18">
        <f t="shared" si="1"/>
        <v>0</v>
      </c>
      <c r="L525" s="18">
        <f t="shared" si="2"/>
        <v>0</v>
      </c>
      <c r="M525" s="112">
        <f>C527*Scoring!$B$32+D527/Scoring!$C$32+E527*Scoring!$D$32+F527*Scoring!$E$32+G527/Scoring!$F$32+H527*Scoring!$G$32+I527*Scoring!$H$32+K527*Scoring!$I$32+RB!L527*Scoring!$J$32</f>
        <v>0</v>
      </c>
      <c r="N525" s="112">
        <f>C525*Scoring!$B$32+D525/Scoring!$C$32+E525*Scoring!$D$32+F525*Scoring!$E$32+G525/Scoring!$F$32+H525*Scoring!$G$32+I525*Scoring!$H$32+K525*Scoring!$I$32+RB!L525*Scoring!$J$32</f>
        <v>0</v>
      </c>
      <c r="O525" s="112">
        <f>C526*Scoring!$B$32+D526/Scoring!$C$32+E526*Scoring!$D$32+F526*Scoring!$E$32+G526/Scoring!$F$32+H526*Scoring!$G$32+I526*Scoring!$H$32+K526*Scoring!$I$32+L526*Scoring!$J$32</f>
        <v>0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K526" s="18">
        <f t="shared" si="1"/>
        <v>0</v>
      </c>
      <c r="L526" s="18">
        <f t="shared" si="2"/>
        <v>0</v>
      </c>
      <c r="M526" s="112"/>
      <c r="N526" s="112"/>
      <c r="O526" s="112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K527" s="18">
        <f t="shared" si="1"/>
        <v>0</v>
      </c>
      <c r="L527" s="18">
        <f t="shared" si="2"/>
        <v>0</v>
      </c>
      <c r="M527" s="112"/>
      <c r="N527" s="112"/>
      <c r="O527" s="112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K528" s="18">
        <f t="shared" si="1"/>
        <v>0</v>
      </c>
      <c r="L528" s="18">
        <f t="shared" si="2"/>
        <v>0</v>
      </c>
      <c r="M528" s="112">
        <f>C530*Scoring!$B$32+D530/Scoring!$C$32+E530*Scoring!$D$32+F530*Scoring!$E$32+G530/Scoring!$F$32+H530*Scoring!$G$32+I530*Scoring!$H$32+K530*Scoring!$I$32+RB!L530*Scoring!$J$32</f>
        <v>0</v>
      </c>
      <c r="N528" s="112">
        <f>C528*Scoring!$B$32+D528/Scoring!$C$32+E528*Scoring!$D$32+F528*Scoring!$E$32+G528/Scoring!$F$32+H528*Scoring!$G$32+I528*Scoring!$H$32+K528*Scoring!$I$32+RB!L528*Scoring!$J$32</f>
        <v>0</v>
      </c>
      <c r="O528" s="112">
        <f>C529*Scoring!$B$32+D529/Scoring!$C$32+E529*Scoring!$D$32+F529*Scoring!$E$32+G529/Scoring!$F$32+H529*Scoring!$G$32+I529*Scoring!$H$32+K529*Scoring!$I$32+L529*Scoring!$J$32</f>
        <v>0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K529" s="18">
        <f t="shared" si="1"/>
        <v>0</v>
      </c>
      <c r="L529" s="18">
        <f t="shared" si="2"/>
        <v>0</v>
      </c>
      <c r="M529" s="112"/>
      <c r="N529" s="112"/>
      <c r="O529" s="112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K530" s="18">
        <f t="shared" si="1"/>
        <v>0</v>
      </c>
      <c r="L530" s="18">
        <f t="shared" si="2"/>
        <v>0</v>
      </c>
      <c r="M530" s="112"/>
      <c r="N530" s="112"/>
      <c r="O530" s="112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K531" s="18">
        <f t="shared" si="1"/>
        <v>0</v>
      </c>
      <c r="L531" s="18">
        <f t="shared" si="2"/>
        <v>0</v>
      </c>
      <c r="M531" s="112">
        <f>C533*Scoring!$B$32+D533/Scoring!$C$32+E533*Scoring!$D$32+F533*Scoring!$E$32+G533/Scoring!$F$32+H533*Scoring!$G$32+I533*Scoring!$H$32+K533*Scoring!$I$32+RB!L533*Scoring!$J$32</f>
        <v>0</v>
      </c>
      <c r="N531" s="112">
        <f>C531*Scoring!$B$32+D531/Scoring!$C$32+E531*Scoring!$D$32+F531*Scoring!$E$32+G531/Scoring!$F$32+H531*Scoring!$G$32+I531*Scoring!$H$32+K531*Scoring!$I$32+RB!L531*Scoring!$J$32</f>
        <v>0</v>
      </c>
      <c r="O531" s="112">
        <f>C532*Scoring!$B$32+D532/Scoring!$C$32+E532*Scoring!$D$32+F532*Scoring!$E$32+G532/Scoring!$F$32+H532*Scoring!$G$32+I532*Scoring!$H$32+K532*Scoring!$I$32+L532*Scoring!$J$32</f>
        <v>0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K532" s="18">
        <f t="shared" si="1"/>
        <v>0</v>
      </c>
      <c r="L532" s="18">
        <f t="shared" si="2"/>
        <v>0</v>
      </c>
      <c r="M532" s="112"/>
      <c r="N532" s="112"/>
      <c r="O532" s="112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K533" s="18">
        <f t="shared" si="1"/>
        <v>0</v>
      </c>
      <c r="L533" s="18">
        <f t="shared" si="2"/>
        <v>0</v>
      </c>
      <c r="M533" s="112"/>
      <c r="N533" s="112"/>
      <c r="O533" s="112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K534" s="18">
        <f t="shared" si="1"/>
        <v>0</v>
      </c>
      <c r="L534" s="18">
        <f t="shared" si="2"/>
        <v>0</v>
      </c>
      <c r="M534" s="112">
        <f>C536*Scoring!$B$32+D536/Scoring!$C$32+E536*Scoring!$D$32+F536*Scoring!$E$32+G536/Scoring!$F$32+H536*Scoring!$G$32+I536*Scoring!$H$32+K536*Scoring!$I$32+RB!L536*Scoring!$J$32</f>
        <v>0</v>
      </c>
      <c r="N534" s="112">
        <f>C534*Scoring!$B$32+D534/Scoring!$C$32+E534*Scoring!$D$32+F534*Scoring!$E$32+G534/Scoring!$F$32+H534*Scoring!$G$32+I534*Scoring!$H$32+K534*Scoring!$I$32+RB!L534*Scoring!$J$32</f>
        <v>0</v>
      </c>
      <c r="O534" s="112">
        <f>C535*Scoring!$B$32+D535/Scoring!$C$32+E535*Scoring!$D$32+F535*Scoring!$E$32+G535/Scoring!$F$32+H535*Scoring!$G$32+I535*Scoring!$H$32+K535*Scoring!$I$32+L535*Scoring!$J$32</f>
        <v>0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K535" s="18">
        <f t="shared" si="1"/>
        <v>0</v>
      </c>
      <c r="L535" s="18">
        <f t="shared" si="2"/>
        <v>0</v>
      </c>
      <c r="M535" s="112"/>
      <c r="N535" s="112"/>
      <c r="O535" s="112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K536" s="18">
        <f t="shared" si="1"/>
        <v>0</v>
      </c>
      <c r="L536" s="18">
        <f t="shared" si="2"/>
        <v>0</v>
      </c>
      <c r="M536" s="112"/>
      <c r="N536" s="112"/>
      <c r="O536" s="112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K537" s="18">
        <f t="shared" si="1"/>
        <v>0</v>
      </c>
      <c r="L537" s="18">
        <f t="shared" si="2"/>
        <v>0</v>
      </c>
      <c r="M537" s="112">
        <f>C539*Scoring!$B$32+D539/Scoring!$C$32+E539*Scoring!$D$32+F539*Scoring!$E$32+G539/Scoring!$F$32+H539*Scoring!$G$32+I539*Scoring!$H$32+K539*Scoring!$I$32+RB!L539*Scoring!$J$32</f>
        <v>0</v>
      </c>
      <c r="N537" s="112">
        <f>C537*Scoring!$B$32+D537/Scoring!$C$32+E537*Scoring!$D$32+F537*Scoring!$E$32+G537/Scoring!$F$32+H537*Scoring!$G$32+I537*Scoring!$H$32+K537*Scoring!$I$32+RB!L537*Scoring!$J$32</f>
        <v>0</v>
      </c>
      <c r="O537" s="112">
        <f>C538*Scoring!$B$32+D538/Scoring!$C$32+E538*Scoring!$D$32+F538*Scoring!$E$32+G538/Scoring!$F$32+H538*Scoring!$G$32+I538*Scoring!$H$32+K538*Scoring!$I$32+L538*Scoring!$J$32</f>
        <v>0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K538" s="18">
        <f t="shared" si="1"/>
        <v>0</v>
      </c>
      <c r="L538" s="18">
        <f t="shared" si="2"/>
        <v>0</v>
      </c>
      <c r="M538" s="112"/>
      <c r="N538" s="112"/>
      <c r="O538" s="112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K539" s="18">
        <f t="shared" si="1"/>
        <v>0</v>
      </c>
      <c r="L539" s="18">
        <f t="shared" si="2"/>
        <v>0</v>
      </c>
      <c r="M539" s="112"/>
      <c r="N539" s="112"/>
      <c r="O539" s="112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K540" s="18">
        <f t="shared" si="1"/>
        <v>0</v>
      </c>
      <c r="L540" s="18">
        <f t="shared" si="2"/>
        <v>0</v>
      </c>
      <c r="M540" s="112">
        <f>C542*Scoring!$B$32+D542/Scoring!$C$32+E542*Scoring!$D$32+F542*Scoring!$E$32+G542/Scoring!$F$32+H542*Scoring!$G$32+I542*Scoring!$H$32+K542*Scoring!$I$32+RB!L542*Scoring!$J$32</f>
        <v>0</v>
      </c>
      <c r="N540" s="112">
        <f>C540*Scoring!$B$32+D540/Scoring!$C$32+E540*Scoring!$D$32+F540*Scoring!$E$32+G540/Scoring!$F$32+H540*Scoring!$G$32+I540*Scoring!$H$32+K540*Scoring!$I$32+RB!L540*Scoring!$J$32</f>
        <v>0</v>
      </c>
      <c r="O540" s="112">
        <f>C541*Scoring!$B$32+D541/Scoring!$C$32+E541*Scoring!$D$32+F541*Scoring!$E$32+G541/Scoring!$F$32+H541*Scoring!$G$32+I541*Scoring!$H$32+K541*Scoring!$I$32+L541*Scoring!$J$32</f>
        <v>0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K541" s="18">
        <f t="shared" si="1"/>
        <v>0</v>
      </c>
      <c r="L541" s="18">
        <f t="shared" si="2"/>
        <v>0</v>
      </c>
      <c r="M541" s="112"/>
      <c r="N541" s="112"/>
      <c r="O541" s="112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K542" s="18">
        <f t="shared" si="1"/>
        <v>0</v>
      </c>
      <c r="L542" s="18">
        <f t="shared" si="2"/>
        <v>0</v>
      </c>
      <c r="M542" s="112"/>
      <c r="N542" s="112"/>
      <c r="O542" s="112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K543" s="18">
        <f t="shared" si="1"/>
        <v>0</v>
      </c>
      <c r="L543" s="18">
        <f t="shared" si="2"/>
        <v>0</v>
      </c>
      <c r="M543" s="112">
        <f>C545*Scoring!$B$32+D545/Scoring!$C$32+E545*Scoring!$D$32+F545*Scoring!$E$32+G545/Scoring!$F$32+H545*Scoring!$G$32+I545*Scoring!$H$32+K545*Scoring!$I$32+RB!L545*Scoring!$J$32</f>
        <v>0</v>
      </c>
      <c r="N543" s="112">
        <f>C543*Scoring!$B$32+D543/Scoring!$C$32+E543*Scoring!$D$32+F543*Scoring!$E$32+G543/Scoring!$F$32+H543*Scoring!$G$32+I543*Scoring!$H$32+K543*Scoring!$I$32+RB!L543*Scoring!$J$32</f>
        <v>0</v>
      </c>
      <c r="O543" s="112">
        <f>C544*Scoring!$B$32+D544/Scoring!$C$32+E544*Scoring!$D$32+F544*Scoring!$E$32+G544/Scoring!$F$32+H544*Scoring!$G$32+I544*Scoring!$H$32+K544*Scoring!$I$32+L544*Scoring!$J$32</f>
        <v>0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K544" s="18">
        <f t="shared" si="1"/>
        <v>0</v>
      </c>
      <c r="L544" s="18">
        <f t="shared" si="2"/>
        <v>0</v>
      </c>
      <c r="M544" s="112"/>
      <c r="N544" s="112"/>
      <c r="O544" s="112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K545" s="18">
        <f t="shared" si="1"/>
        <v>0</v>
      </c>
      <c r="L545" s="18">
        <f t="shared" si="2"/>
        <v>0</v>
      </c>
      <c r="M545" s="112"/>
      <c r="N545" s="112"/>
      <c r="O545" s="112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K546" s="4"/>
      <c r="L546" s="4"/>
      <c r="M546" s="2"/>
      <c r="N546" s="2"/>
      <c r="O546" s="2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K547" s="4"/>
      <c r="L547" s="4"/>
      <c r="M547" s="2"/>
      <c r="N547" s="2"/>
      <c r="O547" s="2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K548" s="4"/>
      <c r="L548" s="4"/>
      <c r="M548" s="2"/>
      <c r="N548" s="2"/>
      <c r="O548" s="2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K549" s="4"/>
      <c r="L549" s="4"/>
      <c r="M549" s="2"/>
      <c r="N549" s="2"/>
      <c r="O549" s="2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K550" s="4"/>
      <c r="L550" s="4"/>
      <c r="M550" s="2"/>
      <c r="N550" s="2"/>
      <c r="O550" s="2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K551" s="4"/>
      <c r="L551" s="4"/>
      <c r="M551" s="2"/>
      <c r="N551" s="2"/>
      <c r="O551" s="2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K552" s="4"/>
      <c r="L552" s="4"/>
      <c r="M552" s="2"/>
      <c r="N552" s="2"/>
      <c r="O552" s="2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K553" s="4"/>
      <c r="L553" s="4"/>
      <c r="M553" s="2"/>
      <c r="N553" s="2"/>
      <c r="O553" s="2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K554" s="4"/>
      <c r="L554" s="4"/>
      <c r="M554" s="2"/>
      <c r="N554" s="2"/>
      <c r="O554" s="2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K555" s="4"/>
      <c r="L555" s="4"/>
      <c r="M555" s="2"/>
      <c r="N555" s="2"/>
      <c r="O555" s="2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K556" s="4"/>
      <c r="L556" s="4"/>
      <c r="M556" s="2"/>
      <c r="N556" s="2"/>
      <c r="O556" s="2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K557" s="4"/>
      <c r="L557" s="4"/>
      <c r="M557" s="2"/>
      <c r="N557" s="2"/>
      <c r="O557" s="2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K558" s="4"/>
      <c r="L558" s="4"/>
      <c r="M558" s="2"/>
      <c r="N558" s="2"/>
      <c r="O558" s="2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K559" s="4"/>
      <c r="L559" s="4"/>
      <c r="M559" s="2"/>
      <c r="N559" s="2"/>
      <c r="O559" s="2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K560" s="4"/>
      <c r="L560" s="4"/>
      <c r="M560" s="2"/>
      <c r="N560" s="2"/>
      <c r="O560" s="2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K561" s="4"/>
      <c r="L561" s="4"/>
      <c r="M561" s="2"/>
      <c r="N561" s="2"/>
      <c r="O561" s="2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K562" s="4"/>
      <c r="L562" s="4"/>
      <c r="M562" s="2"/>
      <c r="N562" s="2"/>
      <c r="O562" s="2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K563" s="4"/>
      <c r="L563" s="4"/>
      <c r="M563" s="2"/>
      <c r="N563" s="2"/>
      <c r="O563" s="2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K564" s="4"/>
      <c r="L564" s="4"/>
      <c r="M564" s="2"/>
      <c r="N564" s="2"/>
      <c r="O564" s="2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K565" s="4"/>
      <c r="L565" s="4"/>
      <c r="M565" s="2"/>
      <c r="N565" s="2"/>
      <c r="O565" s="2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K566" s="4"/>
      <c r="L566" s="4"/>
      <c r="M566" s="2"/>
      <c r="N566" s="2"/>
      <c r="O566" s="2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K567" s="4"/>
      <c r="L567" s="4"/>
      <c r="M567" s="2"/>
      <c r="N567" s="2"/>
      <c r="O567" s="2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K568" s="4"/>
      <c r="L568" s="4"/>
      <c r="M568" s="2"/>
      <c r="N568" s="2"/>
      <c r="O568" s="2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K569" s="4"/>
      <c r="L569" s="4"/>
      <c r="M569" s="2"/>
      <c r="N569" s="2"/>
      <c r="O569" s="2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K570" s="4"/>
      <c r="L570" s="4"/>
      <c r="M570" s="2"/>
      <c r="N570" s="2"/>
      <c r="O570" s="2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K571" s="4"/>
      <c r="L571" s="4"/>
      <c r="M571" s="2"/>
      <c r="N571" s="2"/>
      <c r="O571" s="2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K572" s="4"/>
      <c r="L572" s="4"/>
      <c r="M572" s="2"/>
      <c r="N572" s="2"/>
      <c r="O572" s="2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K573" s="4"/>
      <c r="L573" s="4"/>
      <c r="M573" s="2"/>
      <c r="N573" s="2"/>
      <c r="O573" s="2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K574" s="4"/>
      <c r="L574" s="4"/>
      <c r="M574" s="2"/>
      <c r="N574" s="2"/>
      <c r="O574" s="2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K575" s="4"/>
      <c r="L575" s="4"/>
      <c r="M575" s="2"/>
      <c r="N575" s="2"/>
      <c r="O575" s="2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K576" s="4"/>
      <c r="L576" s="4"/>
      <c r="M576" s="2"/>
      <c r="N576" s="2"/>
      <c r="O576" s="2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K577" s="4"/>
      <c r="L577" s="4"/>
      <c r="M577" s="2"/>
      <c r="N577" s="2"/>
      <c r="O577" s="2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K578" s="4"/>
      <c r="L578" s="4"/>
      <c r="M578" s="2"/>
      <c r="N578" s="2"/>
      <c r="O578" s="2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K579" s="4"/>
      <c r="L579" s="4"/>
      <c r="M579" s="2"/>
      <c r="N579" s="2"/>
      <c r="O579" s="2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K580" s="4"/>
      <c r="L580" s="4"/>
      <c r="M580" s="2"/>
      <c r="N580" s="2"/>
      <c r="O580" s="2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K581" s="4"/>
      <c r="L581" s="4"/>
      <c r="M581" s="2"/>
      <c r="N581" s="2"/>
      <c r="O581" s="2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K582" s="4"/>
      <c r="L582" s="4"/>
      <c r="M582" s="2"/>
      <c r="N582" s="2"/>
      <c r="O582" s="2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K583" s="4"/>
      <c r="L583" s="4"/>
      <c r="M583" s="2"/>
      <c r="N583" s="2"/>
      <c r="O583" s="2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K584" s="4"/>
      <c r="L584" s="4"/>
      <c r="M584" s="2"/>
      <c r="N584" s="2"/>
      <c r="O584" s="2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K585" s="4"/>
      <c r="L585" s="4"/>
      <c r="M585" s="2"/>
      <c r="N585" s="2"/>
      <c r="O585" s="2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K586" s="4"/>
      <c r="L586" s="4"/>
      <c r="M586" s="2"/>
      <c r="N586" s="2"/>
      <c r="O586" s="2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K587" s="4"/>
      <c r="L587" s="4"/>
      <c r="M587" s="2"/>
      <c r="N587" s="2"/>
      <c r="O587" s="2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K588" s="4"/>
      <c r="L588" s="4"/>
      <c r="M588" s="2"/>
      <c r="N588" s="2"/>
      <c r="O588" s="2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K589" s="4"/>
      <c r="L589" s="4"/>
      <c r="M589" s="2"/>
      <c r="N589" s="2"/>
      <c r="O589" s="2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K590" s="4"/>
      <c r="L590" s="4"/>
      <c r="M590" s="2"/>
      <c r="N590" s="2"/>
      <c r="O590" s="2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K591" s="4"/>
      <c r="L591" s="4"/>
      <c r="M591" s="2"/>
      <c r="N591" s="2"/>
      <c r="O591" s="2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K592" s="4"/>
      <c r="L592" s="4"/>
      <c r="M592" s="2"/>
      <c r="N592" s="2"/>
      <c r="O592" s="2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K593" s="4"/>
      <c r="L593" s="4"/>
      <c r="M593" s="2"/>
      <c r="N593" s="2"/>
      <c r="O593" s="2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K594" s="4"/>
      <c r="L594" s="4"/>
      <c r="M594" s="2"/>
      <c r="N594" s="2"/>
      <c r="O594" s="2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K595" s="4"/>
      <c r="L595" s="4"/>
      <c r="M595" s="2"/>
      <c r="N595" s="2"/>
      <c r="O595" s="2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K596" s="4"/>
      <c r="L596" s="4"/>
      <c r="M596" s="2"/>
      <c r="N596" s="2"/>
      <c r="O596" s="2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K597" s="4"/>
      <c r="L597" s="4"/>
      <c r="M597" s="2"/>
      <c r="N597" s="2"/>
      <c r="O597" s="2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K598" s="4"/>
      <c r="L598" s="4"/>
      <c r="M598" s="2"/>
      <c r="N598" s="2"/>
      <c r="O598" s="2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K599" s="4"/>
      <c r="L599" s="4"/>
      <c r="M599" s="2"/>
      <c r="N599" s="2"/>
      <c r="O599" s="2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K600" s="4"/>
      <c r="L600" s="4"/>
      <c r="M600" s="2"/>
      <c r="N600" s="2"/>
      <c r="O600" s="2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K601" s="4"/>
      <c r="L601" s="4"/>
      <c r="M601" s="2"/>
      <c r="N601" s="2"/>
      <c r="O601" s="2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K602" s="4"/>
      <c r="L602" s="4"/>
      <c r="M602" s="2"/>
      <c r="N602" s="2"/>
      <c r="O602" s="2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K603" s="4"/>
      <c r="L603" s="4"/>
      <c r="M603" s="2"/>
      <c r="N603" s="2"/>
      <c r="O603" s="2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K604" s="4"/>
      <c r="L604" s="4"/>
      <c r="M604" s="2"/>
      <c r="N604" s="2"/>
      <c r="O604" s="2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K605" s="4"/>
      <c r="L605" s="4"/>
      <c r="M605" s="2"/>
      <c r="N605" s="2"/>
      <c r="O605" s="2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K606" s="4"/>
      <c r="L606" s="4"/>
      <c r="M606" s="2"/>
      <c r="N606" s="2"/>
      <c r="O606" s="2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K607" s="4"/>
      <c r="L607" s="4"/>
      <c r="M607" s="2"/>
      <c r="N607" s="2"/>
      <c r="O607" s="2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K608" s="4"/>
      <c r="L608" s="4"/>
      <c r="M608" s="2"/>
      <c r="N608" s="2"/>
      <c r="O608" s="2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K609" s="4"/>
      <c r="L609" s="4"/>
      <c r="M609" s="2"/>
      <c r="N609" s="2"/>
      <c r="O609" s="2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K610" s="4"/>
      <c r="L610" s="4"/>
      <c r="M610" s="2"/>
      <c r="N610" s="2"/>
      <c r="O610" s="2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K611" s="4"/>
      <c r="L611" s="4"/>
      <c r="M611" s="2"/>
      <c r="N611" s="2"/>
      <c r="O611" s="2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K612" s="4"/>
      <c r="L612" s="4"/>
      <c r="M612" s="2"/>
      <c r="N612" s="2"/>
      <c r="O612" s="2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K613" s="4"/>
      <c r="L613" s="4"/>
      <c r="M613" s="2"/>
      <c r="N613" s="2"/>
      <c r="O613" s="2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K614" s="4"/>
      <c r="L614" s="4"/>
      <c r="M614" s="2"/>
      <c r="N614" s="2"/>
      <c r="O614" s="2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K615" s="4"/>
      <c r="L615" s="4"/>
      <c r="M615" s="2"/>
      <c r="N615" s="2"/>
      <c r="O615" s="2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K616" s="4"/>
      <c r="L616" s="4"/>
      <c r="M616" s="2"/>
      <c r="N616" s="2"/>
      <c r="O616" s="2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K617" s="4"/>
      <c r="L617" s="4"/>
      <c r="M617" s="2"/>
      <c r="N617" s="2"/>
      <c r="O617" s="2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K618" s="4"/>
      <c r="L618" s="4"/>
      <c r="M618" s="2"/>
      <c r="N618" s="2"/>
      <c r="O618" s="2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K619" s="4"/>
      <c r="L619" s="4"/>
      <c r="M619" s="2"/>
      <c r="N619" s="2"/>
      <c r="O619" s="2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K620" s="4"/>
      <c r="L620" s="4"/>
      <c r="M620" s="2"/>
      <c r="N620" s="2"/>
      <c r="O620" s="2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K621" s="4"/>
      <c r="L621" s="4"/>
      <c r="M621" s="2"/>
      <c r="N621" s="2"/>
      <c r="O621" s="2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K622" s="4"/>
      <c r="L622" s="4"/>
      <c r="M622" s="2"/>
      <c r="N622" s="2"/>
      <c r="O622" s="2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K623" s="4"/>
      <c r="L623" s="4"/>
      <c r="M623" s="2"/>
      <c r="N623" s="2"/>
      <c r="O623" s="2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K624" s="4"/>
      <c r="L624" s="4"/>
      <c r="M624" s="2"/>
      <c r="N624" s="2"/>
      <c r="O624" s="2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K625" s="4"/>
      <c r="L625" s="4"/>
      <c r="M625" s="2"/>
      <c r="N625" s="2"/>
      <c r="O625" s="2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K626" s="4"/>
      <c r="L626" s="4"/>
      <c r="M626" s="2"/>
      <c r="N626" s="2"/>
      <c r="O626" s="2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K627" s="4"/>
      <c r="L627" s="4"/>
      <c r="M627" s="2"/>
      <c r="N627" s="2"/>
      <c r="O627" s="2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K628" s="4"/>
      <c r="L628" s="4"/>
      <c r="M628" s="2"/>
      <c r="N628" s="2"/>
      <c r="O628" s="2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K629" s="4"/>
      <c r="L629" s="4"/>
      <c r="M629" s="2"/>
      <c r="N629" s="2"/>
      <c r="O629" s="2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K630" s="4"/>
      <c r="L630" s="4"/>
      <c r="M630" s="2"/>
      <c r="N630" s="2"/>
      <c r="O630" s="2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K631" s="4"/>
      <c r="L631" s="4"/>
      <c r="M631" s="2"/>
      <c r="N631" s="2"/>
      <c r="O631" s="2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K632" s="4"/>
      <c r="L632" s="4"/>
      <c r="M632" s="2"/>
      <c r="N632" s="2"/>
      <c r="O632" s="2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K633" s="4"/>
      <c r="L633" s="4"/>
      <c r="M633" s="2"/>
      <c r="N633" s="2"/>
      <c r="O633" s="2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K634" s="4"/>
      <c r="L634" s="4"/>
      <c r="M634" s="2"/>
      <c r="N634" s="2"/>
      <c r="O634" s="2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K635" s="4"/>
      <c r="L635" s="4"/>
      <c r="M635" s="2"/>
      <c r="N635" s="2"/>
      <c r="O635" s="2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K636" s="4"/>
      <c r="L636" s="4"/>
      <c r="M636" s="2"/>
      <c r="N636" s="2"/>
      <c r="O636" s="2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K637" s="4"/>
      <c r="L637" s="4"/>
      <c r="M637" s="2"/>
      <c r="N637" s="2"/>
      <c r="O637" s="2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K638" s="4"/>
      <c r="L638" s="4"/>
      <c r="M638" s="2"/>
      <c r="N638" s="2"/>
      <c r="O638" s="2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K639" s="4"/>
      <c r="L639" s="4"/>
      <c r="M639" s="2"/>
      <c r="N639" s="2"/>
      <c r="O639" s="2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K640" s="4"/>
      <c r="L640" s="4"/>
      <c r="M640" s="2"/>
      <c r="N640" s="2"/>
      <c r="O640" s="2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K641" s="4"/>
      <c r="L641" s="4"/>
      <c r="M641" s="2"/>
      <c r="N641" s="2"/>
      <c r="O641" s="2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K642" s="4"/>
      <c r="L642" s="4"/>
      <c r="M642" s="2"/>
      <c r="N642" s="2"/>
      <c r="O642" s="2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K643" s="4"/>
      <c r="L643" s="4"/>
      <c r="M643" s="2"/>
      <c r="N643" s="2"/>
      <c r="O643" s="2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K644" s="4"/>
      <c r="L644" s="4"/>
      <c r="M644" s="2"/>
      <c r="N644" s="2"/>
      <c r="O644" s="2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K645" s="4"/>
      <c r="L645" s="4"/>
      <c r="M645" s="2"/>
      <c r="N645" s="2"/>
      <c r="O645" s="2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K646" s="4"/>
      <c r="L646" s="4"/>
      <c r="M646" s="2"/>
      <c r="N646" s="2"/>
      <c r="O646" s="2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K647" s="4"/>
      <c r="L647" s="4"/>
      <c r="M647" s="2"/>
      <c r="N647" s="2"/>
      <c r="O647" s="2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K648" s="4"/>
      <c r="L648" s="4"/>
      <c r="M648" s="2"/>
      <c r="N648" s="2"/>
      <c r="O648" s="2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K649" s="4"/>
      <c r="L649" s="4"/>
      <c r="M649" s="2"/>
      <c r="N649" s="2"/>
      <c r="O649" s="2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K650" s="4"/>
      <c r="L650" s="4"/>
      <c r="M650" s="2"/>
      <c r="N650" s="2"/>
      <c r="O650" s="2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K651" s="4"/>
      <c r="L651" s="4"/>
      <c r="M651" s="2"/>
      <c r="N651" s="2"/>
      <c r="O651" s="2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K652" s="4"/>
      <c r="L652" s="4"/>
      <c r="M652" s="2"/>
      <c r="N652" s="2"/>
      <c r="O652" s="2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K653" s="4"/>
      <c r="L653" s="4"/>
      <c r="M653" s="2"/>
      <c r="N653" s="2"/>
      <c r="O653" s="2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K654" s="4"/>
      <c r="L654" s="4"/>
      <c r="M654" s="2"/>
      <c r="N654" s="2"/>
      <c r="O654" s="2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K655" s="4"/>
      <c r="L655" s="4"/>
      <c r="M655" s="2"/>
      <c r="N655" s="2"/>
      <c r="O655" s="2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K656" s="4"/>
      <c r="L656" s="4"/>
      <c r="M656" s="2"/>
      <c r="N656" s="2"/>
      <c r="O656" s="2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K657" s="4"/>
      <c r="L657" s="4"/>
      <c r="M657" s="2"/>
      <c r="N657" s="2"/>
      <c r="O657" s="2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K658" s="4"/>
      <c r="L658" s="4"/>
      <c r="M658" s="2"/>
      <c r="N658" s="2"/>
      <c r="O658" s="2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K659" s="4"/>
      <c r="L659" s="4"/>
      <c r="M659" s="2"/>
      <c r="N659" s="2"/>
      <c r="O659" s="2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K660" s="4"/>
      <c r="L660" s="4"/>
      <c r="M660" s="2"/>
      <c r="N660" s="2"/>
      <c r="O660" s="2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K661" s="4"/>
      <c r="L661" s="4"/>
      <c r="M661" s="2"/>
      <c r="N661" s="2"/>
      <c r="O661" s="2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K662" s="4"/>
      <c r="L662" s="4"/>
      <c r="M662" s="2"/>
      <c r="N662" s="2"/>
      <c r="O662" s="2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K663" s="4"/>
      <c r="L663" s="4"/>
      <c r="M663" s="2"/>
      <c r="N663" s="2"/>
      <c r="O663" s="2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K664" s="4"/>
      <c r="L664" s="4"/>
      <c r="M664" s="2"/>
      <c r="N664" s="2"/>
      <c r="O664" s="2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K665" s="4"/>
      <c r="L665" s="4"/>
      <c r="M665" s="2"/>
      <c r="N665" s="2"/>
      <c r="O665" s="2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K666" s="4"/>
      <c r="L666" s="4"/>
      <c r="M666" s="2"/>
      <c r="N666" s="2"/>
      <c r="O666" s="2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K667" s="4"/>
      <c r="L667" s="4"/>
      <c r="M667" s="2"/>
      <c r="N667" s="2"/>
      <c r="O667" s="2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K668" s="4"/>
      <c r="L668" s="4"/>
      <c r="M668" s="2"/>
      <c r="N668" s="2"/>
      <c r="O668" s="2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K669" s="4"/>
      <c r="L669" s="4"/>
      <c r="M669" s="2"/>
      <c r="N669" s="2"/>
      <c r="O669" s="2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K670" s="4"/>
      <c r="L670" s="4"/>
      <c r="M670" s="2"/>
      <c r="N670" s="2"/>
      <c r="O670" s="2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K671" s="4"/>
      <c r="L671" s="4"/>
      <c r="M671" s="2"/>
      <c r="N671" s="2"/>
      <c r="O671" s="2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K672" s="4"/>
      <c r="L672" s="4"/>
      <c r="M672" s="2"/>
      <c r="N672" s="2"/>
      <c r="O672" s="2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K673" s="4"/>
      <c r="L673" s="4"/>
      <c r="M673" s="2"/>
      <c r="N673" s="2"/>
      <c r="O673" s="2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K674" s="4"/>
      <c r="L674" s="4"/>
      <c r="M674" s="2"/>
      <c r="N674" s="2"/>
      <c r="O674" s="2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K675" s="4"/>
      <c r="L675" s="4"/>
      <c r="M675" s="2"/>
      <c r="N675" s="2"/>
      <c r="O675" s="2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K676" s="4"/>
      <c r="L676" s="4"/>
      <c r="M676" s="2"/>
      <c r="N676" s="2"/>
      <c r="O676" s="2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K677" s="4"/>
      <c r="L677" s="4"/>
      <c r="M677" s="2"/>
      <c r="N677" s="2"/>
      <c r="O677" s="2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K678" s="4"/>
      <c r="L678" s="4"/>
      <c r="M678" s="2"/>
      <c r="N678" s="2"/>
      <c r="O678" s="2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K679" s="4"/>
      <c r="L679" s="4"/>
      <c r="M679" s="2"/>
      <c r="N679" s="2"/>
      <c r="O679" s="2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K680" s="4"/>
      <c r="L680" s="4"/>
      <c r="M680" s="2"/>
      <c r="N680" s="2"/>
      <c r="O680" s="2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K681" s="4"/>
      <c r="L681" s="4"/>
      <c r="M681" s="2"/>
      <c r="N681" s="2"/>
      <c r="O681" s="2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K682" s="4"/>
      <c r="L682" s="4"/>
      <c r="M682" s="2"/>
      <c r="N682" s="2"/>
      <c r="O682" s="2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K683" s="4"/>
      <c r="L683" s="4"/>
      <c r="M683" s="2"/>
      <c r="N683" s="2"/>
      <c r="O683" s="2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K684" s="4"/>
      <c r="L684" s="4"/>
      <c r="M684" s="2"/>
      <c r="N684" s="2"/>
      <c r="O684" s="2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K685" s="4"/>
      <c r="L685" s="4"/>
      <c r="M685" s="2"/>
      <c r="N685" s="2"/>
      <c r="O685" s="2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K686" s="4"/>
      <c r="L686" s="4"/>
      <c r="M686" s="2"/>
      <c r="N686" s="2"/>
      <c r="O686" s="2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K687" s="4"/>
      <c r="L687" s="4"/>
      <c r="M687" s="2"/>
      <c r="N687" s="2"/>
      <c r="O687" s="2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K688" s="4"/>
      <c r="L688" s="4"/>
      <c r="M688" s="2"/>
      <c r="N688" s="2"/>
      <c r="O688" s="2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K689" s="4"/>
      <c r="L689" s="4"/>
      <c r="M689" s="2"/>
      <c r="N689" s="2"/>
      <c r="O689" s="2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K690" s="4"/>
      <c r="L690" s="4"/>
      <c r="M690" s="2"/>
      <c r="N690" s="2"/>
      <c r="O690" s="2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K691" s="4"/>
      <c r="L691" s="4"/>
      <c r="M691" s="2"/>
      <c r="N691" s="2"/>
      <c r="O691" s="2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K692" s="4"/>
      <c r="L692" s="4"/>
      <c r="M692" s="2"/>
      <c r="N692" s="2"/>
      <c r="O692" s="2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K693" s="4"/>
      <c r="L693" s="4"/>
      <c r="M693" s="2"/>
      <c r="N693" s="2"/>
      <c r="O693" s="2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K694" s="4"/>
      <c r="L694" s="4"/>
      <c r="M694" s="2"/>
      <c r="N694" s="2"/>
      <c r="O694" s="2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K695" s="4"/>
      <c r="L695" s="4"/>
      <c r="M695" s="2"/>
      <c r="N695" s="2"/>
      <c r="O695" s="2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K696" s="4"/>
      <c r="L696" s="4"/>
      <c r="M696" s="2"/>
      <c r="N696" s="2"/>
      <c r="O696" s="2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K697" s="4"/>
      <c r="L697" s="4"/>
      <c r="M697" s="2"/>
      <c r="N697" s="2"/>
      <c r="O697" s="2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K698" s="4"/>
      <c r="L698" s="4"/>
      <c r="M698" s="2"/>
      <c r="N698" s="2"/>
      <c r="O698" s="2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K699" s="4"/>
      <c r="L699" s="4"/>
      <c r="M699" s="2"/>
      <c r="N699" s="2"/>
      <c r="O699" s="2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K700" s="4"/>
      <c r="L700" s="4"/>
      <c r="M700" s="2"/>
      <c r="N700" s="2"/>
      <c r="O700" s="2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K701" s="4"/>
      <c r="L701" s="4"/>
      <c r="M701" s="2"/>
      <c r="N701" s="2"/>
      <c r="O701" s="2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K702" s="4"/>
      <c r="L702" s="4"/>
      <c r="M702" s="2"/>
      <c r="N702" s="2"/>
      <c r="O702" s="2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K703" s="4"/>
      <c r="L703" s="4"/>
      <c r="M703" s="2"/>
      <c r="N703" s="2"/>
      <c r="O703" s="2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K704" s="4"/>
      <c r="L704" s="4"/>
      <c r="M704" s="2"/>
      <c r="N704" s="2"/>
      <c r="O704" s="2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K705" s="4"/>
      <c r="L705" s="4"/>
      <c r="M705" s="2"/>
      <c r="N705" s="2"/>
      <c r="O705" s="2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K706" s="4"/>
      <c r="L706" s="4"/>
      <c r="M706" s="2"/>
      <c r="N706" s="2"/>
      <c r="O706" s="2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K707" s="4"/>
      <c r="L707" s="4"/>
      <c r="M707" s="2"/>
      <c r="N707" s="2"/>
      <c r="O707" s="2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K708" s="4"/>
      <c r="L708" s="4"/>
      <c r="M708" s="2"/>
      <c r="N708" s="2"/>
      <c r="O708" s="2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K709" s="4"/>
      <c r="L709" s="4"/>
      <c r="M709" s="2"/>
      <c r="N709" s="2"/>
      <c r="O709" s="2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K710" s="4"/>
      <c r="L710" s="4"/>
      <c r="M710" s="2"/>
      <c r="N710" s="2"/>
      <c r="O710" s="2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K711" s="4"/>
      <c r="L711" s="4"/>
      <c r="M711" s="2"/>
      <c r="N711" s="2"/>
      <c r="O711" s="2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K712" s="4"/>
      <c r="L712" s="4"/>
      <c r="M712" s="2"/>
      <c r="N712" s="2"/>
      <c r="O712" s="2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K713" s="4"/>
      <c r="L713" s="4"/>
      <c r="M713" s="2"/>
      <c r="N713" s="2"/>
      <c r="O713" s="2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K714" s="4"/>
      <c r="L714" s="4"/>
      <c r="M714" s="2"/>
      <c r="N714" s="2"/>
      <c r="O714" s="2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K715" s="4"/>
      <c r="L715" s="4"/>
      <c r="M715" s="2"/>
      <c r="N715" s="2"/>
      <c r="O715" s="2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K716" s="4"/>
      <c r="L716" s="4"/>
      <c r="M716" s="2"/>
      <c r="N716" s="2"/>
      <c r="O716" s="2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K717" s="4"/>
      <c r="L717" s="4"/>
      <c r="M717" s="2"/>
      <c r="N717" s="2"/>
      <c r="O717" s="2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K718" s="4"/>
      <c r="L718" s="4"/>
      <c r="M718" s="2"/>
      <c r="N718" s="2"/>
      <c r="O718" s="2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K719" s="4"/>
      <c r="L719" s="4"/>
      <c r="M719" s="2"/>
      <c r="N719" s="2"/>
      <c r="O719" s="2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K720" s="4"/>
      <c r="L720" s="4"/>
      <c r="M720" s="2"/>
      <c r="N720" s="2"/>
      <c r="O720" s="2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K721" s="4"/>
      <c r="L721" s="4"/>
      <c r="M721" s="2"/>
      <c r="N721" s="2"/>
      <c r="O721" s="2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K722" s="4"/>
      <c r="L722" s="4"/>
      <c r="M722" s="2"/>
      <c r="N722" s="2"/>
      <c r="O722" s="2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K723" s="4"/>
      <c r="L723" s="4"/>
      <c r="M723" s="2"/>
      <c r="N723" s="2"/>
      <c r="O723" s="2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K724" s="4"/>
      <c r="L724" s="4"/>
      <c r="M724" s="2"/>
      <c r="N724" s="2"/>
      <c r="O724" s="2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K725" s="4"/>
      <c r="L725" s="4"/>
      <c r="M725" s="2"/>
      <c r="N725" s="2"/>
      <c r="O725" s="2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K726" s="4"/>
      <c r="L726" s="4"/>
      <c r="M726" s="2"/>
      <c r="N726" s="2"/>
      <c r="O726" s="2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K727" s="4"/>
      <c r="L727" s="4"/>
      <c r="M727" s="2"/>
      <c r="N727" s="2"/>
      <c r="O727" s="2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K728" s="4"/>
      <c r="L728" s="4"/>
      <c r="M728" s="2"/>
      <c r="N728" s="2"/>
      <c r="O728" s="2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K729" s="4"/>
      <c r="L729" s="4"/>
      <c r="M729" s="2"/>
      <c r="N729" s="2"/>
      <c r="O729" s="2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K730" s="4"/>
      <c r="L730" s="4"/>
      <c r="M730" s="2"/>
      <c r="N730" s="2"/>
      <c r="O730" s="2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K731" s="4"/>
      <c r="L731" s="4"/>
      <c r="M731" s="2"/>
      <c r="N731" s="2"/>
      <c r="O731" s="2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K732" s="4"/>
      <c r="L732" s="4"/>
      <c r="M732" s="2"/>
      <c r="N732" s="2"/>
      <c r="O732" s="2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K733" s="4"/>
      <c r="L733" s="4"/>
      <c r="M733" s="2"/>
      <c r="N733" s="2"/>
      <c r="O733" s="2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K734" s="4"/>
      <c r="L734" s="4"/>
      <c r="M734" s="2"/>
      <c r="N734" s="2"/>
      <c r="O734" s="2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K735" s="4"/>
      <c r="L735" s="4"/>
      <c r="M735" s="2"/>
      <c r="N735" s="2"/>
      <c r="O735" s="2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K736" s="4"/>
      <c r="L736" s="4"/>
      <c r="M736" s="2"/>
      <c r="N736" s="2"/>
      <c r="O736" s="2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K737" s="4"/>
      <c r="L737" s="4"/>
      <c r="M737" s="2"/>
      <c r="N737" s="2"/>
      <c r="O737" s="2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K738" s="4"/>
      <c r="L738" s="4"/>
      <c r="M738" s="2"/>
      <c r="N738" s="2"/>
      <c r="O738" s="2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K739" s="4"/>
      <c r="L739" s="4"/>
      <c r="M739" s="2"/>
      <c r="N739" s="2"/>
      <c r="O739" s="2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K740" s="4"/>
      <c r="L740" s="4"/>
      <c r="M740" s="2"/>
      <c r="N740" s="2"/>
      <c r="O740" s="2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K741" s="4"/>
      <c r="L741" s="4"/>
      <c r="M741" s="2"/>
      <c r="N741" s="2"/>
      <c r="O741" s="2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K742" s="4"/>
      <c r="L742" s="4"/>
      <c r="M742" s="2"/>
      <c r="N742" s="2"/>
      <c r="O742" s="2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K743" s="4"/>
      <c r="L743" s="4"/>
      <c r="M743" s="2"/>
      <c r="N743" s="2"/>
      <c r="O743" s="2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K744" s="4"/>
      <c r="L744" s="4"/>
      <c r="M744" s="2"/>
      <c r="N744" s="2"/>
      <c r="O744" s="2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K745" s="4"/>
      <c r="L745" s="4"/>
      <c r="M745" s="2"/>
      <c r="N745" s="2"/>
      <c r="O745" s="2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K746" s="4"/>
      <c r="L746" s="4"/>
      <c r="M746" s="2"/>
      <c r="N746" s="2"/>
      <c r="O746" s="2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K747" s="4"/>
      <c r="L747" s="4"/>
      <c r="M747" s="2"/>
      <c r="N747" s="2"/>
      <c r="O747" s="2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K748" s="4"/>
      <c r="L748" s="4"/>
      <c r="M748" s="2"/>
      <c r="N748" s="2"/>
      <c r="O748" s="2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K749" s="4"/>
      <c r="L749" s="4"/>
      <c r="M749" s="2"/>
      <c r="N749" s="2"/>
      <c r="O749" s="2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K750" s="4"/>
      <c r="L750" s="4"/>
      <c r="M750" s="2"/>
      <c r="N750" s="2"/>
      <c r="O750" s="2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K751" s="4"/>
      <c r="L751" s="4"/>
      <c r="M751" s="2"/>
      <c r="N751" s="2"/>
      <c r="O751" s="2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K752" s="4"/>
      <c r="L752" s="4"/>
      <c r="M752" s="2"/>
      <c r="N752" s="2"/>
      <c r="O752" s="2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K753" s="4"/>
      <c r="L753" s="4"/>
      <c r="M753" s="2"/>
      <c r="N753" s="2"/>
      <c r="O753" s="2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K754" s="4"/>
      <c r="L754" s="4"/>
      <c r="M754" s="2"/>
      <c r="N754" s="2"/>
      <c r="O754" s="2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K755" s="4"/>
      <c r="L755" s="4"/>
      <c r="M755" s="2"/>
      <c r="N755" s="2"/>
      <c r="O755" s="2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K756" s="4"/>
      <c r="L756" s="4"/>
      <c r="M756" s="2"/>
      <c r="N756" s="2"/>
      <c r="O756" s="2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K757" s="4"/>
      <c r="L757" s="4"/>
      <c r="M757" s="2"/>
      <c r="N757" s="2"/>
      <c r="O757" s="2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K758" s="4"/>
      <c r="L758" s="4"/>
      <c r="M758" s="2"/>
      <c r="N758" s="2"/>
      <c r="O758" s="2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K759" s="4"/>
      <c r="L759" s="4"/>
      <c r="M759" s="2"/>
      <c r="N759" s="2"/>
      <c r="O759" s="2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K760" s="4"/>
      <c r="L760" s="4"/>
      <c r="M760" s="2"/>
      <c r="N760" s="2"/>
      <c r="O760" s="2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K761" s="4"/>
      <c r="L761" s="4"/>
      <c r="M761" s="2"/>
      <c r="N761" s="2"/>
      <c r="O761" s="2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K762" s="4"/>
      <c r="L762" s="4"/>
      <c r="M762" s="2"/>
      <c r="N762" s="2"/>
      <c r="O762" s="2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K763" s="4"/>
      <c r="L763" s="4"/>
      <c r="M763" s="2"/>
      <c r="N763" s="2"/>
      <c r="O763" s="2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K764" s="4"/>
      <c r="L764" s="4"/>
      <c r="M764" s="2"/>
      <c r="N764" s="2"/>
      <c r="O764" s="2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K765" s="4"/>
      <c r="L765" s="4"/>
      <c r="M765" s="2"/>
      <c r="N765" s="2"/>
      <c r="O765" s="2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K766" s="4"/>
      <c r="L766" s="4"/>
      <c r="M766" s="2"/>
      <c r="N766" s="2"/>
      <c r="O766" s="2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K767" s="4"/>
      <c r="L767" s="4"/>
      <c r="M767" s="2"/>
      <c r="N767" s="2"/>
      <c r="O767" s="2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K768" s="4"/>
      <c r="L768" s="4"/>
      <c r="M768" s="2"/>
      <c r="N768" s="2"/>
      <c r="O768" s="2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K769" s="4"/>
      <c r="L769" s="4"/>
      <c r="M769" s="2"/>
      <c r="N769" s="2"/>
      <c r="O769" s="2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K770" s="4"/>
      <c r="L770" s="4"/>
      <c r="M770" s="2"/>
      <c r="N770" s="2"/>
      <c r="O770" s="2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K771" s="4"/>
      <c r="L771" s="4"/>
      <c r="M771" s="2"/>
      <c r="N771" s="2"/>
      <c r="O771" s="2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K772" s="4"/>
      <c r="L772" s="4"/>
      <c r="M772" s="2"/>
      <c r="N772" s="2"/>
      <c r="O772" s="2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K773" s="4"/>
      <c r="L773" s="4"/>
      <c r="M773" s="2"/>
      <c r="N773" s="2"/>
      <c r="O773" s="2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K774" s="4"/>
      <c r="L774" s="4"/>
      <c r="M774" s="2"/>
      <c r="N774" s="2"/>
      <c r="O774" s="2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K775" s="4"/>
      <c r="L775" s="4"/>
      <c r="M775" s="2"/>
      <c r="N775" s="2"/>
      <c r="O775" s="2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K776" s="4"/>
      <c r="L776" s="4"/>
      <c r="M776" s="2"/>
      <c r="N776" s="2"/>
      <c r="O776" s="2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K777" s="4"/>
      <c r="L777" s="4"/>
      <c r="M777" s="2"/>
      <c r="N777" s="2"/>
      <c r="O777" s="2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K778" s="4"/>
      <c r="L778" s="4"/>
      <c r="M778" s="2"/>
      <c r="N778" s="2"/>
      <c r="O778" s="2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K779" s="4"/>
      <c r="L779" s="4"/>
      <c r="M779" s="2"/>
      <c r="N779" s="2"/>
      <c r="O779" s="2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K780" s="4"/>
      <c r="L780" s="4"/>
      <c r="M780" s="2"/>
      <c r="N780" s="2"/>
      <c r="O780" s="2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K781" s="4"/>
      <c r="L781" s="4"/>
      <c r="M781" s="2"/>
      <c r="N781" s="2"/>
      <c r="O781" s="2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K782" s="4"/>
      <c r="L782" s="4"/>
      <c r="M782" s="2"/>
      <c r="N782" s="2"/>
      <c r="O782" s="2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K783" s="4"/>
      <c r="L783" s="4"/>
      <c r="M783" s="2"/>
      <c r="N783" s="2"/>
      <c r="O783" s="2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K784" s="4"/>
      <c r="L784" s="4"/>
      <c r="M784" s="2"/>
      <c r="N784" s="2"/>
      <c r="O784" s="2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K785" s="4"/>
      <c r="L785" s="4"/>
      <c r="M785" s="2"/>
      <c r="N785" s="2"/>
      <c r="O785" s="2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K786" s="4"/>
      <c r="L786" s="4"/>
      <c r="M786" s="2"/>
      <c r="N786" s="2"/>
      <c r="O786" s="2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K787" s="4"/>
      <c r="L787" s="4"/>
      <c r="M787" s="2"/>
      <c r="N787" s="2"/>
      <c r="O787" s="2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K788" s="4"/>
      <c r="L788" s="4"/>
      <c r="M788" s="2"/>
      <c r="N788" s="2"/>
      <c r="O788" s="2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K789" s="4"/>
      <c r="L789" s="4"/>
      <c r="M789" s="2"/>
      <c r="N789" s="2"/>
      <c r="O789" s="2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K790" s="4"/>
      <c r="L790" s="4"/>
      <c r="M790" s="2"/>
      <c r="N790" s="2"/>
      <c r="O790" s="2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K791" s="4"/>
      <c r="L791" s="4"/>
      <c r="M791" s="2"/>
      <c r="N791" s="2"/>
      <c r="O791" s="2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K792" s="4"/>
      <c r="L792" s="4"/>
      <c r="M792" s="2"/>
      <c r="N792" s="2"/>
      <c r="O792" s="2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K793" s="4"/>
      <c r="L793" s="4"/>
      <c r="M793" s="2"/>
      <c r="N793" s="2"/>
      <c r="O793" s="2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K794" s="4"/>
      <c r="L794" s="4"/>
      <c r="M794" s="2"/>
      <c r="N794" s="2"/>
      <c r="O794" s="2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K795" s="4"/>
      <c r="L795" s="4"/>
      <c r="M795" s="2"/>
      <c r="N795" s="2"/>
      <c r="O795" s="2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K796" s="4"/>
      <c r="L796" s="4"/>
      <c r="M796" s="2"/>
      <c r="N796" s="2"/>
      <c r="O796" s="2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K797" s="4"/>
      <c r="L797" s="4"/>
      <c r="M797" s="2"/>
      <c r="N797" s="2"/>
      <c r="O797" s="2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K798" s="4"/>
      <c r="L798" s="4"/>
      <c r="M798" s="2"/>
      <c r="N798" s="2"/>
      <c r="O798" s="2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K799" s="4"/>
      <c r="L799" s="4"/>
      <c r="M799" s="2"/>
      <c r="N799" s="2"/>
      <c r="O799" s="2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K800" s="4"/>
      <c r="L800" s="4"/>
      <c r="M800" s="2"/>
      <c r="N800" s="2"/>
      <c r="O800" s="2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K801" s="4"/>
      <c r="L801" s="4"/>
      <c r="M801" s="2"/>
      <c r="N801" s="2"/>
      <c r="O801" s="2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K802" s="4"/>
      <c r="L802" s="4"/>
      <c r="M802" s="2"/>
      <c r="N802" s="2"/>
      <c r="O802" s="2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K803" s="4"/>
      <c r="L803" s="4"/>
      <c r="M803" s="2"/>
      <c r="N803" s="2"/>
      <c r="O803" s="2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K804" s="4"/>
      <c r="L804" s="4"/>
      <c r="M804" s="2"/>
      <c r="N804" s="2"/>
      <c r="O804" s="2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K805" s="4"/>
      <c r="L805" s="4"/>
      <c r="M805" s="2"/>
      <c r="N805" s="2"/>
      <c r="O805" s="2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K806" s="4"/>
      <c r="L806" s="4"/>
      <c r="M806" s="2"/>
      <c r="N806" s="2"/>
      <c r="O806" s="2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K807" s="4"/>
      <c r="L807" s="4"/>
      <c r="M807" s="2"/>
      <c r="N807" s="2"/>
      <c r="O807" s="2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K808" s="4"/>
      <c r="L808" s="4"/>
      <c r="M808" s="2"/>
      <c r="N808" s="2"/>
      <c r="O808" s="2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K809" s="4"/>
      <c r="L809" s="4"/>
      <c r="M809" s="2"/>
      <c r="N809" s="2"/>
      <c r="O809" s="2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K810" s="4"/>
      <c r="L810" s="4"/>
      <c r="M810" s="2"/>
      <c r="N810" s="2"/>
      <c r="O810" s="2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K811" s="4"/>
      <c r="L811" s="4"/>
      <c r="M811" s="2"/>
      <c r="N811" s="2"/>
      <c r="O811" s="2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K812" s="4"/>
      <c r="L812" s="4"/>
      <c r="M812" s="2"/>
      <c r="N812" s="2"/>
      <c r="O812" s="2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K813" s="4"/>
      <c r="L813" s="4"/>
      <c r="M813" s="2"/>
      <c r="N813" s="2"/>
      <c r="O813" s="2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K814" s="4"/>
      <c r="L814" s="4"/>
      <c r="M814" s="2"/>
      <c r="N814" s="2"/>
      <c r="O814" s="2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K815" s="4"/>
      <c r="L815" s="4"/>
      <c r="M815" s="2"/>
      <c r="N815" s="2"/>
      <c r="O815" s="2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K816" s="4"/>
      <c r="L816" s="4"/>
      <c r="M816" s="2"/>
      <c r="N816" s="2"/>
      <c r="O816" s="2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K817" s="4"/>
      <c r="L817" s="4"/>
      <c r="M817" s="2"/>
      <c r="N817" s="2"/>
      <c r="O817" s="2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K818" s="4"/>
      <c r="L818" s="4"/>
      <c r="M818" s="2"/>
      <c r="N818" s="2"/>
      <c r="O818" s="2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K819" s="4"/>
      <c r="L819" s="4"/>
      <c r="M819" s="2"/>
      <c r="N819" s="2"/>
      <c r="O819" s="2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K820" s="4"/>
      <c r="L820" s="4"/>
      <c r="M820" s="2"/>
      <c r="N820" s="2"/>
      <c r="O820" s="2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K821" s="4"/>
      <c r="L821" s="4"/>
      <c r="M821" s="2"/>
      <c r="N821" s="2"/>
      <c r="O821" s="2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K822" s="4"/>
      <c r="L822" s="4"/>
      <c r="M822" s="2"/>
      <c r="N822" s="2"/>
      <c r="O822" s="2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K823" s="4"/>
      <c r="L823" s="4"/>
      <c r="M823" s="2"/>
      <c r="N823" s="2"/>
      <c r="O823" s="2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K824" s="4"/>
      <c r="L824" s="4"/>
      <c r="M824" s="2"/>
      <c r="N824" s="2"/>
      <c r="O824" s="2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K825" s="4"/>
      <c r="L825" s="4"/>
      <c r="M825" s="2"/>
      <c r="N825" s="2"/>
      <c r="O825" s="2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K826" s="4"/>
      <c r="L826" s="4"/>
      <c r="M826" s="2"/>
      <c r="N826" s="2"/>
      <c r="O826" s="2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K827" s="4"/>
      <c r="L827" s="4"/>
      <c r="M827" s="2"/>
      <c r="N827" s="2"/>
      <c r="O827" s="2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K828" s="4"/>
      <c r="L828" s="4"/>
      <c r="M828" s="2"/>
      <c r="N828" s="2"/>
      <c r="O828" s="2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K829" s="4"/>
      <c r="L829" s="4"/>
      <c r="M829" s="2"/>
      <c r="N829" s="2"/>
      <c r="O829" s="2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K830" s="4"/>
      <c r="L830" s="4"/>
      <c r="M830" s="2"/>
      <c r="N830" s="2"/>
      <c r="O830" s="2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K831" s="4"/>
      <c r="L831" s="4"/>
      <c r="M831" s="2"/>
      <c r="N831" s="2"/>
      <c r="O831" s="2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K832" s="4"/>
      <c r="L832" s="4"/>
      <c r="M832" s="2"/>
      <c r="N832" s="2"/>
      <c r="O832" s="2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K833" s="4"/>
      <c r="L833" s="4"/>
      <c r="M833" s="2"/>
      <c r="N833" s="2"/>
      <c r="O833" s="2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K834" s="4"/>
      <c r="L834" s="4"/>
      <c r="M834" s="2"/>
      <c r="N834" s="2"/>
      <c r="O834" s="2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K835" s="4"/>
      <c r="L835" s="4"/>
      <c r="M835" s="2"/>
      <c r="N835" s="2"/>
      <c r="O835" s="2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K836" s="4"/>
      <c r="L836" s="4"/>
      <c r="M836" s="2"/>
      <c r="N836" s="2"/>
      <c r="O836" s="2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K837" s="4"/>
      <c r="L837" s="4"/>
      <c r="M837" s="2"/>
      <c r="N837" s="2"/>
      <c r="O837" s="2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K838" s="4"/>
      <c r="L838" s="4"/>
      <c r="M838" s="2"/>
      <c r="N838" s="2"/>
      <c r="O838" s="2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K839" s="4"/>
      <c r="L839" s="4"/>
      <c r="M839" s="2"/>
      <c r="N839" s="2"/>
      <c r="O839" s="2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K840" s="4"/>
      <c r="L840" s="4"/>
      <c r="M840" s="2"/>
      <c r="N840" s="2"/>
      <c r="O840" s="2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K841" s="4"/>
      <c r="L841" s="4"/>
      <c r="M841" s="2"/>
      <c r="N841" s="2"/>
      <c r="O841" s="2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K842" s="4"/>
      <c r="L842" s="4"/>
      <c r="M842" s="2"/>
      <c r="N842" s="2"/>
      <c r="O842" s="2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K843" s="4"/>
      <c r="L843" s="4"/>
      <c r="M843" s="2"/>
      <c r="N843" s="2"/>
      <c r="O843" s="2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K844" s="4"/>
      <c r="L844" s="4"/>
      <c r="M844" s="2"/>
      <c r="N844" s="2"/>
      <c r="O844" s="2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K845" s="4"/>
      <c r="L845" s="4"/>
      <c r="M845" s="2"/>
      <c r="N845" s="2"/>
      <c r="O845" s="2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K846" s="4"/>
      <c r="L846" s="4"/>
      <c r="M846" s="2"/>
      <c r="N846" s="2"/>
      <c r="O846" s="2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K847" s="4"/>
      <c r="L847" s="4"/>
      <c r="M847" s="2"/>
      <c r="N847" s="2"/>
      <c r="O847" s="2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K848" s="4"/>
      <c r="L848" s="4"/>
      <c r="M848" s="2"/>
      <c r="N848" s="2"/>
      <c r="O848" s="2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K849" s="4"/>
      <c r="L849" s="4"/>
      <c r="M849" s="2"/>
      <c r="N849" s="2"/>
      <c r="O849" s="2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K850" s="4"/>
      <c r="L850" s="4"/>
      <c r="M850" s="2"/>
      <c r="N850" s="2"/>
      <c r="O850" s="2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K851" s="4"/>
      <c r="L851" s="4"/>
      <c r="M851" s="2"/>
      <c r="N851" s="2"/>
      <c r="O851" s="2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K852" s="4"/>
      <c r="L852" s="4"/>
      <c r="M852" s="2"/>
      <c r="N852" s="2"/>
      <c r="O852" s="2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K853" s="4"/>
      <c r="L853" s="4"/>
      <c r="M853" s="2"/>
      <c r="N853" s="2"/>
      <c r="O853" s="2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K854" s="4"/>
      <c r="L854" s="4"/>
      <c r="M854" s="2"/>
      <c r="N854" s="2"/>
      <c r="O854" s="2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K855" s="4"/>
      <c r="L855" s="4"/>
      <c r="M855" s="2"/>
      <c r="N855" s="2"/>
      <c r="O855" s="2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K856" s="4"/>
      <c r="L856" s="4"/>
      <c r="M856" s="2"/>
      <c r="N856" s="2"/>
      <c r="O856" s="2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K857" s="4"/>
      <c r="L857" s="4"/>
      <c r="M857" s="2"/>
      <c r="N857" s="2"/>
      <c r="O857" s="2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K858" s="4"/>
      <c r="L858" s="4"/>
      <c r="M858" s="2"/>
      <c r="N858" s="2"/>
      <c r="O858" s="2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K859" s="4"/>
      <c r="L859" s="4"/>
      <c r="M859" s="2"/>
      <c r="N859" s="2"/>
      <c r="O859" s="2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K860" s="4"/>
      <c r="L860" s="4"/>
      <c r="M860" s="2"/>
      <c r="N860" s="2"/>
      <c r="O860" s="2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K861" s="4"/>
      <c r="L861" s="4"/>
      <c r="M861" s="2"/>
      <c r="N861" s="2"/>
      <c r="O861" s="2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K862" s="4"/>
      <c r="L862" s="4"/>
      <c r="M862" s="2"/>
      <c r="N862" s="2"/>
      <c r="O862" s="2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K863" s="4"/>
      <c r="L863" s="4"/>
      <c r="M863" s="2"/>
      <c r="N863" s="2"/>
      <c r="O863" s="2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K864" s="4"/>
      <c r="L864" s="4"/>
      <c r="M864" s="2"/>
      <c r="N864" s="2"/>
      <c r="O864" s="2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K865" s="4"/>
      <c r="L865" s="4"/>
      <c r="M865" s="2"/>
      <c r="N865" s="2"/>
      <c r="O865" s="2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K866" s="4"/>
      <c r="L866" s="4"/>
      <c r="M866" s="2"/>
      <c r="N866" s="2"/>
      <c r="O866" s="2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K867" s="4"/>
      <c r="L867" s="4"/>
      <c r="M867" s="2"/>
      <c r="N867" s="2"/>
      <c r="O867" s="2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K868" s="4"/>
      <c r="L868" s="4"/>
      <c r="M868" s="2"/>
      <c r="N868" s="2"/>
      <c r="O868" s="2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K869" s="4"/>
      <c r="L869" s="4"/>
      <c r="M869" s="2"/>
      <c r="N869" s="2"/>
      <c r="O869" s="2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K870" s="4"/>
      <c r="L870" s="4"/>
      <c r="M870" s="2"/>
      <c r="N870" s="2"/>
      <c r="O870" s="2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K871" s="4"/>
      <c r="L871" s="4"/>
      <c r="M871" s="2"/>
      <c r="N871" s="2"/>
      <c r="O871" s="2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K872" s="4"/>
      <c r="L872" s="4"/>
      <c r="M872" s="2"/>
      <c r="N872" s="2"/>
      <c r="O872" s="2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K873" s="4"/>
      <c r="L873" s="4"/>
      <c r="M873" s="2"/>
      <c r="N873" s="2"/>
      <c r="O873" s="2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K874" s="4"/>
      <c r="L874" s="4"/>
      <c r="M874" s="2"/>
      <c r="N874" s="2"/>
      <c r="O874" s="2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K875" s="4"/>
      <c r="L875" s="4"/>
      <c r="M875" s="2"/>
      <c r="N875" s="2"/>
      <c r="O875" s="2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K876" s="4"/>
      <c r="L876" s="4"/>
      <c r="M876" s="2"/>
      <c r="N876" s="2"/>
      <c r="O876" s="2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K877" s="4"/>
      <c r="L877" s="4"/>
      <c r="M877" s="2"/>
      <c r="N877" s="2"/>
      <c r="O877" s="2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K878" s="4"/>
      <c r="L878" s="4"/>
      <c r="M878" s="2"/>
      <c r="N878" s="2"/>
      <c r="O878" s="2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K879" s="4"/>
      <c r="L879" s="4"/>
      <c r="M879" s="2"/>
      <c r="N879" s="2"/>
      <c r="O879" s="2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K880" s="4"/>
      <c r="L880" s="4"/>
      <c r="M880" s="2"/>
      <c r="N880" s="2"/>
      <c r="O880" s="2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K881" s="4"/>
      <c r="L881" s="4"/>
      <c r="M881" s="2"/>
      <c r="N881" s="2"/>
      <c r="O881" s="2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K882" s="4"/>
      <c r="L882" s="4"/>
      <c r="M882" s="2"/>
      <c r="N882" s="2"/>
      <c r="O882" s="2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K883" s="4"/>
      <c r="L883" s="4"/>
      <c r="M883" s="2"/>
      <c r="N883" s="2"/>
      <c r="O883" s="2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K884" s="4"/>
      <c r="L884" s="4"/>
      <c r="M884" s="2"/>
      <c r="N884" s="2"/>
      <c r="O884" s="2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K885" s="4"/>
      <c r="L885" s="4"/>
      <c r="M885" s="2"/>
      <c r="N885" s="2"/>
      <c r="O885" s="2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K886" s="4"/>
      <c r="L886" s="4"/>
      <c r="M886" s="2"/>
      <c r="N886" s="2"/>
      <c r="O886" s="2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K887" s="4"/>
      <c r="L887" s="4"/>
      <c r="M887" s="2"/>
      <c r="N887" s="2"/>
      <c r="O887" s="2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K888" s="4"/>
      <c r="L888" s="4"/>
      <c r="M888" s="2"/>
      <c r="N888" s="2"/>
      <c r="O888" s="2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K889" s="4"/>
      <c r="L889" s="4"/>
      <c r="M889" s="2"/>
      <c r="N889" s="2"/>
      <c r="O889" s="2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K890" s="4"/>
      <c r="L890" s="4"/>
      <c r="M890" s="2"/>
      <c r="N890" s="2"/>
      <c r="O890" s="2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K891" s="4"/>
      <c r="L891" s="4"/>
      <c r="M891" s="2"/>
      <c r="N891" s="2"/>
      <c r="O891" s="2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K892" s="4"/>
      <c r="L892" s="4"/>
      <c r="M892" s="2"/>
      <c r="N892" s="2"/>
      <c r="O892" s="2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K893" s="4"/>
      <c r="L893" s="4"/>
      <c r="M893" s="2"/>
      <c r="N893" s="2"/>
      <c r="O893" s="2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K894" s="4"/>
      <c r="L894" s="4"/>
      <c r="M894" s="2"/>
      <c r="N894" s="2"/>
      <c r="O894" s="2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K895" s="4"/>
      <c r="L895" s="4"/>
      <c r="M895" s="2"/>
      <c r="N895" s="2"/>
      <c r="O895" s="2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K896" s="4"/>
      <c r="L896" s="4"/>
      <c r="M896" s="2"/>
      <c r="N896" s="2"/>
      <c r="O896" s="2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K897" s="4"/>
      <c r="L897" s="4"/>
      <c r="M897" s="2"/>
      <c r="N897" s="2"/>
      <c r="O897" s="2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K898" s="4"/>
      <c r="L898" s="4"/>
      <c r="M898" s="2"/>
      <c r="N898" s="2"/>
      <c r="O898" s="2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K899" s="4"/>
      <c r="L899" s="4"/>
      <c r="M899" s="2"/>
      <c r="N899" s="2"/>
      <c r="O899" s="2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K900" s="4"/>
      <c r="L900" s="4"/>
      <c r="M900" s="2"/>
      <c r="N900" s="2"/>
      <c r="O900" s="2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K901" s="4"/>
      <c r="L901" s="4"/>
      <c r="M901" s="2"/>
      <c r="N901" s="2"/>
      <c r="O901" s="2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K902" s="4"/>
      <c r="L902" s="4"/>
      <c r="M902" s="2"/>
      <c r="N902" s="2"/>
      <c r="O902" s="2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K903" s="4"/>
      <c r="L903" s="4"/>
      <c r="M903" s="2"/>
      <c r="N903" s="2"/>
      <c r="O903" s="2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K904" s="4"/>
      <c r="L904" s="4"/>
      <c r="M904" s="2"/>
      <c r="N904" s="2"/>
      <c r="O904" s="2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K905" s="4"/>
      <c r="L905" s="4"/>
      <c r="M905" s="2"/>
      <c r="N905" s="2"/>
      <c r="O905" s="2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K906" s="4"/>
      <c r="L906" s="4"/>
      <c r="M906" s="2"/>
      <c r="N906" s="2"/>
      <c r="O906" s="2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K907" s="4"/>
      <c r="L907" s="4"/>
      <c r="M907" s="2"/>
      <c r="N907" s="2"/>
      <c r="O907" s="2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K908" s="4"/>
      <c r="L908" s="4"/>
      <c r="M908" s="2"/>
      <c r="N908" s="2"/>
      <c r="O908" s="2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K909" s="4"/>
      <c r="L909" s="4"/>
      <c r="M909" s="2"/>
      <c r="N909" s="2"/>
      <c r="O909" s="2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K910" s="4"/>
      <c r="L910" s="4"/>
      <c r="M910" s="2"/>
      <c r="N910" s="2"/>
      <c r="O910" s="2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K911" s="4"/>
      <c r="L911" s="4"/>
      <c r="M911" s="2"/>
      <c r="N911" s="2"/>
      <c r="O911" s="2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K912" s="4"/>
      <c r="L912" s="4"/>
      <c r="M912" s="2"/>
      <c r="N912" s="2"/>
      <c r="O912" s="2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K913" s="4"/>
      <c r="L913" s="4"/>
      <c r="M913" s="2"/>
      <c r="N913" s="2"/>
      <c r="O913" s="2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K914" s="4"/>
      <c r="L914" s="4"/>
      <c r="M914" s="2"/>
      <c r="N914" s="2"/>
      <c r="O914" s="2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K915" s="4"/>
      <c r="L915" s="4"/>
      <c r="M915" s="2"/>
      <c r="N915" s="2"/>
      <c r="O915" s="2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K916" s="4"/>
      <c r="L916" s="4"/>
      <c r="M916" s="2"/>
      <c r="N916" s="2"/>
      <c r="O916" s="2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K917" s="4"/>
      <c r="L917" s="4"/>
      <c r="M917" s="2"/>
      <c r="N917" s="2"/>
      <c r="O917" s="2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K918" s="4"/>
      <c r="L918" s="4"/>
      <c r="M918" s="2"/>
      <c r="N918" s="2"/>
      <c r="O918" s="2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K919" s="4"/>
      <c r="L919" s="4"/>
      <c r="M919" s="2"/>
      <c r="N919" s="2"/>
      <c r="O919" s="2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K920" s="4"/>
      <c r="L920" s="4"/>
      <c r="M920" s="2"/>
      <c r="N920" s="2"/>
      <c r="O920" s="2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K921" s="4"/>
      <c r="L921" s="4"/>
      <c r="M921" s="2"/>
      <c r="N921" s="2"/>
      <c r="O921" s="2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K922" s="4"/>
      <c r="L922" s="4"/>
      <c r="M922" s="2"/>
      <c r="N922" s="2"/>
      <c r="O922" s="2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K923" s="4"/>
      <c r="L923" s="4"/>
      <c r="M923" s="2"/>
      <c r="N923" s="2"/>
      <c r="O923" s="2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K924" s="4"/>
      <c r="L924" s="4"/>
      <c r="M924" s="2"/>
      <c r="N924" s="2"/>
      <c r="O924" s="2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K925" s="4"/>
      <c r="L925" s="4"/>
      <c r="M925" s="2"/>
      <c r="N925" s="2"/>
      <c r="O925" s="2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K926" s="4"/>
      <c r="L926" s="4"/>
      <c r="M926" s="2"/>
      <c r="N926" s="2"/>
      <c r="O926" s="2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K927" s="4"/>
      <c r="L927" s="4"/>
      <c r="M927" s="2"/>
      <c r="N927" s="2"/>
      <c r="O927" s="2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K928" s="4"/>
      <c r="L928" s="4"/>
      <c r="M928" s="2"/>
      <c r="N928" s="2"/>
      <c r="O928" s="2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K929" s="4"/>
      <c r="L929" s="4"/>
      <c r="M929" s="2"/>
      <c r="N929" s="2"/>
      <c r="O929" s="2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K930" s="4"/>
      <c r="L930" s="4"/>
      <c r="M930" s="2"/>
      <c r="N930" s="2"/>
      <c r="O930" s="2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K931" s="4"/>
      <c r="L931" s="4"/>
      <c r="M931" s="2"/>
      <c r="N931" s="2"/>
      <c r="O931" s="2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K932" s="4"/>
      <c r="L932" s="4"/>
      <c r="M932" s="2"/>
      <c r="N932" s="2"/>
      <c r="O932" s="2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K933" s="4"/>
      <c r="L933" s="4"/>
      <c r="M933" s="2"/>
      <c r="N933" s="2"/>
      <c r="O933" s="2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K934" s="4"/>
      <c r="L934" s="4"/>
      <c r="M934" s="2"/>
      <c r="N934" s="2"/>
      <c r="O934" s="2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K935" s="4"/>
      <c r="L935" s="4"/>
      <c r="M935" s="2"/>
      <c r="N935" s="2"/>
      <c r="O935" s="2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K936" s="4"/>
      <c r="L936" s="4"/>
      <c r="M936" s="2"/>
      <c r="N936" s="2"/>
      <c r="O936" s="2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K937" s="4"/>
      <c r="L937" s="4"/>
      <c r="M937" s="2"/>
      <c r="N937" s="2"/>
      <c r="O937" s="2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K938" s="4"/>
      <c r="L938" s="4"/>
      <c r="M938" s="2"/>
      <c r="N938" s="2"/>
      <c r="O938" s="2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K939" s="4"/>
      <c r="L939" s="4"/>
      <c r="M939" s="2"/>
      <c r="N939" s="2"/>
      <c r="O939" s="2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K940" s="4"/>
      <c r="L940" s="4"/>
      <c r="M940" s="2"/>
      <c r="N940" s="2"/>
      <c r="O940" s="2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K941" s="4"/>
      <c r="L941" s="4"/>
      <c r="M941" s="2"/>
      <c r="N941" s="2"/>
      <c r="O941" s="2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K942" s="4"/>
      <c r="L942" s="4"/>
      <c r="M942" s="2"/>
      <c r="N942" s="2"/>
      <c r="O942" s="2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K943" s="4"/>
      <c r="L943" s="4"/>
      <c r="M943" s="2"/>
      <c r="N943" s="2"/>
      <c r="O943" s="2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K944" s="4"/>
      <c r="L944" s="4"/>
      <c r="M944" s="2"/>
      <c r="N944" s="2"/>
      <c r="O944" s="2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K945" s="4"/>
      <c r="L945" s="4"/>
      <c r="M945" s="2"/>
      <c r="N945" s="2"/>
      <c r="O945" s="2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K946" s="4"/>
      <c r="L946" s="4"/>
      <c r="M946" s="2"/>
      <c r="N946" s="2"/>
      <c r="O946" s="2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K947" s="4"/>
      <c r="L947" s="4"/>
      <c r="M947" s="2"/>
      <c r="N947" s="2"/>
      <c r="O947" s="2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K948" s="4"/>
      <c r="L948" s="4"/>
      <c r="M948" s="2"/>
      <c r="N948" s="2"/>
      <c r="O948" s="2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K949" s="4"/>
      <c r="L949" s="4"/>
      <c r="M949" s="2"/>
      <c r="N949" s="2"/>
      <c r="O949" s="2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K950" s="4"/>
      <c r="L950" s="4"/>
      <c r="M950" s="2"/>
      <c r="N950" s="2"/>
      <c r="O950" s="2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K951" s="4"/>
      <c r="L951" s="4"/>
      <c r="M951" s="2"/>
      <c r="N951" s="2"/>
      <c r="O951" s="2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K952" s="4"/>
      <c r="L952" s="4"/>
      <c r="M952" s="2"/>
      <c r="N952" s="2"/>
      <c r="O952" s="2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K953" s="4"/>
      <c r="L953" s="4"/>
      <c r="M953" s="2"/>
      <c r="N953" s="2"/>
      <c r="O953" s="2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K954" s="4"/>
      <c r="L954" s="4"/>
      <c r="M954" s="2"/>
      <c r="N954" s="2"/>
      <c r="O954" s="2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K955" s="4"/>
      <c r="L955" s="4"/>
      <c r="M955" s="2"/>
      <c r="N955" s="2"/>
      <c r="O955" s="2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K956" s="4"/>
      <c r="L956" s="4"/>
      <c r="M956" s="2"/>
      <c r="N956" s="2"/>
      <c r="O956" s="2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K957" s="4"/>
      <c r="L957" s="4"/>
      <c r="M957" s="2"/>
      <c r="N957" s="2"/>
      <c r="O957" s="2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K958" s="4"/>
      <c r="L958" s="4"/>
      <c r="M958" s="2"/>
      <c r="N958" s="2"/>
      <c r="O958" s="2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K959" s="4"/>
      <c r="L959" s="4"/>
      <c r="M959" s="2"/>
      <c r="N959" s="2"/>
      <c r="O959" s="2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K960" s="4"/>
      <c r="L960" s="4"/>
      <c r="M960" s="2"/>
      <c r="N960" s="2"/>
      <c r="O960" s="2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K961" s="4"/>
      <c r="L961" s="4"/>
      <c r="M961" s="2"/>
      <c r="N961" s="2"/>
      <c r="O961" s="2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K962" s="4"/>
      <c r="L962" s="4"/>
      <c r="M962" s="2"/>
      <c r="N962" s="2"/>
      <c r="O962" s="2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K963" s="4"/>
      <c r="L963" s="4"/>
      <c r="M963" s="2"/>
      <c r="N963" s="2"/>
      <c r="O963" s="2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K964" s="4"/>
      <c r="L964" s="4"/>
      <c r="M964" s="2"/>
      <c r="N964" s="2"/>
      <c r="O964" s="2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K965" s="4"/>
      <c r="L965" s="4"/>
      <c r="M965" s="2"/>
      <c r="N965" s="2"/>
      <c r="O965" s="2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K966" s="4"/>
      <c r="L966" s="4"/>
      <c r="M966" s="2"/>
      <c r="N966" s="2"/>
      <c r="O966" s="2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K967" s="4"/>
      <c r="L967" s="4"/>
      <c r="M967" s="2"/>
      <c r="N967" s="2"/>
      <c r="O967" s="2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K968" s="4"/>
      <c r="L968" s="4"/>
      <c r="M968" s="2"/>
      <c r="N968" s="2"/>
      <c r="O968" s="2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K969" s="4"/>
      <c r="L969" s="4"/>
      <c r="M969" s="2"/>
      <c r="N969" s="2"/>
      <c r="O969" s="2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K970" s="4"/>
      <c r="L970" s="4"/>
      <c r="M970" s="2"/>
      <c r="N970" s="2"/>
      <c r="O970" s="2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K971" s="4"/>
      <c r="L971" s="4"/>
      <c r="M971" s="2"/>
      <c r="N971" s="2"/>
      <c r="O971" s="2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K972" s="4"/>
      <c r="L972" s="4"/>
      <c r="M972" s="2"/>
      <c r="N972" s="2"/>
      <c r="O972" s="2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K973" s="4"/>
      <c r="L973" s="4"/>
      <c r="M973" s="2"/>
      <c r="N973" s="2"/>
      <c r="O973" s="2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K974" s="4"/>
      <c r="L974" s="4"/>
      <c r="M974" s="2"/>
      <c r="N974" s="2"/>
      <c r="O974" s="2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K975" s="4"/>
      <c r="L975" s="4"/>
      <c r="M975" s="2"/>
      <c r="N975" s="2"/>
      <c r="O975" s="2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K976" s="4"/>
      <c r="L976" s="4"/>
      <c r="M976" s="2"/>
      <c r="N976" s="2"/>
      <c r="O976" s="2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K977" s="4"/>
      <c r="L977" s="4"/>
      <c r="M977" s="2"/>
      <c r="N977" s="2"/>
      <c r="O977" s="2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K978" s="4"/>
      <c r="L978" s="4"/>
      <c r="M978" s="2"/>
      <c r="N978" s="2"/>
      <c r="O978" s="2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K979" s="4"/>
      <c r="L979" s="4"/>
      <c r="M979" s="2"/>
      <c r="N979" s="2"/>
      <c r="O979" s="2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K980" s="4"/>
      <c r="L980" s="4"/>
      <c r="M980" s="2"/>
      <c r="N980" s="2"/>
      <c r="O980" s="2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K981" s="4"/>
      <c r="L981" s="4"/>
      <c r="M981" s="2"/>
      <c r="N981" s="2"/>
      <c r="O981" s="2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K982" s="4"/>
      <c r="L982" s="4"/>
      <c r="M982" s="2"/>
      <c r="N982" s="2"/>
      <c r="O982" s="2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K983" s="4"/>
      <c r="L983" s="4"/>
      <c r="M983" s="2"/>
      <c r="N983" s="2"/>
      <c r="O983" s="2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K984" s="4"/>
      <c r="L984" s="4"/>
      <c r="M984" s="2"/>
      <c r="N984" s="2"/>
      <c r="O984" s="2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K985" s="4"/>
      <c r="L985" s="4"/>
      <c r="M985" s="2"/>
      <c r="N985" s="2"/>
      <c r="O985" s="2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K986" s="4"/>
      <c r="L986" s="4"/>
      <c r="M986" s="2"/>
      <c r="N986" s="2"/>
      <c r="O986" s="2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K987" s="4"/>
      <c r="L987" s="4"/>
      <c r="M987" s="2"/>
      <c r="N987" s="2"/>
      <c r="O987" s="2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K988" s="4"/>
      <c r="L988" s="4"/>
      <c r="M988" s="2"/>
      <c r="N988" s="2"/>
      <c r="O988" s="2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K989" s="4"/>
      <c r="L989" s="4"/>
      <c r="M989" s="2"/>
      <c r="N989" s="2"/>
      <c r="O989" s="2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K990" s="4"/>
      <c r="L990" s="4"/>
      <c r="M990" s="2"/>
      <c r="N990" s="2"/>
      <c r="O990" s="2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K991" s="4"/>
      <c r="L991" s="4"/>
      <c r="M991" s="2"/>
      <c r="N991" s="2"/>
      <c r="O991" s="2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K992" s="4"/>
      <c r="L992" s="4"/>
      <c r="M992" s="2"/>
      <c r="N992" s="2"/>
      <c r="O992" s="2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K993" s="4"/>
      <c r="L993" s="4"/>
      <c r="M993" s="2"/>
      <c r="N993" s="2"/>
      <c r="O993" s="2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K994" s="4"/>
      <c r="L994" s="4"/>
      <c r="M994" s="2"/>
      <c r="N994" s="2"/>
      <c r="O994" s="2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K995" s="4"/>
      <c r="L995" s="4"/>
      <c r="M995" s="2"/>
      <c r="N995" s="2"/>
      <c r="O995" s="2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K996" s="4"/>
      <c r="L996" s="4"/>
      <c r="M996" s="2"/>
      <c r="N996" s="2"/>
      <c r="O996" s="2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K997" s="4"/>
      <c r="L997" s="4"/>
      <c r="M997" s="2"/>
      <c r="N997" s="2"/>
      <c r="O997" s="2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K998" s="4"/>
      <c r="L998" s="4"/>
      <c r="M998" s="2"/>
      <c r="N998" s="2"/>
      <c r="O998" s="2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K999" s="4"/>
      <c r="L999" s="4"/>
      <c r="M999" s="2"/>
      <c r="N999" s="2"/>
      <c r="O999" s="2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K1000" s="4"/>
      <c r="L1000" s="4"/>
      <c r="M1000" s="2"/>
      <c r="N1000" s="2"/>
      <c r="O1000" s="2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88"/>
    <col customWidth="1" min="11" max="11" width="5.38"/>
    <col customWidth="1" min="12" max="12" width="6.38"/>
    <col customWidth="1" min="13" max="15" width="5.5"/>
    <col customWidth="1" min="16" max="26" width="8.88"/>
  </cols>
  <sheetData>
    <row r="1" ht="14.25" customHeight="1">
      <c r="A1" s="1" t="s">
        <v>0</v>
      </c>
      <c r="B1" s="1" t="s">
        <v>2</v>
      </c>
      <c r="C1" s="1" t="s">
        <v>384</v>
      </c>
      <c r="D1" s="1" t="s">
        <v>5</v>
      </c>
      <c r="E1" s="1" t="s">
        <v>6</v>
      </c>
      <c r="F1" s="1" t="s">
        <v>3</v>
      </c>
      <c r="G1" s="1" t="s">
        <v>5</v>
      </c>
      <c r="H1" s="1" t="s">
        <v>6</v>
      </c>
      <c r="I1" s="1" t="s">
        <v>8</v>
      </c>
      <c r="J1" s="1" t="s">
        <v>9</v>
      </c>
      <c r="K1" s="4" t="s">
        <v>11</v>
      </c>
      <c r="L1" s="4" t="s">
        <v>131</v>
      </c>
      <c r="M1" s="52" t="s">
        <v>12</v>
      </c>
      <c r="N1" s="52" t="s">
        <v>13</v>
      </c>
      <c r="O1" s="52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" t="s">
        <v>16</v>
      </c>
      <c r="K2" s="4"/>
      <c r="L2" s="4"/>
      <c r="M2" s="52"/>
      <c r="N2" s="52"/>
      <c r="O2" s="52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" t="s">
        <v>552</v>
      </c>
      <c r="B3" s="1" t="s">
        <v>176</v>
      </c>
      <c r="C3" s="1">
        <v>117.0</v>
      </c>
      <c r="D3" s="1">
        <v>1539.0</v>
      </c>
      <c r="E3" s="1">
        <v>9.0</v>
      </c>
      <c r="F3" s="1">
        <v>13.6</v>
      </c>
      <c r="G3" s="1">
        <v>85.0</v>
      </c>
      <c r="H3" s="1">
        <v>1.4</v>
      </c>
      <c r="I3" s="1">
        <v>1.0</v>
      </c>
      <c r="J3" s="1">
        <v>339.8</v>
      </c>
      <c r="K3" s="18">
        <f t="shared" ref="K3:K698" si="1">IFERROR(G3/F3/6.89*0.427*F3,0)</f>
        <v>5.26777939</v>
      </c>
      <c r="L3" s="18">
        <f t="shared" ref="L3:L698" si="2">IFERROR(D3/C3/12.87*0.633*C3,0)</f>
        <v>75.69440559</v>
      </c>
      <c r="M3" s="112">
        <f>C5*Scoring!$B$34+D5/Scoring!$C$34+E5*Scoring!$D$34+WR!F5*Scoring!$E$34+WR!G5/Scoring!$F$34+WR!H5*Scoring!$G$34+WR!I5*Scoring!$H$34+K5*Scoring!$I$34+WR!L5*Scoring!$J$34+U3</f>
        <v>278.9</v>
      </c>
      <c r="N3" s="112">
        <f>C3*Scoring!$B$34+D3/Scoring!$C$34+E3*Scoring!$D$34+WR!F3*Scoring!$E$34+WR!G3/Scoring!$F$34+WR!H3*Scoring!$G$34+WR!I3*Scoring!$H$34+K3*Scoring!$I$34+WR!L3*Scoring!$J$34+U3</f>
        <v>281.3</v>
      </c>
      <c r="O3" s="112">
        <f>C4*Scoring!$B$34+D4/Scoring!$C$34+E4*Scoring!$D$34+WR!F4*Scoring!$E$34+WR!G4/Scoring!$F$34+WR!H4*Scoring!$G$34+WR!I4*Scoring!$H$34+K4*Scoring!$I$34+WR!L4*Scoring!$J$34+U3</f>
        <v>284.9</v>
      </c>
      <c r="P3" s="8">
        <f>IF(COUNTIF(Rookies!$A:$A,A3)&gt;0,1,0)</f>
        <v>0</v>
      </c>
      <c r="Q3" s="8"/>
      <c r="R3" s="8"/>
      <c r="S3" s="8">
        <f>V3/17</f>
        <v>16.54705882</v>
      </c>
      <c r="T3" s="8">
        <f>IF(P3=1,MAX(0,0.28*(12-S3)),0)</f>
        <v>0</v>
      </c>
      <c r="U3" s="8">
        <f>T3*17</f>
        <v>0</v>
      </c>
      <c r="V3" s="8">
        <f>C3*Scoring!$B$34+D3/Scoring!$C$34+E3*Scoring!$D$34+WR!F3*Scoring!$E$34+WR!G3/Scoring!$F$34+WR!H3*Scoring!$G$34+WR!I3*Scoring!$H$34+K3*Scoring!$I$34+WR!L3*Scoring!$J$34</f>
        <v>281.3</v>
      </c>
      <c r="W3" s="8"/>
      <c r="X3" s="8"/>
      <c r="Y3" s="8"/>
      <c r="Z3" s="8"/>
    </row>
    <row r="4" ht="14.25" customHeight="1">
      <c r="B4" s="1" t="s">
        <v>39</v>
      </c>
      <c r="C4" s="1">
        <v>117.0</v>
      </c>
      <c r="D4" s="1">
        <v>1539.0</v>
      </c>
      <c r="E4" s="1">
        <v>9.0</v>
      </c>
      <c r="F4" s="1">
        <v>15.9</v>
      </c>
      <c r="G4" s="1">
        <v>85.0</v>
      </c>
      <c r="H4" s="1">
        <v>2.0</v>
      </c>
      <c r="I4" s="1">
        <v>1.0</v>
      </c>
      <c r="J4" s="1">
        <v>343.5</v>
      </c>
      <c r="K4" s="18">
        <f t="shared" si="1"/>
        <v>5.26777939</v>
      </c>
      <c r="L4" s="18">
        <f t="shared" si="2"/>
        <v>75.69440559</v>
      </c>
      <c r="M4" s="118"/>
      <c r="N4" s="118"/>
      <c r="O4" s="11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B5" s="1" t="s">
        <v>48</v>
      </c>
      <c r="C5" s="1">
        <v>117.0</v>
      </c>
      <c r="D5" s="1">
        <v>1539.0</v>
      </c>
      <c r="E5" s="1">
        <v>9.0</v>
      </c>
      <c r="F5" s="1">
        <v>10.0</v>
      </c>
      <c r="G5" s="1">
        <v>85.0</v>
      </c>
      <c r="H5" s="1">
        <v>1.0</v>
      </c>
      <c r="I5" s="1">
        <v>1.0</v>
      </c>
      <c r="J5" s="1">
        <v>337.4</v>
      </c>
      <c r="K5" s="18">
        <f t="shared" si="1"/>
        <v>5.26777939</v>
      </c>
      <c r="L5" s="18">
        <f t="shared" si="2"/>
        <v>75.69440559</v>
      </c>
      <c r="M5" s="118"/>
      <c r="N5" s="118"/>
      <c r="O5" s="11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" t="s">
        <v>556</v>
      </c>
      <c r="B6" s="1" t="s">
        <v>127</v>
      </c>
      <c r="C6" s="1">
        <v>121.2</v>
      </c>
      <c r="D6" s="1">
        <v>1511.3</v>
      </c>
      <c r="E6" s="1">
        <v>10.6</v>
      </c>
      <c r="F6" s="1">
        <v>3.0</v>
      </c>
      <c r="G6" s="1">
        <v>17.0</v>
      </c>
      <c r="H6" s="1">
        <v>0.0</v>
      </c>
      <c r="I6" s="1">
        <v>1.0</v>
      </c>
      <c r="J6" s="1">
        <v>336.0</v>
      </c>
      <c r="K6" s="18">
        <f t="shared" si="1"/>
        <v>1.053555878</v>
      </c>
      <c r="L6" s="18">
        <f t="shared" si="2"/>
        <v>74.33200466</v>
      </c>
      <c r="M6" s="112">
        <f>C8*Scoring!$B$34+D8/Scoring!$C$34+E8*Scoring!$D$34+WR!F8*Scoring!$E$34+WR!G8/Scoring!$F$34+WR!H8*Scoring!$G$34+WR!I8*Scoring!$H$34+K8*Scoring!$I$34+WR!L8*Scoring!$J$34+U6</f>
        <v>264.5</v>
      </c>
      <c r="N6" s="112">
        <f>C6*Scoring!$B$34+D6/Scoring!$C$34+E6*Scoring!$D$34+WR!F6*Scoring!$E$34+WR!G6/Scoring!$F$34+WR!H6*Scoring!$G$34+WR!I6*Scoring!$H$34+K6*Scoring!$I$34+WR!L6*Scoring!$J$34+U6</f>
        <v>275.03</v>
      </c>
      <c r="O6" s="112">
        <f>C7*Scoring!$B$34+D7/Scoring!$C$34+E7*Scoring!$D$34+WR!F7*Scoring!$E$34+WR!G7/Scoring!$F$34+WR!H7*Scoring!$G$34+WR!I7*Scoring!$H$34+K7*Scoring!$I$34+WR!L7*Scoring!$J$34+U6</f>
        <v>285.99</v>
      </c>
      <c r="P6" s="8">
        <f>IF(COUNTIF(Rookies!$A:$A,A6)&gt;0,1,0)</f>
        <v>0</v>
      </c>
      <c r="Q6" s="8"/>
      <c r="R6" s="8"/>
      <c r="S6" s="8">
        <f>V6/17</f>
        <v>16.17823529</v>
      </c>
      <c r="T6" s="8">
        <f>IF(P6=1,MAX(0,0.28*(12-S6)),0)</f>
        <v>0</v>
      </c>
      <c r="U6" s="8">
        <f>T6*17</f>
        <v>0</v>
      </c>
      <c r="V6" s="8">
        <f>C6*Scoring!$B$34+D6/Scoring!$C$34+E6*Scoring!$D$34+WR!F6*Scoring!$E$34+WR!G6/Scoring!$F$34+WR!H6*Scoring!$G$34+WR!I6*Scoring!$H$34+K6*Scoring!$I$34+WR!L6*Scoring!$J$34</f>
        <v>275.03</v>
      </c>
      <c r="W6" s="8"/>
      <c r="X6" s="8"/>
      <c r="Y6" s="8"/>
      <c r="Z6" s="8"/>
    </row>
    <row r="7" ht="14.25" customHeight="1">
      <c r="B7" s="1" t="s">
        <v>39</v>
      </c>
      <c r="C7" s="1">
        <v>128.0</v>
      </c>
      <c r="D7" s="1">
        <v>1551.0</v>
      </c>
      <c r="E7" s="1">
        <v>11.0</v>
      </c>
      <c r="F7" s="1">
        <v>4.0</v>
      </c>
      <c r="G7" s="1">
        <v>20.9</v>
      </c>
      <c r="H7" s="1">
        <v>0.1</v>
      </c>
      <c r="I7" s="1">
        <v>0.9</v>
      </c>
      <c r="J7" s="1">
        <v>393.7</v>
      </c>
      <c r="K7" s="18">
        <f t="shared" si="1"/>
        <v>1.295253991</v>
      </c>
      <c r="L7" s="18">
        <f t="shared" si="2"/>
        <v>76.28461538</v>
      </c>
      <c r="M7" s="118"/>
      <c r="N7" s="118"/>
      <c r="O7" s="11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B8" s="1" t="s">
        <v>48</v>
      </c>
      <c r="C8" s="1">
        <v>116.0</v>
      </c>
      <c r="D8" s="1">
        <v>1474.0</v>
      </c>
      <c r="E8" s="1">
        <v>10.0</v>
      </c>
      <c r="F8" s="1">
        <v>2.0</v>
      </c>
      <c r="G8" s="1">
        <v>11.0</v>
      </c>
      <c r="H8" s="1">
        <v>0.0</v>
      </c>
      <c r="I8" s="1">
        <v>1.0</v>
      </c>
      <c r="J8" s="1">
        <v>328.2</v>
      </c>
      <c r="K8" s="18">
        <f t="shared" si="1"/>
        <v>0.681712627</v>
      </c>
      <c r="L8" s="18">
        <f t="shared" si="2"/>
        <v>72.4974359</v>
      </c>
      <c r="M8" s="118"/>
      <c r="N8" s="118"/>
      <c r="O8" s="11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" t="s">
        <v>559</v>
      </c>
      <c r="B9" s="1" t="s">
        <v>202</v>
      </c>
      <c r="C9" s="1">
        <v>110.9</v>
      </c>
      <c r="D9" s="1">
        <v>1570.0</v>
      </c>
      <c r="E9" s="1">
        <v>9.5</v>
      </c>
      <c r="F9" s="1">
        <v>5.5</v>
      </c>
      <c r="G9" s="1">
        <v>30.4</v>
      </c>
      <c r="H9" s="1">
        <v>0.1</v>
      </c>
      <c r="I9" s="1">
        <v>1.1</v>
      </c>
      <c r="J9" s="1">
        <v>326.2</v>
      </c>
      <c r="K9" s="18">
        <f t="shared" si="1"/>
        <v>1.884005806</v>
      </c>
      <c r="L9" s="18">
        <f t="shared" si="2"/>
        <v>77.21911422</v>
      </c>
      <c r="M9" s="112">
        <f>C11*Scoring!$B$34+D11/Scoring!$C$34+E11*Scoring!$D$34+WR!F11*Scoring!$E$34+WR!G11/Scoring!$F$34+WR!H11*Scoring!$G$34+WR!I11*Scoring!$H$34+K11*Scoring!$I$34+WR!L11*Scoring!$J$34+U9</f>
        <v>252.72</v>
      </c>
      <c r="N9" s="112">
        <f>C9*Scoring!$B$34+D9/Scoring!$C$34+E9*Scoring!$D$34+WR!F9*Scoring!$E$34+WR!G9/Scoring!$F$34+WR!H9*Scoring!$G$34+WR!I9*Scoring!$H$34+K9*Scoring!$I$34+WR!L9*Scoring!$J$34+U9</f>
        <v>270.89</v>
      </c>
      <c r="O9" s="112">
        <f>C10*Scoring!$B$34+D10/Scoring!$C$34+E10*Scoring!$D$34+WR!F10*Scoring!$E$34+WR!G10/Scoring!$F$34+WR!H10*Scoring!$G$34+WR!I10*Scoring!$H$34+K10*Scoring!$I$34+WR!L10*Scoring!$J$34+U9</f>
        <v>295.15</v>
      </c>
      <c r="P9" s="8">
        <f>IF(COUNTIF(Rookies!$A:$A,A9)&gt;0,1,0)</f>
        <v>0</v>
      </c>
      <c r="Q9" s="8"/>
      <c r="R9" s="8"/>
      <c r="S9" s="8">
        <f>V9/17</f>
        <v>15.93470588</v>
      </c>
      <c r="T9" s="8">
        <f>IF(P9=1,MAX(0,0.28*(12-S9)),0)</f>
        <v>0</v>
      </c>
      <c r="U9" s="8">
        <f>T9*17</f>
        <v>0</v>
      </c>
      <c r="V9" s="8">
        <f>C9*Scoring!$B$34+D9/Scoring!$C$34+E9*Scoring!$D$34+WR!F9*Scoring!$E$34+WR!G9/Scoring!$F$34+WR!H9*Scoring!$G$34+WR!I9*Scoring!$H$34+K9*Scoring!$I$34+WR!L9*Scoring!$J$34</f>
        <v>270.89</v>
      </c>
      <c r="W9" s="8"/>
      <c r="X9" s="8"/>
      <c r="Y9" s="8"/>
      <c r="Z9" s="8"/>
    </row>
    <row r="10" ht="14.25" customHeight="1">
      <c r="B10" s="1" t="s">
        <v>39</v>
      </c>
      <c r="C10" s="1">
        <v>116.7</v>
      </c>
      <c r="D10" s="1">
        <v>1620.0</v>
      </c>
      <c r="E10" s="1">
        <v>12.0</v>
      </c>
      <c r="F10" s="1">
        <v>7.0</v>
      </c>
      <c r="G10" s="1">
        <v>36.0</v>
      </c>
      <c r="H10" s="1">
        <v>0.2</v>
      </c>
      <c r="I10" s="1">
        <v>1.0</v>
      </c>
      <c r="J10" s="1">
        <v>366.5</v>
      </c>
      <c r="K10" s="18">
        <f t="shared" si="1"/>
        <v>2.231059507</v>
      </c>
      <c r="L10" s="18">
        <f t="shared" si="2"/>
        <v>79.67832168</v>
      </c>
      <c r="M10" s="118"/>
      <c r="N10" s="118"/>
      <c r="O10" s="1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B11" s="1" t="s">
        <v>48</v>
      </c>
      <c r="C11" s="1">
        <v>105.0</v>
      </c>
      <c r="D11" s="1">
        <v>1521.0</v>
      </c>
      <c r="E11" s="1">
        <v>8.0</v>
      </c>
      <c r="F11" s="1">
        <v>4.6</v>
      </c>
      <c r="G11" s="1">
        <v>25.2</v>
      </c>
      <c r="H11" s="1">
        <v>0.0</v>
      </c>
      <c r="I11" s="1">
        <v>1.2</v>
      </c>
      <c r="J11" s="1">
        <v>320.9</v>
      </c>
      <c r="K11" s="18">
        <f t="shared" si="1"/>
        <v>1.561741655</v>
      </c>
      <c r="L11" s="18">
        <f t="shared" si="2"/>
        <v>74.80909091</v>
      </c>
      <c r="M11" s="118"/>
      <c r="N11" s="118"/>
      <c r="O11" s="1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" t="s">
        <v>563</v>
      </c>
      <c r="B12" s="1" t="s">
        <v>179</v>
      </c>
      <c r="C12" s="1">
        <v>117.4</v>
      </c>
      <c r="D12" s="1">
        <v>1390.9</v>
      </c>
      <c r="E12" s="1">
        <v>10.5</v>
      </c>
      <c r="F12" s="1">
        <v>3.1</v>
      </c>
      <c r="G12" s="1">
        <v>11.8</v>
      </c>
      <c r="H12" s="1">
        <v>0.0</v>
      </c>
      <c r="I12" s="1">
        <v>0.4</v>
      </c>
      <c r="J12" s="1">
        <v>319.8</v>
      </c>
      <c r="K12" s="18">
        <f t="shared" si="1"/>
        <v>0.7312917271</v>
      </c>
      <c r="L12" s="18">
        <f t="shared" si="2"/>
        <v>68.4102331</v>
      </c>
      <c r="M12" s="112">
        <f>C14*Scoring!$B$34+D14/Scoring!$C$34+E14*Scoring!$D$34+WR!F14*Scoring!$E$34+WR!G14/Scoring!$F$34+WR!H14*Scoring!$G$34+WR!I14*Scoring!$H$34+K14*Scoring!$I$34+WR!L14*Scoring!$J$34+U12</f>
        <v>253.7</v>
      </c>
      <c r="N12" s="112">
        <f>C12*Scoring!$B$34+D12/Scoring!$C$34+E12*Scoring!$D$34+WR!F12*Scoring!$E$34+WR!G12/Scoring!$F$34+WR!H12*Scoring!$G$34+WR!I12*Scoring!$H$34+K12*Scoring!$I$34+WR!L12*Scoring!$J$34+U12</f>
        <v>261.17</v>
      </c>
      <c r="O12" s="112">
        <f>C13*Scoring!$B$34+D13/Scoring!$C$34+E13*Scoring!$D$34+WR!F13*Scoring!$E$34+WR!G13/Scoring!$F$34+WR!H13*Scoring!$G$34+WR!I13*Scoring!$H$34+K13*Scoring!$I$34+WR!L13*Scoring!$J$34+U12</f>
        <v>270.06</v>
      </c>
      <c r="P12" s="8">
        <f>IF(COUNTIF(Rookies!$A:$A,A12)&gt;0,1,0)</f>
        <v>0</v>
      </c>
      <c r="Q12" s="8"/>
      <c r="R12" s="8"/>
      <c r="S12" s="8">
        <f>V12/17</f>
        <v>15.36294118</v>
      </c>
      <c r="T12" s="8">
        <f>IF(P12=1,MAX(0,0.28*(12-S12)),0)</f>
        <v>0</v>
      </c>
      <c r="U12" s="8">
        <f>T12*17</f>
        <v>0</v>
      </c>
      <c r="V12" s="8">
        <f>C12*Scoring!$B$34+D12/Scoring!$C$34+E12*Scoring!$D$34+WR!F12*Scoring!$E$34+WR!G12/Scoring!$F$34+WR!H12*Scoring!$G$34+WR!I12*Scoring!$H$34+K12*Scoring!$I$34+WR!L12*Scoring!$J$34</f>
        <v>261.17</v>
      </c>
      <c r="W12" s="8"/>
      <c r="X12" s="8"/>
      <c r="Y12" s="8"/>
      <c r="Z12" s="8"/>
    </row>
    <row r="13" ht="14.25" customHeight="1">
      <c r="B13" s="1" t="s">
        <v>39</v>
      </c>
      <c r="C13" s="1">
        <v>119.0</v>
      </c>
      <c r="D13" s="1">
        <v>1425.6</v>
      </c>
      <c r="E13" s="1">
        <v>11.0</v>
      </c>
      <c r="F13" s="1">
        <v>4.0</v>
      </c>
      <c r="G13" s="1">
        <v>14.0</v>
      </c>
      <c r="H13" s="1">
        <v>0.1</v>
      </c>
      <c r="I13" s="1">
        <v>0.0</v>
      </c>
      <c r="J13" s="1">
        <v>376.0</v>
      </c>
      <c r="K13" s="18">
        <f t="shared" si="1"/>
        <v>0.8676342525</v>
      </c>
      <c r="L13" s="18">
        <f t="shared" si="2"/>
        <v>70.11692308</v>
      </c>
      <c r="M13" s="118"/>
      <c r="N13" s="118"/>
      <c r="O13" s="1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B14" s="1" t="s">
        <v>48</v>
      </c>
      <c r="C14" s="1">
        <v>115.0</v>
      </c>
      <c r="D14" s="1">
        <v>1370.0</v>
      </c>
      <c r="E14" s="1">
        <v>10.0</v>
      </c>
      <c r="F14" s="1">
        <v>2.3</v>
      </c>
      <c r="G14" s="1">
        <v>8.0</v>
      </c>
      <c r="H14" s="1">
        <v>0.0</v>
      </c>
      <c r="I14" s="1">
        <v>0.8</v>
      </c>
      <c r="J14" s="1">
        <v>312.4</v>
      </c>
      <c r="K14" s="18">
        <f t="shared" si="1"/>
        <v>0.4957910015</v>
      </c>
      <c r="L14" s="18">
        <f t="shared" si="2"/>
        <v>67.38228438</v>
      </c>
      <c r="M14" s="118"/>
      <c r="N14" s="118"/>
      <c r="O14" s="1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" t="s">
        <v>566</v>
      </c>
      <c r="B15" s="1" t="s">
        <v>229</v>
      </c>
      <c r="C15" s="1">
        <v>98.4</v>
      </c>
      <c r="D15" s="1">
        <v>1272.9</v>
      </c>
      <c r="E15" s="1">
        <v>8.0</v>
      </c>
      <c r="F15" s="1">
        <v>0.0</v>
      </c>
      <c r="G15" s="1">
        <v>0.0</v>
      </c>
      <c r="H15" s="1">
        <v>0.0</v>
      </c>
      <c r="I15" s="1">
        <v>1.0</v>
      </c>
      <c r="J15" s="1">
        <v>276.3</v>
      </c>
      <c r="K15" s="18">
        <f t="shared" si="1"/>
        <v>0</v>
      </c>
      <c r="L15" s="18">
        <f t="shared" si="2"/>
        <v>62.6065035</v>
      </c>
      <c r="M15" s="112">
        <f>C17*Scoring!$B$34+D17/Scoring!$C$34+E17*Scoring!$D$34+WR!F17*Scoring!$E$34+WR!G17/Scoring!$F$34+WR!H17*Scoring!$G$34+WR!I17*Scoring!$H$34+K17*Scoring!$I$34+WR!L17*Scoring!$J$34+U15</f>
        <v>211.97</v>
      </c>
      <c r="N15" s="112">
        <f>C15*Scoring!$B$34+D15/Scoring!$C$34+E15*Scoring!$D$34+WR!F15*Scoring!$E$34+WR!G15/Scoring!$F$34+WR!H15*Scoring!$G$34+WR!I15*Scoring!$H$34+K15*Scoring!$I$34+WR!L15*Scoring!$J$34+U15</f>
        <v>222.49</v>
      </c>
      <c r="O15" s="112">
        <f>C16*Scoring!$B$34+D16/Scoring!$C$34+E16*Scoring!$D$34+WR!F16*Scoring!$E$34+WR!G16/Scoring!$F$34+WR!H16*Scoring!$G$34+WR!I16*Scoring!$H$34+K16*Scoring!$I$34+WR!L16*Scoring!$J$34+U15</f>
        <v>226.6</v>
      </c>
      <c r="P15" s="8">
        <f>IF(COUNTIF(Rookies!$A:$A,A15)&gt;0,1,0)</f>
        <v>0</v>
      </c>
      <c r="Q15" s="8"/>
      <c r="R15" s="8"/>
      <c r="S15" s="8">
        <f>V15/17</f>
        <v>13.08764706</v>
      </c>
      <c r="T15" s="8">
        <f>IF(P15=1,MAX(0,0.28*(12-S15)),0)</f>
        <v>0</v>
      </c>
      <c r="U15" s="8">
        <f>T15*17</f>
        <v>0</v>
      </c>
      <c r="V15" s="8">
        <f>C15*Scoring!$B$34+D15/Scoring!$C$34+E15*Scoring!$D$34+WR!F15*Scoring!$E$34+WR!G15/Scoring!$F$34+WR!H15*Scoring!$G$34+WR!I15*Scoring!$H$34+K15*Scoring!$I$34+WR!L15*Scoring!$J$34</f>
        <v>222.49</v>
      </c>
      <c r="W15" s="8"/>
      <c r="X15" s="8"/>
      <c r="Y15" s="8"/>
      <c r="Z15" s="8"/>
    </row>
    <row r="16" ht="14.25" customHeight="1">
      <c r="B16" s="1" t="s">
        <v>39</v>
      </c>
      <c r="C16" s="1">
        <v>101.0</v>
      </c>
      <c r="D16" s="1">
        <v>1299.0</v>
      </c>
      <c r="E16" s="1">
        <v>8.0</v>
      </c>
      <c r="F16" s="1">
        <v>0.0</v>
      </c>
      <c r="G16" s="1">
        <v>0.0</v>
      </c>
      <c r="H16" s="1">
        <v>0.0</v>
      </c>
      <c r="I16" s="1">
        <v>0.9</v>
      </c>
      <c r="J16" s="1">
        <v>321.1</v>
      </c>
      <c r="K16" s="18">
        <f t="shared" si="1"/>
        <v>0</v>
      </c>
      <c r="L16" s="18">
        <f t="shared" si="2"/>
        <v>63.89020979</v>
      </c>
      <c r="M16" s="118"/>
      <c r="N16" s="118"/>
      <c r="O16" s="11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B17" s="1" t="s">
        <v>48</v>
      </c>
      <c r="C17" s="1">
        <v>94.0</v>
      </c>
      <c r="D17" s="1">
        <v>1249.7</v>
      </c>
      <c r="E17" s="1">
        <v>7.0</v>
      </c>
      <c r="F17" s="1">
        <v>0.0</v>
      </c>
      <c r="G17" s="1">
        <v>0.0</v>
      </c>
      <c r="H17" s="1">
        <v>0.0</v>
      </c>
      <c r="I17" s="1">
        <v>1.0</v>
      </c>
      <c r="J17" s="1">
        <v>266.0</v>
      </c>
      <c r="K17" s="18">
        <f t="shared" si="1"/>
        <v>0</v>
      </c>
      <c r="L17" s="18">
        <f t="shared" si="2"/>
        <v>61.46543124</v>
      </c>
      <c r="M17" s="118"/>
      <c r="N17" s="118"/>
      <c r="O17" s="11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" t="s">
        <v>569</v>
      </c>
      <c r="B18" s="1" t="s">
        <v>155</v>
      </c>
      <c r="C18" s="1">
        <v>99.1</v>
      </c>
      <c r="D18" s="1">
        <v>1101.0</v>
      </c>
      <c r="E18" s="1">
        <v>9.7</v>
      </c>
      <c r="F18" s="1">
        <v>5.4</v>
      </c>
      <c r="G18" s="1">
        <v>25.6</v>
      </c>
      <c r="H18" s="1">
        <v>0.9</v>
      </c>
      <c r="I18" s="1">
        <v>0.6</v>
      </c>
      <c r="J18" s="1">
        <v>274.1</v>
      </c>
      <c r="K18" s="18">
        <f t="shared" si="1"/>
        <v>1.586531205</v>
      </c>
      <c r="L18" s="18">
        <f t="shared" si="2"/>
        <v>54.15174825</v>
      </c>
      <c r="M18" s="112">
        <f>C20*Scoring!$B$34+D20/Scoring!$C$34+E20*Scoring!$D$34+WR!F20*Scoring!$E$34+WR!G20/Scoring!$F$34+WR!H20*Scoring!$G$34+WR!I20*Scoring!$H$34+K20*Scoring!$I$34+WR!L20*Scoring!$J$34+U18</f>
        <v>192.8</v>
      </c>
      <c r="N18" s="112">
        <f>C18*Scoring!$B$34+D18/Scoring!$C$34+E18*Scoring!$D$34+WR!F18*Scoring!$E$34+WR!G18/Scoring!$F$34+WR!H18*Scoring!$G$34+WR!I18*Scoring!$H$34+K18*Scoring!$I$34+WR!L18*Scoring!$J$34+U18</f>
        <v>224.61</v>
      </c>
      <c r="O18" s="112">
        <f>C19*Scoring!$B$34+D19/Scoring!$C$34+E19*Scoring!$D$34+WR!F19*Scoring!$E$34+WR!G19/Scoring!$F$34+WR!H19*Scoring!$G$34+WR!I19*Scoring!$H$34+K19*Scoring!$I$34+WR!L19*Scoring!$J$34+U18</f>
        <v>260.17</v>
      </c>
      <c r="P18" s="8">
        <f>IF(COUNTIF(Rookies!$A:$A,A18)&gt;0,1,0)</f>
        <v>0</v>
      </c>
      <c r="Q18" s="8"/>
      <c r="R18" s="8"/>
      <c r="S18" s="8">
        <f>V18/17</f>
        <v>13.21235294</v>
      </c>
      <c r="T18" s="8">
        <f>IF(P18=1,MAX(0,0.28*(12-S18)),0)</f>
        <v>0</v>
      </c>
      <c r="U18" s="8">
        <f>T18*17</f>
        <v>0</v>
      </c>
      <c r="V18" s="8">
        <f>C18*Scoring!$B$34+D18/Scoring!$C$34+E18*Scoring!$D$34+WR!F18*Scoring!$E$34+WR!G18/Scoring!$F$34+WR!H18*Scoring!$G$34+WR!I18*Scoring!$H$34+K18*Scoring!$I$34+WR!L18*Scoring!$J$34</f>
        <v>224.61</v>
      </c>
      <c r="W18" s="8"/>
      <c r="X18" s="8"/>
      <c r="Y18" s="8"/>
      <c r="Z18" s="8"/>
    </row>
    <row r="19" ht="14.25" customHeight="1">
      <c r="B19" s="1" t="s">
        <v>39</v>
      </c>
      <c r="C19" s="1">
        <v>105.0</v>
      </c>
      <c r="D19" s="1">
        <v>1133.9</v>
      </c>
      <c r="E19" s="1">
        <v>13.0</v>
      </c>
      <c r="F19" s="1">
        <v>8.3</v>
      </c>
      <c r="G19" s="1">
        <v>42.8</v>
      </c>
      <c r="H19" s="1">
        <v>2.0</v>
      </c>
      <c r="I19" s="1">
        <v>0.0</v>
      </c>
      <c r="J19" s="1">
        <v>300.8</v>
      </c>
      <c r="K19" s="18">
        <f t="shared" si="1"/>
        <v>2.652481858</v>
      </c>
      <c r="L19" s="18">
        <f t="shared" si="2"/>
        <v>55.76990676</v>
      </c>
      <c r="M19" s="118"/>
      <c r="N19" s="118"/>
      <c r="O19" s="11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B20" s="1" t="s">
        <v>48</v>
      </c>
      <c r="C20" s="1">
        <v>96.0</v>
      </c>
      <c r="D20" s="1">
        <v>1052.0</v>
      </c>
      <c r="E20" s="1">
        <v>7.0</v>
      </c>
      <c r="F20" s="1">
        <v>0.0</v>
      </c>
      <c r="G20" s="1">
        <v>0.0</v>
      </c>
      <c r="H20" s="1">
        <v>0.0</v>
      </c>
      <c r="I20" s="1">
        <v>1.2</v>
      </c>
      <c r="J20" s="1">
        <v>273.8</v>
      </c>
      <c r="K20" s="18">
        <f t="shared" si="1"/>
        <v>0</v>
      </c>
      <c r="L20" s="18">
        <f t="shared" si="2"/>
        <v>51.74172494</v>
      </c>
      <c r="M20" s="118"/>
      <c r="N20" s="118"/>
      <c r="O20" s="11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" t="s">
        <v>572</v>
      </c>
      <c r="B21" s="1" t="s">
        <v>150</v>
      </c>
      <c r="C21" s="1">
        <v>97.5</v>
      </c>
      <c r="D21" s="1">
        <v>1295.5</v>
      </c>
      <c r="E21" s="1">
        <v>7.5</v>
      </c>
      <c r="F21" s="1">
        <v>2.4</v>
      </c>
      <c r="G21" s="1">
        <v>12.6</v>
      </c>
      <c r="H21" s="1">
        <v>0.0</v>
      </c>
      <c r="I21" s="1">
        <v>0.3</v>
      </c>
      <c r="J21" s="1">
        <v>273.0</v>
      </c>
      <c r="K21" s="18">
        <f t="shared" si="1"/>
        <v>0.7808708273</v>
      </c>
      <c r="L21" s="18">
        <f t="shared" si="2"/>
        <v>63.71806527</v>
      </c>
      <c r="M21" s="112">
        <f>C23*Scoring!$B$34+D23/Scoring!$C$34+E23*Scoring!$D$34+WR!F23*Scoring!$E$34+WR!G23/Scoring!$F$34+WR!H23*Scoring!$G$34+WR!I23*Scoring!$H$34+K23*Scoring!$I$34+WR!L23*Scoring!$J$34+U21</f>
        <v>195.8</v>
      </c>
      <c r="N21" s="112">
        <f>C21*Scoring!$B$34+D21/Scoring!$C$34+E21*Scoring!$D$34+WR!F21*Scoring!$E$34+WR!G21/Scoring!$F$34+WR!H21*Scoring!$G$34+WR!I21*Scoring!$H$34+K21*Scoring!$I$34+WR!L21*Scoring!$J$34+U21</f>
        <v>223.96</v>
      </c>
      <c r="O21" s="112">
        <f>C22*Scoring!$B$34+D22/Scoring!$C$34+E22*Scoring!$D$34+WR!F22*Scoring!$E$34+WR!G22/Scoring!$F$34+WR!H22*Scoring!$G$34+WR!I22*Scoring!$H$34+K22*Scoring!$I$34+WR!L22*Scoring!$J$34+U21</f>
        <v>243.95</v>
      </c>
      <c r="P21" s="8">
        <f>IF(COUNTIF(Rookies!$A:$A,A21)&gt;0,1,0)</f>
        <v>0</v>
      </c>
      <c r="Q21" s="8"/>
      <c r="R21" s="8"/>
      <c r="S21" s="8">
        <f>V21/17</f>
        <v>13.17411765</v>
      </c>
      <c r="T21" s="8">
        <f>IF(P21=1,MAX(0,0.28*(12-S21)),0)</f>
        <v>0</v>
      </c>
      <c r="U21" s="8">
        <f>T21*17</f>
        <v>0</v>
      </c>
      <c r="V21" s="8">
        <f>C21*Scoring!$B$34+D21/Scoring!$C$34+E21*Scoring!$D$34+WR!F21*Scoring!$E$34+WR!G21/Scoring!$F$34+WR!H21*Scoring!$G$34+WR!I21*Scoring!$H$34+K21*Scoring!$I$34+WR!L21*Scoring!$J$34</f>
        <v>223.96</v>
      </c>
      <c r="W21" s="8"/>
      <c r="X21" s="8"/>
      <c r="Y21" s="8"/>
      <c r="Z21" s="8"/>
    </row>
    <row r="22" ht="14.25" customHeight="1">
      <c r="B22" s="1" t="s">
        <v>39</v>
      </c>
      <c r="C22" s="1">
        <v>103.4</v>
      </c>
      <c r="D22" s="1">
        <v>1375.5</v>
      </c>
      <c r="E22" s="1">
        <v>8.6</v>
      </c>
      <c r="F22" s="1">
        <v>5.0</v>
      </c>
      <c r="G22" s="1">
        <v>25.0</v>
      </c>
      <c r="H22" s="1">
        <v>0.1</v>
      </c>
      <c r="I22" s="1">
        <v>0.0</v>
      </c>
      <c r="J22" s="1">
        <v>306.7</v>
      </c>
      <c r="K22" s="18">
        <f t="shared" si="1"/>
        <v>1.54934688</v>
      </c>
      <c r="L22" s="18">
        <f t="shared" si="2"/>
        <v>67.6527972</v>
      </c>
      <c r="M22" s="118"/>
      <c r="N22" s="118"/>
      <c r="O22" s="11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B23" s="1" t="s">
        <v>48</v>
      </c>
      <c r="C23" s="1">
        <v>87.0</v>
      </c>
      <c r="D23" s="1">
        <v>1177.0</v>
      </c>
      <c r="E23" s="1">
        <v>6.0</v>
      </c>
      <c r="F23" s="1">
        <v>0.0</v>
      </c>
      <c r="G23" s="1">
        <v>0.0</v>
      </c>
      <c r="H23" s="1">
        <v>0.0</v>
      </c>
      <c r="I23" s="1">
        <v>0.7</v>
      </c>
      <c r="J23" s="1">
        <v>258.5</v>
      </c>
      <c r="K23" s="18">
        <f t="shared" si="1"/>
        <v>0</v>
      </c>
      <c r="L23" s="18">
        <f t="shared" si="2"/>
        <v>57.88974359</v>
      </c>
      <c r="M23" s="118"/>
      <c r="N23" s="118"/>
      <c r="O23" s="11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" t="s">
        <v>575</v>
      </c>
      <c r="B24" s="1" t="s">
        <v>189</v>
      </c>
      <c r="C24" s="1">
        <v>98.9</v>
      </c>
      <c r="D24" s="1">
        <v>1310.9</v>
      </c>
      <c r="E24" s="1">
        <v>7.1</v>
      </c>
      <c r="F24" s="1">
        <v>1.3</v>
      </c>
      <c r="G24" s="1">
        <v>5.5</v>
      </c>
      <c r="H24" s="1">
        <v>0.0</v>
      </c>
      <c r="I24" s="1">
        <v>0.3</v>
      </c>
      <c r="J24" s="1">
        <v>272.8</v>
      </c>
      <c r="K24" s="18">
        <f t="shared" si="1"/>
        <v>0.3408563135</v>
      </c>
      <c r="L24" s="18">
        <f t="shared" si="2"/>
        <v>64.47550117</v>
      </c>
      <c r="M24" s="112">
        <f>C26*Scoring!$B$34+D26/Scoring!$C$34+E26*Scoring!$D$34+WR!F26*Scoring!$E$34+WR!G26/Scoring!$F$34+WR!H26*Scoring!$G$34+WR!I26*Scoring!$H$34+K26*Scoring!$I$34+WR!L26*Scoring!$J$34+U24</f>
        <v>213</v>
      </c>
      <c r="N24" s="112">
        <f>C24*Scoring!$B$34+D24/Scoring!$C$34+E24*Scoring!$D$34+WR!F24*Scoring!$E$34+WR!G24/Scoring!$F$34+WR!H24*Scoring!$G$34+WR!I24*Scoring!$H$34+K24*Scoring!$I$34+WR!L24*Scoring!$J$34+U24</f>
        <v>223.09</v>
      </c>
      <c r="O24" s="112">
        <f>C25*Scoring!$B$34+D25/Scoring!$C$34+E25*Scoring!$D$34+WR!F25*Scoring!$E$34+WR!G25/Scoring!$F$34+WR!H25*Scoring!$G$34+WR!I25*Scoring!$H$34+K25*Scoring!$I$34+WR!L25*Scoring!$J$34+U24</f>
        <v>238.98</v>
      </c>
      <c r="P24" s="8">
        <f>IF(COUNTIF(Rookies!$A:$A,A24)&gt;0,1,0)</f>
        <v>0</v>
      </c>
      <c r="Q24" s="8"/>
      <c r="R24" s="8"/>
      <c r="S24" s="8">
        <f>V24/17</f>
        <v>13.12294118</v>
      </c>
      <c r="T24" s="8">
        <f>IF(P24=1,MAX(0,0.28*(12-S24)),0)</f>
        <v>0</v>
      </c>
      <c r="U24" s="8">
        <f>T24*17</f>
        <v>0</v>
      </c>
      <c r="V24" s="8">
        <f>C24*Scoring!$B$34+D24/Scoring!$C$34+E24*Scoring!$D$34+WR!F24*Scoring!$E$34+WR!G24/Scoring!$F$34+WR!H24*Scoring!$G$34+WR!I24*Scoring!$H$34+K24*Scoring!$I$34+WR!L24*Scoring!$J$34</f>
        <v>223.09</v>
      </c>
      <c r="W24" s="8"/>
      <c r="X24" s="8"/>
      <c r="Y24" s="8"/>
      <c r="Z24" s="8"/>
    </row>
    <row r="25" ht="14.25" customHeight="1">
      <c r="B25" s="1" t="s">
        <v>39</v>
      </c>
      <c r="C25" s="1">
        <v>110.7</v>
      </c>
      <c r="D25" s="1">
        <v>1375.7</v>
      </c>
      <c r="E25" s="1">
        <v>7.4</v>
      </c>
      <c r="F25" s="1">
        <v>2.0</v>
      </c>
      <c r="G25" s="1">
        <v>10.6</v>
      </c>
      <c r="H25" s="1">
        <v>0.1</v>
      </c>
      <c r="I25" s="1">
        <v>0.0</v>
      </c>
      <c r="J25" s="1">
        <v>317.2</v>
      </c>
      <c r="K25" s="18">
        <f t="shared" si="1"/>
        <v>0.6569230769</v>
      </c>
      <c r="L25" s="18">
        <f t="shared" si="2"/>
        <v>67.66263403</v>
      </c>
      <c r="M25" s="118"/>
      <c r="N25" s="118"/>
      <c r="O25" s="11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B26" s="1" t="s">
        <v>48</v>
      </c>
      <c r="C26" s="1">
        <v>91.0</v>
      </c>
      <c r="D26" s="1">
        <v>1269.0</v>
      </c>
      <c r="E26" s="1">
        <v>7.0</v>
      </c>
      <c r="F26" s="1">
        <v>0.0</v>
      </c>
      <c r="G26" s="1">
        <v>0.0</v>
      </c>
      <c r="H26" s="1">
        <v>0.0</v>
      </c>
      <c r="I26" s="1">
        <v>0.7</v>
      </c>
      <c r="J26" s="1">
        <v>258.9</v>
      </c>
      <c r="K26" s="18">
        <f t="shared" si="1"/>
        <v>0</v>
      </c>
      <c r="L26" s="18">
        <f t="shared" si="2"/>
        <v>62.41468531</v>
      </c>
      <c r="M26" s="118"/>
      <c r="N26" s="118"/>
      <c r="O26" s="11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" t="s">
        <v>579</v>
      </c>
      <c r="B27" s="1" t="s">
        <v>182</v>
      </c>
      <c r="C27" s="1">
        <v>95.8</v>
      </c>
      <c r="D27" s="1">
        <v>1195.5</v>
      </c>
      <c r="E27" s="1">
        <v>7.9</v>
      </c>
      <c r="F27" s="1">
        <v>0.3</v>
      </c>
      <c r="G27" s="1">
        <v>0.0</v>
      </c>
      <c r="H27" s="1">
        <v>0.0</v>
      </c>
      <c r="I27" s="1">
        <v>0.3</v>
      </c>
      <c r="J27" s="1">
        <v>262.0</v>
      </c>
      <c r="K27" s="18">
        <f t="shared" si="1"/>
        <v>0</v>
      </c>
      <c r="L27" s="18">
        <f t="shared" si="2"/>
        <v>58.79965035</v>
      </c>
      <c r="M27" s="112">
        <f>C29*Scoring!$B$34+D29/Scoring!$C$34+E29*Scoring!$D$34+WR!F29*Scoring!$E$34+WR!G29/Scoring!$F$34+WR!H29*Scoring!$G$34+WR!I29*Scoring!$H$34+K29*Scoring!$I$34+WR!L29*Scoring!$J$34+U27</f>
        <v>199.35</v>
      </c>
      <c r="N27" s="112">
        <f>C27*Scoring!$B$34+D27/Scoring!$C$34+E27*Scoring!$D$34+WR!F27*Scoring!$E$34+WR!G27/Scoring!$F$34+WR!H27*Scoring!$G$34+WR!I27*Scoring!$H$34+K27*Scoring!$I$34+WR!L27*Scoring!$J$34+U27</f>
        <v>214.25</v>
      </c>
      <c r="O27" s="112">
        <f>C28*Scoring!$B$34+D28/Scoring!$C$34+E28*Scoring!$D$34+WR!F28*Scoring!$E$34+WR!G28/Scoring!$F$34+WR!H28*Scoring!$G$34+WR!I28*Scoring!$H$34+K28*Scoring!$I$34+WR!L28*Scoring!$J$34+U27</f>
        <v>233.7</v>
      </c>
      <c r="P27" s="8">
        <f>IF(COUNTIF(Rookies!$A:$A,A27)&gt;0,1,0)</f>
        <v>0</v>
      </c>
      <c r="Q27" s="8"/>
      <c r="R27" s="8"/>
      <c r="S27" s="8">
        <f>V27/17</f>
        <v>12.60294118</v>
      </c>
      <c r="T27" s="8">
        <f>IF(P27=1,MAX(0,0.28*(12-S27)),0)</f>
        <v>0</v>
      </c>
      <c r="U27" s="8">
        <f>T27*17</f>
        <v>0</v>
      </c>
      <c r="V27" s="8">
        <f>C27*Scoring!$B$34+D27/Scoring!$C$34+E27*Scoring!$D$34+WR!F27*Scoring!$E$34+WR!G27/Scoring!$F$34+WR!H27*Scoring!$G$34+WR!I27*Scoring!$H$34+K27*Scoring!$I$34+WR!L27*Scoring!$J$34</f>
        <v>214.25</v>
      </c>
      <c r="W27" s="8"/>
      <c r="X27" s="8"/>
      <c r="Y27" s="8"/>
      <c r="Z27" s="8"/>
    </row>
    <row r="28" ht="14.25" customHeight="1">
      <c r="B28" s="1" t="s">
        <v>39</v>
      </c>
      <c r="C28" s="1">
        <v>99.0</v>
      </c>
      <c r="D28" s="1">
        <v>1242.0</v>
      </c>
      <c r="E28" s="1">
        <v>10.0</v>
      </c>
      <c r="F28" s="1">
        <v>1.0</v>
      </c>
      <c r="G28" s="1">
        <v>0.0</v>
      </c>
      <c r="H28" s="1">
        <v>0.0</v>
      </c>
      <c r="I28" s="1">
        <v>0.0</v>
      </c>
      <c r="J28" s="1">
        <v>301.0</v>
      </c>
      <c r="K28" s="18">
        <f t="shared" si="1"/>
        <v>0</v>
      </c>
      <c r="L28" s="18">
        <f t="shared" si="2"/>
        <v>61.08671329</v>
      </c>
      <c r="M28" s="118"/>
      <c r="N28" s="118"/>
      <c r="O28" s="11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B29" s="1" t="s">
        <v>48</v>
      </c>
      <c r="C29" s="1">
        <v>91.3</v>
      </c>
      <c r="D29" s="1">
        <v>1147.0</v>
      </c>
      <c r="E29" s="1">
        <v>6.7</v>
      </c>
      <c r="F29" s="1">
        <v>0.0</v>
      </c>
      <c r="G29" s="1">
        <v>0.0</v>
      </c>
      <c r="H29" s="1">
        <v>0.0</v>
      </c>
      <c r="I29" s="1">
        <v>0.6</v>
      </c>
      <c r="J29" s="1">
        <v>254.9</v>
      </c>
      <c r="K29" s="18">
        <f t="shared" si="1"/>
        <v>0</v>
      </c>
      <c r="L29" s="18">
        <f t="shared" si="2"/>
        <v>56.41421911</v>
      </c>
      <c r="M29" s="118"/>
      <c r="N29" s="118"/>
      <c r="O29" s="11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1" t="s">
        <v>581</v>
      </c>
      <c r="B30" s="1" t="s">
        <v>94</v>
      </c>
      <c r="C30" s="1">
        <v>87.7</v>
      </c>
      <c r="D30" s="1">
        <v>1231.4</v>
      </c>
      <c r="E30" s="1">
        <v>7.7</v>
      </c>
      <c r="F30" s="1">
        <v>0.0</v>
      </c>
      <c r="G30" s="1">
        <v>0.0</v>
      </c>
      <c r="H30" s="1">
        <v>0.0</v>
      </c>
      <c r="I30" s="1">
        <v>0.3</v>
      </c>
      <c r="J30" s="1">
        <v>256.1</v>
      </c>
      <c r="K30" s="18">
        <f t="shared" si="1"/>
        <v>0</v>
      </c>
      <c r="L30" s="18">
        <f t="shared" si="2"/>
        <v>60.56536131</v>
      </c>
      <c r="M30" s="112">
        <f>C32*Scoring!$B$34+D32/Scoring!$C$34+E32*Scoring!$D$34+WR!F32*Scoring!$E$34+WR!G32/Scoring!$F$34+WR!H32*Scoring!$G$34+WR!I32*Scoring!$H$34+K32*Scoring!$I$34+WR!L32*Scoring!$J$34+U30</f>
        <v>199.3</v>
      </c>
      <c r="N30" s="112">
        <f>C30*Scoring!$B$34+D30/Scoring!$C$34+E30*Scoring!$D$34+WR!F30*Scoring!$E$34+WR!G30/Scoring!$F$34+WR!H30*Scoring!$G$34+WR!I30*Scoring!$H$34+K30*Scoring!$I$34+WR!L30*Scoring!$J$34+U30</f>
        <v>212.59</v>
      </c>
      <c r="O30" s="112">
        <f>C31*Scoring!$B$34+D31/Scoring!$C$34+E31*Scoring!$D$34+WR!F31*Scoring!$E$34+WR!G31/Scoring!$F$34+WR!H31*Scoring!$G$34+WR!I31*Scoring!$H$34+K31*Scoring!$I$34+WR!L31*Scoring!$J$34+U30</f>
        <v>232</v>
      </c>
      <c r="P30" s="8">
        <f>IF(COUNTIF(Rookies!$A:$A,A30)&gt;0,1,0)</f>
        <v>0</v>
      </c>
      <c r="Q30" s="8"/>
      <c r="R30" s="8"/>
      <c r="S30" s="8">
        <f>V30/17</f>
        <v>12.50529412</v>
      </c>
      <c r="T30" s="8">
        <f>IF(P30=1,MAX(0,0.28*(12-S30)),0)</f>
        <v>0</v>
      </c>
      <c r="U30" s="8">
        <f>T30*17</f>
        <v>0</v>
      </c>
      <c r="V30" s="8">
        <f>C30*Scoring!$B$34+D30/Scoring!$C$34+E30*Scoring!$D$34+WR!F30*Scoring!$E$34+WR!G30/Scoring!$F$34+WR!H30*Scoring!$G$34+WR!I30*Scoring!$H$34+K30*Scoring!$I$34+WR!L30*Scoring!$J$34</f>
        <v>212.59</v>
      </c>
      <c r="W30" s="8"/>
      <c r="X30" s="8"/>
      <c r="Y30" s="8"/>
      <c r="Z30" s="8"/>
    </row>
    <row r="31" ht="14.25" customHeight="1">
      <c r="B31" s="1" t="s">
        <v>39</v>
      </c>
      <c r="C31" s="1">
        <v>91.0</v>
      </c>
      <c r="D31" s="1">
        <v>1325.0</v>
      </c>
      <c r="E31" s="1">
        <v>9.0</v>
      </c>
      <c r="F31" s="1">
        <v>0.0</v>
      </c>
      <c r="G31" s="1">
        <v>0.0</v>
      </c>
      <c r="H31" s="1">
        <v>0.0</v>
      </c>
      <c r="I31" s="1">
        <v>0.0</v>
      </c>
      <c r="J31" s="1">
        <v>288.2</v>
      </c>
      <c r="K31" s="18">
        <f t="shared" si="1"/>
        <v>0</v>
      </c>
      <c r="L31" s="18">
        <f t="shared" si="2"/>
        <v>65.16899767</v>
      </c>
      <c r="M31" s="118"/>
      <c r="N31" s="118"/>
      <c r="O31" s="11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B32" s="1" t="s">
        <v>48</v>
      </c>
      <c r="C32" s="1">
        <v>86.0</v>
      </c>
      <c r="D32" s="1">
        <v>1155.0</v>
      </c>
      <c r="E32" s="1">
        <v>7.0</v>
      </c>
      <c r="F32" s="1">
        <v>0.0</v>
      </c>
      <c r="G32" s="1">
        <v>0.0</v>
      </c>
      <c r="H32" s="1">
        <v>0.0</v>
      </c>
      <c r="I32" s="1">
        <v>0.6</v>
      </c>
      <c r="J32" s="1">
        <v>250.2</v>
      </c>
      <c r="K32" s="18">
        <f t="shared" si="1"/>
        <v>0</v>
      </c>
      <c r="L32" s="18">
        <f t="shared" si="2"/>
        <v>56.80769231</v>
      </c>
      <c r="M32" s="118"/>
      <c r="N32" s="118"/>
      <c r="O32" s="11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" t="s">
        <v>584</v>
      </c>
      <c r="B33" s="1" t="s">
        <v>150</v>
      </c>
      <c r="C33" s="1">
        <v>82.5</v>
      </c>
      <c r="D33" s="1">
        <v>1200.5</v>
      </c>
      <c r="E33" s="1">
        <v>8.4</v>
      </c>
      <c r="F33" s="1">
        <v>0.3</v>
      </c>
      <c r="G33" s="1">
        <v>0.0</v>
      </c>
      <c r="H33" s="1">
        <v>0.0</v>
      </c>
      <c r="I33" s="1">
        <v>0.4</v>
      </c>
      <c r="J33" s="1">
        <v>252.0</v>
      </c>
      <c r="K33" s="18">
        <f t="shared" si="1"/>
        <v>0</v>
      </c>
      <c r="L33" s="18">
        <f t="shared" si="2"/>
        <v>59.0455711</v>
      </c>
      <c r="M33" s="112">
        <f>C35*Scoring!$B$34+D35/Scoring!$C$34+E35*Scoring!$D$34+WR!F35*Scoring!$E$34+WR!G35/Scoring!$F$34+WR!H35*Scoring!$G$34+WR!I35*Scoring!$H$34+K35*Scoring!$I$34+WR!L35*Scoring!$J$34+U33</f>
        <v>187.4</v>
      </c>
      <c r="N33" s="112">
        <f>C33*Scoring!$B$34+D33/Scoring!$C$34+E33*Scoring!$D$34+WR!F33*Scoring!$E$34+WR!G33/Scoring!$F$34+WR!H33*Scoring!$G$34+WR!I33*Scoring!$H$34+K33*Scoring!$I$34+WR!L33*Scoring!$J$34+U33</f>
        <v>210.9</v>
      </c>
      <c r="O33" s="112">
        <f>C34*Scoring!$B$34+D34/Scoring!$C$34+E34*Scoring!$D$34+WR!F34*Scoring!$E$34+WR!G34/Scoring!$F$34+WR!H34*Scoring!$G$34+WR!I34*Scoring!$H$34+K34*Scoring!$I$34+WR!L34*Scoring!$J$34+U33</f>
        <v>245.8</v>
      </c>
      <c r="P33" s="8">
        <f>IF(COUNTIF(Rookies!$A:$A,A33)&gt;0,1,0)</f>
        <v>0</v>
      </c>
      <c r="Q33" s="8"/>
      <c r="R33" s="8"/>
      <c r="S33" s="8">
        <f>V33/17</f>
        <v>12.40588235</v>
      </c>
      <c r="T33" s="8">
        <f>IF(P33=1,MAX(0,0.28*(12-S33)),0)</f>
        <v>0</v>
      </c>
      <c r="U33" s="8">
        <f>T33*17</f>
        <v>0</v>
      </c>
      <c r="V33" s="8">
        <f>C33*Scoring!$B$34+D33/Scoring!$C$34+E33*Scoring!$D$34+WR!F33*Scoring!$E$34+WR!G33/Scoring!$F$34+WR!H33*Scoring!$G$34+WR!I33*Scoring!$H$34+K33*Scoring!$I$34+WR!L33*Scoring!$J$34</f>
        <v>210.9</v>
      </c>
      <c r="W33" s="8"/>
      <c r="X33" s="8"/>
      <c r="Y33" s="8"/>
      <c r="Z33" s="8"/>
    </row>
    <row r="34" ht="14.25" customHeight="1">
      <c r="B34" s="1" t="s">
        <v>39</v>
      </c>
      <c r="C34" s="1">
        <v>94.0</v>
      </c>
      <c r="D34" s="1">
        <v>1388.0</v>
      </c>
      <c r="E34" s="1">
        <v>10.0</v>
      </c>
      <c r="F34" s="1">
        <v>1.0</v>
      </c>
      <c r="G34" s="1">
        <v>0.0</v>
      </c>
      <c r="H34" s="1">
        <v>0.0</v>
      </c>
      <c r="I34" s="1">
        <v>0.0</v>
      </c>
      <c r="J34" s="1">
        <v>273.5</v>
      </c>
      <c r="K34" s="18">
        <f t="shared" si="1"/>
        <v>0</v>
      </c>
      <c r="L34" s="18">
        <f t="shared" si="2"/>
        <v>68.26759907</v>
      </c>
      <c r="M34" s="118"/>
      <c r="N34" s="118"/>
      <c r="O34" s="11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B35" s="1" t="s">
        <v>48</v>
      </c>
      <c r="C35" s="1">
        <v>74.0</v>
      </c>
      <c r="D35" s="1">
        <v>1102.0</v>
      </c>
      <c r="E35" s="1">
        <v>7.0</v>
      </c>
      <c r="F35" s="1">
        <v>0.0</v>
      </c>
      <c r="G35" s="1">
        <v>0.0</v>
      </c>
      <c r="H35" s="1">
        <v>0.0</v>
      </c>
      <c r="I35" s="1">
        <v>0.9</v>
      </c>
      <c r="J35" s="1">
        <v>241.5</v>
      </c>
      <c r="K35" s="18">
        <f t="shared" si="1"/>
        <v>0</v>
      </c>
      <c r="L35" s="18">
        <f t="shared" si="2"/>
        <v>54.2009324</v>
      </c>
      <c r="M35" s="118"/>
      <c r="N35" s="118"/>
      <c r="O35" s="11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" t="s">
        <v>587</v>
      </c>
      <c r="B36" s="1" t="s">
        <v>205</v>
      </c>
      <c r="C36" s="1">
        <v>82.6</v>
      </c>
      <c r="D36" s="1">
        <v>1207.9</v>
      </c>
      <c r="E36" s="1">
        <v>7.3</v>
      </c>
      <c r="F36" s="1">
        <v>1.4</v>
      </c>
      <c r="G36" s="1">
        <v>8.3</v>
      </c>
      <c r="H36" s="1">
        <v>0.4</v>
      </c>
      <c r="I36" s="1">
        <v>0.8</v>
      </c>
      <c r="J36" s="1">
        <v>248.2</v>
      </c>
      <c r="K36" s="18">
        <f t="shared" si="1"/>
        <v>0.514383164</v>
      </c>
      <c r="L36" s="18">
        <f t="shared" si="2"/>
        <v>59.4095338</v>
      </c>
      <c r="M36" s="112">
        <f>C38*Scoring!$B$34+D38/Scoring!$C$34+E38*Scoring!$D$34+WR!F38*Scoring!$E$34+WR!G38/Scoring!$F$34+WR!H38*Scoring!$G$34+WR!I38*Scoring!$H$34+K38*Scoring!$I$34+WR!L38*Scoring!$J$34+U36</f>
        <v>196.9</v>
      </c>
      <c r="N36" s="112">
        <f>C36*Scoring!$B$34+D36/Scoring!$C$34+E36*Scoring!$D$34+WR!F36*Scoring!$E$34+WR!G36/Scoring!$F$34+WR!H36*Scoring!$G$34+WR!I36*Scoring!$H$34+K36*Scoring!$I$34+WR!L36*Scoring!$J$34+U36</f>
        <v>207.52</v>
      </c>
      <c r="O36" s="112">
        <f>C37*Scoring!$B$34+D37/Scoring!$C$34+E37*Scoring!$D$34+WR!F37*Scoring!$E$34+WR!G37/Scoring!$F$34+WR!H37*Scoring!$G$34+WR!I37*Scoring!$H$34+K37*Scoring!$I$34+WR!L37*Scoring!$J$34+U36</f>
        <v>220.45</v>
      </c>
      <c r="P36" s="8">
        <f>IF(COUNTIF(Rookies!$A:$A,A36)&gt;0,1,0)</f>
        <v>0</v>
      </c>
      <c r="Q36" s="8"/>
      <c r="R36" s="8"/>
      <c r="S36" s="8">
        <f>V36/17</f>
        <v>12.20705882</v>
      </c>
      <c r="T36" s="8">
        <f>IF(P36=1,MAX(0,0.28*(12-S36)),0)</f>
        <v>0</v>
      </c>
      <c r="U36" s="8">
        <f>T36*17</f>
        <v>0</v>
      </c>
      <c r="V36" s="8">
        <f>C36*Scoring!$B$34+D36/Scoring!$C$34+E36*Scoring!$D$34+WR!F36*Scoring!$E$34+WR!G36/Scoring!$F$34+WR!H36*Scoring!$G$34+WR!I36*Scoring!$H$34+K36*Scoring!$I$34+WR!L36*Scoring!$J$34</f>
        <v>207.52</v>
      </c>
      <c r="W36" s="8"/>
      <c r="X36" s="8"/>
      <c r="Y36" s="8"/>
      <c r="Z36" s="8"/>
    </row>
    <row r="37" ht="14.25" customHeight="1">
      <c r="B37" s="1" t="s">
        <v>39</v>
      </c>
      <c r="C37" s="1">
        <v>86.7</v>
      </c>
      <c r="D37" s="1">
        <v>1232.0</v>
      </c>
      <c r="E37" s="1">
        <v>8.0</v>
      </c>
      <c r="F37" s="1">
        <v>2.1</v>
      </c>
      <c r="G37" s="1">
        <v>13.0</v>
      </c>
      <c r="H37" s="1">
        <v>1.0</v>
      </c>
      <c r="I37" s="1">
        <v>0.7</v>
      </c>
      <c r="J37" s="1">
        <v>282.7</v>
      </c>
      <c r="K37" s="18">
        <f t="shared" si="1"/>
        <v>0.8056603774</v>
      </c>
      <c r="L37" s="18">
        <f t="shared" si="2"/>
        <v>60.59487179</v>
      </c>
      <c r="M37" s="118"/>
      <c r="N37" s="118"/>
      <c r="O37" s="11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B38" s="1" t="s">
        <v>48</v>
      </c>
      <c r="C38" s="1">
        <v>79.0</v>
      </c>
      <c r="D38" s="1">
        <v>1186.0</v>
      </c>
      <c r="E38" s="1">
        <v>6.8</v>
      </c>
      <c r="F38" s="1">
        <v>0.0</v>
      </c>
      <c r="G38" s="1">
        <v>0.0</v>
      </c>
      <c r="H38" s="1">
        <v>0.0</v>
      </c>
      <c r="I38" s="1">
        <v>1.0</v>
      </c>
      <c r="J38" s="1">
        <v>244.9</v>
      </c>
      <c r="K38" s="18">
        <f t="shared" si="1"/>
        <v>0</v>
      </c>
      <c r="L38" s="18">
        <f t="shared" si="2"/>
        <v>58.33240093</v>
      </c>
      <c r="M38" s="118"/>
      <c r="N38" s="118"/>
      <c r="O38" s="11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" t="s">
        <v>591</v>
      </c>
      <c r="B39" s="1" t="s">
        <v>210</v>
      </c>
      <c r="C39" s="1">
        <v>96.3</v>
      </c>
      <c r="D39" s="1">
        <v>1095.8</v>
      </c>
      <c r="E39" s="1">
        <v>6.4</v>
      </c>
      <c r="F39" s="1">
        <v>1.1</v>
      </c>
      <c r="G39" s="1">
        <v>4.3</v>
      </c>
      <c r="H39" s="1">
        <v>0.0</v>
      </c>
      <c r="I39" s="1">
        <v>1.0</v>
      </c>
      <c r="J39" s="1">
        <v>242.9</v>
      </c>
      <c r="K39" s="18">
        <f t="shared" si="1"/>
        <v>0.2664876633</v>
      </c>
      <c r="L39" s="18">
        <f t="shared" si="2"/>
        <v>53.89599068</v>
      </c>
      <c r="M39" s="112">
        <f>C41*Scoring!$B$34+D41/Scoring!$C$34+E41*Scoring!$D$34+WR!F41*Scoring!$E$34+WR!G41/Scoring!$F$34+WR!H41*Scoring!$G$34+WR!I41*Scoring!$H$34+K41*Scoring!$I$34+WR!L41*Scoring!$J$34+U39</f>
        <v>167.9</v>
      </c>
      <c r="N39" s="112">
        <f>C39*Scoring!$B$34+D39/Scoring!$C$34+E39*Scoring!$D$34+WR!F39*Scoring!$E$34+WR!G39/Scoring!$F$34+WR!H39*Scoring!$G$34+WR!I39*Scoring!$H$34+K39*Scoring!$I$34+WR!L39*Scoring!$J$34+U39</f>
        <v>194.56</v>
      </c>
      <c r="O39" s="112">
        <f>C40*Scoring!$B$34+D40/Scoring!$C$34+E40*Scoring!$D$34+WR!F40*Scoring!$E$34+WR!G40/Scoring!$F$34+WR!H40*Scoring!$G$34+WR!I40*Scoring!$H$34+K40*Scoring!$I$34+WR!L40*Scoring!$J$34+U39</f>
        <v>221.31</v>
      </c>
      <c r="P39" s="8">
        <f>IF(COUNTIF(Rookies!$A:$A,A39)&gt;0,1,0)</f>
        <v>0</v>
      </c>
      <c r="Q39" s="8"/>
      <c r="R39" s="8"/>
      <c r="S39" s="8">
        <f>V39/17</f>
        <v>11.44470588</v>
      </c>
      <c r="T39" s="8">
        <f>IF(P39=1,MAX(0,0.28*(12-S39)),0)</f>
        <v>0</v>
      </c>
      <c r="U39" s="8">
        <f>T39*17</f>
        <v>0</v>
      </c>
      <c r="V39" s="8">
        <f>C39*Scoring!$B$34+D39/Scoring!$C$34+E39*Scoring!$D$34+WR!F39*Scoring!$E$34+WR!G39/Scoring!$F$34+WR!H39*Scoring!$G$34+WR!I39*Scoring!$H$34+K39*Scoring!$I$34+WR!L39*Scoring!$J$34</f>
        <v>194.56</v>
      </c>
      <c r="W39" s="8"/>
      <c r="X39" s="8"/>
      <c r="Y39" s="8"/>
      <c r="Z39" s="8"/>
    </row>
    <row r="40" ht="14.25" customHeight="1">
      <c r="B40" s="1" t="s">
        <v>39</v>
      </c>
      <c r="C40" s="1">
        <v>100.0</v>
      </c>
      <c r="D40" s="1">
        <v>1176.3</v>
      </c>
      <c r="E40" s="1">
        <v>9.0</v>
      </c>
      <c r="F40" s="1">
        <v>2.2</v>
      </c>
      <c r="G40" s="1">
        <v>10.8</v>
      </c>
      <c r="H40" s="1">
        <v>0.1</v>
      </c>
      <c r="I40" s="1">
        <v>1.0</v>
      </c>
      <c r="J40" s="1">
        <v>291.8</v>
      </c>
      <c r="K40" s="18">
        <f t="shared" si="1"/>
        <v>0.669317852</v>
      </c>
      <c r="L40" s="18">
        <f t="shared" si="2"/>
        <v>57.85531469</v>
      </c>
      <c r="M40" s="118"/>
      <c r="N40" s="118"/>
      <c r="O40" s="11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B41" s="1" t="s">
        <v>48</v>
      </c>
      <c r="C41" s="1">
        <v>89.0</v>
      </c>
      <c r="D41" s="1">
        <v>956.0</v>
      </c>
      <c r="E41" s="1">
        <v>5.0</v>
      </c>
      <c r="F41" s="1">
        <v>0.0</v>
      </c>
      <c r="G41" s="1">
        <v>0.0</v>
      </c>
      <c r="H41" s="1">
        <v>0.0</v>
      </c>
      <c r="I41" s="1">
        <v>1.1</v>
      </c>
      <c r="J41" s="1">
        <v>235.3</v>
      </c>
      <c r="K41" s="18">
        <f t="shared" si="1"/>
        <v>0</v>
      </c>
      <c r="L41" s="18">
        <f t="shared" si="2"/>
        <v>47.02004662</v>
      </c>
      <c r="M41" s="118"/>
      <c r="N41" s="118"/>
      <c r="O41" s="11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1" t="s">
        <v>594</v>
      </c>
      <c r="B42" s="1" t="s">
        <v>61</v>
      </c>
      <c r="C42" s="1">
        <v>81.2</v>
      </c>
      <c r="D42" s="1">
        <v>1157.5</v>
      </c>
      <c r="E42" s="1">
        <v>6.5</v>
      </c>
      <c r="F42" s="1">
        <v>9.9</v>
      </c>
      <c r="G42" s="1">
        <v>58.8</v>
      </c>
      <c r="H42" s="1">
        <v>0.5</v>
      </c>
      <c r="I42" s="1">
        <v>1.5</v>
      </c>
      <c r="J42" s="1">
        <v>241.8</v>
      </c>
      <c r="K42" s="18">
        <f t="shared" si="1"/>
        <v>3.644063861</v>
      </c>
      <c r="L42" s="18">
        <f t="shared" si="2"/>
        <v>56.93065268</v>
      </c>
      <c r="M42" s="112">
        <f>C44*Scoring!$B$34+D44/Scoring!$C$34+E44*Scoring!$D$34+WR!F44*Scoring!$E$34+WR!G44/Scoring!$F$34+WR!H44*Scoring!$G$34+WR!I44*Scoring!$H$34+K44*Scoring!$I$34+WR!L44*Scoring!$J$34+U42</f>
        <v>185.94</v>
      </c>
      <c r="N42" s="112">
        <f>C42*Scoring!$B$34+D42/Scoring!$C$34+E42*Scoring!$D$34+WR!F42*Scoring!$E$34+WR!G42/Scoring!$F$34+WR!H42*Scoring!$G$34+WR!I42*Scoring!$H$34+K42*Scoring!$I$34+WR!L42*Scoring!$J$34+U42</f>
        <v>201.23</v>
      </c>
      <c r="O42" s="112">
        <f>C43*Scoring!$B$34+D43/Scoring!$C$34+E43*Scoring!$D$34+WR!F43*Scoring!$E$34+WR!G43/Scoring!$F$34+WR!H43*Scoring!$G$34+WR!I43*Scoring!$H$34+K43*Scoring!$I$34+WR!L43*Scoring!$J$34+U42</f>
        <v>217.9</v>
      </c>
      <c r="P42" s="8">
        <f>IF(COUNTIF(Rookies!$A:$A,A42)&gt;0,1,0)</f>
        <v>0</v>
      </c>
      <c r="Q42" s="8"/>
      <c r="R42" s="8"/>
      <c r="S42" s="8">
        <f>V42/17</f>
        <v>11.83705882</v>
      </c>
      <c r="T42" s="8">
        <f>IF(P42=1,MAX(0,0.28*(12-S42)),0)</f>
        <v>0</v>
      </c>
      <c r="U42" s="8">
        <f>T42*17</f>
        <v>0</v>
      </c>
      <c r="V42" s="8">
        <f>C42*Scoring!$B$34+D42/Scoring!$C$34+E42*Scoring!$D$34+WR!F42*Scoring!$E$34+WR!G42/Scoring!$F$34+WR!H42*Scoring!$G$34+WR!I42*Scoring!$H$34+K42*Scoring!$I$34+WR!L42*Scoring!$J$34</f>
        <v>201.23</v>
      </c>
      <c r="W42" s="8"/>
      <c r="X42" s="8"/>
      <c r="Y42" s="8"/>
      <c r="Z42" s="8"/>
    </row>
    <row r="43" ht="14.25" customHeight="1">
      <c r="B43" s="1" t="s">
        <v>39</v>
      </c>
      <c r="C43" s="1">
        <v>83.0</v>
      </c>
      <c r="D43" s="1">
        <v>1184.0</v>
      </c>
      <c r="E43" s="1">
        <v>8.0</v>
      </c>
      <c r="F43" s="1">
        <v>10.0</v>
      </c>
      <c r="G43" s="1">
        <v>60.0</v>
      </c>
      <c r="H43" s="1">
        <v>1.0</v>
      </c>
      <c r="I43" s="1">
        <v>1.0</v>
      </c>
      <c r="J43" s="1">
        <v>274.3</v>
      </c>
      <c r="K43" s="18">
        <f t="shared" si="1"/>
        <v>3.718432511</v>
      </c>
      <c r="L43" s="18">
        <f t="shared" si="2"/>
        <v>58.23403263</v>
      </c>
      <c r="M43" s="118"/>
      <c r="N43" s="118"/>
      <c r="O43" s="11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B44" s="1" t="s">
        <v>48</v>
      </c>
      <c r="C44" s="1">
        <v>79.0</v>
      </c>
      <c r="D44" s="1">
        <v>1117.0</v>
      </c>
      <c r="E44" s="1">
        <v>5.5</v>
      </c>
      <c r="F44" s="1">
        <v>9.8</v>
      </c>
      <c r="G44" s="1">
        <v>57.4</v>
      </c>
      <c r="H44" s="1">
        <v>0.0</v>
      </c>
      <c r="I44" s="1">
        <v>2.0</v>
      </c>
      <c r="J44" s="1">
        <v>238.3</v>
      </c>
      <c r="K44" s="18">
        <f t="shared" si="1"/>
        <v>3.557300435</v>
      </c>
      <c r="L44" s="18">
        <f t="shared" si="2"/>
        <v>54.93869464</v>
      </c>
      <c r="M44" s="118"/>
      <c r="N44" s="118"/>
      <c r="O44" s="11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" t="s">
        <v>597</v>
      </c>
      <c r="B45" s="1" t="s">
        <v>134</v>
      </c>
      <c r="C45" s="1">
        <v>81.0</v>
      </c>
      <c r="D45" s="1">
        <v>1083.5</v>
      </c>
      <c r="E45" s="1">
        <v>8.4</v>
      </c>
      <c r="F45" s="1">
        <v>2.8</v>
      </c>
      <c r="G45" s="1">
        <v>8.3</v>
      </c>
      <c r="H45" s="1">
        <v>0.1</v>
      </c>
      <c r="I45" s="1">
        <v>0.4</v>
      </c>
      <c r="J45" s="1">
        <v>240.3</v>
      </c>
      <c r="K45" s="18">
        <f t="shared" si="1"/>
        <v>0.514383164</v>
      </c>
      <c r="L45" s="18">
        <f t="shared" si="2"/>
        <v>53.29102564</v>
      </c>
      <c r="M45" s="112">
        <f>C47*Scoring!$B$34+D47/Scoring!$C$34+E47*Scoring!$D$34+WR!F47*Scoring!$E$34+WR!G47/Scoring!$F$34+WR!H47*Scoring!$G$34+WR!I47*Scoring!$H$34+K47*Scoring!$I$34+WR!L47*Scoring!$J$34+U45</f>
        <v>182.1</v>
      </c>
      <c r="N45" s="112">
        <f>C45*Scoring!$B$34+D45/Scoring!$C$34+E45*Scoring!$D$34+WR!F45*Scoring!$E$34+WR!G45/Scoring!$F$34+WR!H45*Scoring!$G$34+WR!I45*Scoring!$H$34+K45*Scoring!$I$34+WR!L45*Scoring!$J$34+U45</f>
        <v>199.88</v>
      </c>
      <c r="O45" s="112">
        <f>C46*Scoring!$B$34+D46/Scoring!$C$34+E46*Scoring!$D$34+WR!F46*Scoring!$E$34+WR!G46/Scoring!$F$34+WR!H46*Scoring!$G$34+WR!I46*Scoring!$H$34+K46*Scoring!$I$34+WR!L46*Scoring!$J$34+U45</f>
        <v>226.18</v>
      </c>
      <c r="P45" s="8">
        <f>IF(COUNTIF(Rookies!$A:$A,A45)&gt;0,1,0)</f>
        <v>0</v>
      </c>
      <c r="Q45" s="8"/>
      <c r="R45" s="8"/>
      <c r="S45" s="8">
        <f>V45/17</f>
        <v>11.75764706</v>
      </c>
      <c r="T45" s="8">
        <f>IF(P45=1,MAX(0,0.28*(12-S45)),0)</f>
        <v>0</v>
      </c>
      <c r="U45" s="8">
        <f>T45*17</f>
        <v>0</v>
      </c>
      <c r="V45" s="8">
        <f>C45*Scoring!$B$34+D45/Scoring!$C$34+E45*Scoring!$D$34+WR!F45*Scoring!$E$34+WR!G45/Scoring!$F$34+WR!H45*Scoring!$G$34+WR!I45*Scoring!$H$34+K45*Scoring!$I$34+WR!L45*Scoring!$J$34</f>
        <v>199.88</v>
      </c>
      <c r="W45" s="8"/>
      <c r="X45" s="8"/>
      <c r="Y45" s="8"/>
      <c r="Z45" s="8"/>
    </row>
    <row r="46" ht="14.25" customHeight="1">
      <c r="B46" s="1" t="s">
        <v>39</v>
      </c>
      <c r="C46" s="1">
        <v>86.1</v>
      </c>
      <c r="D46" s="1">
        <v>1136.4</v>
      </c>
      <c r="E46" s="1">
        <v>11.0</v>
      </c>
      <c r="F46" s="1">
        <v>4.5</v>
      </c>
      <c r="G46" s="1">
        <v>22.9</v>
      </c>
      <c r="H46" s="1">
        <v>0.2</v>
      </c>
      <c r="I46" s="1">
        <v>0.0</v>
      </c>
      <c r="J46" s="1">
        <v>271.2</v>
      </c>
      <c r="K46" s="18">
        <f t="shared" si="1"/>
        <v>1.419201742</v>
      </c>
      <c r="L46" s="18">
        <f t="shared" si="2"/>
        <v>55.89286713</v>
      </c>
      <c r="M46" s="118"/>
      <c r="N46" s="118"/>
      <c r="O46" s="11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B47" s="1" t="s">
        <v>48</v>
      </c>
      <c r="C47" s="1">
        <v>76.0</v>
      </c>
      <c r="D47" s="1">
        <v>1037.0</v>
      </c>
      <c r="E47" s="1">
        <v>7.0</v>
      </c>
      <c r="F47" s="1">
        <v>0.0</v>
      </c>
      <c r="G47" s="1">
        <v>0.0</v>
      </c>
      <c r="H47" s="1">
        <v>0.0</v>
      </c>
      <c r="I47" s="1">
        <v>0.8</v>
      </c>
      <c r="J47" s="1">
        <v>240.9</v>
      </c>
      <c r="K47" s="18">
        <f t="shared" si="1"/>
        <v>0</v>
      </c>
      <c r="L47" s="18">
        <f t="shared" si="2"/>
        <v>51.0039627</v>
      </c>
      <c r="M47" s="118"/>
      <c r="N47" s="118"/>
      <c r="O47" s="11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" t="s">
        <v>600</v>
      </c>
      <c r="B48" s="1" t="s">
        <v>117</v>
      </c>
      <c r="C48" s="1">
        <v>87.8</v>
      </c>
      <c r="D48" s="1">
        <v>1135.0</v>
      </c>
      <c r="E48" s="1">
        <v>6.0</v>
      </c>
      <c r="F48" s="1">
        <v>0.0</v>
      </c>
      <c r="G48" s="1">
        <v>0.0</v>
      </c>
      <c r="H48" s="1">
        <v>0.0</v>
      </c>
      <c r="I48" s="1">
        <v>0.3</v>
      </c>
      <c r="J48" s="1">
        <v>236.9</v>
      </c>
      <c r="K48" s="18">
        <f t="shared" si="1"/>
        <v>0</v>
      </c>
      <c r="L48" s="18">
        <f t="shared" si="2"/>
        <v>55.82400932</v>
      </c>
      <c r="M48" s="112">
        <f>C50*Scoring!$B$34+D50/Scoring!$C$34+E50*Scoring!$D$34+WR!F50*Scoring!$E$34+WR!G50/Scoring!$F$34+WR!H50*Scoring!$G$34+WR!I50*Scoring!$H$34+K50*Scoring!$I$34+WR!L50*Scoring!$J$34+U48</f>
        <v>188.5</v>
      </c>
      <c r="N48" s="112">
        <f>C48*Scoring!$B$34+D48/Scoring!$C$34+E48*Scoring!$D$34+WR!F48*Scoring!$E$34+WR!G48/Scoring!$F$34+WR!H48*Scoring!$G$34+WR!I48*Scoring!$H$34+K48*Scoring!$I$34+WR!L48*Scoring!$J$34+U48</f>
        <v>192.8</v>
      </c>
      <c r="O48" s="112">
        <f>C49*Scoring!$B$34+D49/Scoring!$C$34+E49*Scoring!$D$34+WR!F49*Scoring!$E$34+WR!G49/Scoring!$F$34+WR!H49*Scoring!$G$34+WR!I49*Scoring!$H$34+K49*Scoring!$I$34+WR!L49*Scoring!$J$34+U48</f>
        <v>197.15</v>
      </c>
      <c r="P48" s="8">
        <f>IF(COUNTIF(Rookies!$A:$A,A48)&gt;0,1,0)</f>
        <v>0</v>
      </c>
      <c r="Q48" s="8"/>
      <c r="R48" s="8"/>
      <c r="S48" s="8">
        <f>V48/17</f>
        <v>11.34117647</v>
      </c>
      <c r="T48" s="8">
        <f>IF(P48=1,MAX(0,0.28*(12-S48)),0)</f>
        <v>0</v>
      </c>
      <c r="U48" s="8">
        <f>T48*17</f>
        <v>0</v>
      </c>
      <c r="V48" s="8">
        <f>C48*Scoring!$B$34+D48/Scoring!$C$34+E48*Scoring!$D$34+WR!F48*Scoring!$E$34+WR!G48/Scoring!$F$34+WR!H48*Scoring!$G$34+WR!I48*Scoring!$H$34+K48*Scoring!$I$34+WR!L48*Scoring!$J$34</f>
        <v>192.8</v>
      </c>
      <c r="W48" s="8"/>
      <c r="X48" s="8"/>
      <c r="Y48" s="8"/>
      <c r="Z48" s="8"/>
    </row>
    <row r="49" ht="14.25" customHeight="1">
      <c r="B49" s="1" t="s">
        <v>39</v>
      </c>
      <c r="C49" s="1">
        <v>90.5</v>
      </c>
      <c r="D49" s="1">
        <v>1153.0</v>
      </c>
      <c r="E49" s="1">
        <v>6.1</v>
      </c>
      <c r="F49" s="1">
        <v>0.0</v>
      </c>
      <c r="G49" s="1">
        <v>0.0</v>
      </c>
      <c r="H49" s="1">
        <v>0.0</v>
      </c>
      <c r="I49" s="1">
        <v>0.0</v>
      </c>
      <c r="J49" s="1">
        <v>277.5</v>
      </c>
      <c r="K49" s="18">
        <f t="shared" si="1"/>
        <v>0</v>
      </c>
      <c r="L49" s="18">
        <f t="shared" si="2"/>
        <v>56.70932401</v>
      </c>
      <c r="M49" s="118"/>
      <c r="N49" s="118"/>
      <c r="O49" s="11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B50" s="1" t="s">
        <v>48</v>
      </c>
      <c r="C50" s="1">
        <v>83.0</v>
      </c>
      <c r="D50" s="1">
        <v>1122.0</v>
      </c>
      <c r="E50" s="1">
        <v>6.0</v>
      </c>
      <c r="F50" s="1">
        <v>0.0</v>
      </c>
      <c r="G50" s="1">
        <v>0.0</v>
      </c>
      <c r="H50" s="1">
        <v>0.0</v>
      </c>
      <c r="I50" s="1">
        <v>0.6</v>
      </c>
      <c r="J50" s="1">
        <v>229.8</v>
      </c>
      <c r="K50" s="18">
        <f t="shared" si="1"/>
        <v>0</v>
      </c>
      <c r="L50" s="18">
        <f t="shared" si="2"/>
        <v>55.18461538</v>
      </c>
      <c r="M50" s="118"/>
      <c r="N50" s="118"/>
      <c r="O50" s="11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" t="s">
        <v>604</v>
      </c>
      <c r="B51" s="1" t="s">
        <v>208</v>
      </c>
      <c r="C51" s="1">
        <v>81.2</v>
      </c>
      <c r="D51" s="1">
        <v>1146.7</v>
      </c>
      <c r="E51" s="1">
        <v>6.6</v>
      </c>
      <c r="F51" s="1">
        <v>0.0</v>
      </c>
      <c r="G51" s="1">
        <v>0.0</v>
      </c>
      <c r="H51" s="1">
        <v>0.0</v>
      </c>
      <c r="I51" s="1">
        <v>0.9</v>
      </c>
      <c r="J51" s="1">
        <v>233.8</v>
      </c>
      <c r="K51" s="18">
        <f t="shared" si="1"/>
        <v>0</v>
      </c>
      <c r="L51" s="18">
        <f t="shared" si="2"/>
        <v>56.39946387</v>
      </c>
      <c r="M51" s="112">
        <f>C53*Scoring!$B$34+D53/Scoring!$C$34+E53*Scoring!$D$34+WR!F53*Scoring!$E$34+WR!G53/Scoring!$F$34+WR!H53*Scoring!$G$34+WR!I53*Scoring!$H$34+K53*Scoring!$I$34+WR!L53*Scoring!$J$34+U51</f>
        <v>180.5</v>
      </c>
      <c r="N51" s="112">
        <f>C51*Scoring!$B$34+D51/Scoring!$C$34+E51*Scoring!$D$34+WR!F51*Scoring!$E$34+WR!G51/Scoring!$F$34+WR!H51*Scoring!$G$34+WR!I51*Scoring!$H$34+K51*Scoring!$I$34+WR!L51*Scoring!$J$34+U51</f>
        <v>193.07</v>
      </c>
      <c r="O51" s="112">
        <f>C52*Scoring!$B$34+D52/Scoring!$C$34+E52*Scoring!$D$34+WR!F52*Scoring!$E$34+WR!G52/Scoring!$F$34+WR!H52*Scoring!$G$34+WR!I52*Scoring!$H$34+K52*Scoring!$I$34+WR!L52*Scoring!$J$34+U51</f>
        <v>206.7</v>
      </c>
      <c r="P51" s="8">
        <f>IF(COUNTIF(Rookies!$A:$A,A51)&gt;0,1,0)</f>
        <v>0</v>
      </c>
      <c r="Q51" s="8"/>
      <c r="R51" s="8"/>
      <c r="S51" s="8">
        <f>V51/17</f>
        <v>11.35705882</v>
      </c>
      <c r="T51" s="8">
        <f>IF(P51=1,MAX(0,0.28*(12-S51)),0)</f>
        <v>0</v>
      </c>
      <c r="U51" s="8">
        <f>T51*17</f>
        <v>0</v>
      </c>
      <c r="V51" s="8">
        <f>C51*Scoring!$B$34+D51/Scoring!$C$34+E51*Scoring!$D$34+WR!F51*Scoring!$E$34+WR!G51/Scoring!$F$34+WR!H51*Scoring!$G$34+WR!I51*Scoring!$H$34+K51*Scoring!$I$34+WR!L51*Scoring!$J$34</f>
        <v>193.07</v>
      </c>
      <c r="W51" s="8"/>
      <c r="X51" s="8"/>
      <c r="Y51" s="8"/>
      <c r="Z51" s="8"/>
    </row>
    <row r="52" ht="14.25" customHeight="1">
      <c r="B52" s="1" t="s">
        <v>39</v>
      </c>
      <c r="C52" s="1">
        <v>83.6</v>
      </c>
      <c r="D52" s="1">
        <v>1185.0</v>
      </c>
      <c r="E52" s="1">
        <v>8.0</v>
      </c>
      <c r="F52" s="1">
        <v>0.0</v>
      </c>
      <c r="G52" s="1">
        <v>0.0</v>
      </c>
      <c r="H52" s="1">
        <v>0.0</v>
      </c>
      <c r="I52" s="1">
        <v>0.8</v>
      </c>
      <c r="J52" s="1">
        <v>264.3</v>
      </c>
      <c r="K52" s="18">
        <f t="shared" si="1"/>
        <v>0</v>
      </c>
      <c r="L52" s="18">
        <f t="shared" si="2"/>
        <v>58.28321678</v>
      </c>
      <c r="M52" s="118"/>
      <c r="N52" s="118"/>
      <c r="O52" s="11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B53" s="1" t="s">
        <v>48</v>
      </c>
      <c r="C53" s="1">
        <v>78.0</v>
      </c>
      <c r="D53" s="1">
        <v>1081.0</v>
      </c>
      <c r="E53" s="1">
        <v>5.9</v>
      </c>
      <c r="F53" s="1">
        <v>0.0</v>
      </c>
      <c r="G53" s="1">
        <v>0.0</v>
      </c>
      <c r="H53" s="1">
        <v>0.0</v>
      </c>
      <c r="I53" s="1">
        <v>1.0</v>
      </c>
      <c r="J53" s="1">
        <v>234.1</v>
      </c>
      <c r="K53" s="18">
        <f t="shared" si="1"/>
        <v>0</v>
      </c>
      <c r="L53" s="18">
        <f t="shared" si="2"/>
        <v>53.16806527</v>
      </c>
      <c r="M53" s="118"/>
      <c r="N53" s="118"/>
      <c r="O53" s="11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1" t="s">
        <v>607</v>
      </c>
      <c r="B54" s="1" t="s">
        <v>186</v>
      </c>
      <c r="C54" s="1">
        <v>73.2</v>
      </c>
      <c r="D54" s="1">
        <v>1097.8</v>
      </c>
      <c r="E54" s="1">
        <v>7.5</v>
      </c>
      <c r="F54" s="1">
        <v>1.4</v>
      </c>
      <c r="G54" s="1">
        <v>7.3</v>
      </c>
      <c r="H54" s="1">
        <v>0.0</v>
      </c>
      <c r="I54" s="1">
        <v>0.3</v>
      </c>
      <c r="J54" s="1">
        <v>228.3</v>
      </c>
      <c r="K54" s="18">
        <f t="shared" si="1"/>
        <v>0.4524092888</v>
      </c>
      <c r="L54" s="18">
        <f t="shared" si="2"/>
        <v>53.99435897</v>
      </c>
      <c r="M54" s="112">
        <f>C56*Scoring!$B$34+D56/Scoring!$C$34+E56*Scoring!$D$34+WR!F56*Scoring!$E$34+WR!G56/Scoring!$F$34+WR!H56*Scoring!$G$34+WR!I56*Scoring!$H$34+K56*Scoring!$I$34+WR!L56*Scoring!$J$34+U54</f>
        <v>180.2</v>
      </c>
      <c r="N54" s="112">
        <f>C54*Scoring!$B$34+D54/Scoring!$C$34+E54*Scoring!$D$34+WR!F54*Scoring!$E$34+WR!G54/Scoring!$F$34+WR!H54*Scoring!$G$34+WR!I54*Scoring!$H$34+K54*Scoring!$I$34+WR!L54*Scoring!$J$34+U54</f>
        <v>191.51</v>
      </c>
      <c r="O54" s="112">
        <f>C55*Scoring!$B$34+D55/Scoring!$C$34+E55*Scoring!$D$34+WR!F55*Scoring!$E$34+WR!G55/Scoring!$F$34+WR!H55*Scoring!$G$34+WR!I55*Scoring!$H$34+K55*Scoring!$I$34+WR!L55*Scoring!$J$34+U54</f>
        <v>201.52</v>
      </c>
      <c r="P54" s="8">
        <f>IF(COUNTIF(Rookies!$A:$A,A54)&gt;0,1,0)</f>
        <v>0</v>
      </c>
      <c r="Q54" s="8"/>
      <c r="R54" s="8"/>
      <c r="S54" s="8">
        <f>V54/17</f>
        <v>11.26529412</v>
      </c>
      <c r="T54" s="8">
        <f>IF(P54=1,MAX(0,0.28*(12-S54)),0)</f>
        <v>0</v>
      </c>
      <c r="U54" s="8">
        <f>T54*17</f>
        <v>0</v>
      </c>
      <c r="V54" s="8">
        <f>C54*Scoring!$B$34+D54/Scoring!$C$34+E54*Scoring!$D$34+WR!F54*Scoring!$E$34+WR!G54/Scoring!$F$34+WR!H54*Scoring!$G$34+WR!I54*Scoring!$H$34+K54*Scoring!$I$34+WR!L54*Scoring!$J$34</f>
        <v>191.51</v>
      </c>
      <c r="W54" s="8"/>
      <c r="X54" s="8"/>
      <c r="Y54" s="8"/>
      <c r="Z54" s="8"/>
    </row>
    <row r="55" ht="14.25" customHeight="1">
      <c r="B55" s="1" t="s">
        <v>39</v>
      </c>
      <c r="C55" s="1">
        <v>78.0</v>
      </c>
      <c r="D55" s="1">
        <v>1127.3</v>
      </c>
      <c r="E55" s="1">
        <v>8.0</v>
      </c>
      <c r="F55" s="1">
        <v>2.2</v>
      </c>
      <c r="G55" s="1">
        <v>11.9</v>
      </c>
      <c r="H55" s="1">
        <v>0.1</v>
      </c>
      <c r="I55" s="1">
        <v>0.0</v>
      </c>
      <c r="J55" s="1">
        <v>258.8</v>
      </c>
      <c r="K55" s="18">
        <f t="shared" si="1"/>
        <v>0.7374891147</v>
      </c>
      <c r="L55" s="18">
        <f t="shared" si="2"/>
        <v>55.44529138</v>
      </c>
      <c r="M55" s="118"/>
      <c r="N55" s="118"/>
      <c r="O55" s="11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B56" s="1" t="s">
        <v>48</v>
      </c>
      <c r="C56" s="1">
        <v>69.6</v>
      </c>
      <c r="D56" s="1">
        <v>1046.0</v>
      </c>
      <c r="E56" s="1">
        <v>7.0</v>
      </c>
      <c r="F56" s="1">
        <v>0.0</v>
      </c>
      <c r="G56" s="1">
        <v>0.0</v>
      </c>
      <c r="H56" s="1">
        <v>0.0</v>
      </c>
      <c r="I56" s="1">
        <v>0.6</v>
      </c>
      <c r="J56" s="1">
        <v>224.2</v>
      </c>
      <c r="K56" s="18">
        <f t="shared" si="1"/>
        <v>0</v>
      </c>
      <c r="L56" s="18">
        <f t="shared" si="2"/>
        <v>51.44662005</v>
      </c>
      <c r="M56" s="118"/>
      <c r="N56" s="118"/>
      <c r="O56" s="11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" t="s">
        <v>610</v>
      </c>
      <c r="B57" s="1" t="s">
        <v>176</v>
      </c>
      <c r="C57" s="1">
        <v>68.5</v>
      </c>
      <c r="D57" s="1">
        <v>926.2</v>
      </c>
      <c r="E57" s="1">
        <v>10.2</v>
      </c>
      <c r="F57" s="1">
        <v>0.0</v>
      </c>
      <c r="G57" s="1">
        <v>0.0</v>
      </c>
      <c r="H57" s="1">
        <v>0.0</v>
      </c>
      <c r="I57" s="1">
        <v>0.2</v>
      </c>
      <c r="J57" s="1">
        <v>221.9</v>
      </c>
      <c r="K57" s="18">
        <f t="shared" si="1"/>
        <v>0</v>
      </c>
      <c r="L57" s="18">
        <f t="shared" si="2"/>
        <v>45.55435897</v>
      </c>
      <c r="M57" s="112">
        <f>C59*Scoring!$B$34+D59/Scoring!$C$34+E59*Scoring!$D$34+WR!F59*Scoring!$E$34+WR!G59/Scoring!$F$34+WR!H59*Scoring!$G$34+WR!I59*Scoring!$H$34+K59*Scoring!$I$34+WR!L59*Scoring!$J$34+U57</f>
        <v>178.05</v>
      </c>
      <c r="N57" s="112">
        <f>C57*Scoring!$B$34+D57/Scoring!$C$34+E57*Scoring!$D$34+WR!F57*Scoring!$E$34+WR!G57/Scoring!$F$34+WR!H57*Scoring!$G$34+WR!I57*Scoring!$H$34+K57*Scoring!$I$34+WR!L57*Scoring!$J$34+U57</f>
        <v>187.67</v>
      </c>
      <c r="O57" s="112">
        <f>C58*Scoring!$B$34+D58/Scoring!$C$34+E58*Scoring!$D$34+WR!F58*Scoring!$E$34+WR!G58/Scoring!$F$34+WR!H58*Scoring!$G$34+WR!I58*Scoring!$H$34+K58*Scoring!$I$34+WR!L58*Scoring!$J$34+U57</f>
        <v>200.25</v>
      </c>
      <c r="P57" s="8">
        <f>IF(COUNTIF(Rookies!$A:$A,A57)&gt;0,1,0)</f>
        <v>0</v>
      </c>
      <c r="Q57" s="8"/>
      <c r="R57" s="8"/>
      <c r="S57" s="8">
        <f>V57/17</f>
        <v>11.03941176</v>
      </c>
      <c r="T57" s="8">
        <f>IF(P57=1,MAX(0,0.28*(12-S57)),0)</f>
        <v>0</v>
      </c>
      <c r="U57" s="8">
        <f>T57*17</f>
        <v>0</v>
      </c>
      <c r="V57" s="8">
        <f>C57*Scoring!$B$34+D57/Scoring!$C$34+E57*Scoring!$D$34+WR!F57*Scoring!$E$34+WR!G57/Scoring!$F$34+WR!H57*Scoring!$G$34+WR!I57*Scoring!$H$34+K57*Scoring!$I$34+WR!L57*Scoring!$J$34</f>
        <v>187.67</v>
      </c>
      <c r="W57" s="8"/>
      <c r="X57" s="8"/>
      <c r="Y57" s="8"/>
      <c r="Z57" s="8"/>
    </row>
    <row r="58" ht="14.25" customHeight="1">
      <c r="B58" s="1" t="s">
        <v>39</v>
      </c>
      <c r="C58" s="1">
        <v>70.0</v>
      </c>
      <c r="D58" s="1">
        <v>1016.5</v>
      </c>
      <c r="E58" s="1">
        <v>10.6</v>
      </c>
      <c r="F58" s="1">
        <v>0.0</v>
      </c>
      <c r="G58" s="1">
        <v>0.0</v>
      </c>
      <c r="H58" s="1">
        <v>0.0</v>
      </c>
      <c r="I58" s="1">
        <v>0.0</v>
      </c>
      <c r="J58" s="1">
        <v>254.6</v>
      </c>
      <c r="K58" s="18">
        <f t="shared" si="1"/>
        <v>0</v>
      </c>
      <c r="L58" s="18">
        <f t="shared" si="2"/>
        <v>49.99568765</v>
      </c>
      <c r="M58" s="118"/>
      <c r="N58" s="118"/>
      <c r="O58" s="11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B59" s="1" t="s">
        <v>48</v>
      </c>
      <c r="C59" s="1">
        <v>67.5</v>
      </c>
      <c r="D59" s="1">
        <v>851.0</v>
      </c>
      <c r="E59" s="1">
        <v>10.0</v>
      </c>
      <c r="F59" s="1">
        <v>0.0</v>
      </c>
      <c r="G59" s="1">
        <v>0.0</v>
      </c>
      <c r="H59" s="1">
        <v>0.0</v>
      </c>
      <c r="I59" s="1">
        <v>0.4</v>
      </c>
      <c r="J59" s="1">
        <v>206.5</v>
      </c>
      <c r="K59" s="18">
        <f t="shared" si="1"/>
        <v>0</v>
      </c>
      <c r="L59" s="18">
        <f t="shared" si="2"/>
        <v>41.85571096</v>
      </c>
      <c r="M59" s="118"/>
      <c r="N59" s="118"/>
      <c r="O59" s="11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" t="s">
        <v>612</v>
      </c>
      <c r="B60" s="1" t="s">
        <v>127</v>
      </c>
      <c r="C60" s="1">
        <v>70.8</v>
      </c>
      <c r="D60" s="1">
        <v>965.4</v>
      </c>
      <c r="E60" s="1">
        <v>9.1</v>
      </c>
      <c r="F60" s="1">
        <v>0.0</v>
      </c>
      <c r="G60" s="1">
        <v>0.0</v>
      </c>
      <c r="H60" s="1">
        <v>0.0</v>
      </c>
      <c r="I60" s="1">
        <v>0.2</v>
      </c>
      <c r="J60" s="1">
        <v>221.7</v>
      </c>
      <c r="K60" s="18">
        <f t="shared" si="1"/>
        <v>0</v>
      </c>
      <c r="L60" s="18">
        <f t="shared" si="2"/>
        <v>47.48237762</v>
      </c>
      <c r="M60" s="112">
        <f>C62*Scoring!$B$34+D62/Scoring!$C$34+E62*Scoring!$D$34+WR!F62*Scoring!$E$34+WR!G62/Scoring!$F$34+WR!H62*Scoring!$G$34+WR!I62*Scoring!$H$34+K62*Scoring!$I$34+WR!L62*Scoring!$J$34+U60</f>
        <v>170.3</v>
      </c>
      <c r="N60" s="112">
        <f>C60*Scoring!$B$34+D60/Scoring!$C$34+E60*Scoring!$D$34+WR!F60*Scoring!$E$34+WR!G60/Scoring!$F$34+WR!H60*Scoring!$G$34+WR!I60*Scoring!$H$34+K60*Scoring!$I$34+WR!L60*Scoring!$J$34+U60</f>
        <v>186.14</v>
      </c>
      <c r="O60" s="112">
        <f>C61*Scoring!$B$34+D61/Scoring!$C$34+E61*Scoring!$D$34+WR!F61*Scoring!$E$34+WR!G61/Scoring!$F$34+WR!H61*Scoring!$G$34+WR!I61*Scoring!$H$34+K61*Scoring!$I$34+WR!L61*Scoring!$J$34+U60</f>
        <v>206.4</v>
      </c>
      <c r="P60" s="8">
        <f>IF(COUNTIF(Rookies!$A:$A,A60)&gt;0,1,0)</f>
        <v>0</v>
      </c>
      <c r="Q60" s="8"/>
      <c r="R60" s="8"/>
      <c r="S60" s="8">
        <f>V60/17</f>
        <v>10.94941176</v>
      </c>
      <c r="T60" s="8">
        <f>IF(P60=1,MAX(0,0.28*(12-S60)),0)</f>
        <v>0</v>
      </c>
      <c r="U60" s="8">
        <f>T60*17</f>
        <v>0</v>
      </c>
      <c r="V60" s="8">
        <f>C60*Scoring!$B$34+D60/Scoring!$C$34+E60*Scoring!$D$34+WR!F60*Scoring!$E$34+WR!G60/Scoring!$F$34+WR!H60*Scoring!$G$34+WR!I60*Scoring!$H$34+K60*Scoring!$I$34+WR!L60*Scoring!$J$34</f>
        <v>186.14</v>
      </c>
      <c r="W60" s="8"/>
      <c r="X60" s="8"/>
      <c r="Y60" s="8"/>
      <c r="Z60" s="8"/>
    </row>
    <row r="61" ht="14.25" customHeight="1">
      <c r="B61" s="1" t="s">
        <v>39</v>
      </c>
      <c r="C61" s="1">
        <v>74.0</v>
      </c>
      <c r="D61" s="1">
        <v>1034.0</v>
      </c>
      <c r="E61" s="1">
        <v>11.0</v>
      </c>
      <c r="F61" s="1">
        <v>0.0</v>
      </c>
      <c r="G61" s="1">
        <v>0.0</v>
      </c>
      <c r="H61" s="1">
        <v>0.0</v>
      </c>
      <c r="I61" s="1">
        <v>0.0</v>
      </c>
      <c r="J61" s="1">
        <v>241.9</v>
      </c>
      <c r="K61" s="18">
        <f t="shared" si="1"/>
        <v>0</v>
      </c>
      <c r="L61" s="18">
        <f t="shared" si="2"/>
        <v>50.85641026</v>
      </c>
      <c r="M61" s="118"/>
      <c r="N61" s="118"/>
      <c r="O61" s="11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B62" s="1" t="s">
        <v>48</v>
      </c>
      <c r="C62" s="1">
        <v>65.0</v>
      </c>
      <c r="D62" s="1">
        <v>906.0</v>
      </c>
      <c r="E62" s="1">
        <v>8.0</v>
      </c>
      <c r="F62" s="1">
        <v>0.0</v>
      </c>
      <c r="G62" s="1">
        <v>0.0</v>
      </c>
      <c r="H62" s="1">
        <v>0.0</v>
      </c>
      <c r="I62" s="1">
        <v>0.4</v>
      </c>
      <c r="J62" s="1">
        <v>216.9</v>
      </c>
      <c r="K62" s="18">
        <f t="shared" si="1"/>
        <v>0</v>
      </c>
      <c r="L62" s="18">
        <f t="shared" si="2"/>
        <v>44.56083916</v>
      </c>
      <c r="M62" s="118"/>
      <c r="N62" s="118"/>
      <c r="O62" s="11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" t="s">
        <v>615</v>
      </c>
      <c r="B63" s="1" t="s">
        <v>164</v>
      </c>
      <c r="C63" s="1">
        <v>79.2</v>
      </c>
      <c r="D63" s="1">
        <v>1010.1</v>
      </c>
      <c r="E63" s="1">
        <v>6.8</v>
      </c>
      <c r="F63" s="1">
        <v>0.0</v>
      </c>
      <c r="G63" s="1">
        <v>0.0</v>
      </c>
      <c r="H63" s="1">
        <v>0.0</v>
      </c>
      <c r="I63" s="1">
        <v>0.3</v>
      </c>
      <c r="J63" s="1">
        <v>220.3</v>
      </c>
      <c r="K63" s="18">
        <f t="shared" si="1"/>
        <v>0</v>
      </c>
      <c r="L63" s="18">
        <f t="shared" si="2"/>
        <v>49.68090909</v>
      </c>
      <c r="M63" s="112">
        <f>C65*Scoring!$B$34+D65/Scoring!$C$34+E65*Scoring!$D$34+WR!F65*Scoring!$E$34+WR!G65/Scoring!$F$34+WR!H65*Scoring!$G$34+WR!I65*Scoring!$H$34+K65*Scoring!$I$34+WR!L65*Scoring!$J$34+U63</f>
        <v>168.4</v>
      </c>
      <c r="N63" s="112">
        <f>C63*Scoring!$B$34+D63/Scoring!$C$34+E63*Scoring!$D$34+WR!F63*Scoring!$E$34+WR!G63/Scoring!$F$34+WR!H63*Scoring!$G$34+WR!I63*Scoring!$H$34+K63*Scoring!$I$34+WR!L63*Scoring!$J$34+U63</f>
        <v>180.81</v>
      </c>
      <c r="O63" s="112">
        <f>C64*Scoring!$B$34+D64/Scoring!$C$34+E64*Scoring!$D$34+WR!F64*Scoring!$E$34+WR!G64/Scoring!$F$34+WR!H64*Scoring!$G$34+WR!I64*Scoring!$H$34+K64*Scoring!$I$34+WR!L64*Scoring!$J$34+U63</f>
        <v>192.94</v>
      </c>
      <c r="P63" s="8">
        <f>IF(COUNTIF(Rookies!$A:$A,A63)&gt;0,1,0)</f>
        <v>0</v>
      </c>
      <c r="Q63" s="8"/>
      <c r="R63" s="8"/>
      <c r="S63" s="8">
        <f>V63/17</f>
        <v>10.63588235</v>
      </c>
      <c r="T63" s="8">
        <f>IF(P63=1,MAX(0,0.28*(12-S63)),0)</f>
        <v>0</v>
      </c>
      <c r="U63" s="8">
        <f>T63*17</f>
        <v>0</v>
      </c>
      <c r="V63" s="8">
        <f>C63*Scoring!$B$34+D63/Scoring!$C$34+E63*Scoring!$D$34+WR!F63*Scoring!$E$34+WR!G63/Scoring!$F$34+WR!H63*Scoring!$G$34+WR!I63*Scoring!$H$34+K63*Scoring!$I$34+WR!L63*Scoring!$J$34</f>
        <v>180.81</v>
      </c>
      <c r="W63" s="8"/>
      <c r="X63" s="8"/>
      <c r="Y63" s="8"/>
      <c r="Z63" s="8"/>
    </row>
    <row r="64" ht="14.25" customHeight="1">
      <c r="B64" s="1" t="s">
        <v>39</v>
      </c>
      <c r="C64" s="1">
        <v>82.0</v>
      </c>
      <c r="D64" s="1">
        <v>1039.4</v>
      </c>
      <c r="E64" s="1">
        <v>8.0</v>
      </c>
      <c r="F64" s="1">
        <v>0.0</v>
      </c>
      <c r="G64" s="1">
        <v>0.0</v>
      </c>
      <c r="H64" s="1">
        <v>0.0</v>
      </c>
      <c r="I64" s="1">
        <v>0.0</v>
      </c>
      <c r="J64" s="1">
        <v>248.8</v>
      </c>
      <c r="K64" s="18">
        <f t="shared" si="1"/>
        <v>0</v>
      </c>
      <c r="L64" s="18">
        <f t="shared" si="2"/>
        <v>51.12200466</v>
      </c>
      <c r="M64" s="118"/>
      <c r="N64" s="118"/>
      <c r="O64" s="11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B65" s="1" t="s">
        <v>48</v>
      </c>
      <c r="C65" s="1">
        <v>76.0</v>
      </c>
      <c r="D65" s="1">
        <v>956.0</v>
      </c>
      <c r="E65" s="1">
        <v>6.0</v>
      </c>
      <c r="F65" s="1">
        <v>0.0</v>
      </c>
      <c r="G65" s="1">
        <v>0.0</v>
      </c>
      <c r="H65" s="1">
        <v>0.0</v>
      </c>
      <c r="I65" s="1">
        <v>0.6</v>
      </c>
      <c r="J65" s="1">
        <v>220.6</v>
      </c>
      <c r="K65" s="18">
        <f t="shared" si="1"/>
        <v>0</v>
      </c>
      <c r="L65" s="18">
        <f t="shared" si="2"/>
        <v>47.02004662</v>
      </c>
      <c r="M65" s="118"/>
      <c r="N65" s="118"/>
      <c r="O65" s="11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1" t="s">
        <v>619</v>
      </c>
      <c r="B66" s="1" t="s">
        <v>179</v>
      </c>
      <c r="C66" s="1">
        <v>64.4</v>
      </c>
      <c r="D66" s="1">
        <v>1065.4</v>
      </c>
      <c r="E66" s="1">
        <v>6.6</v>
      </c>
      <c r="F66" s="1">
        <v>7.3</v>
      </c>
      <c r="G66" s="1">
        <v>42.0</v>
      </c>
      <c r="H66" s="1">
        <v>0.5</v>
      </c>
      <c r="I66" s="1">
        <v>0.2</v>
      </c>
      <c r="J66" s="1">
        <v>217.3</v>
      </c>
      <c r="K66" s="18">
        <f t="shared" si="1"/>
        <v>2.602902758</v>
      </c>
      <c r="L66" s="18">
        <f t="shared" si="2"/>
        <v>52.40079254</v>
      </c>
      <c r="M66" s="112">
        <f>C68*Scoring!$B$34+D68/Scoring!$C$34+E68*Scoring!$D$34+WR!F68*Scoring!$E$34+WR!G68/Scoring!$F$34+WR!H68*Scoring!$G$34+WR!I68*Scoring!$H$34+K68*Scoring!$I$34+WR!L68*Scoring!$J$34+U66</f>
        <v>171.42</v>
      </c>
      <c r="N66" s="112">
        <f>C66*Scoring!$B$34+D66/Scoring!$C$34+E66*Scoring!$D$34+WR!F66*Scoring!$E$34+WR!G66/Scoring!$F$34+WR!H66*Scoring!$G$34+WR!I66*Scoring!$H$34+K66*Scoring!$I$34+WR!L66*Scoring!$J$34+U66</f>
        <v>185.14</v>
      </c>
      <c r="O66" s="112">
        <f>C67*Scoring!$B$34+D67/Scoring!$C$34+E67*Scoring!$D$34+WR!F67*Scoring!$E$34+WR!G67/Scoring!$F$34+WR!H67*Scoring!$G$34+WR!I67*Scoring!$H$34+K67*Scoring!$I$34+WR!L67*Scoring!$J$34+U66</f>
        <v>194.31</v>
      </c>
      <c r="P66" s="8">
        <f>IF(COUNTIF(Rookies!$A:$A,A66)&gt;0,1,0)</f>
        <v>0</v>
      </c>
      <c r="Q66" s="8"/>
      <c r="R66" s="8"/>
      <c r="S66" s="8">
        <f>V66/17</f>
        <v>10.89058824</v>
      </c>
      <c r="T66" s="8">
        <f>IF(P66=1,MAX(0,0.28*(12-S66)),0)</f>
        <v>0</v>
      </c>
      <c r="U66" s="8">
        <f>T66*17</f>
        <v>0</v>
      </c>
      <c r="V66" s="8">
        <f>C66*Scoring!$B$34+D66/Scoring!$C$34+E66*Scoring!$D$34+WR!F66*Scoring!$E$34+WR!G66/Scoring!$F$34+WR!H66*Scoring!$G$34+WR!I66*Scoring!$H$34+K66*Scoring!$I$34+WR!L66*Scoring!$J$34</f>
        <v>185.14</v>
      </c>
      <c r="W66" s="8"/>
      <c r="X66" s="8"/>
      <c r="Y66" s="8"/>
      <c r="Z66" s="8"/>
    </row>
    <row r="67" ht="14.25" customHeight="1">
      <c r="B67" s="1" t="s">
        <v>39</v>
      </c>
      <c r="C67" s="1">
        <v>66.0</v>
      </c>
      <c r="D67" s="1">
        <v>1088.0</v>
      </c>
      <c r="E67" s="1">
        <v>7.0</v>
      </c>
      <c r="F67" s="1">
        <v>8.0</v>
      </c>
      <c r="G67" s="1">
        <v>45.1</v>
      </c>
      <c r="H67" s="1">
        <v>1.0</v>
      </c>
      <c r="I67" s="1">
        <v>0.0</v>
      </c>
      <c r="J67" s="1">
        <v>252.4</v>
      </c>
      <c r="K67" s="18">
        <f t="shared" si="1"/>
        <v>2.795021771</v>
      </c>
      <c r="L67" s="18">
        <f t="shared" si="2"/>
        <v>53.51235431</v>
      </c>
      <c r="M67" s="118"/>
      <c r="N67" s="118"/>
      <c r="O67" s="11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B68" s="1" t="s">
        <v>48</v>
      </c>
      <c r="C68" s="1">
        <v>63.0</v>
      </c>
      <c r="D68" s="1">
        <v>1026.2</v>
      </c>
      <c r="E68" s="1">
        <v>5.7</v>
      </c>
      <c r="F68" s="1">
        <v>7.0</v>
      </c>
      <c r="G68" s="1">
        <v>39.0</v>
      </c>
      <c r="H68" s="1">
        <v>0.0</v>
      </c>
      <c r="I68" s="1">
        <v>0.4</v>
      </c>
      <c r="J68" s="1">
        <v>208.6</v>
      </c>
      <c r="K68" s="18">
        <f t="shared" si="1"/>
        <v>2.416981132</v>
      </c>
      <c r="L68" s="18">
        <f t="shared" si="2"/>
        <v>50.47277389</v>
      </c>
      <c r="M68" s="118"/>
      <c r="N68" s="118"/>
      <c r="O68" s="11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" t="s">
        <v>622</v>
      </c>
      <c r="B69" s="1" t="s">
        <v>170</v>
      </c>
      <c r="C69" s="1">
        <v>74.2</v>
      </c>
      <c r="D69" s="1">
        <v>991.9</v>
      </c>
      <c r="E69" s="1">
        <v>6.0</v>
      </c>
      <c r="F69" s="1">
        <v>1.7</v>
      </c>
      <c r="G69" s="1">
        <v>12.4</v>
      </c>
      <c r="H69" s="1">
        <v>0.0</v>
      </c>
      <c r="I69" s="1">
        <v>0.3</v>
      </c>
      <c r="J69" s="1">
        <v>210.2</v>
      </c>
      <c r="K69" s="18">
        <f t="shared" si="1"/>
        <v>0.7684760522</v>
      </c>
      <c r="L69" s="18">
        <f t="shared" si="2"/>
        <v>48.78575758</v>
      </c>
      <c r="M69" s="112">
        <f>C71*Scoring!$B$34+D71/Scoring!$C$34+E71*Scoring!$D$34+WR!F71*Scoring!$E$34+WR!G71/Scoring!$F$34+WR!H71*Scoring!$G$34+WR!I71*Scoring!$H$34+K71*Scoring!$I$34+WR!L71*Scoring!$J$34+U69</f>
        <v>169.3</v>
      </c>
      <c r="N69" s="112">
        <f>C69*Scoring!$B$34+D69/Scoring!$C$34+E69*Scoring!$D$34+WR!F69*Scoring!$E$34+WR!G69/Scoring!$F$34+WR!H69*Scoring!$G$34+WR!I69*Scoring!$H$34+K69*Scoring!$I$34+WR!L69*Scoring!$J$34+U69</f>
        <v>172.93</v>
      </c>
      <c r="O69" s="112">
        <f>C70*Scoring!$B$34+D70/Scoring!$C$34+E70*Scoring!$D$34+WR!F70*Scoring!$E$34+WR!G70/Scoring!$F$34+WR!H70*Scoring!$G$34+WR!I70*Scoring!$H$34+K70*Scoring!$I$34+WR!L70*Scoring!$J$34+U69</f>
        <v>176.9</v>
      </c>
      <c r="P69" s="8">
        <f>IF(COUNTIF(Rookies!$A:$A,A69)&gt;0,1,0)</f>
        <v>0</v>
      </c>
      <c r="Q69" s="8"/>
      <c r="R69" s="8"/>
      <c r="S69" s="8">
        <f>V69/17</f>
        <v>10.17235294</v>
      </c>
      <c r="T69" s="8">
        <f>IF(P69=1,MAX(0,0.28*(12-S69)),0)</f>
        <v>0</v>
      </c>
      <c r="U69" s="8">
        <f>T69*17</f>
        <v>0</v>
      </c>
      <c r="V69" s="8">
        <f>C69*Scoring!$B$34+D69/Scoring!$C$34+E69*Scoring!$D$34+WR!F69*Scoring!$E$34+WR!G69/Scoring!$F$34+WR!H69*Scoring!$G$34+WR!I69*Scoring!$H$34+K69*Scoring!$I$34+WR!L69*Scoring!$J$34</f>
        <v>172.93</v>
      </c>
      <c r="W69" s="8"/>
      <c r="X69" s="8"/>
      <c r="Y69" s="8"/>
      <c r="Z69" s="8"/>
    </row>
    <row r="70" ht="14.25" customHeight="1">
      <c r="B70" s="1" t="s">
        <v>39</v>
      </c>
      <c r="C70" s="1">
        <v>76.6</v>
      </c>
      <c r="D70" s="1">
        <v>995.0</v>
      </c>
      <c r="E70" s="1">
        <v>6.0</v>
      </c>
      <c r="F70" s="1">
        <v>3.0</v>
      </c>
      <c r="G70" s="1">
        <v>25.0</v>
      </c>
      <c r="H70" s="1">
        <v>0.1</v>
      </c>
      <c r="I70" s="1">
        <v>0.0</v>
      </c>
      <c r="J70" s="1">
        <v>244.9</v>
      </c>
      <c r="K70" s="18">
        <f t="shared" si="1"/>
        <v>1.54934688</v>
      </c>
      <c r="L70" s="18">
        <f t="shared" si="2"/>
        <v>48.93822844</v>
      </c>
      <c r="M70" s="118"/>
      <c r="N70" s="118"/>
      <c r="O70" s="11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B71" s="1" t="s">
        <v>48</v>
      </c>
      <c r="C71" s="1">
        <v>72.0</v>
      </c>
      <c r="D71" s="1">
        <v>987.0</v>
      </c>
      <c r="E71" s="1">
        <v>6.0</v>
      </c>
      <c r="F71" s="1">
        <v>0.0</v>
      </c>
      <c r="G71" s="1">
        <v>0.0</v>
      </c>
      <c r="H71" s="1">
        <v>0.0</v>
      </c>
      <c r="I71" s="1">
        <v>0.7</v>
      </c>
      <c r="J71" s="1">
        <v>201.2</v>
      </c>
      <c r="K71" s="18">
        <f t="shared" si="1"/>
        <v>0</v>
      </c>
      <c r="L71" s="18">
        <f t="shared" si="2"/>
        <v>48.54475524</v>
      </c>
      <c r="M71" s="118"/>
      <c r="N71" s="118"/>
      <c r="O71" s="11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" t="s">
        <v>625</v>
      </c>
      <c r="B72" s="1" t="s">
        <v>106</v>
      </c>
      <c r="C72" s="1">
        <v>69.0</v>
      </c>
      <c r="D72" s="1">
        <v>972.1</v>
      </c>
      <c r="E72" s="1">
        <v>7.4</v>
      </c>
      <c r="F72" s="1">
        <v>0.3</v>
      </c>
      <c r="G72" s="1">
        <v>0.3</v>
      </c>
      <c r="H72" s="1">
        <v>0.0</v>
      </c>
      <c r="I72" s="1">
        <v>0.3</v>
      </c>
      <c r="J72" s="1">
        <v>209.8</v>
      </c>
      <c r="K72" s="18">
        <f t="shared" si="1"/>
        <v>0.01859216255</v>
      </c>
      <c r="L72" s="18">
        <f t="shared" si="2"/>
        <v>47.81191142</v>
      </c>
      <c r="M72" s="112">
        <f>C74*Scoring!$B$34+D74/Scoring!$C$34+E74*Scoring!$D$34+WR!F74*Scoring!$E$34+WR!G74/Scoring!$F$34+WR!H74*Scoring!$G$34+WR!I74*Scoring!$H$34+K74*Scoring!$I$34+WR!L74*Scoring!$J$34+U72</f>
        <v>159.9</v>
      </c>
      <c r="N72" s="112">
        <f>C72*Scoring!$B$34+D72/Scoring!$C$34+E72*Scoring!$D$34+WR!F72*Scoring!$E$34+WR!G72/Scoring!$F$34+WR!H72*Scoring!$G$34+WR!I72*Scoring!$H$34+K72*Scoring!$I$34+WR!L72*Scoring!$J$34+U72</f>
        <v>175.54</v>
      </c>
      <c r="O72" s="112">
        <f>C73*Scoring!$B$34+D73/Scoring!$C$34+E73*Scoring!$D$34+WR!F73*Scoring!$E$34+WR!G73/Scoring!$F$34+WR!H73*Scoring!$G$34+WR!I73*Scoring!$H$34+K73*Scoring!$I$34+WR!L73*Scoring!$J$34+U72</f>
        <v>203.94</v>
      </c>
      <c r="P72" s="8">
        <f>IF(COUNTIF(Rookies!$A:$A,A72)&gt;0,1,0)</f>
        <v>0</v>
      </c>
      <c r="Q72" s="8"/>
      <c r="R72" s="8"/>
      <c r="S72" s="8">
        <f>V72/17</f>
        <v>10.32588235</v>
      </c>
      <c r="T72" s="8">
        <f>IF(P72=1,MAX(0,0.28*(12-S72)),0)</f>
        <v>0</v>
      </c>
      <c r="U72" s="8">
        <f>T72*17</f>
        <v>0</v>
      </c>
      <c r="V72" s="8">
        <f>C72*Scoring!$B$34+D72/Scoring!$C$34+E72*Scoring!$D$34+WR!F72*Scoring!$E$34+WR!G72/Scoring!$F$34+WR!H72*Scoring!$G$34+WR!I72*Scoring!$H$34+K72*Scoring!$I$34+WR!L72*Scoring!$J$34</f>
        <v>175.54</v>
      </c>
      <c r="W72" s="8"/>
      <c r="X72" s="8"/>
      <c r="Y72" s="8"/>
      <c r="Z72" s="8"/>
    </row>
    <row r="73" ht="14.25" customHeight="1">
      <c r="B73" s="1" t="s">
        <v>39</v>
      </c>
      <c r="C73" s="1">
        <v>77.0</v>
      </c>
      <c r="D73" s="1">
        <v>1053.4</v>
      </c>
      <c r="E73" s="1">
        <v>10.0</v>
      </c>
      <c r="F73" s="1">
        <v>1.0</v>
      </c>
      <c r="G73" s="1">
        <v>1.0</v>
      </c>
      <c r="H73" s="1">
        <v>0.0</v>
      </c>
      <c r="I73" s="1">
        <v>0.0</v>
      </c>
      <c r="J73" s="1">
        <v>231.2</v>
      </c>
      <c r="K73" s="18">
        <f t="shared" si="1"/>
        <v>0.06197387518</v>
      </c>
      <c r="L73" s="18">
        <f t="shared" si="2"/>
        <v>51.81058275</v>
      </c>
      <c r="M73" s="118"/>
      <c r="N73" s="118"/>
      <c r="O73" s="11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B74" s="1" t="s">
        <v>48</v>
      </c>
      <c r="C74" s="1">
        <v>65.0</v>
      </c>
      <c r="D74" s="1">
        <v>926.0</v>
      </c>
      <c r="E74" s="1">
        <v>6.0</v>
      </c>
      <c r="F74" s="1">
        <v>0.0</v>
      </c>
      <c r="G74" s="1">
        <v>0.0</v>
      </c>
      <c r="H74" s="1">
        <v>0.0</v>
      </c>
      <c r="I74" s="1">
        <v>0.6</v>
      </c>
      <c r="J74" s="1">
        <v>210.7</v>
      </c>
      <c r="K74" s="18">
        <f t="shared" si="1"/>
        <v>0</v>
      </c>
      <c r="L74" s="18">
        <f t="shared" si="2"/>
        <v>45.54452214</v>
      </c>
      <c r="M74" s="118"/>
      <c r="N74" s="118"/>
      <c r="O74" s="11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" t="s">
        <v>628</v>
      </c>
      <c r="B75" s="1" t="s">
        <v>18</v>
      </c>
      <c r="C75" s="1">
        <v>69.4</v>
      </c>
      <c r="D75" s="1">
        <v>905.1</v>
      </c>
      <c r="E75" s="1">
        <v>7.0</v>
      </c>
      <c r="F75" s="1">
        <v>10.3</v>
      </c>
      <c r="G75" s="1">
        <v>54.0</v>
      </c>
      <c r="H75" s="1">
        <v>0.5</v>
      </c>
      <c r="I75" s="1">
        <v>0.8</v>
      </c>
      <c r="J75" s="1">
        <v>208.5</v>
      </c>
      <c r="K75" s="18">
        <f t="shared" si="1"/>
        <v>3.34658926</v>
      </c>
      <c r="L75" s="18">
        <f t="shared" si="2"/>
        <v>44.51657343</v>
      </c>
      <c r="M75" s="112">
        <f>C77*Scoring!$B$34+D77/Scoring!$C$34+E77*Scoring!$D$34+WR!F77*Scoring!$E$34+WR!G77/Scoring!$F$34+WR!H77*Scoring!$G$34+WR!I77*Scoring!$H$34+K77*Scoring!$I$34+WR!L77*Scoring!$J$34+U75</f>
        <v>152.7</v>
      </c>
      <c r="N75" s="112">
        <f>C75*Scoring!$B$34+D75/Scoring!$C$34+E75*Scoring!$D$34+WR!F75*Scoring!$E$34+WR!G75/Scoring!$F$34+WR!H75*Scoring!$G$34+WR!I75*Scoring!$H$34+K75*Scoring!$I$34+WR!L75*Scoring!$J$34+U75</f>
        <v>174.01</v>
      </c>
      <c r="O75" s="112">
        <f>C76*Scoring!$B$34+D76/Scoring!$C$34+E76*Scoring!$D$34+WR!F76*Scoring!$E$34+WR!G76/Scoring!$F$34+WR!H76*Scoring!$G$34+WR!I76*Scoring!$H$34+K76*Scoring!$I$34+WR!L76*Scoring!$J$34+U75</f>
        <v>191.9</v>
      </c>
      <c r="P75" s="8">
        <f>IF(COUNTIF(Rookies!$A:$A,A75)&gt;0,1,0)</f>
        <v>0</v>
      </c>
      <c r="Q75" s="8"/>
      <c r="R75" s="8"/>
      <c r="S75" s="8">
        <f>V75/17</f>
        <v>10.23588235</v>
      </c>
      <c r="T75" s="8">
        <f>IF(P75=1,MAX(0,0.28*(12-S75)),0)</f>
        <v>0</v>
      </c>
      <c r="U75" s="8">
        <f>T75*17</f>
        <v>0</v>
      </c>
      <c r="V75" s="8">
        <f>C75*Scoring!$B$34+D75/Scoring!$C$34+E75*Scoring!$D$34+WR!F75*Scoring!$E$34+WR!G75/Scoring!$F$34+WR!H75*Scoring!$G$34+WR!I75*Scoring!$H$34+K75*Scoring!$I$34+WR!L75*Scoring!$J$34</f>
        <v>174.01</v>
      </c>
      <c r="W75" s="8"/>
      <c r="X75" s="8"/>
      <c r="Y75" s="8"/>
      <c r="Z75" s="8"/>
    </row>
    <row r="76" ht="14.25" customHeight="1">
      <c r="B76" s="1" t="s">
        <v>39</v>
      </c>
      <c r="C76" s="1">
        <v>71.0</v>
      </c>
      <c r="D76" s="1">
        <v>955.0</v>
      </c>
      <c r="E76" s="1">
        <v>8.0</v>
      </c>
      <c r="F76" s="1">
        <v>16.0</v>
      </c>
      <c r="G76" s="1">
        <v>81.0</v>
      </c>
      <c r="H76" s="1">
        <v>1.0</v>
      </c>
      <c r="I76" s="1">
        <v>0.6</v>
      </c>
      <c r="J76" s="1">
        <v>240.9</v>
      </c>
      <c r="K76" s="18">
        <f t="shared" si="1"/>
        <v>5.01988389</v>
      </c>
      <c r="L76" s="18">
        <f t="shared" si="2"/>
        <v>46.97086247</v>
      </c>
      <c r="M76" s="118"/>
      <c r="N76" s="118"/>
      <c r="O76" s="11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B77" s="1" t="s">
        <v>48</v>
      </c>
      <c r="C77" s="1">
        <v>67.2</v>
      </c>
      <c r="D77" s="1">
        <v>815.0</v>
      </c>
      <c r="E77" s="1">
        <v>6.0</v>
      </c>
      <c r="F77" s="1">
        <v>6.9</v>
      </c>
      <c r="G77" s="1">
        <v>36.0</v>
      </c>
      <c r="H77" s="1">
        <v>0.0</v>
      </c>
      <c r="I77" s="1">
        <v>1.0</v>
      </c>
      <c r="J77" s="1">
        <v>196.4</v>
      </c>
      <c r="K77" s="18">
        <f t="shared" si="1"/>
        <v>2.231059507</v>
      </c>
      <c r="L77" s="18">
        <f t="shared" si="2"/>
        <v>40.08508159</v>
      </c>
      <c r="M77" s="118"/>
      <c r="N77" s="118"/>
      <c r="O77" s="11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1" t="s">
        <v>632</v>
      </c>
      <c r="B78" s="1" t="s">
        <v>159</v>
      </c>
      <c r="C78" s="1">
        <v>72.7</v>
      </c>
      <c r="D78" s="1">
        <v>972.7</v>
      </c>
      <c r="E78" s="1">
        <v>5.7</v>
      </c>
      <c r="F78" s="1">
        <v>7.7</v>
      </c>
      <c r="G78" s="1">
        <v>38.2</v>
      </c>
      <c r="H78" s="1">
        <v>0.1</v>
      </c>
      <c r="I78" s="1">
        <v>0.3</v>
      </c>
      <c r="J78" s="1">
        <v>208.0</v>
      </c>
      <c r="K78" s="18">
        <f t="shared" si="1"/>
        <v>2.367402032</v>
      </c>
      <c r="L78" s="18">
        <f t="shared" si="2"/>
        <v>47.84142191</v>
      </c>
      <c r="M78" s="112">
        <f>C80*Scoring!$B$34+D80/Scoring!$C$34+E80*Scoring!$D$34+WR!F80*Scoring!$E$34+WR!G80/Scoring!$F$34+WR!H80*Scoring!$G$34+WR!I80*Scoring!$H$34+K80*Scoring!$I$34+WR!L80*Scoring!$J$34+U78</f>
        <v>160</v>
      </c>
      <c r="N78" s="112">
        <f>C78*Scoring!$B$34+D78/Scoring!$C$34+E78*Scoring!$D$34+WR!F78*Scoring!$E$34+WR!G78/Scoring!$F$34+WR!H78*Scoring!$G$34+WR!I78*Scoring!$H$34+K78*Scoring!$I$34+WR!L78*Scoring!$J$34+U78</f>
        <v>171.64</v>
      </c>
      <c r="O78" s="112">
        <f>C79*Scoring!$B$34+D79/Scoring!$C$34+E79*Scoring!$D$34+WR!F79*Scoring!$E$34+WR!G79/Scoring!$F$34+WR!H79*Scoring!$G$34+WR!I79*Scoring!$H$34+K79*Scoring!$I$34+WR!L79*Scoring!$J$34+U78</f>
        <v>186.4</v>
      </c>
      <c r="P78" s="8">
        <f>IF(COUNTIF(Rookies!$A:$A,A78)&gt;0,1,0)</f>
        <v>0</v>
      </c>
      <c r="Q78" s="8"/>
      <c r="R78" s="8"/>
      <c r="S78" s="8">
        <f>V78/17</f>
        <v>10.09647059</v>
      </c>
      <c r="T78" s="8">
        <f>IF(P78=1,MAX(0,0.28*(12-S78)),0)</f>
        <v>0</v>
      </c>
      <c r="U78" s="8">
        <f>T78*17</f>
        <v>0</v>
      </c>
      <c r="V78" s="8">
        <f>C78*Scoring!$B$34+D78/Scoring!$C$34+E78*Scoring!$D$34+WR!F78*Scoring!$E$34+WR!G78/Scoring!$F$34+WR!H78*Scoring!$G$34+WR!I78*Scoring!$H$34+K78*Scoring!$I$34+WR!L78*Scoring!$J$34</f>
        <v>171.64</v>
      </c>
      <c r="W78" s="8"/>
      <c r="X78" s="8"/>
      <c r="Y78" s="8"/>
      <c r="Z78" s="8"/>
    </row>
    <row r="79" ht="14.25" customHeight="1">
      <c r="B79" s="1" t="s">
        <v>39</v>
      </c>
      <c r="C79" s="1">
        <v>75.1</v>
      </c>
      <c r="D79" s="1">
        <v>1055.0</v>
      </c>
      <c r="E79" s="1">
        <v>6.0</v>
      </c>
      <c r="F79" s="1">
        <v>9.1</v>
      </c>
      <c r="G79" s="1">
        <v>49.5</v>
      </c>
      <c r="H79" s="1">
        <v>0.4</v>
      </c>
      <c r="I79" s="1">
        <v>0.0</v>
      </c>
      <c r="J79" s="1">
        <v>239.6</v>
      </c>
      <c r="K79" s="18">
        <f t="shared" si="1"/>
        <v>3.067706821</v>
      </c>
      <c r="L79" s="18">
        <f t="shared" si="2"/>
        <v>51.88927739</v>
      </c>
      <c r="M79" s="118"/>
      <c r="N79" s="118"/>
      <c r="O79" s="11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B80" s="1" t="s">
        <v>48</v>
      </c>
      <c r="C80" s="1">
        <v>70.0</v>
      </c>
      <c r="D80" s="1">
        <v>926.0</v>
      </c>
      <c r="E80" s="1">
        <v>5.1</v>
      </c>
      <c r="F80" s="1">
        <v>6.0</v>
      </c>
      <c r="G80" s="1">
        <v>32.0</v>
      </c>
      <c r="H80" s="1">
        <v>0.0</v>
      </c>
      <c r="I80" s="1">
        <v>0.7</v>
      </c>
      <c r="J80" s="1">
        <v>203.5</v>
      </c>
      <c r="K80" s="18">
        <f t="shared" si="1"/>
        <v>1.983164006</v>
      </c>
      <c r="L80" s="18">
        <f t="shared" si="2"/>
        <v>45.54452214</v>
      </c>
      <c r="M80" s="118"/>
      <c r="N80" s="118"/>
      <c r="O80" s="11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" t="s">
        <v>635</v>
      </c>
      <c r="B81" s="1" t="s">
        <v>159</v>
      </c>
      <c r="C81" s="1">
        <v>62.4</v>
      </c>
      <c r="D81" s="1">
        <v>963.3</v>
      </c>
      <c r="E81" s="1">
        <v>7.8</v>
      </c>
      <c r="F81" s="1">
        <v>0.3</v>
      </c>
      <c r="G81" s="1">
        <v>1.3</v>
      </c>
      <c r="H81" s="1">
        <v>0.0</v>
      </c>
      <c r="I81" s="1">
        <v>0.3</v>
      </c>
      <c r="J81" s="1">
        <v>205.1</v>
      </c>
      <c r="K81" s="18">
        <f t="shared" si="1"/>
        <v>0.08056603774</v>
      </c>
      <c r="L81" s="18">
        <f t="shared" si="2"/>
        <v>47.37909091</v>
      </c>
      <c r="M81" s="112">
        <f>C83*Scoring!$B$34+D83/Scoring!$C$34+E83*Scoring!$D$34+WR!F83*Scoring!$E$34+WR!G83/Scoring!$F$34+WR!H83*Scoring!$G$34+WR!I83*Scoring!$H$34+K83*Scoring!$I$34+WR!L83*Scoring!$J$34+U81</f>
        <v>162.05</v>
      </c>
      <c r="N81" s="112">
        <f>C81*Scoring!$B$34+D81/Scoring!$C$34+E81*Scoring!$D$34+WR!F81*Scoring!$E$34+WR!G81/Scoring!$F$34+WR!H81*Scoring!$G$34+WR!I81*Scoring!$H$34+K81*Scoring!$I$34+WR!L81*Scoring!$J$34+U81</f>
        <v>173.86</v>
      </c>
      <c r="O81" s="112">
        <f>C82*Scoring!$B$34+D82/Scoring!$C$34+E82*Scoring!$D$34+WR!F82*Scoring!$E$34+WR!G82/Scoring!$F$34+WR!H82*Scoring!$G$34+WR!I82*Scoring!$H$34+K82*Scoring!$I$34+WR!L82*Scoring!$J$34+U81</f>
        <v>186.2</v>
      </c>
      <c r="P81" s="8">
        <f>IF(COUNTIF(Rookies!$A:$A,A81)&gt;0,1,0)</f>
        <v>0</v>
      </c>
      <c r="Q81" s="8"/>
      <c r="R81" s="8"/>
      <c r="S81" s="8">
        <f>V81/17</f>
        <v>10.22705882</v>
      </c>
      <c r="T81" s="8">
        <f>IF(P81=1,MAX(0,0.28*(12-S81)),0)</f>
        <v>0</v>
      </c>
      <c r="U81" s="8">
        <f>T81*17</f>
        <v>0</v>
      </c>
      <c r="V81" s="8">
        <f>C81*Scoring!$B$34+D81/Scoring!$C$34+E81*Scoring!$D$34+WR!F81*Scoring!$E$34+WR!G81/Scoring!$F$34+WR!H81*Scoring!$G$34+WR!I81*Scoring!$H$34+K81*Scoring!$I$34+WR!L81*Scoring!$J$34</f>
        <v>173.86</v>
      </c>
      <c r="W81" s="8"/>
      <c r="X81" s="8"/>
      <c r="Y81" s="8"/>
      <c r="Z81" s="8"/>
    </row>
    <row r="82" ht="14.25" customHeight="1">
      <c r="B82" s="1" t="s">
        <v>39</v>
      </c>
      <c r="C82" s="1">
        <v>65.0</v>
      </c>
      <c r="D82" s="1">
        <v>1029.0</v>
      </c>
      <c r="E82" s="1">
        <v>8.4</v>
      </c>
      <c r="F82" s="1">
        <v>1.0</v>
      </c>
      <c r="G82" s="1">
        <v>4.0</v>
      </c>
      <c r="H82" s="1">
        <v>0.0</v>
      </c>
      <c r="I82" s="1">
        <v>0.0</v>
      </c>
      <c r="J82" s="1">
        <v>231.4</v>
      </c>
      <c r="K82" s="18">
        <f t="shared" si="1"/>
        <v>0.2478955007</v>
      </c>
      <c r="L82" s="18">
        <f t="shared" si="2"/>
        <v>50.61048951</v>
      </c>
      <c r="M82" s="118"/>
      <c r="N82" s="118"/>
      <c r="O82" s="11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B83" s="1" t="s">
        <v>48</v>
      </c>
      <c r="C83" s="1">
        <v>59.3</v>
      </c>
      <c r="D83" s="1">
        <v>916.0</v>
      </c>
      <c r="E83" s="1">
        <v>7.0</v>
      </c>
      <c r="F83" s="1">
        <v>0.0</v>
      </c>
      <c r="G83" s="1">
        <v>0.0</v>
      </c>
      <c r="H83" s="1">
        <v>0.0</v>
      </c>
      <c r="I83" s="1">
        <v>0.6</v>
      </c>
      <c r="J83" s="1">
        <v>193.4</v>
      </c>
      <c r="K83" s="18">
        <f t="shared" si="1"/>
        <v>0</v>
      </c>
      <c r="L83" s="18">
        <f t="shared" si="2"/>
        <v>45.05268065</v>
      </c>
      <c r="M83" s="118"/>
      <c r="N83" s="118"/>
      <c r="O83" s="11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" t="s">
        <v>638</v>
      </c>
      <c r="B84" s="1" t="s">
        <v>140</v>
      </c>
      <c r="C84" s="1">
        <v>67.4</v>
      </c>
      <c r="D84" s="1">
        <v>948.7</v>
      </c>
      <c r="E84" s="1">
        <v>7.0</v>
      </c>
      <c r="F84" s="1">
        <v>0.0</v>
      </c>
      <c r="G84" s="1">
        <v>0.0</v>
      </c>
      <c r="H84" s="1">
        <v>0.0</v>
      </c>
      <c r="I84" s="1">
        <v>0.2</v>
      </c>
      <c r="J84" s="1">
        <v>203.6</v>
      </c>
      <c r="K84" s="18">
        <f t="shared" si="1"/>
        <v>0</v>
      </c>
      <c r="L84" s="18">
        <f t="shared" si="2"/>
        <v>46.66100233</v>
      </c>
      <c r="M84" s="112">
        <f>C86*Scoring!$B$34+D86/Scoring!$C$34+E86*Scoring!$D$34+WR!F86*Scoring!$E$34+WR!G86/Scoring!$F$34+WR!H86*Scoring!$G$34+WR!I86*Scoring!$H$34+K86*Scoring!$I$34+WR!L86*Scoring!$J$34+U84</f>
        <v>153.47</v>
      </c>
      <c r="N84" s="112">
        <f>C84*Scoring!$B$34+D84/Scoring!$C$34+E84*Scoring!$D$34+WR!F84*Scoring!$E$34+WR!G84/Scoring!$F$34+WR!H84*Scoring!$G$34+WR!I84*Scoring!$H$34+K84*Scoring!$I$34+WR!L84*Scoring!$J$34+U84</f>
        <v>170.17</v>
      </c>
      <c r="O84" s="112">
        <f>C85*Scoring!$B$34+D85/Scoring!$C$34+E85*Scoring!$D$34+WR!F85*Scoring!$E$34+WR!G85/Scoring!$F$34+WR!H85*Scoring!$G$34+WR!I85*Scoring!$H$34+K85*Scoring!$I$34+WR!L85*Scoring!$J$34+U84</f>
        <v>184.8</v>
      </c>
      <c r="P84" s="8">
        <f>IF(COUNTIF(Rookies!$A:$A,A84)&gt;0,1,0)</f>
        <v>0</v>
      </c>
      <c r="Q84" s="8"/>
      <c r="R84" s="8"/>
      <c r="S84" s="8">
        <f>V84/17</f>
        <v>10.01</v>
      </c>
      <c r="T84" s="8">
        <f>IF(P84=1,MAX(0,0.28*(12-S84)),0)</f>
        <v>0</v>
      </c>
      <c r="U84" s="8">
        <f>T84*17</f>
        <v>0</v>
      </c>
      <c r="V84" s="8">
        <f>C84*Scoring!$B$34+D84/Scoring!$C$34+E84*Scoring!$D$34+WR!F84*Scoring!$E$34+WR!G84/Scoring!$F$34+WR!H84*Scoring!$G$34+WR!I84*Scoring!$H$34+K84*Scoring!$I$34+WR!L84*Scoring!$J$34</f>
        <v>170.17</v>
      </c>
      <c r="W84" s="8"/>
      <c r="X84" s="8"/>
      <c r="Y84" s="8"/>
      <c r="Z84" s="8"/>
    </row>
    <row r="85" ht="14.25" customHeight="1">
      <c r="B85" s="1" t="s">
        <v>39</v>
      </c>
      <c r="C85" s="1">
        <v>76.0</v>
      </c>
      <c r="D85" s="1">
        <v>988.0</v>
      </c>
      <c r="E85" s="1">
        <v>8.0</v>
      </c>
      <c r="F85" s="1">
        <v>0.0</v>
      </c>
      <c r="G85" s="1">
        <v>0.0</v>
      </c>
      <c r="H85" s="1">
        <v>0.0</v>
      </c>
      <c r="I85" s="1">
        <v>0.0</v>
      </c>
      <c r="J85" s="1">
        <v>239.4</v>
      </c>
      <c r="K85" s="18">
        <f t="shared" si="1"/>
        <v>0</v>
      </c>
      <c r="L85" s="18">
        <f t="shared" si="2"/>
        <v>48.59393939</v>
      </c>
      <c r="M85" s="118"/>
      <c r="N85" s="118"/>
      <c r="O85" s="11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B86" s="1" t="s">
        <v>48</v>
      </c>
      <c r="C86" s="1">
        <v>57.1</v>
      </c>
      <c r="D86" s="1">
        <v>903.2</v>
      </c>
      <c r="E86" s="1">
        <v>5.9</v>
      </c>
      <c r="F86" s="1">
        <v>0.0</v>
      </c>
      <c r="G86" s="1">
        <v>0.0</v>
      </c>
      <c r="H86" s="1">
        <v>0.0</v>
      </c>
      <c r="I86" s="1">
        <v>0.4</v>
      </c>
      <c r="J86" s="1">
        <v>192.8</v>
      </c>
      <c r="K86" s="18">
        <f t="shared" si="1"/>
        <v>0</v>
      </c>
      <c r="L86" s="18">
        <f t="shared" si="2"/>
        <v>44.42312354</v>
      </c>
      <c r="M86" s="118"/>
      <c r="N86" s="118"/>
      <c r="O86" s="11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" t="s">
        <v>641</v>
      </c>
      <c r="B87" s="1" t="s">
        <v>217</v>
      </c>
      <c r="C87" s="1">
        <v>67.3</v>
      </c>
      <c r="D87" s="1">
        <v>961.4</v>
      </c>
      <c r="E87" s="1">
        <v>6.0</v>
      </c>
      <c r="F87" s="1">
        <v>0.0</v>
      </c>
      <c r="G87" s="1">
        <v>0.0</v>
      </c>
      <c r="H87" s="1">
        <v>0.0</v>
      </c>
      <c r="I87" s="1">
        <v>0.3</v>
      </c>
      <c r="J87" s="1">
        <v>198.9</v>
      </c>
      <c r="K87" s="18">
        <f t="shared" si="1"/>
        <v>0</v>
      </c>
      <c r="L87" s="18">
        <f t="shared" si="2"/>
        <v>47.28564103</v>
      </c>
      <c r="M87" s="112">
        <f>C89*Scoring!$B$34+D89/Scoring!$C$34+E89*Scoring!$D$34+WR!F89*Scoring!$E$34+WR!G89/Scoring!$F$34+WR!H89*Scoring!$G$34+WR!I89*Scoring!$H$34+K89*Scoring!$I$34+WR!L89*Scoring!$J$34+U87</f>
        <v>154.1</v>
      </c>
      <c r="N87" s="112">
        <f>C87*Scoring!$B$34+D87/Scoring!$C$34+E87*Scoring!$D$34+WR!F87*Scoring!$E$34+WR!G87/Scoring!$F$34+WR!H87*Scoring!$G$34+WR!I87*Scoring!$H$34+K87*Scoring!$I$34+WR!L87*Scoring!$J$34+U87</f>
        <v>165.19</v>
      </c>
      <c r="O87" s="112">
        <f>C88*Scoring!$B$34+D88/Scoring!$C$34+E88*Scoring!$D$34+WR!F88*Scoring!$E$34+WR!G88/Scoring!$F$34+WR!H88*Scoring!$G$34+WR!I88*Scoring!$H$34+K88*Scoring!$I$34+WR!L88*Scoring!$J$34+U87</f>
        <v>176.2</v>
      </c>
      <c r="P87" s="8">
        <f>IF(COUNTIF(Rookies!$A:$A,A87)&gt;0,1,0)</f>
        <v>0</v>
      </c>
      <c r="Q87" s="8"/>
      <c r="R87" s="8"/>
      <c r="S87" s="8">
        <f>V87/17</f>
        <v>9.717058824</v>
      </c>
      <c r="T87" s="8">
        <f>IF(P87=1,MAX(0,0.28*(12-S87)),0)</f>
        <v>0</v>
      </c>
      <c r="U87" s="8">
        <f>T87*17</f>
        <v>0</v>
      </c>
      <c r="V87" s="8">
        <f>C87*Scoring!$B$34+D87/Scoring!$C$34+E87*Scoring!$D$34+WR!F87*Scoring!$E$34+WR!G87/Scoring!$F$34+WR!H87*Scoring!$G$34+WR!I87*Scoring!$H$34+K87*Scoring!$I$34+WR!L87*Scoring!$J$34</f>
        <v>165.19</v>
      </c>
      <c r="W87" s="8"/>
      <c r="X87" s="8"/>
      <c r="Y87" s="8"/>
      <c r="Z87" s="8"/>
    </row>
    <row r="88" ht="14.25" customHeight="1">
      <c r="B88" s="1" t="s">
        <v>39</v>
      </c>
      <c r="C88" s="1">
        <v>69.0</v>
      </c>
      <c r="D88" s="1">
        <v>997.0</v>
      </c>
      <c r="E88" s="1">
        <v>7.0</v>
      </c>
      <c r="F88" s="1">
        <v>0.0</v>
      </c>
      <c r="G88" s="1">
        <v>0.0</v>
      </c>
      <c r="H88" s="1">
        <v>0.0</v>
      </c>
      <c r="I88" s="1">
        <v>0.0</v>
      </c>
      <c r="J88" s="1">
        <v>228.6</v>
      </c>
      <c r="K88" s="18">
        <f t="shared" si="1"/>
        <v>0</v>
      </c>
      <c r="L88" s="18">
        <f t="shared" si="2"/>
        <v>49.03659674</v>
      </c>
      <c r="M88" s="118"/>
      <c r="N88" s="118"/>
      <c r="O88" s="11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B89" s="1" t="s">
        <v>48</v>
      </c>
      <c r="C89" s="1">
        <v>64.0</v>
      </c>
      <c r="D89" s="1">
        <v>933.0</v>
      </c>
      <c r="E89" s="1">
        <v>5.0</v>
      </c>
      <c r="F89" s="1">
        <v>0.0</v>
      </c>
      <c r="G89" s="1">
        <v>0.0</v>
      </c>
      <c r="H89" s="1">
        <v>0.0</v>
      </c>
      <c r="I89" s="1">
        <v>0.6</v>
      </c>
      <c r="J89" s="1">
        <v>192.3</v>
      </c>
      <c r="K89" s="18">
        <f t="shared" si="1"/>
        <v>0</v>
      </c>
      <c r="L89" s="18">
        <f t="shared" si="2"/>
        <v>45.88881119</v>
      </c>
      <c r="M89" s="118"/>
      <c r="N89" s="118"/>
      <c r="O89" s="11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1" t="s">
        <v>644</v>
      </c>
      <c r="B90" s="1" t="s">
        <v>170</v>
      </c>
      <c r="C90" s="1">
        <v>67.4</v>
      </c>
      <c r="D90" s="1">
        <v>884.3</v>
      </c>
      <c r="E90" s="1">
        <v>7.2</v>
      </c>
      <c r="F90" s="1">
        <v>0.0</v>
      </c>
      <c r="G90" s="1">
        <v>0.0</v>
      </c>
      <c r="H90" s="1">
        <v>0.0</v>
      </c>
      <c r="I90" s="1">
        <v>0.2</v>
      </c>
      <c r="J90" s="1">
        <v>198.6</v>
      </c>
      <c r="K90" s="18">
        <f t="shared" si="1"/>
        <v>0</v>
      </c>
      <c r="L90" s="18">
        <f t="shared" si="2"/>
        <v>43.49354312</v>
      </c>
      <c r="M90" s="112">
        <f>C92*Scoring!$B$34+D92/Scoring!$C$34+E92*Scoring!$D$34+WR!F92*Scoring!$E$34+WR!G92/Scoring!$F$34+WR!H92*Scoring!$G$34+WR!I92*Scoring!$H$34+K92*Scoring!$I$34+WR!L92*Scoring!$J$34+U90</f>
        <v>157.3</v>
      </c>
      <c r="N90" s="112">
        <f>C90*Scoring!$B$34+D90/Scoring!$C$34+E90*Scoring!$D$34+WR!F90*Scoring!$E$34+WR!G90/Scoring!$F$34+WR!H90*Scoring!$G$34+WR!I90*Scoring!$H$34+K90*Scoring!$I$34+WR!L90*Scoring!$J$34+U90</f>
        <v>164.93</v>
      </c>
      <c r="O90" s="112">
        <f>C91*Scoring!$B$34+D91/Scoring!$C$34+E91*Scoring!$D$34+WR!F91*Scoring!$E$34+WR!G91/Scoring!$F$34+WR!H91*Scoring!$G$34+WR!I91*Scoring!$H$34+K91*Scoring!$I$34+WR!L91*Scoring!$J$34+U90</f>
        <v>171.6</v>
      </c>
      <c r="P90" s="8">
        <f>IF(COUNTIF(Rookies!$A:$A,A90)&gt;0,1,0)</f>
        <v>0</v>
      </c>
      <c r="Q90" s="8"/>
      <c r="R90" s="8"/>
      <c r="S90" s="8">
        <f>V90/17</f>
        <v>9.701764706</v>
      </c>
      <c r="T90" s="8">
        <f>IF(P90=1,MAX(0,0.28*(12-S90)),0)</f>
        <v>0</v>
      </c>
      <c r="U90" s="8">
        <f>T90*17</f>
        <v>0</v>
      </c>
      <c r="V90" s="8">
        <f>C90*Scoring!$B$34+D90/Scoring!$C$34+E90*Scoring!$D$34+WR!F90*Scoring!$E$34+WR!G90/Scoring!$F$34+WR!H90*Scoring!$G$34+WR!I90*Scoring!$H$34+K90*Scoring!$I$34+WR!L90*Scoring!$J$34</f>
        <v>164.93</v>
      </c>
      <c r="W90" s="8"/>
      <c r="X90" s="8"/>
      <c r="Y90" s="8"/>
      <c r="Z90" s="8"/>
    </row>
    <row r="91" ht="14.25" customHeight="1">
      <c r="B91" s="1" t="s">
        <v>39</v>
      </c>
      <c r="C91" s="1">
        <v>70.0</v>
      </c>
      <c r="D91" s="1">
        <v>910.0</v>
      </c>
      <c r="E91" s="1">
        <v>7.6</v>
      </c>
      <c r="F91" s="1">
        <v>0.0</v>
      </c>
      <c r="G91" s="1">
        <v>0.0</v>
      </c>
      <c r="H91" s="1">
        <v>0.0</v>
      </c>
      <c r="I91" s="1">
        <v>0.0</v>
      </c>
      <c r="J91" s="1">
        <v>225.7</v>
      </c>
      <c r="K91" s="18">
        <f t="shared" si="1"/>
        <v>0</v>
      </c>
      <c r="L91" s="18">
        <f t="shared" si="2"/>
        <v>44.75757576</v>
      </c>
      <c r="M91" s="118"/>
      <c r="N91" s="118"/>
      <c r="O91" s="11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B92" s="1" t="s">
        <v>48</v>
      </c>
      <c r="C92" s="1">
        <v>63.0</v>
      </c>
      <c r="D92" s="1">
        <v>848.0</v>
      </c>
      <c r="E92" s="1">
        <v>7.0</v>
      </c>
      <c r="F92" s="1">
        <v>0.0</v>
      </c>
      <c r="G92" s="1">
        <v>0.0</v>
      </c>
      <c r="H92" s="1">
        <v>0.0</v>
      </c>
      <c r="I92" s="1">
        <v>0.5</v>
      </c>
      <c r="J92" s="1">
        <v>192.4</v>
      </c>
      <c r="K92" s="18">
        <f t="shared" si="1"/>
        <v>0</v>
      </c>
      <c r="L92" s="18">
        <f t="shared" si="2"/>
        <v>41.70815851</v>
      </c>
      <c r="M92" s="118"/>
      <c r="N92" s="118"/>
      <c r="O92" s="11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" t="s">
        <v>648</v>
      </c>
      <c r="B93" s="1" t="s">
        <v>199</v>
      </c>
      <c r="C93" s="1">
        <v>57.9</v>
      </c>
      <c r="D93" s="1">
        <v>930.0</v>
      </c>
      <c r="E93" s="1">
        <v>7.3</v>
      </c>
      <c r="F93" s="1">
        <v>1.7</v>
      </c>
      <c r="G93" s="1">
        <v>8.0</v>
      </c>
      <c r="H93" s="1">
        <v>0.0</v>
      </c>
      <c r="I93" s="1">
        <v>0.3</v>
      </c>
      <c r="J93" s="1">
        <v>195.5</v>
      </c>
      <c r="K93" s="18">
        <f t="shared" si="1"/>
        <v>0.4957910015</v>
      </c>
      <c r="L93" s="18">
        <f t="shared" si="2"/>
        <v>45.74125874</v>
      </c>
      <c r="M93" s="112">
        <f>C95*Scoring!$B$34+D95/Scoring!$C$34+E95*Scoring!$D$34+WR!F95*Scoring!$E$34+WR!G95/Scoring!$F$34+WR!H95*Scoring!$G$34+WR!I95*Scoring!$H$34+K95*Scoring!$I$34+WR!L95*Scoring!$J$34+U93</f>
        <v>154.61</v>
      </c>
      <c r="N93" s="112">
        <f>C93*Scoring!$B$34+D93/Scoring!$C$34+E93*Scoring!$D$34+WR!F93*Scoring!$E$34+WR!G93/Scoring!$F$34+WR!H93*Scoring!$G$34+WR!I93*Scoring!$H$34+K93*Scoring!$I$34+WR!L93*Scoring!$J$34+U93</f>
        <v>165.95</v>
      </c>
      <c r="O93" s="112">
        <f>C94*Scoring!$B$34+D94/Scoring!$C$34+E94*Scoring!$D$34+WR!F94*Scoring!$E$34+WR!G94/Scoring!$F$34+WR!H94*Scoring!$G$34+WR!I94*Scoring!$H$34+K94*Scoring!$I$34+WR!L94*Scoring!$J$34+U93</f>
        <v>180.61</v>
      </c>
      <c r="P93" s="8">
        <f>IF(COUNTIF(Rookies!$A:$A,A93)&gt;0,1,0)</f>
        <v>0</v>
      </c>
      <c r="Q93" s="8"/>
      <c r="R93" s="8"/>
      <c r="S93" s="8">
        <f>V93/17</f>
        <v>9.761764706</v>
      </c>
      <c r="T93" s="8">
        <f>IF(P93=1,MAX(0,0.28*(12-S93)),0)</f>
        <v>0</v>
      </c>
      <c r="U93" s="8">
        <f>T93*17</f>
        <v>0</v>
      </c>
      <c r="V93" s="8">
        <f>C93*Scoring!$B$34+D93/Scoring!$C$34+E93*Scoring!$D$34+WR!F93*Scoring!$E$34+WR!G93/Scoring!$F$34+WR!H93*Scoring!$G$34+WR!I93*Scoring!$H$34+K93*Scoring!$I$34+WR!L93*Scoring!$J$34</f>
        <v>165.95</v>
      </c>
      <c r="W93" s="8"/>
      <c r="X93" s="8"/>
      <c r="Y93" s="8"/>
      <c r="Z93" s="8"/>
    </row>
    <row r="94" ht="14.25" customHeight="1">
      <c r="B94" s="1" t="s">
        <v>39</v>
      </c>
      <c r="C94" s="1">
        <v>65.0</v>
      </c>
      <c r="D94" s="1">
        <v>982.0</v>
      </c>
      <c r="E94" s="1">
        <v>8.0</v>
      </c>
      <c r="F94" s="1">
        <v>3.0</v>
      </c>
      <c r="G94" s="1">
        <v>13.1</v>
      </c>
      <c r="H94" s="1">
        <v>0.1</v>
      </c>
      <c r="I94" s="1">
        <v>0.0</v>
      </c>
      <c r="J94" s="1">
        <v>230.6</v>
      </c>
      <c r="K94" s="18">
        <f t="shared" si="1"/>
        <v>0.8118577649</v>
      </c>
      <c r="L94" s="18">
        <f t="shared" si="2"/>
        <v>48.2988345</v>
      </c>
      <c r="M94" s="118"/>
      <c r="N94" s="118"/>
      <c r="O94" s="11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B95" s="1" t="s">
        <v>48</v>
      </c>
      <c r="C95" s="1">
        <v>54.0</v>
      </c>
      <c r="D95" s="1">
        <v>866.1</v>
      </c>
      <c r="E95" s="1">
        <v>7.0</v>
      </c>
      <c r="F95" s="1">
        <v>0.0</v>
      </c>
      <c r="G95" s="1">
        <v>0.0</v>
      </c>
      <c r="H95" s="1">
        <v>0.0</v>
      </c>
      <c r="I95" s="1">
        <v>0.5</v>
      </c>
      <c r="J95" s="1">
        <v>188.2</v>
      </c>
      <c r="K95" s="18">
        <f t="shared" si="1"/>
        <v>0</v>
      </c>
      <c r="L95" s="18">
        <f t="shared" si="2"/>
        <v>42.59839161</v>
      </c>
      <c r="M95" s="118"/>
      <c r="N95" s="118"/>
      <c r="O95" s="11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" t="s">
        <v>651</v>
      </c>
      <c r="B96" s="1" t="s">
        <v>220</v>
      </c>
      <c r="C96" s="1">
        <v>64.3</v>
      </c>
      <c r="D96" s="1">
        <v>927.2</v>
      </c>
      <c r="E96" s="1">
        <v>6.1</v>
      </c>
      <c r="F96" s="1">
        <v>0.7</v>
      </c>
      <c r="G96" s="1">
        <v>3.3</v>
      </c>
      <c r="H96" s="1">
        <v>0.3</v>
      </c>
      <c r="I96" s="1">
        <v>0.2</v>
      </c>
      <c r="J96" s="1">
        <v>195.2</v>
      </c>
      <c r="K96" s="18">
        <f t="shared" si="1"/>
        <v>0.2045137881</v>
      </c>
      <c r="L96" s="18">
        <f t="shared" si="2"/>
        <v>45.60354312</v>
      </c>
      <c r="M96" s="112">
        <f>C98*Scoring!$B$34+D98/Scoring!$C$34+E98*Scoring!$D$34+WR!F98*Scoring!$E$34+WR!G98/Scoring!$F$34+WR!H98*Scoring!$G$34+WR!I98*Scoring!$H$34+K98*Scoring!$I$34+WR!L98*Scoring!$J$34+U96</f>
        <v>154.8</v>
      </c>
      <c r="N96" s="112">
        <f>C96*Scoring!$B$34+D96/Scoring!$C$34+E96*Scoring!$D$34+WR!F96*Scoring!$E$34+WR!G96/Scoring!$F$34+WR!H96*Scoring!$G$34+WR!I96*Scoring!$H$34+K96*Scoring!$I$34+WR!L96*Scoring!$J$34+U96</f>
        <v>163.2</v>
      </c>
      <c r="O96" s="112">
        <f>C97*Scoring!$B$34+D97/Scoring!$C$34+E97*Scoring!$D$34+WR!F97*Scoring!$E$34+WR!G97/Scoring!$F$34+WR!H97*Scoring!$G$34+WR!I97*Scoring!$H$34+K97*Scoring!$I$34+WR!L97*Scoring!$J$34+U96</f>
        <v>172.15</v>
      </c>
      <c r="P96" s="8">
        <f>IF(COUNTIF(Rookies!$A:$A,A96)&gt;0,1,0)</f>
        <v>0</v>
      </c>
      <c r="Q96" s="8"/>
      <c r="R96" s="8"/>
      <c r="S96" s="8">
        <f>V96/17</f>
        <v>9.6</v>
      </c>
      <c r="T96" s="8">
        <f>IF(P96=1,MAX(0,0.28*(12-S96)),0)</f>
        <v>0</v>
      </c>
      <c r="U96" s="8">
        <f>T96*17</f>
        <v>0</v>
      </c>
      <c r="V96" s="8">
        <f>C96*Scoring!$B$34+D96/Scoring!$C$34+E96*Scoring!$D$34+WR!F96*Scoring!$E$34+WR!G96/Scoring!$F$34+WR!H96*Scoring!$G$34+WR!I96*Scoring!$H$34+K96*Scoring!$I$34+WR!L96*Scoring!$J$34</f>
        <v>163.2</v>
      </c>
      <c r="W96" s="8"/>
      <c r="X96" s="8"/>
      <c r="Y96" s="8"/>
      <c r="Z96" s="8"/>
    </row>
    <row r="97" ht="14.25" customHeight="1">
      <c r="B97" s="1" t="s">
        <v>39</v>
      </c>
      <c r="C97" s="1">
        <v>67.0</v>
      </c>
      <c r="D97" s="1">
        <v>944.5</v>
      </c>
      <c r="E97" s="1">
        <v>6.2</v>
      </c>
      <c r="F97" s="1">
        <v>2.0</v>
      </c>
      <c r="G97" s="1">
        <v>10.0</v>
      </c>
      <c r="H97" s="1">
        <v>1.0</v>
      </c>
      <c r="I97" s="1">
        <v>0.0</v>
      </c>
      <c r="J97" s="1">
        <v>228.2</v>
      </c>
      <c r="K97" s="18">
        <f t="shared" si="1"/>
        <v>0.6197387518</v>
      </c>
      <c r="L97" s="18">
        <f t="shared" si="2"/>
        <v>46.4544289</v>
      </c>
      <c r="M97" s="118"/>
      <c r="N97" s="118"/>
      <c r="O97" s="11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B98" s="1" t="s">
        <v>48</v>
      </c>
      <c r="C98" s="1">
        <v>61.0</v>
      </c>
      <c r="D98" s="1">
        <v>893.0</v>
      </c>
      <c r="E98" s="1">
        <v>6.0</v>
      </c>
      <c r="F98" s="1">
        <v>0.0</v>
      </c>
      <c r="G98" s="1">
        <v>0.0</v>
      </c>
      <c r="H98" s="1">
        <v>0.0</v>
      </c>
      <c r="I98" s="1">
        <v>0.5</v>
      </c>
      <c r="J98" s="1">
        <v>187.3</v>
      </c>
      <c r="K98" s="18">
        <f t="shared" si="1"/>
        <v>0</v>
      </c>
      <c r="L98" s="18">
        <f t="shared" si="2"/>
        <v>43.92144522</v>
      </c>
      <c r="M98" s="118"/>
      <c r="N98" s="118"/>
      <c r="O98" s="11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" t="s">
        <v>654</v>
      </c>
      <c r="B99" s="1" t="s">
        <v>193</v>
      </c>
      <c r="C99" s="1">
        <v>56.5</v>
      </c>
      <c r="D99" s="1">
        <v>977.3</v>
      </c>
      <c r="E99" s="1">
        <v>6.4</v>
      </c>
      <c r="F99" s="1">
        <v>0.0</v>
      </c>
      <c r="G99" s="1">
        <v>0.0</v>
      </c>
      <c r="H99" s="1">
        <v>0.0</v>
      </c>
      <c r="I99" s="1">
        <v>0.3</v>
      </c>
      <c r="J99" s="1">
        <v>192.3</v>
      </c>
      <c r="K99" s="18">
        <f t="shared" si="1"/>
        <v>0</v>
      </c>
      <c r="L99" s="18">
        <f t="shared" si="2"/>
        <v>48.067669</v>
      </c>
      <c r="M99" s="112">
        <f>C101*Scoring!$B$34+D101/Scoring!$C$34+E101*Scoring!$D$34+WR!F101*Scoring!$E$34+WR!G101/Scoring!$F$34+WR!H101*Scoring!$G$34+WR!I101*Scoring!$H$34+K101*Scoring!$I$34+WR!L101*Scoring!$J$34+U99</f>
        <v>145.2</v>
      </c>
      <c r="N99" s="112">
        <f>C99*Scoring!$B$34+D99/Scoring!$C$34+E99*Scoring!$D$34+WR!F99*Scoring!$E$34+WR!G99/Scoring!$F$34+WR!H99*Scoring!$G$34+WR!I99*Scoring!$H$34+K99*Scoring!$I$34+WR!L99*Scoring!$J$34+U99</f>
        <v>163.78</v>
      </c>
      <c r="O99" s="112">
        <f>C100*Scoring!$B$34+D100/Scoring!$C$34+E100*Scoring!$D$34+WR!F100*Scoring!$E$34+WR!G100/Scoring!$F$34+WR!H100*Scoring!$G$34+WR!I100*Scoring!$H$34+K100*Scoring!$I$34+WR!L100*Scoring!$J$34+U99</f>
        <v>191</v>
      </c>
      <c r="P99" s="8">
        <f>IF(COUNTIF(Rookies!$A:$A,A99)&gt;0,1,0)</f>
        <v>0</v>
      </c>
      <c r="Q99" s="8"/>
      <c r="R99" s="8"/>
      <c r="S99" s="8">
        <f>V99/17</f>
        <v>9.634117647</v>
      </c>
      <c r="T99" s="8">
        <f>IF(P99=1,MAX(0,0.28*(12-S99)),0)</f>
        <v>0</v>
      </c>
      <c r="U99" s="8">
        <f>T99*17</f>
        <v>0</v>
      </c>
      <c r="V99" s="8">
        <f>C99*Scoring!$B$34+D99/Scoring!$C$34+E99*Scoring!$D$34+WR!F99*Scoring!$E$34+WR!G99/Scoring!$F$34+WR!H99*Scoring!$G$34+WR!I99*Scoring!$H$34+K99*Scoring!$I$34+WR!L99*Scoring!$J$34</f>
        <v>163.78</v>
      </c>
      <c r="W99" s="8"/>
      <c r="X99" s="8"/>
      <c r="Y99" s="8"/>
      <c r="Z99" s="8"/>
    </row>
    <row r="100" ht="14.25" customHeight="1">
      <c r="B100" s="1" t="s">
        <v>39</v>
      </c>
      <c r="C100" s="1">
        <v>60.6</v>
      </c>
      <c r="D100" s="1">
        <v>1067.0</v>
      </c>
      <c r="E100" s="1">
        <v>9.0</v>
      </c>
      <c r="F100" s="1">
        <v>0.0</v>
      </c>
      <c r="G100" s="1">
        <v>0.0</v>
      </c>
      <c r="H100" s="1">
        <v>0.0</v>
      </c>
      <c r="I100" s="1">
        <v>0.0</v>
      </c>
      <c r="J100" s="1">
        <v>208.5</v>
      </c>
      <c r="K100" s="18">
        <f t="shared" si="1"/>
        <v>0</v>
      </c>
      <c r="L100" s="18">
        <f t="shared" si="2"/>
        <v>52.47948718</v>
      </c>
      <c r="M100" s="118"/>
      <c r="N100" s="118"/>
      <c r="O100" s="11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B101" s="1" t="s">
        <v>48</v>
      </c>
      <c r="C101" s="1">
        <v>49.0</v>
      </c>
      <c r="D101" s="1">
        <v>917.0</v>
      </c>
      <c r="E101" s="1">
        <v>5.0</v>
      </c>
      <c r="F101" s="1">
        <v>0.0</v>
      </c>
      <c r="G101" s="1">
        <v>0.0</v>
      </c>
      <c r="H101" s="1">
        <v>0.0</v>
      </c>
      <c r="I101" s="1">
        <v>0.5</v>
      </c>
      <c r="J101" s="1">
        <v>182.7</v>
      </c>
      <c r="K101" s="18">
        <f t="shared" si="1"/>
        <v>0</v>
      </c>
      <c r="L101" s="18">
        <f t="shared" si="2"/>
        <v>45.1018648</v>
      </c>
      <c r="M101" s="118"/>
      <c r="N101" s="118"/>
      <c r="O101" s="11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1" t="s">
        <v>656</v>
      </c>
      <c r="B102" s="1" t="s">
        <v>220</v>
      </c>
      <c r="C102" s="1">
        <v>80.5</v>
      </c>
      <c r="D102" s="1">
        <v>806.1</v>
      </c>
      <c r="E102" s="1">
        <v>5.0</v>
      </c>
      <c r="F102" s="1">
        <v>0.0</v>
      </c>
      <c r="G102" s="1">
        <v>0.0</v>
      </c>
      <c r="H102" s="1">
        <v>0.0</v>
      </c>
      <c r="I102" s="1">
        <v>0.3</v>
      </c>
      <c r="J102" s="1">
        <v>190.3</v>
      </c>
      <c r="K102" s="18">
        <f t="shared" si="1"/>
        <v>0</v>
      </c>
      <c r="L102" s="18">
        <f t="shared" si="2"/>
        <v>39.64734266</v>
      </c>
      <c r="M102" s="112">
        <f>C104*Scoring!$B$34+D104/Scoring!$C$34+E104*Scoring!$D$34+WR!F104*Scoring!$E$34+WR!G104/Scoring!$F$34+WR!H104*Scoring!$G$34+WR!I104*Scoring!$H$34+K104*Scoring!$I$34+WR!L104*Scoring!$J$34+U102</f>
        <v>127.8</v>
      </c>
      <c r="N102" s="112">
        <f>C102*Scoring!$B$34+D102/Scoring!$C$34+E102*Scoring!$D$34+WR!F102*Scoring!$E$34+WR!G102/Scoring!$F$34+WR!H102*Scoring!$G$34+WR!I102*Scoring!$H$34+K102*Scoring!$I$34+WR!L102*Scoring!$J$34+U102</f>
        <v>150.26</v>
      </c>
      <c r="O102" s="112">
        <f>C103*Scoring!$B$34+D103/Scoring!$C$34+E103*Scoring!$D$34+WR!F103*Scoring!$E$34+WR!G103/Scoring!$F$34+WR!H103*Scoring!$G$34+WR!I103*Scoring!$H$34+K103*Scoring!$I$34+WR!L103*Scoring!$J$34+U102</f>
        <v>167.9</v>
      </c>
      <c r="P102" s="8">
        <f>IF(COUNTIF(Rookies!$A:$A,A102)&gt;0,1,0)</f>
        <v>0</v>
      </c>
      <c r="Q102" s="8"/>
      <c r="R102" s="8"/>
      <c r="S102" s="8">
        <f>V102/17</f>
        <v>8.838823529</v>
      </c>
      <c r="T102" s="8">
        <f>IF(P102=1,MAX(0,0.28*(12-S102)),0)</f>
        <v>0</v>
      </c>
      <c r="U102" s="8">
        <f>T102*17</f>
        <v>0</v>
      </c>
      <c r="V102" s="8">
        <f>C102*Scoring!$B$34+D102/Scoring!$C$34+E102*Scoring!$D$34+WR!F102*Scoring!$E$34+WR!G102/Scoring!$F$34+WR!H102*Scoring!$G$34+WR!I102*Scoring!$H$34+K102*Scoring!$I$34+WR!L102*Scoring!$J$34</f>
        <v>150.26</v>
      </c>
      <c r="W102" s="8"/>
      <c r="X102" s="8"/>
      <c r="Y102" s="8"/>
      <c r="Z102" s="8"/>
    </row>
    <row r="103" ht="14.25" customHeight="1">
      <c r="B103" s="1" t="s">
        <v>39</v>
      </c>
      <c r="C103" s="1">
        <v>88.4</v>
      </c>
      <c r="D103" s="1">
        <v>877.0</v>
      </c>
      <c r="E103" s="1">
        <v>6.0</v>
      </c>
      <c r="F103" s="1">
        <v>0.0</v>
      </c>
      <c r="G103" s="1">
        <v>0.0</v>
      </c>
      <c r="H103" s="1">
        <v>0.0</v>
      </c>
      <c r="I103" s="1">
        <v>0.0</v>
      </c>
      <c r="J103" s="1">
        <v>236.2</v>
      </c>
      <c r="K103" s="18">
        <f t="shared" si="1"/>
        <v>0</v>
      </c>
      <c r="L103" s="18">
        <f t="shared" si="2"/>
        <v>43.13449883</v>
      </c>
      <c r="M103" s="118"/>
      <c r="N103" s="118"/>
      <c r="O103" s="11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B104" s="1" t="s">
        <v>48</v>
      </c>
      <c r="C104" s="1">
        <v>76.0</v>
      </c>
      <c r="D104" s="1">
        <v>678.0</v>
      </c>
      <c r="E104" s="1">
        <v>3.9</v>
      </c>
      <c r="F104" s="1">
        <v>0.0</v>
      </c>
      <c r="G104" s="1">
        <v>0.0</v>
      </c>
      <c r="H104" s="1">
        <v>0.0</v>
      </c>
      <c r="I104" s="1">
        <v>0.7</v>
      </c>
      <c r="J104" s="1">
        <v>174.5</v>
      </c>
      <c r="K104" s="18">
        <f t="shared" si="1"/>
        <v>0</v>
      </c>
      <c r="L104" s="18">
        <f t="shared" si="2"/>
        <v>33.34685315</v>
      </c>
      <c r="M104" s="118"/>
      <c r="N104" s="118"/>
      <c r="O104" s="11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" t="s">
        <v>660</v>
      </c>
      <c r="B105" s="1" t="s">
        <v>145</v>
      </c>
      <c r="C105" s="1">
        <v>62.6</v>
      </c>
      <c r="D105" s="1">
        <v>863.2</v>
      </c>
      <c r="E105" s="1">
        <v>5.7</v>
      </c>
      <c r="F105" s="1">
        <v>5.0</v>
      </c>
      <c r="G105" s="1">
        <v>13.6</v>
      </c>
      <c r="H105" s="1">
        <v>0.1</v>
      </c>
      <c r="I105" s="1">
        <v>0.4</v>
      </c>
      <c r="J105" s="1">
        <v>184.4</v>
      </c>
      <c r="K105" s="18">
        <f t="shared" si="1"/>
        <v>0.8428447025</v>
      </c>
      <c r="L105" s="18">
        <f t="shared" si="2"/>
        <v>42.45575758</v>
      </c>
      <c r="M105" s="112">
        <f>C107*Scoring!$B$34+D107/Scoring!$C$34+E107*Scoring!$D$34+WR!F107*Scoring!$E$34+WR!G107/Scoring!$F$34+WR!H107*Scoring!$G$34+WR!I107*Scoring!$H$34+K107*Scoring!$I$34+WR!L107*Scoring!$J$34+U105</f>
        <v>140.8</v>
      </c>
      <c r="N105" s="112">
        <f>C105*Scoring!$B$34+D105/Scoring!$C$34+E105*Scoring!$D$34+WR!F105*Scoring!$E$34+WR!G105/Scoring!$F$34+WR!H105*Scoring!$G$34+WR!I105*Scoring!$H$34+K105*Scoring!$I$34+WR!L105*Scoring!$J$34+U105</f>
        <v>152.98</v>
      </c>
      <c r="O105" s="112">
        <f>C106*Scoring!$B$34+D106/Scoring!$C$34+E106*Scoring!$D$34+WR!F106*Scoring!$E$34+WR!G106/Scoring!$F$34+WR!H106*Scoring!$G$34+WR!I106*Scoring!$H$34+K106*Scoring!$I$34+WR!L106*Scoring!$J$34+U105</f>
        <v>172.09</v>
      </c>
      <c r="P105" s="8">
        <f>IF(COUNTIF(Rookies!$A:$A,A105)&gt;0,1,0)</f>
        <v>0</v>
      </c>
      <c r="Q105" s="8"/>
      <c r="R105" s="8"/>
      <c r="S105" s="8">
        <f>V105/17</f>
        <v>8.998823529</v>
      </c>
      <c r="T105" s="8">
        <f>IF(P105=1,MAX(0,0.28*(12-S105)),0)</f>
        <v>0</v>
      </c>
      <c r="U105" s="8">
        <f>T105*17</f>
        <v>0</v>
      </c>
      <c r="V105" s="8">
        <f>C105*Scoring!$B$34+D105/Scoring!$C$34+E105*Scoring!$D$34+WR!F105*Scoring!$E$34+WR!G105/Scoring!$F$34+WR!H105*Scoring!$G$34+WR!I105*Scoring!$H$34+K105*Scoring!$I$34+WR!L105*Scoring!$J$34</f>
        <v>152.98</v>
      </c>
      <c r="W105" s="8"/>
      <c r="X105" s="8"/>
      <c r="Y105" s="8"/>
      <c r="Z105" s="8"/>
    </row>
    <row r="106" ht="14.25" customHeight="1">
      <c r="B106" s="1" t="s">
        <v>39</v>
      </c>
      <c r="C106" s="1">
        <v>63.8</v>
      </c>
      <c r="D106" s="1">
        <v>925.0</v>
      </c>
      <c r="E106" s="1">
        <v>7.0</v>
      </c>
      <c r="F106" s="1">
        <v>8.0</v>
      </c>
      <c r="G106" s="1">
        <v>38.9</v>
      </c>
      <c r="H106" s="1">
        <v>0.3</v>
      </c>
      <c r="I106" s="1">
        <v>0.0</v>
      </c>
      <c r="J106" s="1">
        <v>205.0</v>
      </c>
      <c r="K106" s="18">
        <f t="shared" si="1"/>
        <v>2.410783745</v>
      </c>
      <c r="L106" s="18">
        <f t="shared" si="2"/>
        <v>45.495338</v>
      </c>
      <c r="M106" s="118"/>
      <c r="N106" s="118"/>
      <c r="O106" s="11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B107" s="1" t="s">
        <v>48</v>
      </c>
      <c r="C107" s="1">
        <v>62.0</v>
      </c>
      <c r="D107" s="1">
        <v>814.0</v>
      </c>
      <c r="E107" s="1">
        <v>5.0</v>
      </c>
      <c r="F107" s="1">
        <v>0.0</v>
      </c>
      <c r="G107" s="1">
        <v>0.0</v>
      </c>
      <c r="H107" s="1">
        <v>0.0</v>
      </c>
      <c r="I107" s="1">
        <v>0.8</v>
      </c>
      <c r="J107" s="1">
        <v>186.1</v>
      </c>
      <c r="K107" s="18">
        <f t="shared" si="1"/>
        <v>0</v>
      </c>
      <c r="L107" s="18">
        <f t="shared" si="2"/>
        <v>40.03589744</v>
      </c>
      <c r="M107" s="118"/>
      <c r="N107" s="118"/>
      <c r="O107" s="11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" t="s">
        <v>663</v>
      </c>
      <c r="B108" s="1" t="s">
        <v>145</v>
      </c>
      <c r="C108" s="1">
        <v>58.0</v>
      </c>
      <c r="D108" s="1">
        <v>871.6</v>
      </c>
      <c r="E108" s="1">
        <v>5.4</v>
      </c>
      <c r="F108" s="1">
        <v>2.7</v>
      </c>
      <c r="G108" s="1">
        <v>17.7</v>
      </c>
      <c r="H108" s="1">
        <v>0.4</v>
      </c>
      <c r="I108" s="1">
        <v>0.2</v>
      </c>
      <c r="J108" s="1">
        <v>181.1</v>
      </c>
      <c r="K108" s="18">
        <f t="shared" si="1"/>
        <v>1.096937591</v>
      </c>
      <c r="L108" s="18">
        <f t="shared" si="2"/>
        <v>42.86890443</v>
      </c>
      <c r="M108" s="112">
        <f>C110*Scoring!$B$34+D110/Scoring!$C$34+E110*Scoring!$D$34+WR!F110*Scoring!$E$34+WR!G110/Scoring!$F$34+WR!H110*Scoring!$G$34+WR!I110*Scoring!$H$34+K110*Scoring!$I$34+WR!L110*Scoring!$J$34+U108</f>
        <v>138.6</v>
      </c>
      <c r="N108" s="112">
        <f>C108*Scoring!$B$34+D108/Scoring!$C$34+E108*Scoring!$D$34+WR!F108*Scoring!$E$34+WR!G108/Scoring!$F$34+WR!H108*Scoring!$G$34+WR!I108*Scoring!$H$34+K108*Scoring!$I$34+WR!L108*Scoring!$J$34+U108</f>
        <v>152.33</v>
      </c>
      <c r="O108" s="112">
        <f>C109*Scoring!$B$34+D109/Scoring!$C$34+E109*Scoring!$D$34+WR!F109*Scoring!$E$34+WR!G109/Scoring!$F$34+WR!H109*Scoring!$G$34+WR!I109*Scoring!$H$34+K109*Scoring!$I$34+WR!L109*Scoring!$J$34+U108</f>
        <v>169.7</v>
      </c>
      <c r="P108" s="8">
        <f>IF(COUNTIF(Rookies!$A:$A,A108)&gt;0,1,0)</f>
        <v>0</v>
      </c>
      <c r="Q108" s="8"/>
      <c r="R108" s="8"/>
      <c r="S108" s="8">
        <f>V108/17</f>
        <v>8.960588235</v>
      </c>
      <c r="T108" s="8">
        <f>IF(P108=1,MAX(0,0.28*(12-S108)),0)</f>
        <v>0</v>
      </c>
      <c r="U108" s="8">
        <f>T108*17</f>
        <v>0</v>
      </c>
      <c r="V108" s="8">
        <f>C108*Scoring!$B$34+D108/Scoring!$C$34+E108*Scoring!$D$34+WR!F108*Scoring!$E$34+WR!G108/Scoring!$F$34+WR!H108*Scoring!$G$34+WR!I108*Scoring!$H$34+K108*Scoring!$I$34+WR!L108*Scoring!$J$34</f>
        <v>152.33</v>
      </c>
      <c r="W108" s="8"/>
      <c r="X108" s="8"/>
      <c r="Y108" s="8"/>
      <c r="Z108" s="8"/>
    </row>
    <row r="109" ht="14.25" customHeight="1">
      <c r="B109" s="1" t="s">
        <v>39</v>
      </c>
      <c r="C109" s="1">
        <v>61.0</v>
      </c>
      <c r="D109" s="1">
        <v>942.0</v>
      </c>
      <c r="E109" s="1">
        <v>6.0</v>
      </c>
      <c r="F109" s="1">
        <v>4.0</v>
      </c>
      <c r="G109" s="1">
        <v>30.0</v>
      </c>
      <c r="H109" s="1">
        <v>1.0</v>
      </c>
      <c r="I109" s="1">
        <v>0.0</v>
      </c>
      <c r="J109" s="1">
        <v>197.2</v>
      </c>
      <c r="K109" s="18">
        <f t="shared" si="1"/>
        <v>1.859216255</v>
      </c>
      <c r="L109" s="18">
        <f t="shared" si="2"/>
        <v>46.33146853</v>
      </c>
      <c r="M109" s="118"/>
      <c r="N109" s="118"/>
      <c r="O109" s="11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B110" s="1" t="s">
        <v>48</v>
      </c>
      <c r="C110" s="1">
        <v>56.0</v>
      </c>
      <c r="D110" s="1">
        <v>812.0</v>
      </c>
      <c r="E110" s="1">
        <v>5.0</v>
      </c>
      <c r="F110" s="1">
        <v>0.0</v>
      </c>
      <c r="G110" s="1">
        <v>0.0</v>
      </c>
      <c r="H110" s="1">
        <v>0.0</v>
      </c>
      <c r="I110" s="1">
        <v>0.3</v>
      </c>
      <c r="J110" s="1">
        <v>177.6</v>
      </c>
      <c r="K110" s="18">
        <f t="shared" si="1"/>
        <v>0</v>
      </c>
      <c r="L110" s="18">
        <f t="shared" si="2"/>
        <v>39.93752914</v>
      </c>
      <c r="M110" s="118"/>
      <c r="N110" s="118"/>
      <c r="O110" s="11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" t="s">
        <v>666</v>
      </c>
      <c r="B111" s="1" t="s">
        <v>214</v>
      </c>
      <c r="C111" s="1">
        <v>79.9</v>
      </c>
      <c r="D111" s="1">
        <v>805.6</v>
      </c>
      <c r="E111" s="1">
        <v>3.0</v>
      </c>
      <c r="F111" s="1">
        <v>2.0</v>
      </c>
      <c r="G111" s="1">
        <v>9.5</v>
      </c>
      <c r="H111" s="1">
        <v>0.1</v>
      </c>
      <c r="I111" s="1">
        <v>0.3</v>
      </c>
      <c r="J111" s="1">
        <v>179.1</v>
      </c>
      <c r="K111" s="18">
        <f t="shared" si="1"/>
        <v>0.5887518142</v>
      </c>
      <c r="L111" s="18">
        <f t="shared" si="2"/>
        <v>39.62275058</v>
      </c>
      <c r="M111" s="112">
        <f>C113*Scoring!$B$34+D113/Scoring!$C$34+E113*Scoring!$D$34+WR!F113*Scoring!$E$34+WR!G113/Scoring!$F$34+WR!H113*Scoring!$G$34+WR!I113*Scoring!$H$34+K113*Scoring!$I$34+WR!L113*Scoring!$J$34+U111</f>
        <v>128.9</v>
      </c>
      <c r="N111" s="112">
        <f>C111*Scoring!$B$34+D111/Scoring!$C$34+E111*Scoring!$D$34+WR!F111*Scoring!$E$34+WR!G111/Scoring!$F$34+WR!H111*Scoring!$G$34+WR!I111*Scoring!$H$34+K111*Scoring!$I$34+WR!L111*Scoring!$J$34+U111</f>
        <v>139.46</v>
      </c>
      <c r="O111" s="112">
        <f>C112*Scoring!$B$34+D112/Scoring!$C$34+E112*Scoring!$D$34+WR!F112*Scoring!$E$34+WR!G112/Scoring!$F$34+WR!H112*Scoring!$G$34+WR!I112*Scoring!$H$34+K112*Scoring!$I$34+WR!L112*Scoring!$J$34+U111</f>
        <v>151.83</v>
      </c>
      <c r="P111" s="8">
        <f>IF(COUNTIF(Rookies!$A:$A,A111)&gt;0,1,0)</f>
        <v>0</v>
      </c>
      <c r="Q111" s="8"/>
      <c r="R111" s="8"/>
      <c r="S111" s="8">
        <f>V111/17</f>
        <v>8.203529412</v>
      </c>
      <c r="T111" s="8">
        <f>IF(P111=1,MAX(0,0.28*(12-S111)),0)</f>
        <v>0</v>
      </c>
      <c r="U111" s="8">
        <f>T111*17</f>
        <v>0</v>
      </c>
      <c r="V111" s="8">
        <f>C111*Scoring!$B$34+D111/Scoring!$C$34+E111*Scoring!$D$34+WR!F111*Scoring!$E$34+WR!G111/Scoring!$F$34+WR!H111*Scoring!$G$34+WR!I111*Scoring!$H$34+K111*Scoring!$I$34+WR!L111*Scoring!$J$34</f>
        <v>139.46</v>
      </c>
      <c r="W111" s="8"/>
      <c r="X111" s="8"/>
      <c r="Y111" s="8"/>
      <c r="Z111" s="8"/>
    </row>
    <row r="112" ht="14.25" customHeight="1">
      <c r="B112" s="1" t="s">
        <v>39</v>
      </c>
      <c r="C112" s="1">
        <v>84.0</v>
      </c>
      <c r="D112" s="1">
        <v>823.8</v>
      </c>
      <c r="E112" s="1">
        <v>4.0</v>
      </c>
      <c r="F112" s="1">
        <v>4.1</v>
      </c>
      <c r="G112" s="1">
        <v>22.5</v>
      </c>
      <c r="H112" s="1">
        <v>0.2</v>
      </c>
      <c r="I112" s="1">
        <v>0.0</v>
      </c>
      <c r="J112" s="1">
        <v>216.0</v>
      </c>
      <c r="K112" s="18">
        <f t="shared" si="1"/>
        <v>1.394412192</v>
      </c>
      <c r="L112" s="18">
        <f t="shared" si="2"/>
        <v>40.5179021</v>
      </c>
      <c r="M112" s="118"/>
      <c r="N112" s="118"/>
      <c r="O112" s="11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B113" s="1" t="s">
        <v>48</v>
      </c>
      <c r="C113" s="1">
        <v>77.0</v>
      </c>
      <c r="D113" s="1">
        <v>796.0</v>
      </c>
      <c r="E113" s="1">
        <v>2.0</v>
      </c>
      <c r="F113" s="1">
        <v>0.0</v>
      </c>
      <c r="G113" s="1">
        <v>0.0</v>
      </c>
      <c r="H113" s="1">
        <v>0.0</v>
      </c>
      <c r="I113" s="1">
        <v>0.6</v>
      </c>
      <c r="J113" s="1">
        <v>173.9</v>
      </c>
      <c r="K113" s="18">
        <f t="shared" si="1"/>
        <v>0</v>
      </c>
      <c r="L113" s="18">
        <f t="shared" si="2"/>
        <v>39.15058275</v>
      </c>
      <c r="M113" s="118"/>
      <c r="N113" s="118"/>
      <c r="O113" s="11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1" t="s">
        <v>669</v>
      </c>
      <c r="B114" s="1" t="s">
        <v>145</v>
      </c>
      <c r="C114" s="1">
        <v>68.3</v>
      </c>
      <c r="D114" s="1">
        <v>787.7</v>
      </c>
      <c r="E114" s="1">
        <v>5.1</v>
      </c>
      <c r="F114" s="1">
        <v>4.3</v>
      </c>
      <c r="G114" s="1">
        <v>22.7</v>
      </c>
      <c r="H114" s="1">
        <v>0.1</v>
      </c>
      <c r="I114" s="1">
        <v>0.8</v>
      </c>
      <c r="J114" s="1">
        <v>178.7</v>
      </c>
      <c r="K114" s="18">
        <f t="shared" si="1"/>
        <v>1.406806967</v>
      </c>
      <c r="L114" s="18">
        <f t="shared" si="2"/>
        <v>38.74235431</v>
      </c>
      <c r="M114" s="112">
        <f>C116*Scoring!$B$34+D116/Scoring!$C$34+E116*Scoring!$D$34+WR!F116*Scoring!$E$34+WR!G116/Scoring!$F$34+WR!H116*Scoring!$G$34+WR!I116*Scoring!$H$34+K116*Scoring!$I$34+WR!L116*Scoring!$J$34+U114</f>
        <v>139.91</v>
      </c>
      <c r="N114" s="112">
        <f>C114*Scoring!$B$34+D114/Scoring!$C$34+E114*Scoring!$D$34+WR!F114*Scoring!$E$34+WR!G114/Scoring!$F$34+WR!H114*Scoring!$G$34+WR!I114*Scoring!$H$34+K114*Scoring!$I$34+WR!L114*Scoring!$J$34+U114</f>
        <v>144.79</v>
      </c>
      <c r="O114" s="112">
        <f>C115*Scoring!$B$34+D115/Scoring!$C$34+E115*Scoring!$D$34+WR!F115*Scoring!$E$34+WR!G115/Scoring!$F$34+WR!H115*Scoring!$G$34+WR!I115*Scoring!$H$34+K115*Scoring!$I$34+WR!L115*Scoring!$J$34+U114</f>
        <v>151.3</v>
      </c>
      <c r="P114" s="8">
        <f>IF(COUNTIF(Rookies!$A:$A,A114)&gt;0,1,0)</f>
        <v>0</v>
      </c>
      <c r="Q114" s="8"/>
      <c r="R114" s="8"/>
      <c r="S114" s="8">
        <f>V114/17</f>
        <v>8.517058824</v>
      </c>
      <c r="T114" s="8">
        <f>IF(P114=1,MAX(0,0.28*(12-S114)),0)</f>
        <v>0</v>
      </c>
      <c r="U114" s="8">
        <f>T114*17</f>
        <v>0</v>
      </c>
      <c r="V114" s="8">
        <f>C114*Scoring!$B$34+D114/Scoring!$C$34+E114*Scoring!$D$34+WR!F114*Scoring!$E$34+WR!G114/Scoring!$F$34+WR!H114*Scoring!$G$34+WR!I114*Scoring!$H$34+K114*Scoring!$I$34+WR!L114*Scoring!$J$34</f>
        <v>144.79</v>
      </c>
      <c r="W114" s="8"/>
      <c r="X114" s="8"/>
      <c r="Y114" s="8"/>
      <c r="Z114" s="8"/>
    </row>
    <row r="115" ht="14.25" customHeight="1">
      <c r="B115" s="1" t="s">
        <v>39</v>
      </c>
      <c r="C115" s="1">
        <v>69.8</v>
      </c>
      <c r="D115" s="1">
        <v>814.0</v>
      </c>
      <c r="E115" s="1">
        <v>5.2</v>
      </c>
      <c r="F115" s="1">
        <v>6.0</v>
      </c>
      <c r="G115" s="1">
        <v>32.0</v>
      </c>
      <c r="H115" s="1">
        <v>0.3</v>
      </c>
      <c r="I115" s="1">
        <v>0.6</v>
      </c>
      <c r="J115" s="1">
        <v>211.9</v>
      </c>
      <c r="K115" s="18">
        <f t="shared" si="1"/>
        <v>1.983164006</v>
      </c>
      <c r="L115" s="18">
        <f t="shared" si="2"/>
        <v>40.03589744</v>
      </c>
      <c r="M115" s="118"/>
      <c r="N115" s="118"/>
      <c r="O115" s="11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B116" s="1" t="s">
        <v>48</v>
      </c>
      <c r="C116" s="1">
        <v>67.0</v>
      </c>
      <c r="D116" s="1">
        <v>767.1</v>
      </c>
      <c r="E116" s="1">
        <v>5.0</v>
      </c>
      <c r="F116" s="1">
        <v>3.0</v>
      </c>
      <c r="G116" s="1">
        <v>17.0</v>
      </c>
      <c r="H116" s="1">
        <v>0.0</v>
      </c>
      <c r="I116" s="1">
        <v>1.0</v>
      </c>
      <c r="J116" s="1">
        <v>169.3</v>
      </c>
      <c r="K116" s="18">
        <f t="shared" si="1"/>
        <v>1.053555878</v>
      </c>
      <c r="L116" s="18">
        <f t="shared" si="2"/>
        <v>37.72916084</v>
      </c>
      <c r="M116" s="118"/>
      <c r="N116" s="118"/>
      <c r="O116" s="11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" t="s">
        <v>673</v>
      </c>
      <c r="B117" s="1" t="s">
        <v>214</v>
      </c>
      <c r="C117" s="1">
        <v>65.2</v>
      </c>
      <c r="D117" s="1">
        <v>887.6</v>
      </c>
      <c r="E117" s="1">
        <v>4.5</v>
      </c>
      <c r="F117" s="1">
        <v>0.7</v>
      </c>
      <c r="G117" s="1">
        <v>3.0</v>
      </c>
      <c r="H117" s="1">
        <v>0.0</v>
      </c>
      <c r="I117" s="1">
        <v>1.4</v>
      </c>
      <c r="J117" s="1">
        <v>178.4</v>
      </c>
      <c r="K117" s="18">
        <f t="shared" si="1"/>
        <v>0.1859216255</v>
      </c>
      <c r="L117" s="18">
        <f t="shared" si="2"/>
        <v>43.65585082</v>
      </c>
      <c r="M117" s="112">
        <f>C119*Scoring!$B$34+D119/Scoring!$C$34+E119*Scoring!$D$34+WR!F119*Scoring!$E$34+WR!G119/Scoring!$F$34+WR!H119*Scoring!$G$34+WR!I119*Scoring!$H$34+K119*Scoring!$I$34+WR!L119*Scoring!$J$34+U117</f>
        <v>141.4792</v>
      </c>
      <c r="N117" s="112">
        <f>C117*Scoring!$B$34+D117/Scoring!$C$34+E117*Scoring!$D$34+WR!F117*Scoring!$E$34+WR!G117/Scoring!$F$34+WR!H117*Scoring!$G$34+WR!I117*Scoring!$H$34+K117*Scoring!$I$34+WR!L117*Scoring!$J$34+U117</f>
        <v>162.1392</v>
      </c>
      <c r="O117" s="112">
        <f>C118*Scoring!$B$34+D118/Scoring!$C$34+E118*Scoring!$D$34+WR!F118*Scoring!$E$34+WR!G118/Scoring!$F$34+WR!H118*Scoring!$G$34+WR!I118*Scoring!$H$34+K118*Scoring!$I$34+WR!L118*Scoring!$J$34+U117</f>
        <v>185.1992</v>
      </c>
      <c r="P117" s="8">
        <f>IF(COUNTIF(Rookies!$A:$A,A117)&gt;0,1,0)</f>
        <v>1</v>
      </c>
      <c r="Q117" s="8"/>
      <c r="R117" s="8"/>
      <c r="S117" s="8">
        <f>V117/17</f>
        <v>8.58</v>
      </c>
      <c r="T117" s="8">
        <f>IF(P117=1,MAX(0,0.28*(12-S117)),0)</f>
        <v>0.9576</v>
      </c>
      <c r="U117" s="8">
        <f>T117*17</f>
        <v>16.2792</v>
      </c>
      <c r="V117" s="8">
        <f>C117*Scoring!$B$34+D117/Scoring!$C$34+E117*Scoring!$D$34+WR!F117*Scoring!$E$34+WR!G117/Scoring!$F$34+WR!H117*Scoring!$G$34+WR!I117*Scoring!$H$34+K117*Scoring!$I$34+WR!L117*Scoring!$J$34</f>
        <v>145.86</v>
      </c>
      <c r="W117" s="8"/>
      <c r="X117" s="8"/>
      <c r="Y117" s="8"/>
      <c r="Z117" s="8"/>
    </row>
    <row r="118" ht="14.25" customHeight="1">
      <c r="B118" s="1" t="s">
        <v>39</v>
      </c>
      <c r="C118" s="1">
        <v>74.5</v>
      </c>
      <c r="D118" s="1">
        <v>1023.7</v>
      </c>
      <c r="E118" s="1">
        <v>5.0</v>
      </c>
      <c r="F118" s="1">
        <v>2.0</v>
      </c>
      <c r="G118" s="1">
        <v>9.0</v>
      </c>
      <c r="H118" s="1">
        <v>0.0</v>
      </c>
      <c r="I118" s="1">
        <v>0.8</v>
      </c>
      <c r="J118" s="1">
        <v>214.4</v>
      </c>
      <c r="K118" s="18">
        <f t="shared" si="1"/>
        <v>0.5577648766</v>
      </c>
      <c r="L118" s="18">
        <f t="shared" si="2"/>
        <v>50.34981352</v>
      </c>
      <c r="M118" s="118"/>
      <c r="N118" s="118"/>
      <c r="O118" s="11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B119" s="1" t="s">
        <v>48</v>
      </c>
      <c r="C119" s="1">
        <v>56.0</v>
      </c>
      <c r="D119" s="1">
        <v>772.0</v>
      </c>
      <c r="E119" s="1">
        <v>4.0</v>
      </c>
      <c r="F119" s="1">
        <v>0.0</v>
      </c>
      <c r="G119" s="1">
        <v>0.0</v>
      </c>
      <c r="H119" s="1">
        <v>0.0</v>
      </c>
      <c r="I119" s="1">
        <v>2.0</v>
      </c>
      <c r="J119" s="1">
        <v>154.2</v>
      </c>
      <c r="K119" s="18">
        <f t="shared" si="1"/>
        <v>0</v>
      </c>
      <c r="L119" s="18">
        <f t="shared" si="2"/>
        <v>37.97016317</v>
      </c>
      <c r="M119" s="118"/>
      <c r="N119" s="118"/>
      <c r="O119" s="11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" t="s">
        <v>676</v>
      </c>
      <c r="B120" s="1" t="s">
        <v>217</v>
      </c>
      <c r="C120" s="1">
        <v>67.5</v>
      </c>
      <c r="D120" s="1">
        <v>839.8</v>
      </c>
      <c r="E120" s="1">
        <v>4.5</v>
      </c>
      <c r="F120" s="1">
        <v>0.0</v>
      </c>
      <c r="G120" s="1">
        <v>0.7</v>
      </c>
      <c r="H120" s="1">
        <v>0.0</v>
      </c>
      <c r="I120" s="1">
        <v>0.2</v>
      </c>
      <c r="J120" s="1">
        <v>177.9</v>
      </c>
      <c r="K120" s="18">
        <f t="shared" si="1"/>
        <v>0</v>
      </c>
      <c r="L120" s="18">
        <f t="shared" si="2"/>
        <v>41.30484848</v>
      </c>
      <c r="M120" s="112">
        <f>C122*Scoring!$B$34+D122/Scoring!$C$34+E122*Scoring!$D$34+WR!F122*Scoring!$E$34+WR!G122/Scoring!$F$34+WR!H122*Scoring!$G$34+WR!I122*Scoring!$H$34+K122*Scoring!$I$34+WR!L122*Scoring!$J$34+U120</f>
        <v>134.8</v>
      </c>
      <c r="N120" s="112">
        <f>C120*Scoring!$B$34+D120/Scoring!$C$34+E120*Scoring!$D$34+WR!F120*Scoring!$E$34+WR!G120/Scoring!$F$34+WR!H120*Scoring!$G$34+WR!I120*Scoring!$H$34+K120*Scoring!$I$34+WR!L120*Scoring!$J$34+U120</f>
        <v>144.4</v>
      </c>
      <c r="O120" s="112">
        <f>C121*Scoring!$B$34+D121/Scoring!$C$34+E121*Scoring!$D$34+WR!F121*Scoring!$E$34+WR!G121/Scoring!$F$34+WR!H121*Scoring!$G$34+WR!I121*Scoring!$H$34+K121*Scoring!$I$34+WR!L121*Scoring!$J$34+U120</f>
        <v>157.53</v>
      </c>
      <c r="P120" s="8">
        <f>IF(COUNTIF(Rookies!$A:$A,A120)&gt;0,1,0)</f>
        <v>0</v>
      </c>
      <c r="Q120" s="8"/>
      <c r="R120" s="8"/>
      <c r="S120" s="8">
        <f>V120/17</f>
        <v>8.494117647</v>
      </c>
      <c r="T120" s="8">
        <f>IF(P120=1,MAX(0,0.28*(12-S120)),0)</f>
        <v>0</v>
      </c>
      <c r="U120" s="8">
        <f>T120*17</f>
        <v>0</v>
      </c>
      <c r="V120" s="8">
        <f>C120*Scoring!$B$34+D120/Scoring!$C$34+E120*Scoring!$D$34+WR!F120*Scoring!$E$34+WR!G120/Scoring!$F$34+WR!H120*Scoring!$G$34+WR!I120*Scoring!$H$34+K120*Scoring!$I$34+WR!L120*Scoring!$J$34</f>
        <v>144.4</v>
      </c>
      <c r="W120" s="8"/>
      <c r="X120" s="8"/>
      <c r="Y120" s="8"/>
      <c r="Z120" s="8"/>
    </row>
    <row r="121" ht="14.25" customHeight="1">
      <c r="B121" s="1" t="s">
        <v>39</v>
      </c>
      <c r="C121" s="1">
        <v>70.6</v>
      </c>
      <c r="D121" s="1">
        <v>860.3</v>
      </c>
      <c r="E121" s="1">
        <v>6.0</v>
      </c>
      <c r="F121" s="1">
        <v>0.0</v>
      </c>
      <c r="G121" s="1">
        <v>2.0</v>
      </c>
      <c r="H121" s="1">
        <v>0.0</v>
      </c>
      <c r="I121" s="1">
        <v>0.0</v>
      </c>
      <c r="J121" s="1">
        <v>206.7</v>
      </c>
      <c r="K121" s="18">
        <f t="shared" si="1"/>
        <v>0</v>
      </c>
      <c r="L121" s="18">
        <f t="shared" si="2"/>
        <v>42.31312354</v>
      </c>
      <c r="M121" s="118"/>
      <c r="N121" s="118"/>
      <c r="O121" s="11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B122" s="1" t="s">
        <v>48</v>
      </c>
      <c r="C122" s="1">
        <v>66.0</v>
      </c>
      <c r="D122" s="1">
        <v>822.0</v>
      </c>
      <c r="E122" s="1">
        <v>3.4</v>
      </c>
      <c r="F122" s="1">
        <v>0.0</v>
      </c>
      <c r="G122" s="1">
        <v>0.0</v>
      </c>
      <c r="H122" s="1">
        <v>0.0</v>
      </c>
      <c r="I122" s="1">
        <v>0.4</v>
      </c>
      <c r="J122" s="1">
        <v>173.5</v>
      </c>
      <c r="K122" s="18">
        <f t="shared" si="1"/>
        <v>0</v>
      </c>
      <c r="L122" s="18">
        <f t="shared" si="2"/>
        <v>40.42937063</v>
      </c>
      <c r="M122" s="118"/>
      <c r="N122" s="118"/>
      <c r="O122" s="11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" t="s">
        <v>679</v>
      </c>
      <c r="B123" s="1" t="s">
        <v>199</v>
      </c>
      <c r="C123" s="1">
        <v>63.1</v>
      </c>
      <c r="D123" s="1">
        <v>757.7</v>
      </c>
      <c r="E123" s="1">
        <v>4.8</v>
      </c>
      <c r="F123" s="1">
        <v>12.0</v>
      </c>
      <c r="G123" s="1">
        <v>86.9</v>
      </c>
      <c r="H123" s="1">
        <v>0.1</v>
      </c>
      <c r="I123" s="1">
        <v>0.4</v>
      </c>
      <c r="J123" s="1">
        <v>176.3</v>
      </c>
      <c r="K123" s="18">
        <f t="shared" si="1"/>
        <v>5.385529753</v>
      </c>
      <c r="L123" s="18">
        <f t="shared" si="2"/>
        <v>37.26682984</v>
      </c>
      <c r="M123" s="112">
        <f>C125*Scoring!$B$34+D125/Scoring!$C$34+E125*Scoring!$D$34+WR!F125*Scoring!$E$34+WR!G125/Scoring!$F$34+WR!H125*Scoring!$G$34+WR!I125*Scoring!$H$34+K125*Scoring!$I$34+WR!L125*Scoring!$J$34+U123</f>
        <v>134</v>
      </c>
      <c r="N123" s="112">
        <f>C123*Scoring!$B$34+D123/Scoring!$C$34+E123*Scoring!$D$34+WR!F123*Scoring!$E$34+WR!G123/Scoring!$F$34+WR!H123*Scoring!$G$34+WR!I123*Scoring!$H$34+K123*Scoring!$I$34+WR!L123*Scoring!$J$34+U123</f>
        <v>144.61</v>
      </c>
      <c r="O123" s="112">
        <f>C124*Scoring!$B$34+D124/Scoring!$C$34+E124*Scoring!$D$34+WR!F124*Scoring!$E$34+WR!G124/Scoring!$F$34+WR!H124*Scoring!$G$34+WR!I124*Scoring!$H$34+K124*Scoring!$I$34+WR!L124*Scoring!$J$34+U123</f>
        <v>159.7</v>
      </c>
      <c r="P123" s="8">
        <f>IF(COUNTIF(Rookies!$A:$A,A123)&gt;0,1,0)</f>
        <v>0</v>
      </c>
      <c r="Q123" s="8"/>
      <c r="R123" s="8"/>
      <c r="S123" s="8">
        <f>V123/17</f>
        <v>8.506470588</v>
      </c>
      <c r="T123" s="8">
        <f>IF(P123=1,MAX(0,0.28*(12-S123)),0)</f>
        <v>0</v>
      </c>
      <c r="U123" s="8">
        <f>T123*17</f>
        <v>0</v>
      </c>
      <c r="V123" s="8">
        <f>C123*Scoring!$B$34+D123/Scoring!$C$34+E123*Scoring!$D$34+WR!F123*Scoring!$E$34+WR!G123/Scoring!$F$34+WR!H123*Scoring!$G$34+WR!I123*Scoring!$H$34+K123*Scoring!$I$34+WR!L123*Scoring!$J$34</f>
        <v>144.61</v>
      </c>
      <c r="W123" s="8"/>
      <c r="X123" s="8"/>
      <c r="Y123" s="8"/>
      <c r="Z123" s="8"/>
    </row>
    <row r="124" ht="14.25" customHeight="1">
      <c r="B124" s="1" t="s">
        <v>39</v>
      </c>
      <c r="C124" s="1">
        <v>66.0</v>
      </c>
      <c r="D124" s="1">
        <v>815.0</v>
      </c>
      <c r="E124" s="1">
        <v>5.0</v>
      </c>
      <c r="F124" s="1">
        <v>16.0</v>
      </c>
      <c r="G124" s="1">
        <v>128.0</v>
      </c>
      <c r="H124" s="1">
        <v>0.4</v>
      </c>
      <c r="I124" s="1">
        <v>0.0</v>
      </c>
      <c r="J124" s="1">
        <v>214.4</v>
      </c>
      <c r="K124" s="18">
        <f t="shared" si="1"/>
        <v>7.932656023</v>
      </c>
      <c r="L124" s="18">
        <f t="shared" si="2"/>
        <v>40.08508159</v>
      </c>
      <c r="M124" s="118"/>
      <c r="N124" s="118"/>
      <c r="O124" s="11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B125" s="1" t="s">
        <v>48</v>
      </c>
      <c r="C125" s="1">
        <v>60.0</v>
      </c>
      <c r="D125" s="1">
        <v>727.2</v>
      </c>
      <c r="E125" s="1">
        <v>4.4</v>
      </c>
      <c r="F125" s="1">
        <v>9.0</v>
      </c>
      <c r="G125" s="1">
        <v>64.8</v>
      </c>
      <c r="H125" s="1">
        <v>0.0</v>
      </c>
      <c r="I125" s="1">
        <v>0.8</v>
      </c>
      <c r="J125" s="1">
        <v>164.1</v>
      </c>
      <c r="K125" s="18">
        <f t="shared" si="1"/>
        <v>4.015907112</v>
      </c>
      <c r="L125" s="18">
        <f t="shared" si="2"/>
        <v>35.76671329</v>
      </c>
      <c r="M125" s="118"/>
      <c r="N125" s="118"/>
      <c r="O125" s="11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1" t="s">
        <v>683</v>
      </c>
      <c r="B126" s="1" t="s">
        <v>186</v>
      </c>
      <c r="C126" s="1">
        <v>67.8</v>
      </c>
      <c r="D126" s="1">
        <v>773.9</v>
      </c>
      <c r="E126" s="1">
        <v>5.2</v>
      </c>
      <c r="F126" s="1">
        <v>0.3</v>
      </c>
      <c r="G126" s="1">
        <v>0.3</v>
      </c>
      <c r="H126" s="1">
        <v>0.0</v>
      </c>
      <c r="I126" s="1">
        <v>0.3</v>
      </c>
      <c r="J126" s="1">
        <v>175.7</v>
      </c>
      <c r="K126" s="18">
        <f t="shared" si="1"/>
        <v>0.01859216255</v>
      </c>
      <c r="L126" s="18">
        <f t="shared" si="2"/>
        <v>38.06361305</v>
      </c>
      <c r="M126" s="112">
        <f>C128*Scoring!$B$34+D128/Scoring!$C$34+E128*Scoring!$D$34+WR!F128*Scoring!$E$34+WR!G128/Scoring!$F$34+WR!H128*Scoring!$G$34+WR!I128*Scoring!$H$34+K128*Scoring!$I$34+WR!L128*Scoring!$J$34+U126</f>
        <v>126.07</v>
      </c>
      <c r="N126" s="112">
        <f>C126*Scoring!$B$34+D126/Scoring!$C$34+E126*Scoring!$D$34+WR!F126*Scoring!$E$34+WR!G126/Scoring!$F$34+WR!H126*Scoring!$G$34+WR!I126*Scoring!$H$34+K126*Scoring!$I$34+WR!L126*Scoring!$J$34+U126</f>
        <v>141.92</v>
      </c>
      <c r="O126" s="112">
        <f>C127*Scoring!$B$34+D127/Scoring!$C$34+E127*Scoring!$D$34+WR!F127*Scoring!$E$34+WR!G127/Scoring!$F$34+WR!H127*Scoring!$G$34+WR!I127*Scoring!$H$34+K127*Scoring!$I$34+WR!L127*Scoring!$J$34+U126</f>
        <v>157.8</v>
      </c>
      <c r="P126" s="8">
        <f>IF(COUNTIF(Rookies!$A:$A,A126)&gt;0,1,0)</f>
        <v>0</v>
      </c>
      <c r="Q126" s="8"/>
      <c r="R126" s="8"/>
      <c r="S126" s="8">
        <f>V126/17</f>
        <v>8.348235294</v>
      </c>
      <c r="T126" s="8">
        <f>IF(P126=1,MAX(0,0.28*(12-S126)),0)</f>
        <v>0</v>
      </c>
      <c r="U126" s="8">
        <f>T126*17</f>
        <v>0</v>
      </c>
      <c r="V126" s="8">
        <f>C126*Scoring!$B$34+D126/Scoring!$C$34+E126*Scoring!$D$34+WR!F126*Scoring!$E$34+WR!G126/Scoring!$F$34+WR!H126*Scoring!$G$34+WR!I126*Scoring!$H$34+K126*Scoring!$I$34+WR!L126*Scoring!$J$34</f>
        <v>141.92</v>
      </c>
      <c r="W126" s="8"/>
      <c r="X126" s="8"/>
      <c r="Y126" s="8"/>
      <c r="Z126" s="8"/>
    </row>
    <row r="127" ht="14.25" customHeight="1">
      <c r="B127" s="1" t="s">
        <v>39</v>
      </c>
      <c r="C127" s="1">
        <v>75.0</v>
      </c>
      <c r="D127" s="1">
        <v>842.0</v>
      </c>
      <c r="E127" s="1">
        <v>6.0</v>
      </c>
      <c r="F127" s="1">
        <v>1.0</v>
      </c>
      <c r="G127" s="1">
        <v>1.0</v>
      </c>
      <c r="H127" s="1">
        <v>0.0</v>
      </c>
      <c r="I127" s="1">
        <v>0.0</v>
      </c>
      <c r="J127" s="1">
        <v>209.7</v>
      </c>
      <c r="K127" s="18">
        <f t="shared" si="1"/>
        <v>0.06197387518</v>
      </c>
      <c r="L127" s="18">
        <f t="shared" si="2"/>
        <v>41.41305361</v>
      </c>
      <c r="M127" s="118"/>
      <c r="N127" s="118"/>
      <c r="O127" s="11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B128" s="1" t="s">
        <v>48</v>
      </c>
      <c r="C128" s="1">
        <v>60.4</v>
      </c>
      <c r="D128" s="1">
        <v>700.7</v>
      </c>
      <c r="E128" s="1">
        <v>4.5</v>
      </c>
      <c r="F128" s="1">
        <v>0.0</v>
      </c>
      <c r="G128" s="1">
        <v>0.0</v>
      </c>
      <c r="H128" s="1">
        <v>0.0</v>
      </c>
      <c r="I128" s="1">
        <v>0.6</v>
      </c>
      <c r="J128" s="1">
        <v>164.8</v>
      </c>
      <c r="K128" s="18">
        <f t="shared" si="1"/>
        <v>0</v>
      </c>
      <c r="L128" s="18">
        <f t="shared" si="2"/>
        <v>34.46333333</v>
      </c>
      <c r="M128" s="118"/>
      <c r="N128" s="118"/>
      <c r="O128" s="11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1" t="s">
        <v>686</v>
      </c>
      <c r="B129" s="1" t="s">
        <v>164</v>
      </c>
      <c r="C129" s="1">
        <v>53.6</v>
      </c>
      <c r="D129" s="1">
        <v>757.3</v>
      </c>
      <c r="E129" s="1">
        <v>6.9</v>
      </c>
      <c r="F129" s="1">
        <v>1.7</v>
      </c>
      <c r="G129" s="1">
        <v>5.9</v>
      </c>
      <c r="H129" s="1">
        <v>0.0</v>
      </c>
      <c r="I129" s="1">
        <v>0.7</v>
      </c>
      <c r="J129" s="1">
        <v>169.9</v>
      </c>
      <c r="K129" s="18">
        <f t="shared" si="1"/>
        <v>0.3656458636</v>
      </c>
      <c r="L129" s="18">
        <f t="shared" si="2"/>
        <v>37.24715618</v>
      </c>
      <c r="M129" s="112">
        <f>C131*Scoring!$B$34+D131/Scoring!$C$34+E131*Scoring!$D$34+WR!F131*Scoring!$E$34+WR!G131/Scoring!$F$34+WR!H131*Scoring!$G$34+WR!I131*Scoring!$H$34+K131*Scoring!$I$34+WR!L131*Scoring!$J$34+U129</f>
        <v>127.3</v>
      </c>
      <c r="N129" s="112">
        <f>C129*Scoring!$B$34+D129/Scoring!$C$34+E129*Scoring!$D$34+WR!F129*Scoring!$E$34+WR!G129/Scoring!$F$34+WR!H129*Scoring!$G$34+WR!I129*Scoring!$H$34+K129*Scoring!$I$34+WR!L129*Scoring!$J$34+U129</f>
        <v>143.12</v>
      </c>
      <c r="O129" s="112">
        <f>C130*Scoring!$B$34+D130/Scoring!$C$34+E130*Scoring!$D$34+WR!F130*Scoring!$E$34+WR!G130/Scoring!$F$34+WR!H130*Scoring!$G$34+WR!I130*Scoring!$H$34+K130*Scoring!$I$34+WR!L130*Scoring!$J$34+U129</f>
        <v>162.38</v>
      </c>
      <c r="P129" s="8">
        <f>IF(COUNTIF(Rookies!$A:$A,A129)&gt;0,1,0)</f>
        <v>0</v>
      </c>
      <c r="Q129" s="8"/>
      <c r="R129" s="8"/>
      <c r="S129" s="8">
        <f>V129/17</f>
        <v>8.418823529</v>
      </c>
      <c r="T129" s="8">
        <f>IF(P129=1,MAX(0,0.28*(12-S129)),0)</f>
        <v>0</v>
      </c>
      <c r="U129" s="8">
        <f>T129*17</f>
        <v>0</v>
      </c>
      <c r="V129" s="8">
        <f>C129*Scoring!$B$34+D129/Scoring!$C$34+E129*Scoring!$D$34+WR!F129*Scoring!$E$34+WR!G129/Scoring!$F$34+WR!H129*Scoring!$G$34+WR!I129*Scoring!$H$34+K129*Scoring!$I$34+WR!L129*Scoring!$J$34</f>
        <v>143.12</v>
      </c>
      <c r="W129" s="8"/>
      <c r="X129" s="8"/>
      <c r="Y129" s="8"/>
      <c r="Z129" s="8"/>
    </row>
    <row r="130" ht="14.25" customHeight="1">
      <c r="B130" s="1" t="s">
        <v>39</v>
      </c>
      <c r="C130" s="1">
        <v>58.0</v>
      </c>
      <c r="D130" s="1">
        <v>787.0</v>
      </c>
      <c r="E130" s="1">
        <v>9.0</v>
      </c>
      <c r="F130" s="1">
        <v>3.0</v>
      </c>
      <c r="G130" s="1">
        <v>10.8</v>
      </c>
      <c r="H130" s="1">
        <v>0.1</v>
      </c>
      <c r="I130" s="1">
        <v>0.5</v>
      </c>
      <c r="J130" s="1">
        <v>185.3</v>
      </c>
      <c r="K130" s="18">
        <f t="shared" si="1"/>
        <v>0.669317852</v>
      </c>
      <c r="L130" s="18">
        <f t="shared" si="2"/>
        <v>38.70792541</v>
      </c>
      <c r="M130" s="118"/>
      <c r="N130" s="118"/>
      <c r="O130" s="11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B131" s="1" t="s">
        <v>48</v>
      </c>
      <c r="C131" s="1">
        <v>50.0</v>
      </c>
      <c r="D131" s="1">
        <v>707.0</v>
      </c>
      <c r="E131" s="1">
        <v>5.6</v>
      </c>
      <c r="F131" s="1">
        <v>0.0</v>
      </c>
      <c r="G131" s="1">
        <v>0.0</v>
      </c>
      <c r="H131" s="1">
        <v>0.0</v>
      </c>
      <c r="I131" s="1">
        <v>1.0</v>
      </c>
      <c r="J131" s="1">
        <v>166.2</v>
      </c>
      <c r="K131" s="18">
        <f t="shared" si="1"/>
        <v>0</v>
      </c>
      <c r="L131" s="18">
        <f t="shared" si="2"/>
        <v>34.77319347</v>
      </c>
      <c r="M131" s="118"/>
      <c r="N131" s="118"/>
      <c r="O131" s="11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1" t="s">
        <v>689</v>
      </c>
      <c r="B132" s="1" t="s">
        <v>189</v>
      </c>
      <c r="C132" s="1">
        <v>55.2</v>
      </c>
      <c r="D132" s="1">
        <v>758.4</v>
      </c>
      <c r="E132" s="1">
        <v>5.4</v>
      </c>
      <c r="F132" s="1">
        <v>2.7</v>
      </c>
      <c r="G132" s="1">
        <v>37.1</v>
      </c>
      <c r="H132" s="1">
        <v>0.4</v>
      </c>
      <c r="I132" s="1">
        <v>0.2</v>
      </c>
      <c r="J132" s="1">
        <v>168.9</v>
      </c>
      <c r="K132" s="18">
        <f t="shared" si="1"/>
        <v>2.299230769</v>
      </c>
      <c r="L132" s="18">
        <f t="shared" si="2"/>
        <v>37.30125874</v>
      </c>
      <c r="M132" s="112">
        <f>C134*Scoring!$B$34+D134/Scoring!$C$34+E134*Scoring!$D$34+WR!F134*Scoring!$E$34+WR!G134/Scoring!$F$34+WR!H134*Scoring!$G$34+WR!I134*Scoring!$H$34+K134*Scoring!$I$34+WR!L134*Scoring!$J$34+U132</f>
        <v>129.24</v>
      </c>
      <c r="N132" s="112">
        <f>C132*Scoring!$B$34+D132/Scoring!$C$34+E132*Scoring!$D$34+WR!F132*Scoring!$E$34+WR!G132/Scoring!$F$34+WR!H132*Scoring!$G$34+WR!I132*Scoring!$H$34+K132*Scoring!$I$34+WR!L132*Scoring!$J$34+U132</f>
        <v>141.55</v>
      </c>
      <c r="O132" s="112">
        <f>C133*Scoring!$B$34+D133/Scoring!$C$34+E133*Scoring!$D$34+WR!F133*Scoring!$E$34+WR!G133/Scoring!$F$34+WR!H133*Scoring!$G$34+WR!I133*Scoring!$H$34+K133*Scoring!$I$34+WR!L133*Scoring!$J$34+U132</f>
        <v>157.08</v>
      </c>
      <c r="P132" s="8">
        <f>IF(COUNTIF(Rookies!$A:$A,A132)&gt;0,1,0)</f>
        <v>0</v>
      </c>
      <c r="Q132" s="8"/>
      <c r="R132" s="8"/>
      <c r="S132" s="8">
        <f>V132/17</f>
        <v>8.326470588</v>
      </c>
      <c r="T132" s="8">
        <f>IF(P132=1,MAX(0,0.28*(12-S132)),0)</f>
        <v>0</v>
      </c>
      <c r="U132" s="8">
        <f>T132*17</f>
        <v>0</v>
      </c>
      <c r="V132" s="8">
        <f>C132*Scoring!$B$34+D132/Scoring!$C$34+E132*Scoring!$D$34+WR!F132*Scoring!$E$34+WR!G132/Scoring!$F$34+WR!H132*Scoring!$G$34+WR!I132*Scoring!$H$34+K132*Scoring!$I$34+WR!L132*Scoring!$J$34</f>
        <v>141.55</v>
      </c>
      <c r="W132" s="8"/>
      <c r="X132" s="8"/>
      <c r="Y132" s="8"/>
      <c r="Z132" s="8"/>
    </row>
    <row r="133" ht="14.25" customHeight="1">
      <c r="B133" s="1" t="s">
        <v>39</v>
      </c>
      <c r="C133" s="1">
        <v>60.5</v>
      </c>
      <c r="D133" s="1">
        <v>770.3</v>
      </c>
      <c r="E133" s="1">
        <v>6.0</v>
      </c>
      <c r="F133" s="1">
        <v>3.0</v>
      </c>
      <c r="G133" s="1">
        <v>78.0</v>
      </c>
      <c r="H133" s="1">
        <v>1.0</v>
      </c>
      <c r="I133" s="1">
        <v>0.0</v>
      </c>
      <c r="J133" s="1">
        <v>191.5</v>
      </c>
      <c r="K133" s="18">
        <f t="shared" si="1"/>
        <v>4.833962264</v>
      </c>
      <c r="L133" s="18">
        <f t="shared" si="2"/>
        <v>37.88655012</v>
      </c>
      <c r="M133" s="118"/>
      <c r="N133" s="118"/>
      <c r="O133" s="11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B134" s="1" t="s">
        <v>48</v>
      </c>
      <c r="C134" s="1">
        <v>50.0</v>
      </c>
      <c r="D134" s="1">
        <v>736.0</v>
      </c>
      <c r="E134" s="1">
        <v>5.0</v>
      </c>
      <c r="F134" s="1">
        <v>2.0</v>
      </c>
      <c r="G134" s="1">
        <v>14.4</v>
      </c>
      <c r="H134" s="1">
        <v>0.0</v>
      </c>
      <c r="I134" s="1">
        <v>0.4</v>
      </c>
      <c r="J134" s="1">
        <v>165.2</v>
      </c>
      <c r="K134" s="18">
        <f t="shared" si="1"/>
        <v>0.8924238026</v>
      </c>
      <c r="L134" s="18">
        <f t="shared" si="2"/>
        <v>36.1995338</v>
      </c>
      <c r="M134" s="118"/>
      <c r="N134" s="118"/>
      <c r="O134" s="11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1" t="s">
        <v>693</v>
      </c>
      <c r="B135" s="1" t="s">
        <v>140</v>
      </c>
      <c r="C135" s="1">
        <v>58.3</v>
      </c>
      <c r="D135" s="1">
        <v>664.2</v>
      </c>
      <c r="E135" s="1">
        <v>4.5</v>
      </c>
      <c r="F135" s="1">
        <v>29.1</v>
      </c>
      <c r="G135" s="1">
        <v>112.2</v>
      </c>
      <c r="H135" s="1">
        <v>1.1</v>
      </c>
      <c r="I135" s="1">
        <v>0.4</v>
      </c>
      <c r="J135" s="1">
        <v>168.6</v>
      </c>
      <c r="K135" s="18">
        <f t="shared" si="1"/>
        <v>6.953468795</v>
      </c>
      <c r="L135" s="18">
        <f t="shared" si="2"/>
        <v>32.66811189</v>
      </c>
      <c r="M135" s="112">
        <f>C137*Scoring!$B$34+D137/Scoring!$C$34+E137*Scoring!$D$34+WR!F137*Scoring!$E$34+WR!G137/Scoring!$F$34+WR!H137*Scoring!$G$34+WR!I137*Scoring!$H$34+K137*Scoring!$I$34+WR!L137*Scoring!$J$34+U135</f>
        <v>129.79</v>
      </c>
      <c r="N135" s="112">
        <f>C135*Scoring!$B$34+D135/Scoring!$C$34+E135*Scoring!$D$34+WR!F135*Scoring!$E$34+WR!G135/Scoring!$F$34+WR!H135*Scoring!$G$34+WR!I135*Scoring!$H$34+K135*Scoring!$I$34+WR!L135*Scoring!$J$34+U135</f>
        <v>139.59</v>
      </c>
      <c r="O135" s="112">
        <f>C136*Scoring!$B$34+D136/Scoring!$C$34+E136*Scoring!$D$34+WR!F136*Scoring!$E$34+WR!G136/Scoring!$F$34+WR!H136*Scoring!$G$34+WR!I136*Scoring!$H$34+K136*Scoring!$I$34+WR!L136*Scoring!$J$34+U135</f>
        <v>148.74</v>
      </c>
      <c r="P135" s="8">
        <f>IF(COUNTIF(Rookies!$A:$A,A135)&gt;0,1,0)</f>
        <v>0</v>
      </c>
      <c r="Q135" s="8"/>
      <c r="R135" s="8"/>
      <c r="S135" s="8">
        <f>V135/17</f>
        <v>8.211176471</v>
      </c>
      <c r="T135" s="8">
        <f>IF(P135=1,MAX(0,0.28*(12-S135)),0)</f>
        <v>0</v>
      </c>
      <c r="U135" s="8">
        <f>T135*17</f>
        <v>0</v>
      </c>
      <c r="V135" s="8">
        <f>C135*Scoring!$B$34+D135/Scoring!$C$34+E135*Scoring!$D$34+WR!F135*Scoring!$E$34+WR!G135/Scoring!$F$34+WR!H135*Scoring!$G$34+WR!I135*Scoring!$H$34+K135*Scoring!$I$34+WR!L135*Scoring!$J$34</f>
        <v>139.59</v>
      </c>
      <c r="W135" s="8"/>
      <c r="X135" s="8"/>
      <c r="Y135" s="8"/>
      <c r="Z135" s="8"/>
    </row>
    <row r="136" ht="14.25" customHeight="1">
      <c r="B136" s="1" t="s">
        <v>39</v>
      </c>
      <c r="C136" s="1">
        <v>65.0</v>
      </c>
      <c r="D136" s="1">
        <v>681.4</v>
      </c>
      <c r="E136" s="1">
        <v>5.0</v>
      </c>
      <c r="F136" s="1">
        <v>36.0</v>
      </c>
      <c r="G136" s="1">
        <v>115.0</v>
      </c>
      <c r="H136" s="1">
        <v>1.1</v>
      </c>
      <c r="I136" s="1">
        <v>0.0</v>
      </c>
      <c r="J136" s="1">
        <v>167.7</v>
      </c>
      <c r="K136" s="18">
        <f t="shared" si="1"/>
        <v>7.126995646</v>
      </c>
      <c r="L136" s="18">
        <f t="shared" si="2"/>
        <v>33.51407925</v>
      </c>
      <c r="M136" s="118"/>
      <c r="N136" s="118"/>
      <c r="O136" s="11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B137" s="1" t="s">
        <v>48</v>
      </c>
      <c r="C137" s="1">
        <v>51.5</v>
      </c>
      <c r="D137" s="1">
        <v>647.0</v>
      </c>
      <c r="E137" s="1">
        <v>4.0</v>
      </c>
      <c r="F137" s="1">
        <v>22.1</v>
      </c>
      <c r="G137" s="1">
        <v>109.4</v>
      </c>
      <c r="H137" s="1">
        <v>1.0</v>
      </c>
      <c r="I137" s="1">
        <v>0.8</v>
      </c>
      <c r="J137" s="1">
        <v>154.3</v>
      </c>
      <c r="K137" s="18">
        <f t="shared" si="1"/>
        <v>6.779941945</v>
      </c>
      <c r="L137" s="18">
        <f t="shared" si="2"/>
        <v>31.82214452</v>
      </c>
      <c r="M137" s="118"/>
      <c r="N137" s="118"/>
      <c r="O137" s="11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1" t="s">
        <v>696</v>
      </c>
      <c r="B138" s="1" t="s">
        <v>155</v>
      </c>
      <c r="C138" s="1">
        <v>55.2</v>
      </c>
      <c r="D138" s="1">
        <v>722.7</v>
      </c>
      <c r="E138" s="1">
        <v>4.2</v>
      </c>
      <c r="F138" s="1">
        <v>15.5</v>
      </c>
      <c r="G138" s="1">
        <v>99.4</v>
      </c>
      <c r="H138" s="1">
        <v>0.9</v>
      </c>
      <c r="I138" s="1">
        <v>0.2</v>
      </c>
      <c r="J138" s="1">
        <v>167.5</v>
      </c>
      <c r="K138" s="18">
        <f t="shared" si="1"/>
        <v>6.160203193</v>
      </c>
      <c r="L138" s="18">
        <f t="shared" si="2"/>
        <v>35.54538462</v>
      </c>
      <c r="M138" s="112">
        <f>C140*Scoring!$B$34+D140/Scoring!$C$34+E140*Scoring!$D$34+WR!F140*Scoring!$E$34+WR!G140/Scoring!$F$34+WR!H140*Scoring!$G$34+WR!I140*Scoring!$H$34+K140*Scoring!$I$34+WR!L140*Scoring!$J$34+U138</f>
        <v>125.5</v>
      </c>
      <c r="N138" s="112">
        <f>C138*Scoring!$B$34+D138/Scoring!$C$34+E138*Scoring!$D$34+WR!F138*Scoring!$E$34+WR!G138/Scoring!$F$34+WR!H138*Scoring!$G$34+WR!I138*Scoring!$H$34+K138*Scoring!$I$34+WR!L138*Scoring!$J$34+U138</f>
        <v>140.01</v>
      </c>
      <c r="O138" s="112">
        <f>C139*Scoring!$B$34+D139/Scoring!$C$34+E139*Scoring!$D$34+WR!F139*Scoring!$E$34+WR!G139/Scoring!$F$34+WR!H139*Scoring!$G$34+WR!I139*Scoring!$H$34+K139*Scoring!$I$34+WR!L139*Scoring!$J$34+U138</f>
        <v>155.62</v>
      </c>
      <c r="P138" s="8">
        <f>IF(COUNTIF(Rookies!$A:$A,A138)&gt;0,1,0)</f>
        <v>0</v>
      </c>
      <c r="Q138" s="8"/>
      <c r="R138" s="8"/>
      <c r="S138" s="8">
        <f>V138/17</f>
        <v>8.235882353</v>
      </c>
      <c r="T138" s="8">
        <f>IF(P138=1,MAX(0,0.28*(12-S138)),0)</f>
        <v>0</v>
      </c>
      <c r="U138" s="8">
        <f>T138*17</f>
        <v>0</v>
      </c>
      <c r="V138" s="8">
        <f>C138*Scoring!$B$34+D138/Scoring!$C$34+E138*Scoring!$D$34+WR!F138*Scoring!$E$34+WR!G138/Scoring!$F$34+WR!H138*Scoring!$G$34+WR!I138*Scoring!$H$34+K138*Scoring!$I$34+WR!L138*Scoring!$J$34</f>
        <v>140.01</v>
      </c>
      <c r="W138" s="8"/>
      <c r="X138" s="8"/>
      <c r="Y138" s="8"/>
      <c r="Z138" s="8"/>
    </row>
    <row r="139" ht="14.25" customHeight="1">
      <c r="B139" s="1" t="s">
        <v>39</v>
      </c>
      <c r="C139" s="1">
        <v>57.0</v>
      </c>
      <c r="D139" s="1">
        <v>789.2</v>
      </c>
      <c r="E139" s="1">
        <v>4.6</v>
      </c>
      <c r="F139" s="1">
        <v>22.0</v>
      </c>
      <c r="G139" s="1">
        <v>146.0</v>
      </c>
      <c r="H139" s="1">
        <v>1.0</v>
      </c>
      <c r="I139" s="1">
        <v>0.0</v>
      </c>
      <c r="J139" s="1">
        <v>194.8</v>
      </c>
      <c r="K139" s="18">
        <f t="shared" si="1"/>
        <v>9.048185776</v>
      </c>
      <c r="L139" s="18">
        <f t="shared" si="2"/>
        <v>38.81613054</v>
      </c>
      <c r="M139" s="118"/>
      <c r="N139" s="118"/>
      <c r="O139" s="11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B140" s="1" t="s">
        <v>48</v>
      </c>
      <c r="C140" s="1">
        <v>53.0</v>
      </c>
      <c r="D140" s="1">
        <v>644.0</v>
      </c>
      <c r="E140" s="1">
        <v>4.0</v>
      </c>
      <c r="F140" s="1">
        <v>12.0</v>
      </c>
      <c r="G140" s="1">
        <v>76.0</v>
      </c>
      <c r="H140" s="1">
        <v>0.6</v>
      </c>
      <c r="I140" s="1">
        <v>0.3</v>
      </c>
      <c r="J140" s="1">
        <v>146.2</v>
      </c>
      <c r="K140" s="18">
        <f t="shared" si="1"/>
        <v>4.710014514</v>
      </c>
      <c r="L140" s="18">
        <f t="shared" si="2"/>
        <v>31.67459207</v>
      </c>
      <c r="M140" s="118"/>
      <c r="N140" s="118"/>
      <c r="O140" s="11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1" t="s">
        <v>699</v>
      </c>
      <c r="B141" s="1" t="s">
        <v>106</v>
      </c>
      <c r="C141" s="1">
        <v>67.0</v>
      </c>
      <c r="D141" s="1">
        <v>747.1</v>
      </c>
      <c r="E141" s="1">
        <v>4.2</v>
      </c>
      <c r="F141" s="1">
        <v>0.3</v>
      </c>
      <c r="G141" s="1">
        <v>0.7</v>
      </c>
      <c r="H141" s="1">
        <v>0.0</v>
      </c>
      <c r="I141" s="1">
        <v>0.2</v>
      </c>
      <c r="J141" s="1">
        <v>166.2</v>
      </c>
      <c r="K141" s="18">
        <f t="shared" si="1"/>
        <v>0.04338171263</v>
      </c>
      <c r="L141" s="18">
        <f t="shared" si="2"/>
        <v>36.74547786</v>
      </c>
      <c r="M141" s="112">
        <f>C143*Scoring!$B$34+D143/Scoring!$C$34+E143*Scoring!$D$34+WR!F143*Scoring!$E$34+WR!G143/Scoring!$F$34+WR!H143*Scoring!$G$34+WR!I143*Scoring!$H$34+K143*Scoring!$I$34+WR!L143*Scoring!$J$34+U141</f>
        <v>123.64</v>
      </c>
      <c r="N141" s="112">
        <f>C141*Scoring!$B$34+D141/Scoring!$C$34+E141*Scoring!$D$34+WR!F141*Scoring!$E$34+WR!G141/Scoring!$F$34+WR!H141*Scoring!$G$34+WR!I141*Scoring!$H$34+K141*Scoring!$I$34+WR!L141*Scoring!$J$34+U141</f>
        <v>133.08</v>
      </c>
      <c r="O141" s="112">
        <f>C142*Scoring!$B$34+D142/Scoring!$C$34+E142*Scoring!$D$34+WR!F142*Scoring!$E$34+WR!G142/Scoring!$F$34+WR!H142*Scoring!$G$34+WR!I142*Scoring!$H$34+K142*Scoring!$I$34+WR!L142*Scoring!$J$34+U141</f>
        <v>142.35</v>
      </c>
      <c r="P141" s="8">
        <f>IF(COUNTIF(Rookies!$A:$A,A141)&gt;0,1,0)</f>
        <v>0</v>
      </c>
      <c r="Q141" s="8"/>
      <c r="R141" s="8"/>
      <c r="S141" s="8">
        <f>V141/17</f>
        <v>7.828235294</v>
      </c>
      <c r="T141" s="8">
        <f>IF(P141=1,MAX(0,0.28*(12-S141)),0)</f>
        <v>0</v>
      </c>
      <c r="U141" s="8">
        <f>T141*17</f>
        <v>0</v>
      </c>
      <c r="V141" s="8">
        <f>C141*Scoring!$B$34+D141/Scoring!$C$34+E141*Scoring!$D$34+WR!F141*Scoring!$E$34+WR!G141/Scoring!$F$34+WR!H141*Scoring!$G$34+WR!I141*Scoring!$H$34+K141*Scoring!$I$34+WR!L141*Scoring!$J$34</f>
        <v>133.08</v>
      </c>
      <c r="W141" s="8"/>
      <c r="X141" s="8"/>
      <c r="Y141" s="8"/>
      <c r="Z141" s="8"/>
    </row>
    <row r="142" ht="14.25" customHeight="1">
      <c r="B142" s="1" t="s">
        <v>39</v>
      </c>
      <c r="C142" s="1">
        <v>71.1</v>
      </c>
      <c r="D142" s="1">
        <v>766.0</v>
      </c>
      <c r="E142" s="1">
        <v>5.0</v>
      </c>
      <c r="F142" s="1">
        <v>1.0</v>
      </c>
      <c r="G142" s="1">
        <v>2.0</v>
      </c>
      <c r="H142" s="1">
        <v>0.0</v>
      </c>
      <c r="I142" s="1">
        <v>0.0</v>
      </c>
      <c r="J142" s="1">
        <v>204.6</v>
      </c>
      <c r="K142" s="18">
        <f t="shared" si="1"/>
        <v>0.1239477504</v>
      </c>
      <c r="L142" s="18">
        <f t="shared" si="2"/>
        <v>37.67505828</v>
      </c>
      <c r="M142" s="118"/>
      <c r="N142" s="118"/>
      <c r="O142" s="11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B143" s="1" t="s">
        <v>48</v>
      </c>
      <c r="C143" s="1">
        <v>62.0</v>
      </c>
      <c r="D143" s="1">
        <v>726.4</v>
      </c>
      <c r="E143" s="1">
        <v>3.5</v>
      </c>
      <c r="F143" s="1">
        <v>0.0</v>
      </c>
      <c r="G143" s="1">
        <v>0.0</v>
      </c>
      <c r="H143" s="1">
        <v>0.0</v>
      </c>
      <c r="I143" s="1">
        <v>0.5</v>
      </c>
      <c r="J143" s="1">
        <v>158.0</v>
      </c>
      <c r="K143" s="18">
        <f t="shared" si="1"/>
        <v>0</v>
      </c>
      <c r="L143" s="18">
        <f t="shared" si="2"/>
        <v>35.72736597</v>
      </c>
      <c r="M143" s="118"/>
      <c r="N143" s="118"/>
      <c r="O143" s="11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1" t="s">
        <v>702</v>
      </c>
      <c r="B144" s="1" t="s">
        <v>18</v>
      </c>
      <c r="C144" s="1">
        <v>69.7</v>
      </c>
      <c r="D144" s="1">
        <v>726.3</v>
      </c>
      <c r="E144" s="1">
        <v>3.9</v>
      </c>
      <c r="F144" s="1">
        <v>1.1</v>
      </c>
      <c r="G144" s="1">
        <v>5.5</v>
      </c>
      <c r="H144" s="1">
        <v>0.0</v>
      </c>
      <c r="I144" s="1">
        <v>0.8</v>
      </c>
      <c r="J144" s="1">
        <v>164.9</v>
      </c>
      <c r="K144" s="18">
        <f t="shared" si="1"/>
        <v>0.3408563135</v>
      </c>
      <c r="L144" s="18">
        <f t="shared" si="2"/>
        <v>35.72244755</v>
      </c>
      <c r="M144" s="112">
        <f>C146*Scoring!$B$34+D146/Scoring!$C$34+E146*Scoring!$D$34+WR!F146*Scoring!$E$34+WR!G146/Scoring!$F$34+WR!H146*Scoring!$G$34+WR!I146*Scoring!$H$34+K146*Scoring!$I$34+WR!L146*Scoring!$J$34+U144</f>
        <v>118.5</v>
      </c>
      <c r="N144" s="112">
        <f>C144*Scoring!$B$34+D144/Scoring!$C$34+E144*Scoring!$D$34+WR!F144*Scoring!$E$34+WR!G144/Scoring!$F$34+WR!H144*Scoring!$G$34+WR!I144*Scoring!$H$34+K144*Scoring!$I$34+WR!L144*Scoring!$J$34+U144</f>
        <v>129.83</v>
      </c>
      <c r="O144" s="112">
        <f>C145*Scoring!$B$34+D145/Scoring!$C$34+E145*Scoring!$D$34+WR!F145*Scoring!$E$34+WR!G145/Scoring!$F$34+WR!H145*Scoring!$G$34+WR!I145*Scoring!$H$34+K145*Scoring!$I$34+WR!L145*Scoring!$J$34+U144</f>
        <v>137.25</v>
      </c>
      <c r="P144" s="8">
        <f>IF(COUNTIF(Rookies!$A:$A,A144)&gt;0,1,0)</f>
        <v>0</v>
      </c>
      <c r="Q144" s="8"/>
      <c r="R144" s="8"/>
      <c r="S144" s="8">
        <f>V144/17</f>
        <v>7.637058824</v>
      </c>
      <c r="T144" s="8">
        <f>IF(P144=1,MAX(0,0.28*(12-S144)),0)</f>
        <v>0</v>
      </c>
      <c r="U144" s="8">
        <f>T144*17</f>
        <v>0</v>
      </c>
      <c r="V144" s="8">
        <f>C144*Scoring!$B$34+D144/Scoring!$C$34+E144*Scoring!$D$34+WR!F144*Scoring!$E$34+WR!G144/Scoring!$F$34+WR!H144*Scoring!$G$34+WR!I144*Scoring!$H$34+K144*Scoring!$I$34+WR!L144*Scoring!$J$34</f>
        <v>129.83</v>
      </c>
      <c r="W144" s="8"/>
      <c r="X144" s="8"/>
      <c r="Y144" s="8"/>
      <c r="Z144" s="8"/>
    </row>
    <row r="145" ht="14.25" customHeight="1">
      <c r="B145" s="1" t="s">
        <v>39</v>
      </c>
      <c r="C145" s="1">
        <v>72.0</v>
      </c>
      <c r="D145" s="1">
        <v>766.0</v>
      </c>
      <c r="E145" s="1">
        <v>4.0</v>
      </c>
      <c r="F145" s="1">
        <v>2.3</v>
      </c>
      <c r="G145" s="1">
        <v>12.5</v>
      </c>
      <c r="H145" s="1">
        <v>0.1</v>
      </c>
      <c r="I145" s="1">
        <v>0.6</v>
      </c>
      <c r="J145" s="1">
        <v>206.3</v>
      </c>
      <c r="K145" s="18">
        <f t="shared" si="1"/>
        <v>0.7746734398</v>
      </c>
      <c r="L145" s="18">
        <f t="shared" si="2"/>
        <v>37.67505828</v>
      </c>
      <c r="M145" s="118"/>
      <c r="N145" s="118"/>
      <c r="O145" s="11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B146" s="1" t="s">
        <v>48</v>
      </c>
      <c r="C146" s="1">
        <v>67.0</v>
      </c>
      <c r="D146" s="1">
        <v>648.0</v>
      </c>
      <c r="E146" s="1">
        <v>3.7</v>
      </c>
      <c r="F146" s="1">
        <v>0.0</v>
      </c>
      <c r="G146" s="1">
        <v>0.0</v>
      </c>
      <c r="H146" s="1">
        <v>0.0</v>
      </c>
      <c r="I146" s="1">
        <v>1.0</v>
      </c>
      <c r="J146" s="1">
        <v>147.7</v>
      </c>
      <c r="K146" s="18">
        <f t="shared" si="1"/>
        <v>0</v>
      </c>
      <c r="L146" s="18">
        <f t="shared" si="2"/>
        <v>31.87132867</v>
      </c>
      <c r="M146" s="118"/>
      <c r="N146" s="118"/>
      <c r="O146" s="11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1" t="s">
        <v>706</v>
      </c>
      <c r="B147" s="1" t="s">
        <v>193</v>
      </c>
      <c r="C147" s="1">
        <v>68.8</v>
      </c>
      <c r="D147" s="1">
        <v>704.9</v>
      </c>
      <c r="E147" s="1">
        <v>4.2</v>
      </c>
      <c r="F147" s="1">
        <v>1.4</v>
      </c>
      <c r="G147" s="1">
        <v>4.2</v>
      </c>
      <c r="H147" s="1">
        <v>0.0</v>
      </c>
      <c r="I147" s="1">
        <v>0.8</v>
      </c>
      <c r="J147" s="1">
        <v>163.7</v>
      </c>
      <c r="K147" s="18">
        <f t="shared" si="1"/>
        <v>0.2602902758</v>
      </c>
      <c r="L147" s="18">
        <f t="shared" si="2"/>
        <v>34.66990676</v>
      </c>
      <c r="M147" s="112">
        <f>C149*Scoring!$B$34+D149/Scoring!$C$34+E149*Scoring!$D$34+WR!F149*Scoring!$E$34+WR!G149/Scoring!$F$34+WR!H149*Scoring!$G$34+WR!I149*Scoring!$H$34+K149*Scoring!$I$34+WR!L149*Scoring!$J$34+U147</f>
        <v>117.88</v>
      </c>
      <c r="N147" s="112">
        <f>C147*Scoring!$B$34+D147/Scoring!$C$34+E147*Scoring!$D$34+WR!F147*Scoring!$E$34+WR!G147/Scoring!$F$34+WR!H147*Scoring!$G$34+WR!I147*Scoring!$H$34+K147*Scoring!$I$34+WR!L147*Scoring!$J$34+U147</f>
        <v>128.91</v>
      </c>
      <c r="O147" s="112">
        <f>C148*Scoring!$B$34+D148/Scoring!$C$34+E148*Scoring!$D$34+WR!F148*Scoring!$E$34+WR!G148/Scoring!$F$34+WR!H148*Scoring!$G$34+WR!I148*Scoring!$H$34+K148*Scoring!$I$34+WR!L148*Scoring!$J$34+U147</f>
        <v>142.82</v>
      </c>
      <c r="P147" s="8">
        <f>IF(COUNTIF(Rookies!$A:$A,A147)&gt;0,1,0)</f>
        <v>0</v>
      </c>
      <c r="Q147" s="8"/>
      <c r="R147" s="8"/>
      <c r="S147" s="8">
        <f>V147/17</f>
        <v>7.582941176</v>
      </c>
      <c r="T147" s="8">
        <f>IF(P147=1,MAX(0,0.28*(12-S147)),0)</f>
        <v>0</v>
      </c>
      <c r="U147" s="8">
        <f>T147*17</f>
        <v>0</v>
      </c>
      <c r="V147" s="8">
        <f>C147*Scoring!$B$34+D147/Scoring!$C$34+E147*Scoring!$D$34+WR!F147*Scoring!$E$34+WR!G147/Scoring!$F$34+WR!H147*Scoring!$G$34+WR!I147*Scoring!$H$34+K147*Scoring!$I$34+WR!L147*Scoring!$J$34</f>
        <v>128.91</v>
      </c>
      <c r="W147" s="8"/>
      <c r="X147" s="8"/>
      <c r="Y147" s="8"/>
      <c r="Z147" s="8"/>
    </row>
    <row r="148" ht="14.25" customHeight="1">
      <c r="B148" s="1" t="s">
        <v>39</v>
      </c>
      <c r="C148" s="1">
        <v>70.5</v>
      </c>
      <c r="D148" s="1">
        <v>711.0</v>
      </c>
      <c r="E148" s="1">
        <v>6.0</v>
      </c>
      <c r="F148" s="1">
        <v>2.1</v>
      </c>
      <c r="G148" s="1">
        <v>10.7</v>
      </c>
      <c r="H148" s="1">
        <v>0.1</v>
      </c>
      <c r="I148" s="1">
        <v>0.6</v>
      </c>
      <c r="J148" s="1">
        <v>197.5</v>
      </c>
      <c r="K148" s="18">
        <f t="shared" si="1"/>
        <v>0.6631204644</v>
      </c>
      <c r="L148" s="18">
        <f t="shared" si="2"/>
        <v>34.96993007</v>
      </c>
      <c r="M148" s="118"/>
      <c r="N148" s="118"/>
      <c r="O148" s="11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B149" s="1" t="s">
        <v>48</v>
      </c>
      <c r="C149" s="1">
        <v>68.0</v>
      </c>
      <c r="D149" s="1">
        <v>696.8</v>
      </c>
      <c r="E149" s="1">
        <v>2.7</v>
      </c>
      <c r="F149" s="1">
        <v>0.0</v>
      </c>
      <c r="G149" s="1">
        <v>0.0</v>
      </c>
      <c r="H149" s="1">
        <v>0.0</v>
      </c>
      <c r="I149" s="1">
        <v>1.0</v>
      </c>
      <c r="J149" s="1">
        <v>156.1</v>
      </c>
      <c r="K149" s="18">
        <f t="shared" si="1"/>
        <v>0</v>
      </c>
      <c r="L149" s="18">
        <f t="shared" si="2"/>
        <v>34.27151515</v>
      </c>
      <c r="M149" s="118"/>
      <c r="N149" s="118"/>
      <c r="O149" s="11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1" t="s">
        <v>709</v>
      </c>
      <c r="B150" s="1" t="s">
        <v>94</v>
      </c>
      <c r="C150" s="1">
        <v>57.2</v>
      </c>
      <c r="D150" s="1">
        <v>744.3</v>
      </c>
      <c r="E150" s="1">
        <v>5.4</v>
      </c>
      <c r="F150" s="1">
        <v>0.0</v>
      </c>
      <c r="G150" s="1">
        <v>0.0</v>
      </c>
      <c r="H150" s="1">
        <v>0.0</v>
      </c>
      <c r="I150" s="1">
        <v>0.3</v>
      </c>
      <c r="J150" s="1">
        <v>163.7</v>
      </c>
      <c r="K150" s="18">
        <f t="shared" si="1"/>
        <v>0</v>
      </c>
      <c r="L150" s="18">
        <f t="shared" si="2"/>
        <v>36.60776224</v>
      </c>
      <c r="M150" s="112">
        <f>C152*Scoring!$B$34+D152/Scoring!$C$34+E152*Scoring!$D$34+WR!F152*Scoring!$E$34+WR!G152/Scoring!$F$34+WR!H152*Scoring!$G$34+WR!I152*Scoring!$H$34+K152*Scoring!$I$34+WR!L152*Scoring!$J$34+U150</f>
        <v>121.89</v>
      </c>
      <c r="N150" s="112">
        <f>C150*Scoring!$B$34+D150/Scoring!$C$34+E150*Scoring!$D$34+WR!F150*Scoring!$E$34+WR!G150/Scoring!$F$34+WR!H150*Scoring!$G$34+WR!I150*Scoring!$H$34+K150*Scoring!$I$34+WR!L150*Scoring!$J$34+U150</f>
        <v>134.83</v>
      </c>
      <c r="O150" s="112">
        <f>C151*Scoring!$B$34+D151/Scoring!$C$34+E151*Scoring!$D$34+WR!F151*Scoring!$E$34+WR!G151/Scoring!$F$34+WR!H151*Scoring!$G$34+WR!I151*Scoring!$H$34+K151*Scoring!$I$34+WR!L151*Scoring!$J$34+U150</f>
        <v>147.3</v>
      </c>
      <c r="P150" s="8">
        <f>IF(COUNTIF(Rookies!$A:$A,A150)&gt;0,1,0)</f>
        <v>0</v>
      </c>
      <c r="Q150" s="8"/>
      <c r="R150" s="8"/>
      <c r="S150" s="8">
        <f>V150/17</f>
        <v>7.931176471</v>
      </c>
      <c r="T150" s="8">
        <f>IF(P150=1,MAX(0,0.28*(12-S150)),0)</f>
        <v>0</v>
      </c>
      <c r="U150" s="8">
        <f>T150*17</f>
        <v>0</v>
      </c>
      <c r="V150" s="8">
        <f>C150*Scoring!$B$34+D150/Scoring!$C$34+E150*Scoring!$D$34+WR!F150*Scoring!$E$34+WR!G150/Scoring!$F$34+WR!H150*Scoring!$G$34+WR!I150*Scoring!$H$34+K150*Scoring!$I$34+WR!L150*Scoring!$J$34</f>
        <v>134.83</v>
      </c>
      <c r="W150" s="8"/>
      <c r="X150" s="8"/>
      <c r="Y150" s="8"/>
      <c r="Z150" s="8"/>
    </row>
    <row r="151" ht="14.25" customHeight="1">
      <c r="B151" s="1" t="s">
        <v>39</v>
      </c>
      <c r="C151" s="1">
        <v>61.0</v>
      </c>
      <c r="D151" s="1">
        <v>808.0</v>
      </c>
      <c r="E151" s="1">
        <v>6.0</v>
      </c>
      <c r="F151" s="1">
        <v>0.0</v>
      </c>
      <c r="G151" s="1">
        <v>0.0</v>
      </c>
      <c r="H151" s="1">
        <v>0.0</v>
      </c>
      <c r="I151" s="1">
        <v>0.0</v>
      </c>
      <c r="J151" s="1">
        <v>192.1</v>
      </c>
      <c r="K151" s="18">
        <f t="shared" si="1"/>
        <v>0</v>
      </c>
      <c r="L151" s="18">
        <f t="shared" si="2"/>
        <v>39.74079254</v>
      </c>
      <c r="M151" s="118"/>
      <c r="N151" s="118"/>
      <c r="O151" s="11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B152" s="1" t="s">
        <v>48</v>
      </c>
      <c r="C152" s="1">
        <v>52.6</v>
      </c>
      <c r="D152" s="1">
        <v>665.9</v>
      </c>
      <c r="E152" s="1">
        <v>5.0</v>
      </c>
      <c r="F152" s="1">
        <v>0.0</v>
      </c>
      <c r="G152" s="1">
        <v>0.0</v>
      </c>
      <c r="H152" s="1">
        <v>0.0</v>
      </c>
      <c r="I152" s="1">
        <v>0.5</v>
      </c>
      <c r="J152" s="1">
        <v>154.8</v>
      </c>
      <c r="K152" s="18">
        <f t="shared" si="1"/>
        <v>0</v>
      </c>
      <c r="L152" s="18">
        <f t="shared" si="2"/>
        <v>32.75172494</v>
      </c>
      <c r="M152" s="118"/>
      <c r="N152" s="118"/>
      <c r="O152" s="11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1" t="s">
        <v>712</v>
      </c>
      <c r="B153" s="1" t="s">
        <v>199</v>
      </c>
      <c r="C153" s="1">
        <v>55.9</v>
      </c>
      <c r="D153" s="1">
        <v>758.7</v>
      </c>
      <c r="E153" s="1">
        <v>4.6</v>
      </c>
      <c r="F153" s="1">
        <v>5.5</v>
      </c>
      <c r="G153" s="1">
        <v>27.3</v>
      </c>
      <c r="H153" s="1">
        <v>0.1</v>
      </c>
      <c r="I153" s="1">
        <v>0.4</v>
      </c>
      <c r="J153" s="1">
        <v>161.5</v>
      </c>
      <c r="K153" s="18">
        <f t="shared" si="1"/>
        <v>1.691886792</v>
      </c>
      <c r="L153" s="18">
        <f t="shared" si="2"/>
        <v>37.31601399</v>
      </c>
      <c r="M153" s="112">
        <f>C155*Scoring!$B$34+D155/Scoring!$C$34+E155*Scoring!$D$34+WR!F155*Scoring!$E$34+WR!G155/Scoring!$F$34+WR!H155*Scoring!$G$34+WR!I155*Scoring!$H$34+K155*Scoring!$I$34+WR!L155*Scoring!$J$34+U153</f>
        <v>116.3</v>
      </c>
      <c r="N153" s="112">
        <f>C153*Scoring!$B$34+D153/Scoring!$C$34+E153*Scoring!$D$34+WR!F153*Scoring!$E$34+WR!G153/Scoring!$F$34+WR!H153*Scoring!$G$34+WR!I153*Scoring!$H$34+K153*Scoring!$I$34+WR!L153*Scoring!$J$34+U153</f>
        <v>133.95</v>
      </c>
      <c r="O153" s="112">
        <f>C154*Scoring!$B$34+D154/Scoring!$C$34+E154*Scoring!$D$34+WR!F154*Scoring!$E$34+WR!G154/Scoring!$F$34+WR!H154*Scoring!$G$34+WR!I154*Scoring!$H$34+K154*Scoring!$I$34+WR!L154*Scoring!$J$34+U153</f>
        <v>157.26</v>
      </c>
      <c r="P153" s="8">
        <f>IF(COUNTIF(Rookies!$A:$A,A153)&gt;0,1,0)</f>
        <v>0</v>
      </c>
      <c r="Q153" s="8"/>
      <c r="R153" s="8"/>
      <c r="S153" s="8">
        <f>V153/17</f>
        <v>7.879411765</v>
      </c>
      <c r="T153" s="8">
        <f>IF(P153=1,MAX(0,0.28*(12-S153)),0)</f>
        <v>0</v>
      </c>
      <c r="U153" s="8">
        <f>T153*17</f>
        <v>0</v>
      </c>
      <c r="V153" s="8">
        <f>C153*Scoring!$B$34+D153/Scoring!$C$34+E153*Scoring!$D$34+WR!F153*Scoring!$E$34+WR!G153/Scoring!$F$34+WR!H153*Scoring!$G$34+WR!I153*Scoring!$H$34+K153*Scoring!$I$34+WR!L153*Scoring!$J$34</f>
        <v>133.95</v>
      </c>
      <c r="W153" s="8"/>
      <c r="X153" s="8"/>
      <c r="Y153" s="8"/>
      <c r="Z153" s="8"/>
    </row>
    <row r="154" ht="14.25" customHeight="1">
      <c r="B154" s="1" t="s">
        <v>39</v>
      </c>
      <c r="C154" s="1">
        <v>66.7</v>
      </c>
      <c r="D154" s="1">
        <v>870.1</v>
      </c>
      <c r="E154" s="1">
        <v>5.0</v>
      </c>
      <c r="F154" s="1">
        <v>12.0</v>
      </c>
      <c r="G154" s="1">
        <v>57.0</v>
      </c>
      <c r="H154" s="1">
        <v>0.2</v>
      </c>
      <c r="I154" s="1">
        <v>0.0</v>
      </c>
      <c r="J154" s="1">
        <v>183.1</v>
      </c>
      <c r="K154" s="18">
        <f t="shared" si="1"/>
        <v>3.532510885</v>
      </c>
      <c r="L154" s="18">
        <f t="shared" si="2"/>
        <v>42.79512821</v>
      </c>
      <c r="M154" s="118"/>
      <c r="N154" s="118"/>
      <c r="O154" s="11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B155" s="1" t="s">
        <v>48</v>
      </c>
      <c r="C155" s="1">
        <v>47.0</v>
      </c>
      <c r="D155" s="1">
        <v>702.0</v>
      </c>
      <c r="E155" s="1">
        <v>4.0</v>
      </c>
      <c r="F155" s="1">
        <v>0.0</v>
      </c>
      <c r="G155" s="1">
        <v>0.0</v>
      </c>
      <c r="H155" s="1">
        <v>0.0</v>
      </c>
      <c r="I155" s="1">
        <v>0.7</v>
      </c>
      <c r="J155" s="1">
        <v>144.9</v>
      </c>
      <c r="K155" s="18">
        <f t="shared" si="1"/>
        <v>0</v>
      </c>
      <c r="L155" s="18">
        <f t="shared" si="2"/>
        <v>34.52727273</v>
      </c>
      <c r="M155" s="118"/>
      <c r="N155" s="118"/>
      <c r="O155" s="11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1" t="s">
        <v>715</v>
      </c>
      <c r="B156" s="1" t="s">
        <v>226</v>
      </c>
      <c r="C156" s="1">
        <v>61.0</v>
      </c>
      <c r="D156" s="1">
        <v>778.6</v>
      </c>
      <c r="E156" s="1">
        <v>3.6</v>
      </c>
      <c r="F156" s="1">
        <v>4.2</v>
      </c>
      <c r="G156" s="1">
        <v>22.5</v>
      </c>
      <c r="H156" s="1">
        <v>0.1</v>
      </c>
      <c r="I156" s="1">
        <v>1.3</v>
      </c>
      <c r="J156" s="1">
        <v>160.6</v>
      </c>
      <c r="K156" s="18">
        <f t="shared" si="1"/>
        <v>1.394412192</v>
      </c>
      <c r="L156" s="18">
        <f t="shared" si="2"/>
        <v>38.29477855</v>
      </c>
      <c r="M156" s="112">
        <f>C158*Scoring!$B$34+D158/Scoring!$C$34+E158*Scoring!$D$34+WR!F158*Scoring!$E$34+WR!G158/Scoring!$F$34+WR!H158*Scoring!$G$34+WR!I158*Scoring!$H$34+K158*Scoring!$I$34+WR!L158*Scoring!$J$34+U156</f>
        <v>138.6312</v>
      </c>
      <c r="N156" s="112">
        <f>C156*Scoring!$B$34+D156/Scoring!$C$34+E156*Scoring!$D$34+WR!F156*Scoring!$E$34+WR!G156/Scoring!$F$34+WR!H156*Scoring!$G$34+WR!I156*Scoring!$H$34+K156*Scoring!$I$34+WR!L156*Scoring!$J$34+U156</f>
        <v>150.8712</v>
      </c>
      <c r="O156" s="112">
        <f>C157*Scoring!$B$34+D157/Scoring!$C$34+E157*Scoring!$D$34+WR!F157*Scoring!$E$34+WR!G157/Scoring!$F$34+WR!H157*Scoring!$G$34+WR!I157*Scoring!$H$34+K157*Scoring!$I$34+WR!L157*Scoring!$J$34+U156</f>
        <v>162.9612</v>
      </c>
      <c r="P156" s="8">
        <f>IF(COUNTIF(Rookies!$A:$A,A156)&gt;0,1,0)</f>
        <v>1</v>
      </c>
      <c r="Q156" s="8"/>
      <c r="R156" s="8"/>
      <c r="S156" s="8">
        <f>V156/17</f>
        <v>7.659411765</v>
      </c>
      <c r="T156" s="8">
        <f>IF(P156=1,MAX(0,0.28*(12-S156)),0)</f>
        <v>1.215364706</v>
      </c>
      <c r="U156" s="8">
        <f>T156*17</f>
        <v>20.6612</v>
      </c>
      <c r="V156" s="8">
        <f>C156*Scoring!$B$34+D156/Scoring!$C$34+E156*Scoring!$D$34+WR!F156*Scoring!$E$34+WR!G156/Scoring!$F$34+WR!H156*Scoring!$G$34+WR!I156*Scoring!$H$34+K156*Scoring!$I$34+WR!L156*Scoring!$J$34</f>
        <v>130.21</v>
      </c>
      <c r="W156" s="8"/>
      <c r="X156" s="8"/>
      <c r="Y156" s="8"/>
      <c r="Z156" s="8"/>
    </row>
    <row r="157" ht="14.25" customHeight="1">
      <c r="B157" s="1" t="s">
        <v>39</v>
      </c>
      <c r="C157" s="1">
        <v>64.0</v>
      </c>
      <c r="D157" s="1">
        <v>830.0</v>
      </c>
      <c r="E157" s="1">
        <v>4.0</v>
      </c>
      <c r="F157" s="1">
        <v>6.4</v>
      </c>
      <c r="G157" s="1">
        <v>35.0</v>
      </c>
      <c r="H157" s="1">
        <v>0.2</v>
      </c>
      <c r="I157" s="1">
        <v>0.7</v>
      </c>
      <c r="J157" s="1">
        <v>157.1</v>
      </c>
      <c r="K157" s="18">
        <f t="shared" si="1"/>
        <v>2.169085631</v>
      </c>
      <c r="L157" s="18">
        <f t="shared" si="2"/>
        <v>40.82284382</v>
      </c>
      <c r="M157" s="118"/>
      <c r="N157" s="118"/>
      <c r="O157" s="11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B158" s="1" t="s">
        <v>48</v>
      </c>
      <c r="C158" s="1">
        <v>58.1</v>
      </c>
      <c r="D158" s="1">
        <v>727.2</v>
      </c>
      <c r="E158" s="1">
        <v>3.2</v>
      </c>
      <c r="F158" s="1">
        <v>2.0</v>
      </c>
      <c r="G158" s="1">
        <v>10.0</v>
      </c>
      <c r="H158" s="1">
        <v>0.0</v>
      </c>
      <c r="I158" s="1">
        <v>2.0</v>
      </c>
      <c r="J158" s="1">
        <v>154.0</v>
      </c>
      <c r="K158" s="18">
        <f t="shared" si="1"/>
        <v>0.6197387518</v>
      </c>
      <c r="L158" s="18">
        <f t="shared" si="2"/>
        <v>35.76671329</v>
      </c>
      <c r="M158" s="118"/>
      <c r="N158" s="118"/>
      <c r="O158" s="11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1" t="s">
        <v>719</v>
      </c>
      <c r="B159" s="1" t="s">
        <v>208</v>
      </c>
      <c r="C159" s="1">
        <v>60.7</v>
      </c>
      <c r="D159" s="1">
        <v>718.0</v>
      </c>
      <c r="E159" s="1">
        <v>4.5</v>
      </c>
      <c r="F159" s="1">
        <v>0.0</v>
      </c>
      <c r="G159" s="1">
        <v>0.0</v>
      </c>
      <c r="H159" s="1">
        <v>0.0</v>
      </c>
      <c r="I159" s="1">
        <v>0.8</v>
      </c>
      <c r="J159" s="1">
        <v>157.8</v>
      </c>
      <c r="K159" s="18">
        <f t="shared" si="1"/>
        <v>0</v>
      </c>
      <c r="L159" s="18">
        <f t="shared" si="2"/>
        <v>35.31421911</v>
      </c>
      <c r="M159" s="112">
        <f>C161*Scoring!$B$34+D161/Scoring!$C$34+E161*Scoring!$D$34+WR!F161*Scoring!$E$34+WR!G161/Scoring!$F$34+WR!H161*Scoring!$G$34+WR!I161*Scoring!$H$34+K161*Scoring!$I$34+WR!L161*Scoring!$J$34+U159</f>
        <v>114.9</v>
      </c>
      <c r="N159" s="112">
        <f>C159*Scoring!$B$34+D159/Scoring!$C$34+E159*Scoring!$D$34+WR!F159*Scoring!$E$34+WR!G159/Scoring!$F$34+WR!H159*Scoring!$G$34+WR!I159*Scoring!$H$34+K159*Scoring!$I$34+WR!L159*Scoring!$J$34+U159</f>
        <v>127.55</v>
      </c>
      <c r="O159" s="112">
        <f>C160*Scoring!$B$34+D160/Scoring!$C$34+E160*Scoring!$D$34+WR!F160*Scoring!$E$34+WR!G160/Scoring!$F$34+WR!H160*Scoring!$G$34+WR!I160*Scoring!$H$34+K160*Scoring!$I$34+WR!L160*Scoring!$J$34+U159</f>
        <v>140.2</v>
      </c>
      <c r="P159" s="8">
        <f>IF(COUNTIF(Rookies!$A:$A,A159)&gt;0,1,0)</f>
        <v>0</v>
      </c>
      <c r="Q159" s="8"/>
      <c r="R159" s="8"/>
      <c r="S159" s="8">
        <f>V159/17</f>
        <v>7.502941176</v>
      </c>
      <c r="T159" s="8">
        <f>IF(P159=1,MAX(0,0.28*(12-S159)),0)</f>
        <v>0</v>
      </c>
      <c r="U159" s="8">
        <f>T159*17</f>
        <v>0</v>
      </c>
      <c r="V159" s="8">
        <f>C159*Scoring!$B$34+D159/Scoring!$C$34+E159*Scoring!$D$34+WR!F159*Scoring!$E$34+WR!G159/Scoring!$F$34+WR!H159*Scoring!$G$34+WR!I159*Scoring!$H$34+K159*Scoring!$I$34+WR!L159*Scoring!$J$34</f>
        <v>127.55</v>
      </c>
      <c r="W159" s="8"/>
      <c r="X159" s="8"/>
      <c r="Y159" s="8"/>
      <c r="Z159" s="8"/>
    </row>
    <row r="160" ht="14.25" customHeight="1">
      <c r="B160" s="1" t="s">
        <v>39</v>
      </c>
      <c r="C160" s="1">
        <v>61.4</v>
      </c>
      <c r="D160" s="1">
        <v>747.0</v>
      </c>
      <c r="E160" s="1">
        <v>6.0</v>
      </c>
      <c r="F160" s="1">
        <v>0.0</v>
      </c>
      <c r="G160" s="1">
        <v>0.0</v>
      </c>
      <c r="H160" s="1">
        <v>0.0</v>
      </c>
      <c r="I160" s="1">
        <v>0.6</v>
      </c>
      <c r="J160" s="1">
        <v>160.7</v>
      </c>
      <c r="K160" s="18">
        <f t="shared" si="1"/>
        <v>0</v>
      </c>
      <c r="L160" s="18">
        <f t="shared" si="2"/>
        <v>36.74055944</v>
      </c>
      <c r="M160" s="118"/>
      <c r="N160" s="118"/>
      <c r="O160" s="11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B161" s="1" t="s">
        <v>48</v>
      </c>
      <c r="C161" s="1">
        <v>60.0</v>
      </c>
      <c r="D161" s="1">
        <v>689.0</v>
      </c>
      <c r="E161" s="1">
        <v>3.0</v>
      </c>
      <c r="F161" s="1">
        <v>0.0</v>
      </c>
      <c r="G161" s="1">
        <v>0.0</v>
      </c>
      <c r="H161" s="1">
        <v>0.0</v>
      </c>
      <c r="I161" s="1">
        <v>1.0</v>
      </c>
      <c r="J161" s="1">
        <v>146.5</v>
      </c>
      <c r="K161" s="18">
        <f t="shared" si="1"/>
        <v>0</v>
      </c>
      <c r="L161" s="18">
        <f t="shared" si="2"/>
        <v>33.88787879</v>
      </c>
      <c r="M161" s="118"/>
      <c r="N161" s="118"/>
      <c r="O161" s="11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1" t="s">
        <v>721</v>
      </c>
      <c r="B162" s="1" t="s">
        <v>202</v>
      </c>
      <c r="C162" s="1">
        <v>49.9</v>
      </c>
      <c r="D162" s="1">
        <v>755.8</v>
      </c>
      <c r="E162" s="1">
        <v>3.8</v>
      </c>
      <c r="F162" s="1">
        <v>13.4</v>
      </c>
      <c r="G162" s="1">
        <v>88.9</v>
      </c>
      <c r="H162" s="1">
        <v>0.3</v>
      </c>
      <c r="I162" s="1">
        <v>0.8</v>
      </c>
      <c r="J162" s="1">
        <v>156.8</v>
      </c>
      <c r="K162" s="18">
        <f t="shared" si="1"/>
        <v>5.509477504</v>
      </c>
      <c r="L162" s="18">
        <f t="shared" si="2"/>
        <v>37.17337995</v>
      </c>
      <c r="M162" s="112">
        <f>C164*Scoring!$B$34+D164/Scoring!$C$34+E164*Scoring!$D$34+WR!F164*Scoring!$E$34+WR!G164/Scoring!$F$34+WR!H164*Scoring!$G$34+WR!I164*Scoring!$H$34+K164*Scoring!$I$34+WR!L164*Scoring!$J$34+U162</f>
        <v>113.72</v>
      </c>
      <c r="N162" s="112">
        <f>C162*Scoring!$B$34+D162/Scoring!$C$34+E162*Scoring!$D$34+WR!F162*Scoring!$E$34+WR!G162/Scoring!$F$34+WR!H162*Scoring!$G$34+WR!I162*Scoring!$H$34+K162*Scoring!$I$34+WR!L162*Scoring!$J$34+U162</f>
        <v>132.42</v>
      </c>
      <c r="O162" s="112">
        <f>C163*Scoring!$B$34+D163/Scoring!$C$34+E163*Scoring!$D$34+WR!F163*Scoring!$E$34+WR!G163/Scoring!$F$34+WR!H163*Scoring!$G$34+WR!I163*Scoring!$H$34+K163*Scoring!$I$34+WR!L163*Scoring!$J$34+U162</f>
        <v>149.9</v>
      </c>
      <c r="P162" s="8">
        <f>IF(COUNTIF(Rookies!$A:$A,A162)&gt;0,1,0)</f>
        <v>0</v>
      </c>
      <c r="Q162" s="8"/>
      <c r="R162" s="8"/>
      <c r="S162" s="8">
        <f>V162/17</f>
        <v>7.789411765</v>
      </c>
      <c r="T162" s="8">
        <f>IF(P162=1,MAX(0,0.28*(12-S162)),0)</f>
        <v>0</v>
      </c>
      <c r="U162" s="8">
        <f>T162*17</f>
        <v>0</v>
      </c>
      <c r="V162" s="8">
        <f>C162*Scoring!$B$34+D162/Scoring!$C$34+E162*Scoring!$D$34+WR!F162*Scoring!$E$34+WR!G162/Scoring!$F$34+WR!H162*Scoring!$G$34+WR!I162*Scoring!$H$34+K162*Scoring!$I$34+WR!L162*Scoring!$J$34</f>
        <v>132.42</v>
      </c>
      <c r="W162" s="8"/>
      <c r="X162" s="8"/>
      <c r="Y162" s="8"/>
      <c r="Z162" s="8"/>
    </row>
    <row r="163" ht="14.25" customHeight="1">
      <c r="B163" s="1" t="s">
        <v>39</v>
      </c>
      <c r="C163" s="1">
        <v>57.0</v>
      </c>
      <c r="D163" s="1">
        <v>865.0</v>
      </c>
      <c r="E163" s="1">
        <v>4.0</v>
      </c>
      <c r="F163" s="1">
        <v>13.8</v>
      </c>
      <c r="G163" s="1">
        <v>91.0</v>
      </c>
      <c r="H163" s="1">
        <v>0.5</v>
      </c>
      <c r="I163" s="1">
        <v>0.6</v>
      </c>
      <c r="J163" s="1">
        <v>153.9</v>
      </c>
      <c r="K163" s="18">
        <f t="shared" si="1"/>
        <v>5.639622642</v>
      </c>
      <c r="L163" s="18">
        <f t="shared" si="2"/>
        <v>42.54428904</v>
      </c>
      <c r="M163" s="118"/>
      <c r="N163" s="118"/>
      <c r="O163" s="11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B164" s="1" t="s">
        <v>48</v>
      </c>
      <c r="C164" s="1">
        <v>42.8</v>
      </c>
      <c r="D164" s="1">
        <v>646.5</v>
      </c>
      <c r="E164" s="1">
        <v>3.5</v>
      </c>
      <c r="F164" s="1">
        <v>13.0</v>
      </c>
      <c r="G164" s="1">
        <v>86.7</v>
      </c>
      <c r="H164" s="1">
        <v>0.0</v>
      </c>
      <c r="I164" s="1">
        <v>1.0</v>
      </c>
      <c r="J164" s="1">
        <v>151.6</v>
      </c>
      <c r="K164" s="18">
        <f t="shared" si="1"/>
        <v>5.373134978</v>
      </c>
      <c r="L164" s="18">
        <f t="shared" si="2"/>
        <v>31.79755245</v>
      </c>
      <c r="M164" s="118"/>
      <c r="N164" s="118"/>
      <c r="O164" s="11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1" t="s">
        <v>723</v>
      </c>
      <c r="B165" s="1" t="s">
        <v>226</v>
      </c>
      <c r="C165" s="1">
        <v>58.4</v>
      </c>
      <c r="D165" s="1">
        <v>741.0</v>
      </c>
      <c r="E165" s="1">
        <v>3.5</v>
      </c>
      <c r="F165" s="1">
        <v>1.0</v>
      </c>
      <c r="G165" s="1">
        <v>5.0</v>
      </c>
      <c r="H165" s="1">
        <v>0.0</v>
      </c>
      <c r="I165" s="1">
        <v>1.3</v>
      </c>
      <c r="J165" s="1">
        <v>151.4</v>
      </c>
      <c r="K165" s="18">
        <f t="shared" si="1"/>
        <v>0.3098693759</v>
      </c>
      <c r="L165" s="18">
        <f t="shared" si="2"/>
        <v>36.44545455</v>
      </c>
      <c r="M165" s="112">
        <f>C167*Scoring!$B$34+D167/Scoring!$C$34+E167*Scoring!$D$34+WR!F167*Scoring!$E$34+WR!G167/Scoring!$F$34+WR!H167*Scoring!$G$34+WR!I167*Scoring!$H$34+K167*Scoring!$I$34+WR!L167*Scoring!$J$34+U165</f>
        <v>132.654</v>
      </c>
      <c r="N165" s="112">
        <f>C165*Scoring!$B$34+D165/Scoring!$C$34+E165*Scoring!$D$34+WR!F165*Scoring!$E$34+WR!G165/Scoring!$F$34+WR!H165*Scoring!$G$34+WR!I165*Scoring!$H$34+K165*Scoring!$I$34+WR!L165*Scoring!$J$34+U165</f>
        <v>145.104</v>
      </c>
      <c r="O165" s="112">
        <f>C166*Scoring!$B$34+D166/Scoring!$C$34+E166*Scoring!$D$34+WR!F166*Scoring!$E$34+WR!G166/Scoring!$F$34+WR!H166*Scoring!$G$34+WR!I166*Scoring!$H$34+K166*Scoring!$I$34+WR!L166*Scoring!$J$34+U165</f>
        <v>157.604</v>
      </c>
      <c r="P165" s="8">
        <f>IF(COUNTIF(Rookies!$A:$A,A165)&gt;0,1,0)</f>
        <v>1</v>
      </c>
      <c r="Q165" s="8"/>
      <c r="R165" s="8"/>
      <c r="S165" s="8">
        <f>V165/17</f>
        <v>7.188235294</v>
      </c>
      <c r="T165" s="8">
        <f>IF(P165=1,MAX(0,0.28*(12-S165)),0)</f>
        <v>1.347294118</v>
      </c>
      <c r="U165" s="8">
        <f>T165*17</f>
        <v>22.904</v>
      </c>
      <c r="V165" s="8">
        <f>C165*Scoring!$B$34+D165/Scoring!$C$34+E165*Scoring!$D$34+WR!F165*Scoring!$E$34+WR!G165/Scoring!$F$34+WR!H165*Scoring!$G$34+WR!I165*Scoring!$H$34+K165*Scoring!$I$34+WR!L165*Scoring!$J$34</f>
        <v>122.2</v>
      </c>
      <c r="W165" s="8"/>
      <c r="X165" s="8"/>
      <c r="Y165" s="8"/>
      <c r="Z165" s="8"/>
    </row>
    <row r="166" ht="14.25" customHeight="1">
      <c r="B166" s="1" t="s">
        <v>39</v>
      </c>
      <c r="C166" s="1">
        <v>62.0</v>
      </c>
      <c r="D166" s="1">
        <v>799.0</v>
      </c>
      <c r="E166" s="1">
        <v>4.0</v>
      </c>
      <c r="F166" s="1">
        <v>2.0</v>
      </c>
      <c r="G166" s="1">
        <v>10.0</v>
      </c>
      <c r="H166" s="1">
        <v>0.0</v>
      </c>
      <c r="I166" s="1">
        <v>0.6</v>
      </c>
      <c r="J166" s="1">
        <v>150.4</v>
      </c>
      <c r="K166" s="18">
        <f t="shared" si="1"/>
        <v>0.6197387518</v>
      </c>
      <c r="L166" s="18">
        <f t="shared" si="2"/>
        <v>39.2981352</v>
      </c>
      <c r="M166" s="118"/>
      <c r="N166" s="118"/>
      <c r="O166" s="11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B167" s="1" t="s">
        <v>48</v>
      </c>
      <c r="C167" s="1">
        <v>54.9</v>
      </c>
      <c r="D167" s="1">
        <v>683.0</v>
      </c>
      <c r="E167" s="1">
        <v>3.0</v>
      </c>
      <c r="F167" s="1">
        <v>0.0</v>
      </c>
      <c r="G167" s="1">
        <v>0.0</v>
      </c>
      <c r="H167" s="1">
        <v>0.0</v>
      </c>
      <c r="I167" s="1">
        <v>2.0</v>
      </c>
      <c r="J167" s="1">
        <v>144.3</v>
      </c>
      <c r="K167" s="18">
        <f t="shared" si="1"/>
        <v>0</v>
      </c>
      <c r="L167" s="18">
        <f t="shared" si="2"/>
        <v>33.59277389</v>
      </c>
      <c r="M167" s="118"/>
      <c r="N167" s="118"/>
      <c r="O167" s="11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1" t="s">
        <v>725</v>
      </c>
      <c r="B168" s="1" t="s">
        <v>117</v>
      </c>
      <c r="C168" s="1">
        <v>52.8</v>
      </c>
      <c r="D168" s="1">
        <v>738.2</v>
      </c>
      <c r="E168" s="1">
        <v>4.4</v>
      </c>
      <c r="F168" s="1">
        <v>1.5</v>
      </c>
      <c r="G168" s="1">
        <v>6.5</v>
      </c>
      <c r="H168" s="1">
        <v>0.0</v>
      </c>
      <c r="I168" s="1">
        <v>1.3</v>
      </c>
      <c r="J168" s="1">
        <v>150.8</v>
      </c>
      <c r="K168" s="18">
        <f t="shared" si="1"/>
        <v>0.4028301887</v>
      </c>
      <c r="L168" s="18">
        <f t="shared" si="2"/>
        <v>36.30773893</v>
      </c>
      <c r="M168" s="112">
        <f>C170*Scoring!$B$34+D170/Scoring!$C$34+E170*Scoring!$D$34+WR!F170*Scoring!$E$34+WR!G170/Scoring!$F$34+WR!H170*Scoring!$G$34+WR!I170*Scoring!$H$34+K170*Scoring!$I$34+WR!L170*Scoring!$J$34+U168</f>
        <v>141.9624</v>
      </c>
      <c r="N168" s="112">
        <f>C168*Scoring!$B$34+D168/Scoring!$C$34+E168*Scoring!$D$34+WR!F168*Scoring!$E$34+WR!G168/Scoring!$F$34+WR!H168*Scoring!$G$34+WR!I168*Scoring!$H$34+K168*Scoring!$I$34+WR!L168*Scoring!$J$34+U168</f>
        <v>146.8824</v>
      </c>
      <c r="O168" s="112">
        <f>C169*Scoring!$B$34+D169/Scoring!$C$34+E169*Scoring!$D$34+WR!F169*Scoring!$E$34+WR!G169/Scoring!$F$34+WR!H169*Scoring!$G$34+WR!I169*Scoring!$H$34+K169*Scoring!$I$34+WR!L169*Scoring!$J$34+U168</f>
        <v>151.3524</v>
      </c>
      <c r="P168" s="8">
        <f>IF(COUNTIF(Rookies!$A:$A,A168)&gt;0,1,0)</f>
        <v>1</v>
      </c>
      <c r="Q168" s="8"/>
      <c r="R168" s="8"/>
      <c r="S168" s="8">
        <f>V168/17</f>
        <v>7.333529412</v>
      </c>
      <c r="T168" s="8">
        <f>IF(P168=1,MAX(0,0.28*(12-S168)),0)</f>
        <v>1.306611765</v>
      </c>
      <c r="U168" s="8">
        <f>T168*17</f>
        <v>22.2124</v>
      </c>
      <c r="V168" s="8">
        <f>C168*Scoring!$B$34+D168/Scoring!$C$34+E168*Scoring!$D$34+WR!F168*Scoring!$E$34+WR!G168/Scoring!$F$34+WR!H168*Scoring!$G$34+WR!I168*Scoring!$H$34+K168*Scoring!$I$34+WR!L168*Scoring!$J$34</f>
        <v>124.67</v>
      </c>
      <c r="W168" s="8"/>
      <c r="X168" s="8"/>
      <c r="Y168" s="8"/>
      <c r="Z168" s="8"/>
    </row>
    <row r="169" ht="14.25" customHeight="1">
      <c r="B169" s="1" t="s">
        <v>39</v>
      </c>
      <c r="C169" s="1">
        <v>53.0</v>
      </c>
      <c r="D169" s="1">
        <v>741.4</v>
      </c>
      <c r="E169" s="1">
        <v>4.7</v>
      </c>
      <c r="F169" s="1">
        <v>3.0</v>
      </c>
      <c r="G169" s="1">
        <v>13.0</v>
      </c>
      <c r="H169" s="1">
        <v>0.0</v>
      </c>
      <c r="I169" s="1">
        <v>0.5</v>
      </c>
      <c r="J169" s="1">
        <v>154.9</v>
      </c>
      <c r="K169" s="18">
        <f t="shared" si="1"/>
        <v>0.8056603774</v>
      </c>
      <c r="L169" s="18">
        <f t="shared" si="2"/>
        <v>36.46512821</v>
      </c>
      <c r="M169" s="118"/>
      <c r="N169" s="118"/>
      <c r="O169" s="11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B170" s="1" t="s">
        <v>48</v>
      </c>
      <c r="C170" s="1">
        <v>52.5</v>
      </c>
      <c r="D170" s="1">
        <v>735.0</v>
      </c>
      <c r="E170" s="1">
        <v>4.0</v>
      </c>
      <c r="F170" s="1">
        <v>0.0</v>
      </c>
      <c r="G170" s="1">
        <v>0.0</v>
      </c>
      <c r="H170" s="1">
        <v>0.0</v>
      </c>
      <c r="I170" s="1">
        <v>2.0</v>
      </c>
      <c r="J170" s="1">
        <v>138.8</v>
      </c>
      <c r="K170" s="18">
        <f t="shared" si="1"/>
        <v>0</v>
      </c>
      <c r="L170" s="18">
        <f t="shared" si="2"/>
        <v>36.15034965</v>
      </c>
      <c r="M170" s="118"/>
      <c r="N170" s="118"/>
      <c r="O170" s="11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1" t="s">
        <v>728</v>
      </c>
      <c r="B171" s="1" t="s">
        <v>140</v>
      </c>
      <c r="C171" s="1">
        <v>50.8</v>
      </c>
      <c r="D171" s="1">
        <v>749.0</v>
      </c>
      <c r="E171" s="1">
        <v>4.5</v>
      </c>
      <c r="F171" s="1">
        <v>1.5</v>
      </c>
      <c r="G171" s="1">
        <v>6.5</v>
      </c>
      <c r="H171" s="1">
        <v>0.0</v>
      </c>
      <c r="I171" s="1">
        <v>1.2</v>
      </c>
      <c r="J171" s="1">
        <v>150.7</v>
      </c>
      <c r="K171" s="18">
        <f t="shared" si="1"/>
        <v>0.4028301887</v>
      </c>
      <c r="L171" s="18">
        <f t="shared" si="2"/>
        <v>36.83892774</v>
      </c>
      <c r="M171" s="112">
        <f>C173*Scoring!$B$34+D173/Scoring!$C$34+E173*Scoring!$D$34+WR!F173*Scoring!$E$34+WR!G173/Scoring!$F$34+WR!H173*Scoring!$G$34+WR!I173*Scoring!$H$34+K173*Scoring!$I$34+WR!L173*Scoring!$J$34+U171</f>
        <v>127.326</v>
      </c>
      <c r="N171" s="112">
        <f>C171*Scoring!$B$34+D171/Scoring!$C$34+E171*Scoring!$D$34+WR!F171*Scoring!$E$34+WR!G171/Scoring!$F$34+WR!H171*Scoring!$G$34+WR!I171*Scoring!$H$34+K171*Scoring!$I$34+WR!L171*Scoring!$J$34+U171</f>
        <v>147.516</v>
      </c>
      <c r="O171" s="112">
        <f>C172*Scoring!$B$34+D172/Scoring!$C$34+E172*Scoring!$D$34+WR!F172*Scoring!$E$34+WR!G172/Scoring!$F$34+WR!H172*Scoring!$G$34+WR!I172*Scoring!$H$34+K172*Scoring!$I$34+WR!L172*Scoring!$J$34+U171</f>
        <v>167.166</v>
      </c>
      <c r="P171" s="8">
        <f>IF(COUNTIF(Rookies!$A:$A,A171)&gt;0,1,0)</f>
        <v>1</v>
      </c>
      <c r="Q171" s="8"/>
      <c r="R171" s="8"/>
      <c r="S171" s="8">
        <f>V171/17</f>
        <v>7.385294118</v>
      </c>
      <c r="T171" s="8">
        <f>IF(P171=1,MAX(0,0.28*(12-S171)),0)</f>
        <v>1.292117647</v>
      </c>
      <c r="U171" s="8">
        <f>T171*17</f>
        <v>21.966</v>
      </c>
      <c r="V171" s="8">
        <f>C171*Scoring!$B$34+D171/Scoring!$C$34+E171*Scoring!$D$34+WR!F171*Scoring!$E$34+WR!G171/Scoring!$F$34+WR!H171*Scoring!$G$34+WR!I171*Scoring!$H$34+K171*Scoring!$I$34+WR!L171*Scoring!$J$34</f>
        <v>125.55</v>
      </c>
      <c r="W171" s="8"/>
      <c r="X171" s="8"/>
      <c r="Y171" s="8"/>
      <c r="Z171" s="8"/>
    </row>
    <row r="172" ht="14.25" customHeight="1">
      <c r="B172" s="1" t="s">
        <v>39</v>
      </c>
      <c r="C172" s="1">
        <v>59.0</v>
      </c>
      <c r="D172" s="1">
        <v>852.0</v>
      </c>
      <c r="E172" s="1">
        <v>5.0</v>
      </c>
      <c r="F172" s="1">
        <v>3.0</v>
      </c>
      <c r="G172" s="1">
        <v>13.0</v>
      </c>
      <c r="H172" s="1">
        <v>0.0</v>
      </c>
      <c r="I172" s="1">
        <v>0.4</v>
      </c>
      <c r="J172" s="1">
        <v>154.8</v>
      </c>
      <c r="K172" s="18">
        <f t="shared" si="1"/>
        <v>0.8056603774</v>
      </c>
      <c r="L172" s="18">
        <f t="shared" si="2"/>
        <v>41.9048951</v>
      </c>
      <c r="M172" s="118"/>
      <c r="N172" s="118"/>
      <c r="O172" s="11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B173" s="1" t="s">
        <v>48</v>
      </c>
      <c r="C173" s="1">
        <v>42.7</v>
      </c>
      <c r="D173" s="1">
        <v>646.1</v>
      </c>
      <c r="E173" s="1">
        <v>3.9</v>
      </c>
      <c r="F173" s="1">
        <v>0.0</v>
      </c>
      <c r="G173" s="1">
        <v>0.0</v>
      </c>
      <c r="H173" s="1">
        <v>0.0</v>
      </c>
      <c r="I173" s="1">
        <v>2.0</v>
      </c>
      <c r="J173" s="1">
        <v>138.5</v>
      </c>
      <c r="K173" s="18">
        <f t="shared" si="1"/>
        <v>0</v>
      </c>
      <c r="L173" s="18">
        <f t="shared" si="2"/>
        <v>31.77787879</v>
      </c>
      <c r="M173" s="118"/>
      <c r="N173" s="118"/>
      <c r="O173" s="11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1" t="s">
        <v>730</v>
      </c>
      <c r="B174" s="1" t="s">
        <v>214</v>
      </c>
      <c r="C174" s="1">
        <v>46.7</v>
      </c>
      <c r="D174" s="1">
        <v>762.4</v>
      </c>
      <c r="E174" s="1">
        <v>3.2</v>
      </c>
      <c r="F174" s="1">
        <v>4.5</v>
      </c>
      <c r="G174" s="1">
        <v>27.6</v>
      </c>
      <c r="H174" s="1">
        <v>0.6</v>
      </c>
      <c r="I174" s="1">
        <v>0.2</v>
      </c>
      <c r="J174" s="1">
        <v>148.1</v>
      </c>
      <c r="K174" s="18">
        <f t="shared" si="1"/>
        <v>1.710478955</v>
      </c>
      <c r="L174" s="18">
        <f t="shared" si="2"/>
        <v>37.49799534</v>
      </c>
      <c r="M174" s="112">
        <f>C176*Scoring!$B$34+D176/Scoring!$C$34+E176*Scoring!$D$34+WR!F176*Scoring!$E$34+WR!G176/Scoring!$F$34+WR!H176*Scoring!$G$34+WR!I176*Scoring!$H$34+K176*Scoring!$I$34+WR!L176*Scoring!$J$34+U174</f>
        <v>110.78</v>
      </c>
      <c r="N174" s="112">
        <f>C174*Scoring!$B$34+D174/Scoring!$C$34+E174*Scoring!$D$34+WR!F174*Scoring!$E$34+WR!G174/Scoring!$F$34+WR!H174*Scoring!$G$34+WR!I174*Scoring!$H$34+K174*Scoring!$I$34+WR!L174*Scoring!$J$34+U174</f>
        <v>124.75</v>
      </c>
      <c r="O174" s="112">
        <f>C175*Scoring!$B$34+D175/Scoring!$C$34+E175*Scoring!$D$34+WR!F175*Scoring!$E$34+WR!G175/Scoring!$F$34+WR!H175*Scoring!$G$34+WR!I175*Scoring!$H$34+K175*Scoring!$I$34+WR!L175*Scoring!$J$34+U174</f>
        <v>139.31</v>
      </c>
      <c r="P174" s="8">
        <f>IF(COUNTIF(Rookies!$A:$A,A174)&gt;0,1,0)</f>
        <v>0</v>
      </c>
      <c r="Q174" s="8"/>
      <c r="R174" s="8"/>
      <c r="S174" s="8">
        <f>V174/17</f>
        <v>7.338235294</v>
      </c>
      <c r="T174" s="8">
        <f>IF(P174=1,MAX(0,0.28*(12-S174)),0)</f>
        <v>0</v>
      </c>
      <c r="U174" s="8">
        <f>T174*17</f>
        <v>0</v>
      </c>
      <c r="V174" s="8">
        <f>C174*Scoring!$B$34+D174/Scoring!$C$34+E174*Scoring!$D$34+WR!F174*Scoring!$E$34+WR!G174/Scoring!$F$34+WR!H174*Scoring!$G$34+WR!I174*Scoring!$H$34+K174*Scoring!$I$34+WR!L174*Scoring!$J$34</f>
        <v>124.75</v>
      </c>
      <c r="W174" s="8"/>
      <c r="X174" s="8"/>
      <c r="Y174" s="8"/>
      <c r="Z174" s="8"/>
    </row>
    <row r="175" ht="14.25" customHeight="1">
      <c r="B175" s="1" t="s">
        <v>39</v>
      </c>
      <c r="C175" s="1">
        <v>50.0</v>
      </c>
      <c r="D175" s="1">
        <v>847.0</v>
      </c>
      <c r="E175" s="1">
        <v>3.4</v>
      </c>
      <c r="F175" s="1">
        <v>6.1</v>
      </c>
      <c r="G175" s="1">
        <v>32.1</v>
      </c>
      <c r="H175" s="1">
        <v>1.0</v>
      </c>
      <c r="I175" s="1">
        <v>0.0</v>
      </c>
      <c r="J175" s="1">
        <v>146.7</v>
      </c>
      <c r="K175" s="18">
        <f t="shared" si="1"/>
        <v>1.989361393</v>
      </c>
      <c r="L175" s="18">
        <f t="shared" si="2"/>
        <v>41.65897436</v>
      </c>
      <c r="M175" s="118"/>
      <c r="N175" s="118"/>
      <c r="O175" s="11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B176" s="1" t="s">
        <v>48</v>
      </c>
      <c r="C176" s="1">
        <v>43.4</v>
      </c>
      <c r="D176" s="1">
        <v>677.8</v>
      </c>
      <c r="E176" s="1">
        <v>3.0</v>
      </c>
      <c r="F176" s="1">
        <v>3.0</v>
      </c>
      <c r="G176" s="1">
        <v>23.0</v>
      </c>
      <c r="H176" s="1">
        <v>0.3</v>
      </c>
      <c r="I176" s="1">
        <v>0.4</v>
      </c>
      <c r="J176" s="1">
        <v>138.7</v>
      </c>
      <c r="K176" s="18">
        <f t="shared" si="1"/>
        <v>1.425399129</v>
      </c>
      <c r="L176" s="18">
        <f t="shared" si="2"/>
        <v>33.33701632</v>
      </c>
      <c r="M176" s="118"/>
      <c r="N176" s="118"/>
      <c r="O176" s="11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1" t="s">
        <v>732</v>
      </c>
      <c r="B177" s="1" t="s">
        <v>205</v>
      </c>
      <c r="C177" s="1">
        <v>52.7</v>
      </c>
      <c r="D177" s="1">
        <v>663.8</v>
      </c>
      <c r="E177" s="1">
        <v>3.9</v>
      </c>
      <c r="F177" s="1">
        <v>10.2</v>
      </c>
      <c r="G177" s="1">
        <v>48.8</v>
      </c>
      <c r="H177" s="1">
        <v>0.1</v>
      </c>
      <c r="I177" s="1">
        <v>0.3</v>
      </c>
      <c r="J177" s="1">
        <v>147.7</v>
      </c>
      <c r="K177" s="18">
        <f t="shared" si="1"/>
        <v>3.024325109</v>
      </c>
      <c r="L177" s="18">
        <f t="shared" si="2"/>
        <v>32.64843823</v>
      </c>
      <c r="M177" s="112">
        <f>C179*Scoring!$B$34+D179/Scoring!$C$34+E179*Scoring!$D$34+WR!F179*Scoring!$E$34+WR!G179/Scoring!$F$34+WR!H179*Scoring!$G$34+WR!I179*Scoring!$H$34+K179*Scoring!$I$34+WR!L179*Scoring!$J$34+U177</f>
        <v>115.77</v>
      </c>
      <c r="N177" s="112">
        <f>C177*Scoring!$B$34+D177/Scoring!$C$34+E177*Scoring!$D$34+WR!F177*Scoring!$E$34+WR!G177/Scoring!$F$34+WR!H177*Scoring!$G$34+WR!I177*Scoring!$H$34+K177*Scoring!$I$34+WR!L177*Scoring!$J$34+U177</f>
        <v>121.01</v>
      </c>
      <c r="O177" s="112">
        <f>C178*Scoring!$B$34+D178/Scoring!$C$34+E178*Scoring!$D$34+WR!F178*Scoring!$E$34+WR!G178/Scoring!$F$34+WR!H178*Scoring!$G$34+WR!I178*Scoring!$H$34+K178*Scoring!$I$34+WR!L178*Scoring!$J$34+U177</f>
        <v>127.07</v>
      </c>
      <c r="P177" s="8">
        <f>IF(COUNTIF(Rookies!$A:$A,A177)&gt;0,1,0)</f>
        <v>0</v>
      </c>
      <c r="Q177" s="8"/>
      <c r="R177" s="8"/>
      <c r="S177" s="8">
        <f>V177/17</f>
        <v>7.118235294</v>
      </c>
      <c r="T177" s="8">
        <f>IF(P177=1,MAX(0,0.28*(12-S177)),0)</f>
        <v>0</v>
      </c>
      <c r="U177" s="8">
        <f>T177*17</f>
        <v>0</v>
      </c>
      <c r="V177" s="8">
        <f>C177*Scoring!$B$34+D177/Scoring!$C$34+E177*Scoring!$D$34+WR!F177*Scoring!$E$34+WR!G177/Scoring!$F$34+WR!H177*Scoring!$G$34+WR!I177*Scoring!$H$34+K177*Scoring!$I$34+WR!L177*Scoring!$J$34</f>
        <v>121.01</v>
      </c>
      <c r="W177" s="8"/>
      <c r="X177" s="8"/>
      <c r="Y177" s="8"/>
      <c r="Z177" s="8"/>
    </row>
    <row r="178" ht="14.25" customHeight="1">
      <c r="B178" s="1" t="s">
        <v>39</v>
      </c>
      <c r="C178" s="1">
        <v>55.4</v>
      </c>
      <c r="D178" s="1">
        <v>688.7</v>
      </c>
      <c r="E178" s="1">
        <v>4.0</v>
      </c>
      <c r="F178" s="1">
        <v>12.0</v>
      </c>
      <c r="G178" s="1">
        <v>53.0</v>
      </c>
      <c r="H178" s="1">
        <v>0.2</v>
      </c>
      <c r="I178" s="1">
        <v>0.0</v>
      </c>
      <c r="J178" s="1">
        <v>150.1</v>
      </c>
      <c r="K178" s="18">
        <f t="shared" si="1"/>
        <v>3.284615385</v>
      </c>
      <c r="L178" s="18">
        <f t="shared" si="2"/>
        <v>33.87312354</v>
      </c>
      <c r="M178" s="118"/>
      <c r="N178" s="118"/>
      <c r="O178" s="11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B179" s="1" t="s">
        <v>48</v>
      </c>
      <c r="C179" s="1">
        <v>50.0</v>
      </c>
      <c r="D179" s="1">
        <v>639.0</v>
      </c>
      <c r="E179" s="1">
        <v>3.9</v>
      </c>
      <c r="F179" s="1">
        <v>8.4</v>
      </c>
      <c r="G179" s="1">
        <v>44.7</v>
      </c>
      <c r="H179" s="1">
        <v>0.0</v>
      </c>
      <c r="I179" s="1">
        <v>0.5</v>
      </c>
      <c r="J179" s="1">
        <v>133.7</v>
      </c>
      <c r="K179" s="18">
        <f t="shared" si="1"/>
        <v>2.770232221</v>
      </c>
      <c r="L179" s="18">
        <f t="shared" si="2"/>
        <v>31.42867133</v>
      </c>
      <c r="M179" s="118"/>
      <c r="N179" s="118"/>
      <c r="O179" s="11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1" t="s">
        <v>737</v>
      </c>
      <c r="B180" s="1" t="s">
        <v>226</v>
      </c>
      <c r="C180" s="1">
        <v>55.7</v>
      </c>
      <c r="D180" s="1">
        <v>746.9</v>
      </c>
      <c r="E180" s="1">
        <v>2.9</v>
      </c>
      <c r="F180" s="1">
        <v>0.5</v>
      </c>
      <c r="G180" s="1">
        <v>2.0</v>
      </c>
      <c r="H180" s="1">
        <v>0.0</v>
      </c>
      <c r="I180" s="1">
        <v>0.7</v>
      </c>
      <c r="J180" s="1">
        <v>146.4</v>
      </c>
      <c r="K180" s="18">
        <f t="shared" si="1"/>
        <v>0.1239477504</v>
      </c>
      <c r="L180" s="18">
        <f t="shared" si="2"/>
        <v>36.73564103</v>
      </c>
      <c r="M180" s="112">
        <f>C182*Scoring!$B$34+D182/Scoring!$C$34+E182*Scoring!$D$34+WR!F182*Scoring!$E$34+WR!G182/Scoring!$F$34+WR!H182*Scoring!$G$34+WR!I182*Scoring!$H$34+K182*Scoring!$I$34+WR!L182*Scoring!$J$34+U180</f>
        <v>111.48</v>
      </c>
      <c r="N180" s="112">
        <f>C180*Scoring!$B$34+D180/Scoring!$C$34+E180*Scoring!$D$34+WR!F180*Scoring!$E$34+WR!G180/Scoring!$F$34+WR!H180*Scoring!$G$34+WR!I180*Scoring!$H$34+K180*Scoring!$I$34+WR!L180*Scoring!$J$34+U180</f>
        <v>118.74</v>
      </c>
      <c r="O180" s="112">
        <f>C181*Scoring!$B$34+D181/Scoring!$C$34+E181*Scoring!$D$34+WR!F181*Scoring!$E$34+WR!G181/Scoring!$F$34+WR!H181*Scoring!$G$34+WR!I181*Scoring!$H$34+K181*Scoring!$I$34+WR!L181*Scoring!$J$34+U180</f>
        <v>125.8</v>
      </c>
      <c r="P180" s="8">
        <f>IF(COUNTIF(Rookies!$A:$A,A180)&gt;0,1,0)</f>
        <v>0</v>
      </c>
      <c r="Q180" s="8"/>
      <c r="R180" s="8"/>
      <c r="S180" s="8">
        <f>V180/17</f>
        <v>6.984705882</v>
      </c>
      <c r="T180" s="8">
        <f>IF(P180=1,MAX(0,0.28*(12-S180)),0)</f>
        <v>0</v>
      </c>
      <c r="U180" s="8">
        <f>T180*17</f>
        <v>0</v>
      </c>
      <c r="V180" s="8">
        <f>C180*Scoring!$B$34+D180/Scoring!$C$34+E180*Scoring!$D$34+WR!F180*Scoring!$E$34+WR!G180/Scoring!$F$34+WR!H180*Scoring!$G$34+WR!I180*Scoring!$H$34+K180*Scoring!$I$34+WR!L180*Scoring!$J$34</f>
        <v>118.74</v>
      </c>
      <c r="W180" s="8"/>
      <c r="X180" s="8"/>
      <c r="Y180" s="8"/>
      <c r="Z180" s="8"/>
    </row>
    <row r="181" ht="14.25" customHeight="1">
      <c r="B181" s="1" t="s">
        <v>39</v>
      </c>
      <c r="C181" s="1">
        <v>60.0</v>
      </c>
      <c r="D181" s="1">
        <v>784.0</v>
      </c>
      <c r="E181" s="1">
        <v>3.0</v>
      </c>
      <c r="F181" s="1">
        <v>1.0</v>
      </c>
      <c r="G181" s="1">
        <v>4.0</v>
      </c>
      <c r="H181" s="1">
        <v>0.0</v>
      </c>
      <c r="I181" s="1">
        <v>0.5</v>
      </c>
      <c r="J181" s="1">
        <v>142.7</v>
      </c>
      <c r="K181" s="18">
        <f t="shared" si="1"/>
        <v>0.2478955007</v>
      </c>
      <c r="L181" s="18">
        <f t="shared" si="2"/>
        <v>38.56037296</v>
      </c>
      <c r="M181" s="118"/>
      <c r="N181" s="118"/>
      <c r="O181" s="11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B182" s="1" t="s">
        <v>48</v>
      </c>
      <c r="C182" s="1">
        <v>51.4</v>
      </c>
      <c r="D182" s="1">
        <v>709.8</v>
      </c>
      <c r="E182" s="1">
        <v>2.8</v>
      </c>
      <c r="F182" s="1">
        <v>0.0</v>
      </c>
      <c r="G182" s="1">
        <v>0.0</v>
      </c>
      <c r="H182" s="1">
        <v>0.0</v>
      </c>
      <c r="I182" s="1">
        <v>1.0</v>
      </c>
      <c r="J182" s="1">
        <v>141.7</v>
      </c>
      <c r="K182" s="18">
        <f t="shared" si="1"/>
        <v>0</v>
      </c>
      <c r="L182" s="18">
        <f t="shared" si="2"/>
        <v>34.91090909</v>
      </c>
      <c r="M182" s="118"/>
      <c r="N182" s="118"/>
      <c r="O182" s="11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1" t="s">
        <v>741</v>
      </c>
      <c r="B183" s="1" t="s">
        <v>222</v>
      </c>
      <c r="C183" s="1">
        <v>50.2</v>
      </c>
      <c r="D183" s="1">
        <v>631.6</v>
      </c>
      <c r="E183" s="1">
        <v>3.8</v>
      </c>
      <c r="F183" s="1">
        <v>11.2</v>
      </c>
      <c r="G183" s="1">
        <v>54.6</v>
      </c>
      <c r="H183" s="1">
        <v>0.2</v>
      </c>
      <c r="I183" s="1">
        <v>0.1</v>
      </c>
      <c r="J183" s="1">
        <v>142.1</v>
      </c>
      <c r="K183" s="18">
        <f t="shared" si="1"/>
        <v>3.383773585</v>
      </c>
      <c r="L183" s="18">
        <f t="shared" si="2"/>
        <v>31.06470862</v>
      </c>
      <c r="M183" s="112">
        <f>C185*Scoring!$B$34+D185/Scoring!$C$34+E185*Scoring!$D$34+WR!F185*Scoring!$E$34+WR!G185/Scoring!$F$34+WR!H185*Scoring!$G$34+WR!I185*Scoring!$H$34+K185*Scoring!$I$34+WR!L185*Scoring!$J$34+U183</f>
        <v>104.3</v>
      </c>
      <c r="N183" s="112">
        <f>C183*Scoring!$B$34+D183/Scoring!$C$34+E183*Scoring!$D$34+WR!F183*Scoring!$E$34+WR!G183/Scoring!$F$34+WR!H183*Scoring!$G$34+WR!I183*Scoring!$H$34+K183*Scoring!$I$34+WR!L183*Scoring!$J$34+U183</f>
        <v>117.52</v>
      </c>
      <c r="O183" s="112">
        <f>C184*Scoring!$B$34+D184/Scoring!$C$34+E184*Scoring!$D$34+WR!F184*Scoring!$E$34+WR!G184/Scoring!$F$34+WR!H184*Scoring!$G$34+WR!I184*Scoring!$H$34+K184*Scoring!$I$34+WR!L184*Scoring!$J$34+U183</f>
        <v>129.36</v>
      </c>
      <c r="P183" s="8">
        <f>IF(COUNTIF(Rookies!$A:$A,A183)&gt;0,1,0)</f>
        <v>0</v>
      </c>
      <c r="Q183" s="8"/>
      <c r="R183" s="8"/>
      <c r="S183" s="8">
        <f>V183/17</f>
        <v>6.912941176</v>
      </c>
      <c r="T183" s="8">
        <f>IF(P183=1,MAX(0,0.28*(12-S183)),0)</f>
        <v>0</v>
      </c>
      <c r="U183" s="8">
        <f>T183*17</f>
        <v>0</v>
      </c>
      <c r="V183" s="8">
        <f>C183*Scoring!$B$34+D183/Scoring!$C$34+E183*Scoring!$D$34+WR!F183*Scoring!$E$34+WR!G183/Scoring!$F$34+WR!H183*Scoring!$G$34+WR!I183*Scoring!$H$34+K183*Scoring!$I$34+WR!L183*Scoring!$J$34</f>
        <v>117.52</v>
      </c>
      <c r="W183" s="8"/>
      <c r="X183" s="8"/>
      <c r="Y183" s="8"/>
      <c r="Z183" s="8"/>
    </row>
    <row r="184" ht="14.25" customHeight="1">
      <c r="B184" s="1" t="s">
        <v>39</v>
      </c>
      <c r="C184" s="1">
        <v>52.0</v>
      </c>
      <c r="D184" s="1">
        <v>658.3</v>
      </c>
      <c r="E184" s="1">
        <v>5.0</v>
      </c>
      <c r="F184" s="1">
        <v>12.0</v>
      </c>
      <c r="G184" s="1">
        <v>57.3</v>
      </c>
      <c r="H184" s="1">
        <v>0.3</v>
      </c>
      <c r="I184" s="1">
        <v>0.0</v>
      </c>
      <c r="J184" s="1">
        <v>139.8</v>
      </c>
      <c r="K184" s="18">
        <f t="shared" si="1"/>
        <v>3.551103048</v>
      </c>
      <c r="L184" s="18">
        <f t="shared" si="2"/>
        <v>32.37792541</v>
      </c>
      <c r="M184" s="118"/>
      <c r="N184" s="118"/>
      <c r="O184" s="11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B185" s="1" t="s">
        <v>48</v>
      </c>
      <c r="C185" s="1">
        <v>48.4</v>
      </c>
      <c r="D185" s="1">
        <v>605.0</v>
      </c>
      <c r="E185" s="1">
        <v>2.5</v>
      </c>
      <c r="F185" s="1">
        <v>10.4</v>
      </c>
      <c r="G185" s="1">
        <v>52.0</v>
      </c>
      <c r="H185" s="1">
        <v>0.0</v>
      </c>
      <c r="I185" s="1">
        <v>0.3</v>
      </c>
      <c r="J185" s="1">
        <v>134.2</v>
      </c>
      <c r="K185" s="18">
        <f t="shared" si="1"/>
        <v>3.222641509</v>
      </c>
      <c r="L185" s="18">
        <f t="shared" si="2"/>
        <v>29.75641026</v>
      </c>
      <c r="M185" s="118"/>
      <c r="N185" s="118"/>
      <c r="O185" s="11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1" t="s">
        <v>745</v>
      </c>
      <c r="B186" s="1" t="s">
        <v>193</v>
      </c>
      <c r="C186" s="1">
        <v>58.6</v>
      </c>
      <c r="D186" s="1">
        <v>607.3</v>
      </c>
      <c r="E186" s="1">
        <v>3.8</v>
      </c>
      <c r="F186" s="1">
        <v>0.0</v>
      </c>
      <c r="G186" s="1">
        <v>0.0</v>
      </c>
      <c r="H186" s="1">
        <v>0.0</v>
      </c>
      <c r="I186" s="1">
        <v>0.3</v>
      </c>
      <c r="J186" s="1">
        <v>141.7</v>
      </c>
      <c r="K186" s="18">
        <f t="shared" si="1"/>
        <v>0</v>
      </c>
      <c r="L186" s="18">
        <f t="shared" si="2"/>
        <v>29.8695338</v>
      </c>
      <c r="M186" s="112">
        <f>C188*Scoring!$B$34+D188/Scoring!$C$34+E188*Scoring!$D$34+WR!F188*Scoring!$E$34+WR!G188/Scoring!$F$34+WR!H188*Scoring!$G$34+WR!I188*Scoring!$H$34+K188*Scoring!$I$34+WR!L188*Scoring!$J$34+U186</f>
        <v>96.5</v>
      </c>
      <c r="N186" s="112">
        <f>C186*Scoring!$B$34+D186/Scoring!$C$34+E186*Scoring!$D$34+WR!F186*Scoring!$E$34+WR!G186/Scoring!$F$34+WR!H186*Scoring!$G$34+WR!I186*Scoring!$H$34+K186*Scoring!$I$34+WR!L186*Scoring!$J$34+U186</f>
        <v>112.23</v>
      </c>
      <c r="O186" s="112">
        <f>C187*Scoring!$B$34+D187/Scoring!$C$34+E187*Scoring!$D$34+WR!F187*Scoring!$E$34+WR!G187/Scoring!$F$34+WR!H187*Scoring!$G$34+WR!I187*Scoring!$H$34+K187*Scoring!$I$34+WR!L187*Scoring!$J$34+U186</f>
        <v>128.5</v>
      </c>
      <c r="P186" s="8">
        <f>IF(COUNTIF(Rookies!$A:$A,A186)&gt;0,1,0)</f>
        <v>0</v>
      </c>
      <c r="Q186" s="8"/>
      <c r="R186" s="8"/>
      <c r="S186" s="8">
        <f>V186/17</f>
        <v>6.601764706</v>
      </c>
      <c r="T186" s="8">
        <f>IF(P186=1,MAX(0,0.28*(12-S186)),0)</f>
        <v>0</v>
      </c>
      <c r="U186" s="8">
        <f>T186*17</f>
        <v>0</v>
      </c>
      <c r="V186" s="8">
        <f>C186*Scoring!$B$34+D186/Scoring!$C$34+E186*Scoring!$D$34+WR!F186*Scoring!$E$34+WR!G186/Scoring!$F$34+WR!H186*Scoring!$G$34+WR!I186*Scoring!$H$34+K186*Scoring!$I$34+WR!L186*Scoring!$J$34</f>
        <v>112.23</v>
      </c>
      <c r="W186" s="8"/>
      <c r="X186" s="8"/>
      <c r="Y186" s="8"/>
      <c r="Z186" s="8"/>
    </row>
    <row r="187" ht="14.25" customHeight="1">
      <c r="B187" s="1" t="s">
        <v>39</v>
      </c>
      <c r="C187" s="1">
        <v>62.0</v>
      </c>
      <c r="D187" s="1">
        <v>675.0</v>
      </c>
      <c r="E187" s="1">
        <v>5.0</v>
      </c>
      <c r="F187" s="1">
        <v>0.0</v>
      </c>
      <c r="G187" s="1">
        <v>0.0</v>
      </c>
      <c r="H187" s="1">
        <v>0.0</v>
      </c>
      <c r="I187" s="1">
        <v>0.0</v>
      </c>
      <c r="J187" s="1">
        <v>146.6</v>
      </c>
      <c r="K187" s="18">
        <f t="shared" si="1"/>
        <v>0</v>
      </c>
      <c r="L187" s="18">
        <f t="shared" si="2"/>
        <v>33.1993007</v>
      </c>
      <c r="M187" s="118"/>
      <c r="N187" s="118"/>
      <c r="O187" s="11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B188" s="1" t="s">
        <v>48</v>
      </c>
      <c r="C188" s="1">
        <v>55.1</v>
      </c>
      <c r="D188" s="1">
        <v>539.5</v>
      </c>
      <c r="E188" s="1">
        <v>2.7</v>
      </c>
      <c r="F188" s="1">
        <v>0.0</v>
      </c>
      <c r="G188" s="1">
        <v>0.0</v>
      </c>
      <c r="H188" s="1">
        <v>0.0</v>
      </c>
      <c r="I188" s="1">
        <v>0.6</v>
      </c>
      <c r="J188" s="1">
        <v>127.9</v>
      </c>
      <c r="K188" s="18">
        <f t="shared" si="1"/>
        <v>0</v>
      </c>
      <c r="L188" s="18">
        <f t="shared" si="2"/>
        <v>26.53484848</v>
      </c>
      <c r="M188" s="118"/>
      <c r="N188" s="118"/>
      <c r="O188" s="11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1" t="s">
        <v>749</v>
      </c>
      <c r="B189" s="1" t="s">
        <v>61</v>
      </c>
      <c r="C189" s="1">
        <v>38.8</v>
      </c>
      <c r="D189" s="1">
        <v>598.6</v>
      </c>
      <c r="E189" s="1">
        <v>6.0</v>
      </c>
      <c r="F189" s="1">
        <v>0.0</v>
      </c>
      <c r="G189" s="1">
        <v>0.0</v>
      </c>
      <c r="H189" s="1">
        <v>0.0</v>
      </c>
      <c r="I189" s="1">
        <v>0.2</v>
      </c>
      <c r="J189" s="1">
        <v>134.3</v>
      </c>
      <c r="K189" s="18">
        <f t="shared" si="1"/>
        <v>0</v>
      </c>
      <c r="L189" s="18">
        <f t="shared" si="2"/>
        <v>29.4416317</v>
      </c>
      <c r="M189" s="112">
        <f>C191*Scoring!$B$34+D191/Scoring!$C$34+E191*Scoring!$D$34+WR!F191*Scoring!$E$34+WR!G191/Scoring!$F$34+WR!H191*Scoring!$G$34+WR!I191*Scoring!$H$34+K191*Scoring!$I$34+WR!L191*Scoring!$J$34+U189</f>
        <v>100.55</v>
      </c>
      <c r="N189" s="112">
        <f>C189*Scoring!$B$34+D189/Scoring!$C$34+E189*Scoring!$D$34+WR!F189*Scoring!$E$34+WR!G189/Scoring!$F$34+WR!H189*Scoring!$G$34+WR!I189*Scoring!$H$34+K189*Scoring!$I$34+WR!L189*Scoring!$J$34+U189</f>
        <v>114.86</v>
      </c>
      <c r="O189" s="112">
        <f>C190*Scoring!$B$34+D190/Scoring!$C$34+E190*Scoring!$D$34+WR!F190*Scoring!$E$34+WR!G190/Scoring!$F$34+WR!H190*Scoring!$G$34+WR!I190*Scoring!$H$34+K190*Scoring!$I$34+WR!L190*Scoring!$J$34+U189</f>
        <v>129.43</v>
      </c>
      <c r="P189" s="8">
        <f>IF(COUNTIF(Rookies!$A:$A,A189)&gt;0,1,0)</f>
        <v>0</v>
      </c>
      <c r="Q189" s="8"/>
      <c r="R189" s="8"/>
      <c r="S189" s="8">
        <f>V189/17</f>
        <v>6.756470588</v>
      </c>
      <c r="T189" s="8">
        <f>IF(P189=1,MAX(0,0.28*(12-S189)),0)</f>
        <v>0</v>
      </c>
      <c r="U189" s="8">
        <f>T189*17</f>
        <v>0</v>
      </c>
      <c r="V189" s="8">
        <f>C189*Scoring!$B$34+D189/Scoring!$C$34+E189*Scoring!$D$34+WR!F189*Scoring!$E$34+WR!G189/Scoring!$F$34+WR!H189*Scoring!$G$34+WR!I189*Scoring!$H$34+K189*Scoring!$I$34+WR!L189*Scoring!$J$34</f>
        <v>114.86</v>
      </c>
      <c r="W189" s="8"/>
      <c r="X189" s="8"/>
      <c r="Y189" s="8"/>
      <c r="Z189" s="8"/>
    </row>
    <row r="190" ht="14.25" customHeight="1">
      <c r="B190" s="1" t="s">
        <v>39</v>
      </c>
      <c r="C190" s="1">
        <v>40.0</v>
      </c>
      <c r="D190" s="1">
        <v>614.3</v>
      </c>
      <c r="E190" s="1">
        <v>8.0</v>
      </c>
      <c r="F190" s="1">
        <v>0.0</v>
      </c>
      <c r="G190" s="1">
        <v>0.0</v>
      </c>
      <c r="H190" s="1">
        <v>0.0</v>
      </c>
      <c r="I190" s="1">
        <v>0.0</v>
      </c>
      <c r="J190" s="1">
        <v>136.8</v>
      </c>
      <c r="K190" s="18">
        <f t="shared" si="1"/>
        <v>0</v>
      </c>
      <c r="L190" s="18">
        <f t="shared" si="2"/>
        <v>30.21382284</v>
      </c>
      <c r="M190" s="118"/>
      <c r="N190" s="118"/>
      <c r="O190" s="11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B191" s="1" t="s">
        <v>48</v>
      </c>
      <c r="C191" s="1">
        <v>37.7</v>
      </c>
      <c r="D191" s="1">
        <v>583.0</v>
      </c>
      <c r="E191" s="1">
        <v>4.0</v>
      </c>
      <c r="F191" s="1">
        <v>0.0</v>
      </c>
      <c r="G191" s="1">
        <v>0.0</v>
      </c>
      <c r="H191" s="1">
        <v>0.0</v>
      </c>
      <c r="I191" s="1">
        <v>0.3</v>
      </c>
      <c r="J191" s="1">
        <v>123.7</v>
      </c>
      <c r="K191" s="18">
        <f t="shared" si="1"/>
        <v>0</v>
      </c>
      <c r="L191" s="18">
        <f t="shared" si="2"/>
        <v>28.67435897</v>
      </c>
      <c r="M191" s="118"/>
      <c r="N191" s="118"/>
      <c r="O191" s="11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1" t="s">
        <v>754</v>
      </c>
      <c r="B192" s="1" t="s">
        <v>189</v>
      </c>
      <c r="C192" s="1">
        <v>48.7</v>
      </c>
      <c r="D192" s="1">
        <v>557.7</v>
      </c>
      <c r="E192" s="1">
        <v>5.2</v>
      </c>
      <c r="F192" s="1">
        <v>0.0</v>
      </c>
      <c r="G192" s="1">
        <v>0.0</v>
      </c>
      <c r="H192" s="1">
        <v>0.0</v>
      </c>
      <c r="I192" s="1">
        <v>0.7</v>
      </c>
      <c r="J192" s="1">
        <v>134.1</v>
      </c>
      <c r="K192" s="18">
        <f t="shared" si="1"/>
        <v>0</v>
      </c>
      <c r="L192" s="18">
        <f t="shared" si="2"/>
        <v>27.43</v>
      </c>
      <c r="M192" s="112">
        <f>C194*Scoring!$B$34+D194/Scoring!$C$34+E194*Scoring!$D$34+WR!F194*Scoring!$E$34+WR!G194/Scoring!$F$34+WR!H194*Scoring!$G$34+WR!I194*Scoring!$H$34+K194*Scoring!$I$34+WR!L194*Scoring!$J$34+U192</f>
        <v>89.68</v>
      </c>
      <c r="N192" s="112">
        <f>C192*Scoring!$B$34+D192/Scoring!$C$34+E192*Scoring!$D$34+WR!F192*Scoring!$E$34+WR!G192/Scoring!$F$34+WR!H192*Scoring!$G$34+WR!I192*Scoring!$H$34+K192*Scoring!$I$34+WR!L192*Scoring!$J$34+U192</f>
        <v>109.92</v>
      </c>
      <c r="O192" s="112">
        <f>C193*Scoring!$B$34+D193/Scoring!$C$34+E193*Scoring!$D$34+WR!F193*Scoring!$E$34+WR!G193/Scoring!$F$34+WR!H193*Scoring!$G$34+WR!I193*Scoring!$H$34+K193*Scoring!$I$34+WR!L193*Scoring!$J$34+U192</f>
        <v>129.4</v>
      </c>
      <c r="P192" s="8">
        <f>IF(COUNTIF(Rookies!$A:$A,A192)&gt;0,1,0)</f>
        <v>0</v>
      </c>
      <c r="Q192" s="8"/>
      <c r="R192" s="8"/>
      <c r="S192" s="8">
        <f>V192/17</f>
        <v>6.465882353</v>
      </c>
      <c r="T192" s="8">
        <f>IF(P192=1,MAX(0,0.28*(12-S192)),0)</f>
        <v>0</v>
      </c>
      <c r="U192" s="8">
        <f>T192*17</f>
        <v>0</v>
      </c>
      <c r="V192" s="8">
        <f>C192*Scoring!$B$34+D192/Scoring!$C$34+E192*Scoring!$D$34+WR!F192*Scoring!$E$34+WR!G192/Scoring!$F$34+WR!H192*Scoring!$G$34+WR!I192*Scoring!$H$34+K192*Scoring!$I$34+WR!L192*Scoring!$J$34</f>
        <v>109.92</v>
      </c>
      <c r="W192" s="8"/>
      <c r="X192" s="8"/>
      <c r="Y192" s="8"/>
      <c r="Z192" s="8"/>
    </row>
    <row r="193" ht="14.25" customHeight="1">
      <c r="B193" s="1" t="s">
        <v>39</v>
      </c>
      <c r="C193" s="1">
        <v>51.0</v>
      </c>
      <c r="D193" s="1">
        <v>629.0</v>
      </c>
      <c r="E193" s="1">
        <v>7.0</v>
      </c>
      <c r="F193" s="1">
        <v>0.0</v>
      </c>
      <c r="G193" s="1">
        <v>0.0</v>
      </c>
      <c r="H193" s="1">
        <v>0.0</v>
      </c>
      <c r="I193" s="1">
        <v>0.5</v>
      </c>
      <c r="J193" s="1">
        <v>143.7</v>
      </c>
      <c r="K193" s="18">
        <f t="shared" si="1"/>
        <v>0</v>
      </c>
      <c r="L193" s="18">
        <f t="shared" si="2"/>
        <v>30.93682984</v>
      </c>
      <c r="M193" s="118"/>
      <c r="N193" s="118"/>
      <c r="O193" s="11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B194" s="1" t="s">
        <v>48</v>
      </c>
      <c r="C194" s="1">
        <v>46.5</v>
      </c>
      <c r="D194" s="1">
        <v>486.3</v>
      </c>
      <c r="E194" s="1">
        <v>3.3</v>
      </c>
      <c r="F194" s="1">
        <v>0.0</v>
      </c>
      <c r="G194" s="1">
        <v>0.0</v>
      </c>
      <c r="H194" s="1">
        <v>0.0</v>
      </c>
      <c r="I194" s="1">
        <v>1.0</v>
      </c>
      <c r="J194" s="1">
        <v>116.9</v>
      </c>
      <c r="K194" s="18">
        <f t="shared" si="1"/>
        <v>0</v>
      </c>
      <c r="L194" s="18">
        <f t="shared" si="2"/>
        <v>23.91825175</v>
      </c>
      <c r="M194" s="118"/>
      <c r="N194" s="118"/>
      <c r="O194" s="11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1" t="s">
        <v>758</v>
      </c>
      <c r="B195" s="1" t="s">
        <v>186</v>
      </c>
      <c r="C195" s="1">
        <v>46.6</v>
      </c>
      <c r="D195" s="1">
        <v>607.3</v>
      </c>
      <c r="E195" s="1">
        <v>3.9</v>
      </c>
      <c r="F195" s="1">
        <v>4.7</v>
      </c>
      <c r="G195" s="1">
        <v>26.8</v>
      </c>
      <c r="H195" s="1">
        <v>0.1</v>
      </c>
      <c r="I195" s="1">
        <v>0.2</v>
      </c>
      <c r="J195" s="1">
        <v>133.8</v>
      </c>
      <c r="K195" s="18">
        <f t="shared" si="1"/>
        <v>1.660899855</v>
      </c>
      <c r="L195" s="18">
        <f t="shared" si="2"/>
        <v>29.8695338</v>
      </c>
      <c r="M195" s="112">
        <f>C197*Scoring!$B$34+D197/Scoring!$C$34+E197*Scoring!$D$34+WR!F197*Scoring!$E$34+WR!G197/Scoring!$F$34+WR!H197*Scoring!$G$34+WR!I197*Scoring!$H$34+K197*Scoring!$I$34+WR!L197*Scoring!$J$34+U195</f>
        <v>106.92</v>
      </c>
      <c r="N195" s="112">
        <f>C195*Scoring!$B$34+D195/Scoring!$C$34+E195*Scoring!$D$34+WR!F195*Scoring!$E$34+WR!G195/Scoring!$F$34+WR!H195*Scoring!$G$34+WR!I195*Scoring!$H$34+K195*Scoring!$I$34+WR!L195*Scoring!$J$34+U195</f>
        <v>110.31</v>
      </c>
      <c r="O195" s="112">
        <f>C196*Scoring!$B$34+D196/Scoring!$C$34+E196*Scoring!$D$34+WR!F196*Scoring!$E$34+WR!G196/Scoring!$F$34+WR!H196*Scoring!$G$34+WR!I196*Scoring!$H$34+K196*Scoring!$I$34+WR!L196*Scoring!$J$34+U195</f>
        <v>114.35</v>
      </c>
      <c r="P195" s="8">
        <f>IF(COUNTIF(Rookies!$A:$A,A195)&gt;0,1,0)</f>
        <v>0</v>
      </c>
      <c r="Q195" s="8"/>
      <c r="R195" s="8"/>
      <c r="S195" s="8">
        <f>V195/17</f>
        <v>6.488823529</v>
      </c>
      <c r="T195" s="8">
        <f>IF(P195=1,MAX(0,0.28*(12-S195)),0)</f>
        <v>0</v>
      </c>
      <c r="U195" s="8">
        <f>T195*17</f>
        <v>0</v>
      </c>
      <c r="V195" s="8">
        <f>C195*Scoring!$B$34+D195/Scoring!$C$34+E195*Scoring!$D$34+WR!F195*Scoring!$E$34+WR!G195/Scoring!$F$34+WR!H195*Scoring!$G$34+WR!I195*Scoring!$H$34+K195*Scoring!$I$34+WR!L195*Scoring!$J$34</f>
        <v>110.31</v>
      </c>
      <c r="W195" s="8"/>
      <c r="X195" s="8"/>
      <c r="Y195" s="8"/>
      <c r="Z195" s="8"/>
    </row>
    <row r="196" ht="14.25" customHeight="1">
      <c r="B196" s="1" t="s">
        <v>39</v>
      </c>
      <c r="C196" s="1">
        <v>47.3</v>
      </c>
      <c r="D196" s="1">
        <v>626.0</v>
      </c>
      <c r="E196" s="1">
        <v>4.0</v>
      </c>
      <c r="F196" s="1">
        <v>5.0</v>
      </c>
      <c r="G196" s="1">
        <v>29.0</v>
      </c>
      <c r="H196" s="1">
        <v>0.2</v>
      </c>
      <c r="I196" s="1">
        <v>0.0</v>
      </c>
      <c r="J196" s="1">
        <v>132.3</v>
      </c>
      <c r="K196" s="18">
        <f t="shared" si="1"/>
        <v>1.79724238</v>
      </c>
      <c r="L196" s="18">
        <f t="shared" si="2"/>
        <v>30.78927739</v>
      </c>
      <c r="M196" s="118"/>
      <c r="N196" s="118"/>
      <c r="O196" s="11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B197" s="1" t="s">
        <v>48</v>
      </c>
      <c r="C197" s="1">
        <v>46.0</v>
      </c>
      <c r="D197" s="1">
        <v>588.6</v>
      </c>
      <c r="E197" s="1">
        <v>3.9</v>
      </c>
      <c r="F197" s="1">
        <v>4.4</v>
      </c>
      <c r="G197" s="1">
        <v>24.6</v>
      </c>
      <c r="H197" s="1">
        <v>0.0</v>
      </c>
      <c r="I197" s="1">
        <v>0.4</v>
      </c>
      <c r="J197" s="1">
        <v>124.6</v>
      </c>
      <c r="K197" s="18">
        <f t="shared" si="1"/>
        <v>1.524557329</v>
      </c>
      <c r="L197" s="18">
        <f t="shared" si="2"/>
        <v>28.94979021</v>
      </c>
      <c r="M197" s="118"/>
      <c r="N197" s="118"/>
      <c r="O197" s="11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1" t="s">
        <v>762</v>
      </c>
      <c r="B198" s="1" t="s">
        <v>222</v>
      </c>
      <c r="C198" s="1">
        <v>43.7</v>
      </c>
      <c r="D198" s="1">
        <v>587.7</v>
      </c>
      <c r="E198" s="1">
        <v>4.0</v>
      </c>
      <c r="F198" s="1">
        <v>2.0</v>
      </c>
      <c r="G198" s="1">
        <v>9.0</v>
      </c>
      <c r="H198" s="1">
        <v>0.0</v>
      </c>
      <c r="I198" s="1">
        <v>0.2</v>
      </c>
      <c r="J198" s="1">
        <v>127.2</v>
      </c>
      <c r="K198" s="18">
        <f t="shared" si="1"/>
        <v>0.5577648766</v>
      </c>
      <c r="L198" s="18">
        <f t="shared" si="2"/>
        <v>28.90552448</v>
      </c>
      <c r="M198" s="112">
        <f>C200*Scoring!$B$34+D200/Scoring!$C$34+E200*Scoring!$D$34+WR!F200*Scoring!$E$34+WR!G200/Scoring!$F$34+WR!H200*Scoring!$G$34+WR!I200*Scoring!$H$34+K200*Scoring!$I$34+WR!L200*Scoring!$J$34+U198</f>
        <v>96.2</v>
      </c>
      <c r="N198" s="112">
        <f>C198*Scoring!$B$34+D198/Scoring!$C$34+E198*Scoring!$D$34+WR!F198*Scoring!$E$34+WR!G198/Scoring!$F$34+WR!H198*Scoring!$G$34+WR!I198*Scoring!$H$34+K198*Scoring!$I$34+WR!L198*Scoring!$J$34+U198</f>
        <v>105.12</v>
      </c>
      <c r="O198" s="112">
        <f>C199*Scoring!$B$34+D199/Scoring!$C$34+E199*Scoring!$D$34+WR!F199*Scoring!$E$34+WR!G199/Scoring!$F$34+WR!H199*Scoring!$G$34+WR!I199*Scoring!$H$34+K199*Scoring!$I$34+WR!L199*Scoring!$J$34+U198</f>
        <v>114.59</v>
      </c>
      <c r="P198" s="8">
        <f>IF(COUNTIF(Rookies!$A:$A,A198)&gt;0,1,0)</f>
        <v>0</v>
      </c>
      <c r="Q198" s="8"/>
      <c r="R198" s="8"/>
      <c r="S198" s="8">
        <f>V198/17</f>
        <v>6.183529412</v>
      </c>
      <c r="T198" s="8">
        <f>IF(P198=1,MAX(0,0.28*(12-S198)),0)</f>
        <v>0</v>
      </c>
      <c r="U198" s="8">
        <f>T198*17</f>
        <v>0</v>
      </c>
      <c r="V198" s="8">
        <f>C198*Scoring!$B$34+D198/Scoring!$C$34+E198*Scoring!$D$34+WR!F198*Scoring!$E$34+WR!G198/Scoring!$F$34+WR!H198*Scoring!$G$34+WR!I198*Scoring!$H$34+K198*Scoring!$I$34+WR!L198*Scoring!$J$34</f>
        <v>105.12</v>
      </c>
      <c r="W198" s="8"/>
      <c r="X198" s="8"/>
      <c r="Y198" s="8"/>
      <c r="Z198" s="8"/>
    </row>
    <row r="199" ht="14.25" customHeight="1">
      <c r="B199" s="1" t="s">
        <v>39</v>
      </c>
      <c r="C199" s="1">
        <v>44.3</v>
      </c>
      <c r="D199" s="1">
        <v>607.4</v>
      </c>
      <c r="E199" s="1">
        <v>5.0</v>
      </c>
      <c r="F199" s="1">
        <v>2.1</v>
      </c>
      <c r="G199" s="1">
        <v>11.0</v>
      </c>
      <c r="H199" s="1">
        <v>0.1</v>
      </c>
      <c r="I199" s="1">
        <v>0.0</v>
      </c>
      <c r="J199" s="1">
        <v>123.6</v>
      </c>
      <c r="K199" s="18">
        <f t="shared" si="1"/>
        <v>0.681712627</v>
      </c>
      <c r="L199" s="18">
        <f t="shared" si="2"/>
        <v>29.87445221</v>
      </c>
      <c r="M199" s="118"/>
      <c r="N199" s="118"/>
      <c r="O199" s="11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B200" s="1" t="s">
        <v>48</v>
      </c>
      <c r="C200" s="1">
        <v>43.0</v>
      </c>
      <c r="D200" s="1">
        <v>568.0</v>
      </c>
      <c r="E200" s="1">
        <v>3.0</v>
      </c>
      <c r="F200" s="1">
        <v>2.0</v>
      </c>
      <c r="G200" s="1">
        <v>7.0</v>
      </c>
      <c r="H200" s="1">
        <v>0.0</v>
      </c>
      <c r="I200" s="1">
        <v>0.4</v>
      </c>
      <c r="J200" s="1">
        <v>122.7</v>
      </c>
      <c r="K200" s="18">
        <f t="shared" si="1"/>
        <v>0.4338171263</v>
      </c>
      <c r="L200" s="18">
        <f t="shared" si="2"/>
        <v>27.93659674</v>
      </c>
      <c r="M200" s="118"/>
      <c r="N200" s="118"/>
      <c r="O200" s="11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1" t="s">
        <v>766</v>
      </c>
      <c r="B201" s="1" t="s">
        <v>182</v>
      </c>
      <c r="C201" s="1">
        <v>47.3</v>
      </c>
      <c r="D201" s="1">
        <v>567.7</v>
      </c>
      <c r="E201" s="1">
        <v>3.7</v>
      </c>
      <c r="F201" s="1">
        <v>0.0</v>
      </c>
      <c r="G201" s="1">
        <v>0.0</v>
      </c>
      <c r="H201" s="1">
        <v>0.0</v>
      </c>
      <c r="I201" s="1">
        <v>0.2</v>
      </c>
      <c r="J201" s="1">
        <v>125.8</v>
      </c>
      <c r="K201" s="18">
        <f t="shared" si="1"/>
        <v>0</v>
      </c>
      <c r="L201" s="18">
        <f t="shared" si="2"/>
        <v>27.92184149</v>
      </c>
      <c r="M201" s="112">
        <f>C203*Scoring!$B$34+D203/Scoring!$C$34+E203*Scoring!$D$34+WR!F203*Scoring!$E$34+WR!G203/Scoring!$F$34+WR!H203*Scoring!$G$34+WR!I203*Scoring!$H$34+K203*Scoring!$I$34+WR!L203*Scoring!$J$34+U201</f>
        <v>96.54</v>
      </c>
      <c r="N201" s="112">
        <f>C201*Scoring!$B$34+D201/Scoring!$C$34+E201*Scoring!$D$34+WR!F201*Scoring!$E$34+WR!G201/Scoring!$F$34+WR!H201*Scoring!$G$34+WR!I201*Scoring!$H$34+K201*Scoring!$I$34+WR!L201*Scoring!$J$34+U201</f>
        <v>102.22</v>
      </c>
      <c r="O201" s="112">
        <f>C202*Scoring!$B$34+D202/Scoring!$C$34+E202*Scoring!$D$34+WR!F202*Scoring!$E$34+WR!G202/Scoring!$F$34+WR!H202*Scoring!$G$34+WR!I202*Scoring!$H$34+K202*Scoring!$I$34+WR!L202*Scoring!$J$34+U201</f>
        <v>107.85</v>
      </c>
      <c r="P201" s="8">
        <f>IF(COUNTIF(Rookies!$A:$A,A201)&gt;0,1,0)</f>
        <v>0</v>
      </c>
      <c r="Q201" s="8"/>
      <c r="R201" s="8"/>
      <c r="S201" s="8">
        <f>V201/17</f>
        <v>6.012941176</v>
      </c>
      <c r="T201" s="8">
        <f>IF(P201=1,MAX(0,0.28*(12-S201)),0)</f>
        <v>0</v>
      </c>
      <c r="U201" s="8">
        <f>T201*17</f>
        <v>0</v>
      </c>
      <c r="V201" s="8">
        <f>C201*Scoring!$B$34+D201/Scoring!$C$34+E201*Scoring!$D$34+WR!F201*Scoring!$E$34+WR!G201/Scoring!$F$34+WR!H201*Scoring!$G$34+WR!I201*Scoring!$H$34+K201*Scoring!$I$34+WR!L201*Scoring!$J$34</f>
        <v>102.22</v>
      </c>
      <c r="W201" s="8"/>
      <c r="X201" s="8"/>
      <c r="Y201" s="8"/>
      <c r="Z201" s="8"/>
    </row>
    <row r="202" ht="14.25" customHeight="1">
      <c r="B202" s="1" t="s">
        <v>39</v>
      </c>
      <c r="C202" s="1">
        <v>49.5</v>
      </c>
      <c r="D202" s="1">
        <v>591.0</v>
      </c>
      <c r="E202" s="1">
        <v>4.0</v>
      </c>
      <c r="F202" s="1">
        <v>0.0</v>
      </c>
      <c r="G202" s="1">
        <v>0.0</v>
      </c>
      <c r="H202" s="1">
        <v>0.0</v>
      </c>
      <c r="I202" s="1">
        <v>0.0</v>
      </c>
      <c r="J202" s="1">
        <v>121.5</v>
      </c>
      <c r="K202" s="18">
        <f t="shared" si="1"/>
        <v>0</v>
      </c>
      <c r="L202" s="18">
        <f t="shared" si="2"/>
        <v>29.06783217</v>
      </c>
      <c r="M202" s="118"/>
      <c r="N202" s="118"/>
      <c r="O202" s="11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B203" s="1" t="s">
        <v>48</v>
      </c>
      <c r="C203" s="1">
        <v>45.0</v>
      </c>
      <c r="D203" s="1">
        <v>544.4</v>
      </c>
      <c r="E203" s="1">
        <v>3.4</v>
      </c>
      <c r="F203" s="1">
        <v>0.0</v>
      </c>
      <c r="G203" s="1">
        <v>0.0</v>
      </c>
      <c r="H203" s="1">
        <v>0.0</v>
      </c>
      <c r="I203" s="1">
        <v>0.4</v>
      </c>
      <c r="J203" s="1">
        <v>121.3</v>
      </c>
      <c r="K203" s="18">
        <f t="shared" si="1"/>
        <v>0</v>
      </c>
      <c r="L203" s="18">
        <f t="shared" si="2"/>
        <v>26.77585082</v>
      </c>
      <c r="M203" s="118"/>
      <c r="N203" s="118"/>
      <c r="O203" s="11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1" t="s">
        <v>771</v>
      </c>
      <c r="B204" s="1" t="s">
        <v>61</v>
      </c>
      <c r="C204" s="1">
        <v>37.8</v>
      </c>
      <c r="D204" s="1">
        <v>569.3</v>
      </c>
      <c r="E204" s="1">
        <v>5.2</v>
      </c>
      <c r="F204" s="1">
        <v>1.5</v>
      </c>
      <c r="G204" s="1">
        <v>8.5</v>
      </c>
      <c r="H204" s="1">
        <v>0.0</v>
      </c>
      <c r="I204" s="1">
        <v>0.7</v>
      </c>
      <c r="J204" s="1">
        <v>125.7</v>
      </c>
      <c r="K204" s="18">
        <f t="shared" si="1"/>
        <v>0.526777939</v>
      </c>
      <c r="L204" s="18">
        <f t="shared" si="2"/>
        <v>28.00053613</v>
      </c>
      <c r="M204" s="112">
        <f>C206*Scoring!$B$34+D206/Scoring!$C$34+E206*Scoring!$D$34+WR!F206*Scoring!$E$34+WR!G206/Scoring!$F$34+WR!H206*Scoring!$G$34+WR!I206*Scoring!$H$34+K206*Scoring!$I$34+WR!L206*Scoring!$J$34+U204</f>
        <v>110.5156</v>
      </c>
      <c r="N204" s="112">
        <f>C204*Scoring!$B$34+D204/Scoring!$C$34+E204*Scoring!$D$34+WR!F204*Scoring!$E$34+WR!G204/Scoring!$F$34+WR!H204*Scoring!$G$34+WR!I204*Scoring!$H$34+K204*Scoring!$I$34+WR!L204*Scoring!$J$34+U204</f>
        <v>133.7856</v>
      </c>
      <c r="O204" s="112">
        <f>C205*Scoring!$B$34+D205/Scoring!$C$34+E205*Scoring!$D$34+WR!F205*Scoring!$E$34+WR!G205/Scoring!$F$34+WR!H205*Scoring!$G$34+WR!I205*Scoring!$H$34+K205*Scoring!$I$34+WR!L205*Scoring!$J$34+U204</f>
        <v>157.8056</v>
      </c>
      <c r="P204" s="8">
        <f>IF(COUNTIF(Rookies!$A:$A,A204)&gt;0,1,0)</f>
        <v>1</v>
      </c>
      <c r="Q204" s="8"/>
      <c r="R204" s="8"/>
      <c r="S204" s="8">
        <f>V204/17</f>
        <v>6.263529412</v>
      </c>
      <c r="T204" s="8">
        <f>IF(P204=1,MAX(0,0.28*(12-S204)),0)</f>
        <v>1.606211765</v>
      </c>
      <c r="U204" s="8">
        <f>T204*17</f>
        <v>27.3056</v>
      </c>
      <c r="V204" s="8">
        <f>C204*Scoring!$B$34+D204/Scoring!$C$34+E204*Scoring!$D$34+WR!F204*Scoring!$E$34+WR!G204/Scoring!$F$34+WR!H204*Scoring!$G$34+WR!I204*Scoring!$H$34+K204*Scoring!$I$34+WR!L204*Scoring!$J$34</f>
        <v>106.48</v>
      </c>
      <c r="W204" s="8"/>
      <c r="X204" s="8"/>
      <c r="Y204" s="8"/>
      <c r="Z204" s="8"/>
    </row>
    <row r="205" ht="14.25" customHeight="1">
      <c r="B205" s="1" t="s">
        <v>39</v>
      </c>
      <c r="C205" s="1">
        <v>44.0</v>
      </c>
      <c r="D205" s="1">
        <v>654.0</v>
      </c>
      <c r="E205" s="1">
        <v>7.0</v>
      </c>
      <c r="F205" s="1">
        <v>3.0</v>
      </c>
      <c r="G205" s="1">
        <v>17.0</v>
      </c>
      <c r="H205" s="1">
        <v>0.0</v>
      </c>
      <c r="I205" s="1">
        <v>0.3</v>
      </c>
      <c r="J205" s="1">
        <v>134.8</v>
      </c>
      <c r="K205" s="18">
        <f t="shared" si="1"/>
        <v>1.053555878</v>
      </c>
      <c r="L205" s="18">
        <f t="shared" si="2"/>
        <v>32.16643357</v>
      </c>
      <c r="M205" s="118"/>
      <c r="N205" s="118"/>
      <c r="O205" s="11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B206" s="1" t="s">
        <v>48</v>
      </c>
      <c r="C206" s="1">
        <v>31.5</v>
      </c>
      <c r="D206" s="1">
        <v>484.6</v>
      </c>
      <c r="E206" s="1">
        <v>3.5</v>
      </c>
      <c r="F206" s="1">
        <v>0.0</v>
      </c>
      <c r="G206" s="1">
        <v>0.0</v>
      </c>
      <c r="H206" s="1">
        <v>0.0</v>
      </c>
      <c r="I206" s="1">
        <v>1.0</v>
      </c>
      <c r="J206" s="1">
        <v>106.7</v>
      </c>
      <c r="K206" s="18">
        <f t="shared" si="1"/>
        <v>0</v>
      </c>
      <c r="L206" s="18">
        <f t="shared" si="2"/>
        <v>23.83463869</v>
      </c>
      <c r="M206" s="118"/>
      <c r="N206" s="118"/>
      <c r="O206" s="11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1" t="s">
        <v>775</v>
      </c>
      <c r="B207" s="1" t="s">
        <v>202</v>
      </c>
      <c r="C207" s="1">
        <v>47.4</v>
      </c>
      <c r="D207" s="1">
        <v>584.8</v>
      </c>
      <c r="E207" s="1">
        <v>3.4</v>
      </c>
      <c r="F207" s="1">
        <v>0.5</v>
      </c>
      <c r="G207" s="1">
        <v>1.5</v>
      </c>
      <c r="H207" s="1">
        <v>0.0</v>
      </c>
      <c r="I207" s="1">
        <v>0.7</v>
      </c>
      <c r="J207" s="1">
        <v>125.2</v>
      </c>
      <c r="K207" s="18">
        <f t="shared" si="1"/>
        <v>0.09296081277</v>
      </c>
      <c r="L207" s="18">
        <f t="shared" si="2"/>
        <v>28.76289044</v>
      </c>
      <c r="M207" s="112">
        <f>C209*Scoring!$B$34+D209/Scoring!$C$34+E209*Scoring!$D$34+WR!F209*Scoring!$E$34+WR!G209/Scoring!$F$34+WR!H209*Scoring!$G$34+WR!I209*Scoring!$H$34+K209*Scoring!$I$34+WR!L209*Scoring!$J$34+U207</f>
        <v>80.92</v>
      </c>
      <c r="N207" s="112">
        <f>C207*Scoring!$B$34+D207/Scoring!$C$34+E207*Scoring!$D$34+WR!F207*Scoring!$E$34+WR!G207/Scoring!$F$34+WR!H207*Scoring!$G$34+WR!I207*Scoring!$H$34+K207*Scoring!$I$34+WR!L207*Scoring!$J$34+U207</f>
        <v>101.33</v>
      </c>
      <c r="O207" s="112">
        <f>C208*Scoring!$B$34+D208/Scoring!$C$34+E208*Scoring!$D$34+WR!F208*Scoring!$E$34+WR!G208/Scoring!$F$34+WR!H208*Scoring!$G$34+WR!I208*Scoring!$H$34+K208*Scoring!$I$34+WR!L208*Scoring!$J$34+U207</f>
        <v>122</v>
      </c>
      <c r="P207" s="8">
        <f>IF(COUNTIF(Rookies!$A:$A,A207)&gt;0,1,0)</f>
        <v>0</v>
      </c>
      <c r="Q207" s="8"/>
      <c r="R207" s="8"/>
      <c r="S207" s="8">
        <f>V207/17</f>
        <v>5.960588235</v>
      </c>
      <c r="T207" s="8">
        <f>IF(P207=1,MAX(0,0.28*(12-S207)),0)</f>
        <v>0</v>
      </c>
      <c r="U207" s="8">
        <f>T207*17</f>
        <v>0</v>
      </c>
      <c r="V207" s="8">
        <f>C207*Scoring!$B$34+D207/Scoring!$C$34+E207*Scoring!$D$34+WR!F207*Scoring!$E$34+WR!G207/Scoring!$F$34+WR!H207*Scoring!$G$34+WR!I207*Scoring!$H$34+K207*Scoring!$I$34+WR!L207*Scoring!$J$34</f>
        <v>101.33</v>
      </c>
      <c r="W207" s="8"/>
      <c r="X207" s="8"/>
      <c r="Y207" s="8"/>
      <c r="Z207" s="8"/>
    </row>
    <row r="208" ht="14.25" customHeight="1">
      <c r="B208" s="1" t="s">
        <v>39</v>
      </c>
      <c r="C208" s="1">
        <v>57.0</v>
      </c>
      <c r="D208" s="1">
        <v>698.0</v>
      </c>
      <c r="E208" s="1">
        <v>4.0</v>
      </c>
      <c r="F208" s="1">
        <v>1.0</v>
      </c>
      <c r="G208" s="1">
        <v>3.0</v>
      </c>
      <c r="H208" s="1">
        <v>0.0</v>
      </c>
      <c r="I208" s="1">
        <v>0.3</v>
      </c>
      <c r="J208" s="1">
        <v>132.4</v>
      </c>
      <c r="K208" s="18">
        <f t="shared" si="1"/>
        <v>0.1859216255</v>
      </c>
      <c r="L208" s="18">
        <f t="shared" si="2"/>
        <v>34.33053613</v>
      </c>
      <c r="M208" s="118"/>
      <c r="N208" s="118"/>
      <c r="O208" s="11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B209" s="1" t="s">
        <v>48</v>
      </c>
      <c r="C209" s="1">
        <v>37.9</v>
      </c>
      <c r="D209" s="1">
        <v>471.7</v>
      </c>
      <c r="E209" s="1">
        <v>2.8</v>
      </c>
      <c r="F209" s="1">
        <v>0.0</v>
      </c>
      <c r="G209" s="1">
        <v>0.0</v>
      </c>
      <c r="H209" s="1">
        <v>0.0</v>
      </c>
      <c r="I209" s="1">
        <v>1.0</v>
      </c>
      <c r="J209" s="1">
        <v>111.1</v>
      </c>
      <c r="K209" s="18">
        <f t="shared" si="1"/>
        <v>0</v>
      </c>
      <c r="L209" s="18">
        <f t="shared" si="2"/>
        <v>23.20016317</v>
      </c>
      <c r="M209" s="118"/>
      <c r="N209" s="118"/>
      <c r="O209" s="11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1" t="s">
        <v>780</v>
      </c>
      <c r="B210" s="1" t="s">
        <v>210</v>
      </c>
      <c r="C210" s="1">
        <v>39.7</v>
      </c>
      <c r="D210" s="1">
        <v>548.8</v>
      </c>
      <c r="E210" s="1">
        <v>3.3</v>
      </c>
      <c r="F210" s="1">
        <v>2.1</v>
      </c>
      <c r="G210" s="1">
        <v>5.1</v>
      </c>
      <c r="H210" s="1">
        <v>0.1</v>
      </c>
      <c r="I210" s="1">
        <v>0.7</v>
      </c>
      <c r="J210" s="1">
        <v>113.8</v>
      </c>
      <c r="K210" s="18">
        <f t="shared" si="1"/>
        <v>0.3160667634</v>
      </c>
      <c r="L210" s="18">
        <f t="shared" si="2"/>
        <v>26.99226107</v>
      </c>
      <c r="M210" s="112">
        <f>C212*Scoring!$B$34+D212/Scoring!$C$34+E212*Scoring!$D$34+WR!F212*Scoring!$E$34+WR!G212/Scoring!$F$34+WR!H212*Scoring!$G$34+WR!I212*Scoring!$H$34+K212*Scoring!$I$34+WR!L212*Scoring!$J$34+U210</f>
        <v>82.9</v>
      </c>
      <c r="N210" s="112">
        <f>C210*Scoring!$B$34+D210/Scoring!$C$34+E210*Scoring!$D$34+WR!F210*Scoring!$E$34+WR!G210/Scoring!$F$34+WR!H210*Scoring!$G$34+WR!I210*Scoring!$H$34+K210*Scoring!$I$34+WR!L210*Scoring!$J$34+U210</f>
        <v>94.24</v>
      </c>
      <c r="O210" s="112">
        <f>C211*Scoring!$B$34+D211/Scoring!$C$34+E211*Scoring!$D$34+WR!F211*Scoring!$E$34+WR!G211/Scoring!$F$34+WR!H211*Scoring!$G$34+WR!I211*Scoring!$H$34+K211*Scoring!$I$34+WR!L211*Scoring!$J$34+U210</f>
        <v>104.82</v>
      </c>
      <c r="P210" s="8">
        <f>IF(COUNTIF(Rookies!$A:$A,A210)&gt;0,1,0)</f>
        <v>0</v>
      </c>
      <c r="Q210" s="8"/>
      <c r="R210" s="8"/>
      <c r="S210" s="8">
        <f>V210/17</f>
        <v>5.543529412</v>
      </c>
      <c r="T210" s="8">
        <f>IF(P210=1,MAX(0,0.28*(12-S210)),0)</f>
        <v>0</v>
      </c>
      <c r="U210" s="8">
        <f>T210*17</f>
        <v>0</v>
      </c>
      <c r="V210" s="8">
        <f>C210*Scoring!$B$34+D210/Scoring!$C$34+E210*Scoring!$D$34+WR!F210*Scoring!$E$34+WR!G210/Scoring!$F$34+WR!H210*Scoring!$G$34+WR!I210*Scoring!$H$34+K210*Scoring!$I$34+WR!L210*Scoring!$J$34</f>
        <v>94.24</v>
      </c>
      <c r="W210" s="8"/>
      <c r="X210" s="8"/>
      <c r="Y210" s="8"/>
      <c r="Z210" s="8"/>
    </row>
    <row r="211" ht="14.25" customHeight="1">
      <c r="B211" s="1" t="s">
        <v>39</v>
      </c>
      <c r="C211" s="1">
        <v>41.5</v>
      </c>
      <c r="D211" s="1">
        <v>617.5</v>
      </c>
      <c r="E211" s="1">
        <v>3.6</v>
      </c>
      <c r="F211" s="1">
        <v>2.2</v>
      </c>
      <c r="G211" s="1">
        <v>11.2</v>
      </c>
      <c r="H211" s="1">
        <v>0.1</v>
      </c>
      <c r="I211" s="1">
        <v>0.5</v>
      </c>
      <c r="J211" s="1">
        <v>124.9</v>
      </c>
      <c r="K211" s="18">
        <f t="shared" si="1"/>
        <v>0.694107402</v>
      </c>
      <c r="L211" s="18">
        <f t="shared" si="2"/>
        <v>30.37121212</v>
      </c>
      <c r="M211" s="118"/>
      <c r="N211" s="118"/>
      <c r="O211" s="11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B212" s="1" t="s">
        <v>48</v>
      </c>
      <c r="C212" s="1">
        <v>38.0</v>
      </c>
      <c r="D212" s="1">
        <v>480.0</v>
      </c>
      <c r="E212" s="1">
        <v>3.0</v>
      </c>
      <c r="F212" s="1">
        <v>2.0</v>
      </c>
      <c r="G212" s="1">
        <v>-1.0</v>
      </c>
      <c r="H212" s="1">
        <v>0.0</v>
      </c>
      <c r="I212" s="1">
        <v>1.0</v>
      </c>
      <c r="J212" s="1">
        <v>94.7</v>
      </c>
      <c r="K212" s="18">
        <f t="shared" si="1"/>
        <v>-0.06197387518</v>
      </c>
      <c r="L212" s="18">
        <f t="shared" si="2"/>
        <v>23.60839161</v>
      </c>
      <c r="M212" s="118"/>
      <c r="N212" s="118"/>
      <c r="O212" s="11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1" t="s">
        <v>785</v>
      </c>
      <c r="B213" s="1" t="s">
        <v>196</v>
      </c>
      <c r="C213" s="1">
        <v>45.6</v>
      </c>
      <c r="D213" s="1">
        <v>414.2</v>
      </c>
      <c r="E213" s="1">
        <v>2.4</v>
      </c>
      <c r="F213" s="1">
        <v>13.5</v>
      </c>
      <c r="G213" s="1">
        <v>80.8</v>
      </c>
      <c r="H213" s="1">
        <v>0.7</v>
      </c>
      <c r="I213" s="1">
        <v>0.8</v>
      </c>
      <c r="J213" s="1">
        <v>112.1</v>
      </c>
      <c r="K213" s="18">
        <f t="shared" si="1"/>
        <v>5.007489115</v>
      </c>
      <c r="L213" s="18">
        <f t="shared" si="2"/>
        <v>20.37207459</v>
      </c>
      <c r="M213" s="112">
        <f>C215*Scoring!$B$34+D215/Scoring!$C$34+E215*Scoring!$D$34+WR!F215*Scoring!$E$34+WR!G215/Scoring!$F$34+WR!H215*Scoring!$G$34+WR!I215*Scoring!$H$34+K215*Scoring!$I$34+WR!L215*Scoring!$J$34+U213</f>
        <v>76.47</v>
      </c>
      <c r="N213" s="112">
        <f>C213*Scoring!$B$34+D213/Scoring!$C$34+E213*Scoring!$D$34+WR!F213*Scoring!$E$34+WR!G213/Scoring!$F$34+WR!H213*Scoring!$G$34+WR!I213*Scoring!$H$34+K213*Scoring!$I$34+WR!L213*Scoring!$J$34+U213</f>
        <v>89.3</v>
      </c>
      <c r="O213" s="112">
        <f>C214*Scoring!$B$34+D214/Scoring!$C$34+E214*Scoring!$D$34+WR!F214*Scoring!$E$34+WR!G214/Scoring!$F$34+WR!H214*Scoring!$G$34+WR!I214*Scoring!$H$34+K214*Scoring!$I$34+WR!L214*Scoring!$J$34+U213</f>
        <v>102.14</v>
      </c>
      <c r="P213" s="8">
        <f>IF(COUNTIF(Rookies!$A:$A,A213)&gt;0,1,0)</f>
        <v>0</v>
      </c>
      <c r="Q213" s="8"/>
      <c r="R213" s="8"/>
      <c r="S213" s="8">
        <f>V213/17</f>
        <v>5.252941176</v>
      </c>
      <c r="T213" s="8">
        <f>IF(P213=1,MAX(0,0.28*(12-S213)),0)</f>
        <v>0</v>
      </c>
      <c r="U213" s="8">
        <f>T213*17</f>
        <v>0</v>
      </c>
      <c r="V213" s="8">
        <f>C213*Scoring!$B$34+D213/Scoring!$C$34+E213*Scoring!$D$34+WR!F213*Scoring!$E$34+WR!G213/Scoring!$F$34+WR!H213*Scoring!$G$34+WR!I213*Scoring!$H$34+K213*Scoring!$I$34+WR!L213*Scoring!$J$34</f>
        <v>89.3</v>
      </c>
      <c r="W213" s="8"/>
      <c r="X213" s="8"/>
      <c r="Y213" s="8"/>
      <c r="Z213" s="8"/>
    </row>
    <row r="214" ht="14.25" customHeight="1">
      <c r="B214" s="1" t="s">
        <v>39</v>
      </c>
      <c r="C214" s="1">
        <v>46.0</v>
      </c>
      <c r="D214" s="1">
        <v>479.4</v>
      </c>
      <c r="E214" s="1">
        <v>3.0</v>
      </c>
      <c r="F214" s="1">
        <v>14.0</v>
      </c>
      <c r="G214" s="1">
        <v>84.0</v>
      </c>
      <c r="H214" s="1">
        <v>1.0</v>
      </c>
      <c r="I214" s="1">
        <v>0.6</v>
      </c>
      <c r="J214" s="1">
        <v>116.3</v>
      </c>
      <c r="K214" s="18">
        <f t="shared" si="1"/>
        <v>5.205805515</v>
      </c>
      <c r="L214" s="18">
        <f t="shared" si="2"/>
        <v>23.57888112</v>
      </c>
      <c r="M214" s="118"/>
      <c r="N214" s="118"/>
      <c r="O214" s="11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B215" s="1" t="s">
        <v>48</v>
      </c>
      <c r="C215" s="1">
        <v>45.2</v>
      </c>
      <c r="D215" s="1">
        <v>349.0</v>
      </c>
      <c r="E215" s="1">
        <v>1.8</v>
      </c>
      <c r="F215" s="1">
        <v>12.9</v>
      </c>
      <c r="G215" s="1">
        <v>77.7</v>
      </c>
      <c r="H215" s="1">
        <v>0.4</v>
      </c>
      <c r="I215" s="1">
        <v>1.0</v>
      </c>
      <c r="J215" s="1">
        <v>97.6</v>
      </c>
      <c r="K215" s="18">
        <f t="shared" si="1"/>
        <v>4.815370102</v>
      </c>
      <c r="L215" s="18">
        <f t="shared" si="2"/>
        <v>17.16526807</v>
      </c>
      <c r="M215" s="118"/>
      <c r="N215" s="118"/>
      <c r="O215" s="11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1" t="s">
        <v>789</v>
      </c>
      <c r="B216" s="1" t="s">
        <v>145</v>
      </c>
      <c r="C216" s="1">
        <v>41.6</v>
      </c>
      <c r="D216" s="1">
        <v>496.6</v>
      </c>
      <c r="E216" s="1">
        <v>3.3</v>
      </c>
      <c r="F216" s="1">
        <v>2.0</v>
      </c>
      <c r="G216" s="1">
        <v>10.8</v>
      </c>
      <c r="H216" s="1">
        <v>0.1</v>
      </c>
      <c r="I216" s="1">
        <v>0.4</v>
      </c>
      <c r="J216" s="1">
        <v>111.8</v>
      </c>
      <c r="K216" s="18">
        <f t="shared" si="1"/>
        <v>0.669317852</v>
      </c>
      <c r="L216" s="18">
        <f t="shared" si="2"/>
        <v>24.42484848</v>
      </c>
      <c r="M216" s="112">
        <f>C218*Scoring!$B$34+D218/Scoring!$C$34+E218*Scoring!$D$34+WR!F218*Scoring!$E$34+WR!G218/Scoring!$F$34+WR!H218*Scoring!$G$34+WR!I218*Scoring!$H$34+K218*Scoring!$I$34+WR!L218*Scoring!$J$34+U216</f>
        <v>91.14</v>
      </c>
      <c r="N216" s="112">
        <f>C216*Scoring!$B$34+D216/Scoring!$C$34+E216*Scoring!$D$34+WR!F216*Scoring!$E$34+WR!G216/Scoring!$F$34+WR!H216*Scoring!$G$34+WR!I216*Scoring!$H$34+K216*Scoring!$I$34+WR!L216*Scoring!$J$34+U216</f>
        <v>91.14</v>
      </c>
      <c r="O216" s="112">
        <f>C217*Scoring!$B$34+D217/Scoring!$C$34+E217*Scoring!$D$34+WR!F217*Scoring!$E$34+WR!G217/Scoring!$F$34+WR!H217*Scoring!$G$34+WR!I217*Scoring!$H$34+K217*Scoring!$I$34+WR!L217*Scoring!$J$34+U216</f>
        <v>91.14</v>
      </c>
      <c r="P216" s="8">
        <f>IF(COUNTIF(Rookies!$A:$A,A216)&gt;0,1,0)</f>
        <v>0</v>
      </c>
      <c r="Q216" s="8"/>
      <c r="R216" s="8"/>
      <c r="S216" s="8">
        <f>V216/17</f>
        <v>5.361176471</v>
      </c>
      <c r="T216" s="8">
        <f>IF(P216=1,MAX(0,0.28*(12-S216)),0)</f>
        <v>0</v>
      </c>
      <c r="U216" s="8">
        <f>T216*17</f>
        <v>0</v>
      </c>
      <c r="V216" s="8">
        <f>C216*Scoring!$B$34+D216/Scoring!$C$34+E216*Scoring!$D$34+WR!F216*Scoring!$E$34+WR!G216/Scoring!$F$34+WR!H216*Scoring!$G$34+WR!I216*Scoring!$H$34+K216*Scoring!$I$34+WR!L216*Scoring!$J$34</f>
        <v>91.14</v>
      </c>
      <c r="W216" s="8"/>
      <c r="X216" s="8"/>
      <c r="Y216" s="8"/>
      <c r="Z216" s="8"/>
    </row>
    <row r="217" ht="14.25" customHeight="1">
      <c r="B217" s="1" t="s">
        <v>39</v>
      </c>
      <c r="C217" s="1">
        <v>41.6</v>
      </c>
      <c r="D217" s="1">
        <v>496.6</v>
      </c>
      <c r="E217" s="1">
        <v>3.3</v>
      </c>
      <c r="F217" s="1">
        <v>2.0</v>
      </c>
      <c r="G217" s="1">
        <v>10.8</v>
      </c>
      <c r="H217" s="1">
        <v>0.1</v>
      </c>
      <c r="I217" s="1">
        <v>0.4</v>
      </c>
      <c r="J217" s="1">
        <v>113.1</v>
      </c>
      <c r="K217" s="18">
        <f t="shared" si="1"/>
        <v>0.669317852</v>
      </c>
      <c r="L217" s="18">
        <f t="shared" si="2"/>
        <v>24.42484848</v>
      </c>
      <c r="M217" s="118"/>
      <c r="N217" s="118"/>
      <c r="O217" s="11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B218" s="1" t="s">
        <v>48</v>
      </c>
      <c r="C218" s="1">
        <v>41.6</v>
      </c>
      <c r="D218" s="1">
        <v>496.6</v>
      </c>
      <c r="E218" s="1">
        <v>3.3</v>
      </c>
      <c r="F218" s="1">
        <v>2.0</v>
      </c>
      <c r="G218" s="1">
        <v>10.8</v>
      </c>
      <c r="H218" s="1">
        <v>0.1</v>
      </c>
      <c r="I218" s="1">
        <v>0.4</v>
      </c>
      <c r="J218" s="1">
        <v>113.1</v>
      </c>
      <c r="K218" s="18">
        <f t="shared" si="1"/>
        <v>0.669317852</v>
      </c>
      <c r="L218" s="18">
        <f t="shared" si="2"/>
        <v>24.42484848</v>
      </c>
      <c r="M218" s="118"/>
      <c r="N218" s="118"/>
      <c r="O218" s="11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1" t="s">
        <v>793</v>
      </c>
      <c r="B219" s="1" t="s">
        <v>205</v>
      </c>
      <c r="C219" s="1">
        <v>41.6</v>
      </c>
      <c r="D219" s="1">
        <v>472.3</v>
      </c>
      <c r="E219" s="1">
        <v>3.4</v>
      </c>
      <c r="F219" s="1">
        <v>5.1</v>
      </c>
      <c r="G219" s="1">
        <v>17.6</v>
      </c>
      <c r="H219" s="1">
        <v>0.1</v>
      </c>
      <c r="I219" s="1">
        <v>0.2</v>
      </c>
      <c r="J219" s="1">
        <v>110.7</v>
      </c>
      <c r="K219" s="18">
        <f t="shared" si="1"/>
        <v>1.090740203</v>
      </c>
      <c r="L219" s="18">
        <f t="shared" si="2"/>
        <v>23.22967366</v>
      </c>
      <c r="M219" s="112">
        <f>C221*Scoring!$B$34+D221/Scoring!$C$34+E221*Scoring!$D$34+WR!F221*Scoring!$E$34+WR!G221/Scoring!$F$34+WR!H221*Scoring!$G$34+WR!I221*Scoring!$H$34+K221*Scoring!$I$34+WR!L221*Scoring!$J$34+U219</f>
        <v>81.6</v>
      </c>
      <c r="N219" s="112">
        <f>C219*Scoring!$B$34+D219/Scoring!$C$34+E219*Scoring!$D$34+WR!F219*Scoring!$E$34+WR!G219/Scoring!$F$34+WR!H219*Scoring!$G$34+WR!I219*Scoring!$H$34+K219*Scoring!$I$34+WR!L219*Scoring!$J$34+U219</f>
        <v>90.39</v>
      </c>
      <c r="O219" s="112">
        <f>C220*Scoring!$B$34+D220/Scoring!$C$34+E220*Scoring!$D$34+WR!F220*Scoring!$E$34+WR!G220/Scoring!$F$34+WR!H220*Scoring!$G$34+WR!I220*Scoring!$H$34+K220*Scoring!$I$34+WR!L220*Scoring!$J$34+U219</f>
        <v>97.84</v>
      </c>
      <c r="P219" s="8">
        <f>IF(COUNTIF(Rookies!$A:$A,A219)&gt;0,1,0)</f>
        <v>0</v>
      </c>
      <c r="Q219" s="8"/>
      <c r="R219" s="8"/>
      <c r="S219" s="8">
        <f>V219/17</f>
        <v>5.317058824</v>
      </c>
      <c r="T219" s="8">
        <f>IF(P219=1,MAX(0,0.28*(12-S219)),0)</f>
        <v>0</v>
      </c>
      <c r="U219" s="8">
        <f>T219*17</f>
        <v>0</v>
      </c>
      <c r="V219" s="8">
        <f>C219*Scoring!$B$34+D219/Scoring!$C$34+E219*Scoring!$D$34+WR!F219*Scoring!$E$34+WR!G219/Scoring!$F$34+WR!H219*Scoring!$G$34+WR!I219*Scoring!$H$34+K219*Scoring!$I$34+WR!L219*Scoring!$J$34</f>
        <v>90.39</v>
      </c>
      <c r="W219" s="8"/>
      <c r="X219" s="8"/>
      <c r="Y219" s="8"/>
      <c r="Z219" s="8"/>
    </row>
    <row r="220" ht="14.25" customHeight="1">
      <c r="B220" s="1" t="s">
        <v>39</v>
      </c>
      <c r="C220" s="1">
        <v>43.3</v>
      </c>
      <c r="D220" s="1">
        <v>493.7</v>
      </c>
      <c r="E220" s="1">
        <v>4.0</v>
      </c>
      <c r="F220" s="1">
        <v>6.0</v>
      </c>
      <c r="G220" s="1">
        <v>22.2</v>
      </c>
      <c r="H220" s="1">
        <v>0.1</v>
      </c>
      <c r="I220" s="1">
        <v>0.0</v>
      </c>
      <c r="J220" s="1">
        <v>111.6</v>
      </c>
      <c r="K220" s="18">
        <f t="shared" si="1"/>
        <v>1.375820029</v>
      </c>
      <c r="L220" s="18">
        <f t="shared" si="2"/>
        <v>24.28221445</v>
      </c>
      <c r="M220" s="118"/>
      <c r="N220" s="118"/>
      <c r="O220" s="11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B221" s="1" t="s">
        <v>48</v>
      </c>
      <c r="C221" s="1">
        <v>40.0</v>
      </c>
      <c r="D221" s="1">
        <v>451.0</v>
      </c>
      <c r="E221" s="1">
        <v>2.7</v>
      </c>
      <c r="F221" s="1">
        <v>4.2</v>
      </c>
      <c r="G221" s="1">
        <v>13.0</v>
      </c>
      <c r="H221" s="1">
        <v>0.0</v>
      </c>
      <c r="I221" s="1">
        <v>0.5</v>
      </c>
      <c r="J221" s="1">
        <v>101.6</v>
      </c>
      <c r="K221" s="18">
        <f t="shared" si="1"/>
        <v>0.8056603774</v>
      </c>
      <c r="L221" s="18">
        <f t="shared" si="2"/>
        <v>22.18205128</v>
      </c>
      <c r="M221" s="118"/>
      <c r="N221" s="118"/>
      <c r="O221" s="11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1" t="s">
        <v>798</v>
      </c>
      <c r="B222" s="1" t="s">
        <v>205</v>
      </c>
      <c r="C222" s="1">
        <v>34.7</v>
      </c>
      <c r="D222" s="1">
        <v>499.0</v>
      </c>
      <c r="E222" s="1">
        <v>4.3</v>
      </c>
      <c r="F222" s="1">
        <v>0.0</v>
      </c>
      <c r="G222" s="1">
        <v>0.0</v>
      </c>
      <c r="H222" s="1">
        <v>0.0</v>
      </c>
      <c r="I222" s="1">
        <v>0.1</v>
      </c>
      <c r="J222" s="1">
        <v>110.3</v>
      </c>
      <c r="K222" s="18">
        <f t="shared" si="1"/>
        <v>0</v>
      </c>
      <c r="L222" s="18">
        <f t="shared" si="2"/>
        <v>24.54289044</v>
      </c>
      <c r="M222" s="112">
        <f>C224*Scoring!$B$34+D224/Scoring!$C$34+E224*Scoring!$D$34+WR!F224*Scoring!$E$34+WR!G224/Scoring!$F$34+WR!H224*Scoring!$G$34+WR!I224*Scoring!$H$34+K224*Scoring!$I$34+WR!L224*Scoring!$J$34+U222</f>
        <v>72.15</v>
      </c>
      <c r="N222" s="112">
        <f>C222*Scoring!$B$34+D222/Scoring!$C$34+E222*Scoring!$D$34+WR!F222*Scoring!$E$34+WR!G222/Scoring!$F$34+WR!H222*Scoring!$G$34+WR!I222*Scoring!$H$34+K222*Scoring!$I$34+WR!L222*Scoring!$J$34+U222</f>
        <v>92.85</v>
      </c>
      <c r="O222" s="112">
        <f>C223*Scoring!$B$34+D223/Scoring!$C$34+E223*Scoring!$D$34+WR!F223*Scoring!$E$34+WR!G223/Scoring!$F$34+WR!H223*Scoring!$G$34+WR!I223*Scoring!$H$34+K223*Scoring!$I$34+WR!L223*Scoring!$J$34+U222</f>
        <v>113.9</v>
      </c>
      <c r="P222" s="8">
        <f>IF(COUNTIF(Rookies!$A:$A,A222)&gt;0,1,0)</f>
        <v>0</v>
      </c>
      <c r="Q222" s="8"/>
      <c r="R222" s="8"/>
      <c r="S222" s="8">
        <f>V222/17</f>
        <v>5.461764706</v>
      </c>
      <c r="T222" s="8">
        <f>IF(P222=1,MAX(0,0.28*(12-S222)),0)</f>
        <v>0</v>
      </c>
      <c r="U222" s="8">
        <f>T222*17</f>
        <v>0</v>
      </c>
      <c r="V222" s="8">
        <f>C222*Scoring!$B$34+D222/Scoring!$C$34+E222*Scoring!$D$34+WR!F222*Scoring!$E$34+WR!G222/Scoring!$F$34+WR!H222*Scoring!$G$34+WR!I222*Scoring!$H$34+K222*Scoring!$I$34+WR!L222*Scoring!$J$34</f>
        <v>92.85</v>
      </c>
      <c r="W222" s="8"/>
      <c r="X222" s="8"/>
      <c r="Y222" s="8"/>
      <c r="Z222" s="8"/>
    </row>
    <row r="223" ht="14.25" customHeight="1">
      <c r="B223" s="1" t="s">
        <v>39</v>
      </c>
      <c r="C223" s="1">
        <v>39.0</v>
      </c>
      <c r="D223" s="1">
        <v>584.0</v>
      </c>
      <c r="E223" s="1">
        <v>6.0</v>
      </c>
      <c r="F223" s="1">
        <v>0.0</v>
      </c>
      <c r="G223" s="1">
        <v>0.0</v>
      </c>
      <c r="H223" s="1">
        <v>0.0</v>
      </c>
      <c r="I223" s="1">
        <v>0.0</v>
      </c>
      <c r="J223" s="1">
        <v>120.7</v>
      </c>
      <c r="K223" s="18">
        <f t="shared" si="1"/>
        <v>0</v>
      </c>
      <c r="L223" s="18">
        <f t="shared" si="2"/>
        <v>28.72354312</v>
      </c>
      <c r="M223" s="118"/>
      <c r="N223" s="118"/>
      <c r="O223" s="11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B224" s="1" t="s">
        <v>48</v>
      </c>
      <c r="C224" s="1">
        <v>30.3</v>
      </c>
      <c r="D224" s="1">
        <v>414.0</v>
      </c>
      <c r="E224" s="1">
        <v>2.7</v>
      </c>
      <c r="F224" s="1">
        <v>0.0</v>
      </c>
      <c r="G224" s="1">
        <v>0.0</v>
      </c>
      <c r="H224" s="1">
        <v>0.0</v>
      </c>
      <c r="I224" s="1">
        <v>0.3</v>
      </c>
      <c r="J224" s="1">
        <v>91.8</v>
      </c>
      <c r="K224" s="18">
        <f t="shared" si="1"/>
        <v>0</v>
      </c>
      <c r="L224" s="18">
        <f t="shared" si="2"/>
        <v>20.36223776</v>
      </c>
      <c r="M224" s="118"/>
      <c r="N224" s="118"/>
      <c r="O224" s="11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1" t="s">
        <v>802</v>
      </c>
      <c r="B225" s="1" t="s">
        <v>220</v>
      </c>
      <c r="C225" s="1">
        <v>41.2</v>
      </c>
      <c r="D225" s="1">
        <v>508.2</v>
      </c>
      <c r="E225" s="1">
        <v>2.9</v>
      </c>
      <c r="F225" s="1">
        <v>2.1</v>
      </c>
      <c r="G225" s="1">
        <v>10.8</v>
      </c>
      <c r="H225" s="1">
        <v>0.0</v>
      </c>
      <c r="I225" s="1">
        <v>0.7</v>
      </c>
      <c r="J225" s="1">
        <v>109.2</v>
      </c>
      <c r="K225" s="18">
        <f t="shared" si="1"/>
        <v>0.669317852</v>
      </c>
      <c r="L225" s="18">
        <f t="shared" si="2"/>
        <v>24.99538462</v>
      </c>
      <c r="M225" s="112">
        <f>C227*Scoring!$B$34+D227/Scoring!$C$34+E227*Scoring!$D$34+WR!F227*Scoring!$E$34+WR!G227/Scoring!$F$34+WR!H227*Scoring!$G$34+WR!I227*Scoring!$H$34+K227*Scoring!$I$34+WR!L227*Scoring!$J$34+U225</f>
        <v>118.78</v>
      </c>
      <c r="N225" s="112">
        <f>C225*Scoring!$B$34+D225/Scoring!$C$34+E225*Scoring!$D$34+WR!F225*Scoring!$E$34+WR!G225/Scoring!$F$34+WR!H225*Scoring!$G$34+WR!I225*Scoring!$H$34+K225*Scoring!$I$34+WR!L225*Scoring!$J$34+U225</f>
        <v>120.84</v>
      </c>
      <c r="O225" s="112">
        <f>C226*Scoring!$B$34+D226/Scoring!$C$34+E226*Scoring!$D$34+WR!F226*Scoring!$E$34+WR!G226/Scoring!$F$34+WR!H226*Scoring!$G$34+WR!I226*Scoring!$H$34+K226*Scoring!$I$34+WR!L226*Scoring!$J$34+U225</f>
        <v>123.51</v>
      </c>
      <c r="P225" s="8">
        <f>IF(COUNTIF(Rookies!$A:$A,A225)&gt;0,1,0)</f>
        <v>1</v>
      </c>
      <c r="Q225" s="8"/>
      <c r="R225" s="8"/>
      <c r="S225" s="8">
        <f>V225/17</f>
        <v>5.205882353</v>
      </c>
      <c r="T225" s="8">
        <f>IF(P225=1,MAX(0,0.28*(12-S225)),0)</f>
        <v>1.902352941</v>
      </c>
      <c r="U225" s="8">
        <f>T225*17</f>
        <v>32.34</v>
      </c>
      <c r="V225" s="8">
        <f>C225*Scoring!$B$34+D225/Scoring!$C$34+E225*Scoring!$D$34+WR!F225*Scoring!$E$34+WR!G225/Scoring!$F$34+WR!H225*Scoring!$G$34+WR!I225*Scoring!$H$34+K225*Scoring!$I$34+WR!L225*Scoring!$J$34</f>
        <v>88.5</v>
      </c>
      <c r="W225" s="8"/>
      <c r="X225" s="8"/>
      <c r="Y225" s="8"/>
      <c r="Z225" s="8"/>
    </row>
    <row r="226" ht="14.25" customHeight="1">
      <c r="B226" s="1" t="s">
        <v>39</v>
      </c>
      <c r="C226" s="1">
        <v>42.0</v>
      </c>
      <c r="D226" s="1">
        <v>512.0</v>
      </c>
      <c r="E226" s="1">
        <v>3.0</v>
      </c>
      <c r="F226" s="1">
        <v>2.2</v>
      </c>
      <c r="G226" s="1">
        <v>11.7</v>
      </c>
      <c r="H226" s="1">
        <v>0.1</v>
      </c>
      <c r="I226" s="1">
        <v>0.4</v>
      </c>
      <c r="J226" s="1">
        <v>109.6</v>
      </c>
      <c r="K226" s="18">
        <f t="shared" si="1"/>
        <v>0.7250943396</v>
      </c>
      <c r="L226" s="18">
        <f t="shared" si="2"/>
        <v>25.18228438</v>
      </c>
      <c r="M226" s="118"/>
      <c r="N226" s="118"/>
      <c r="O226" s="11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B227" s="1" t="s">
        <v>48</v>
      </c>
      <c r="C227" s="1">
        <v>40.4</v>
      </c>
      <c r="D227" s="1">
        <v>504.4</v>
      </c>
      <c r="E227" s="1">
        <v>2.8</v>
      </c>
      <c r="F227" s="1">
        <v>2.0</v>
      </c>
      <c r="G227" s="1">
        <v>10.0</v>
      </c>
      <c r="H227" s="1">
        <v>0.0</v>
      </c>
      <c r="I227" s="1">
        <v>1.0</v>
      </c>
      <c r="J227" s="1">
        <v>101.2</v>
      </c>
      <c r="K227" s="18">
        <f t="shared" si="1"/>
        <v>0.6197387518</v>
      </c>
      <c r="L227" s="18">
        <f t="shared" si="2"/>
        <v>24.80848485</v>
      </c>
      <c r="M227" s="118"/>
      <c r="N227" s="118"/>
      <c r="O227" s="11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1" t="s">
        <v>806</v>
      </c>
      <c r="B228" s="1" t="s">
        <v>117</v>
      </c>
      <c r="C228" s="1">
        <v>39.5</v>
      </c>
      <c r="D228" s="1">
        <v>517.8</v>
      </c>
      <c r="E228" s="1">
        <v>2.9</v>
      </c>
      <c r="F228" s="1">
        <v>0.0</v>
      </c>
      <c r="G228" s="1">
        <v>0.0</v>
      </c>
      <c r="H228" s="1">
        <v>0.0</v>
      </c>
      <c r="I228" s="1">
        <v>0.4</v>
      </c>
      <c r="J228" s="1">
        <v>107.9</v>
      </c>
      <c r="K228" s="18">
        <f t="shared" si="1"/>
        <v>0</v>
      </c>
      <c r="L228" s="18">
        <f t="shared" si="2"/>
        <v>25.46755245</v>
      </c>
      <c r="M228" s="112">
        <f>C230*Scoring!$B$34+D230/Scoring!$C$34+E230*Scoring!$D$34+WR!F230*Scoring!$E$34+WR!G230/Scoring!$F$34+WR!H230*Scoring!$G$34+WR!I230*Scoring!$H$34+K230*Scoring!$I$34+WR!L230*Scoring!$J$34+U228</f>
        <v>88.13</v>
      </c>
      <c r="N228" s="112">
        <f>C228*Scoring!$B$34+D228/Scoring!$C$34+E228*Scoring!$D$34+WR!F228*Scoring!$E$34+WR!G228/Scoring!$F$34+WR!H228*Scoring!$G$34+WR!I228*Scoring!$H$34+K228*Scoring!$I$34+WR!L228*Scoring!$J$34+U228</f>
        <v>88.13</v>
      </c>
      <c r="O228" s="112">
        <f>C229*Scoring!$B$34+D229/Scoring!$C$34+E229*Scoring!$D$34+WR!F229*Scoring!$E$34+WR!G229/Scoring!$F$34+WR!H229*Scoring!$G$34+WR!I229*Scoring!$H$34+K229*Scoring!$I$34+WR!L229*Scoring!$J$34+U228</f>
        <v>88.13</v>
      </c>
      <c r="P228" s="8">
        <f>IF(COUNTIF(Rookies!$A:$A,A228)&gt;0,1,0)</f>
        <v>0</v>
      </c>
      <c r="Q228" s="8"/>
      <c r="R228" s="8"/>
      <c r="S228" s="8">
        <f>V228/17</f>
        <v>5.184117647</v>
      </c>
      <c r="T228" s="8">
        <f>IF(P228=1,MAX(0,0.28*(12-S228)),0)</f>
        <v>0</v>
      </c>
      <c r="U228" s="8">
        <f>T228*17</f>
        <v>0</v>
      </c>
      <c r="V228" s="8">
        <f>C228*Scoring!$B$34+D228/Scoring!$C$34+E228*Scoring!$D$34+WR!F228*Scoring!$E$34+WR!G228/Scoring!$F$34+WR!H228*Scoring!$G$34+WR!I228*Scoring!$H$34+K228*Scoring!$I$34+WR!L228*Scoring!$J$34</f>
        <v>88.13</v>
      </c>
      <c r="W228" s="8"/>
      <c r="X228" s="8"/>
      <c r="Y228" s="8"/>
      <c r="Z228" s="8"/>
    </row>
    <row r="229" ht="14.25" customHeight="1">
      <c r="B229" s="1" t="s">
        <v>39</v>
      </c>
      <c r="C229" s="1">
        <v>39.5</v>
      </c>
      <c r="D229" s="1">
        <v>517.8</v>
      </c>
      <c r="E229" s="1">
        <v>2.9</v>
      </c>
      <c r="F229" s="1">
        <v>0.0</v>
      </c>
      <c r="G229" s="1">
        <v>0.0</v>
      </c>
      <c r="H229" s="1">
        <v>0.0</v>
      </c>
      <c r="I229" s="1">
        <v>0.4</v>
      </c>
      <c r="J229" s="1">
        <v>108.2</v>
      </c>
      <c r="K229" s="18">
        <f t="shared" si="1"/>
        <v>0</v>
      </c>
      <c r="L229" s="18">
        <f t="shared" si="2"/>
        <v>25.46755245</v>
      </c>
      <c r="M229" s="118"/>
      <c r="N229" s="118"/>
      <c r="O229" s="11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B230" s="1" t="s">
        <v>48</v>
      </c>
      <c r="C230" s="1">
        <v>39.5</v>
      </c>
      <c r="D230" s="1">
        <v>517.8</v>
      </c>
      <c r="E230" s="1">
        <v>2.9</v>
      </c>
      <c r="F230" s="1">
        <v>0.0</v>
      </c>
      <c r="G230" s="1">
        <v>0.0</v>
      </c>
      <c r="H230" s="1">
        <v>0.0</v>
      </c>
      <c r="I230" s="1">
        <v>0.4</v>
      </c>
      <c r="J230" s="1">
        <v>108.2</v>
      </c>
      <c r="K230" s="18">
        <f t="shared" si="1"/>
        <v>0</v>
      </c>
      <c r="L230" s="18">
        <f t="shared" si="2"/>
        <v>25.46755245</v>
      </c>
      <c r="M230" s="118"/>
      <c r="N230" s="118"/>
      <c r="O230" s="11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1" t="s">
        <v>811</v>
      </c>
      <c r="B231" s="1" t="s">
        <v>182</v>
      </c>
      <c r="C231" s="1">
        <v>37.8</v>
      </c>
      <c r="D231" s="1">
        <v>529.1</v>
      </c>
      <c r="E231" s="1">
        <v>2.9</v>
      </c>
      <c r="F231" s="1">
        <v>0.5</v>
      </c>
      <c r="G231" s="1">
        <v>3.5</v>
      </c>
      <c r="H231" s="1">
        <v>0.0</v>
      </c>
      <c r="I231" s="1">
        <v>0.7</v>
      </c>
      <c r="J231" s="1">
        <v>106.8</v>
      </c>
      <c r="K231" s="18">
        <f t="shared" si="1"/>
        <v>0.2169085631</v>
      </c>
      <c r="L231" s="18">
        <f t="shared" si="2"/>
        <v>26.02333333</v>
      </c>
      <c r="M231" s="112">
        <f>C233*Scoring!$B$34+D233/Scoring!$C$34+E233*Scoring!$D$34+WR!F233*Scoring!$E$34+WR!G233/Scoring!$F$34+WR!H233*Scoring!$G$34+WR!I233*Scoring!$H$34+K233*Scoring!$I$34+WR!L233*Scoring!$J$34+U231</f>
        <v>112.8552</v>
      </c>
      <c r="N231" s="112">
        <f>C231*Scoring!$B$34+D231/Scoring!$C$34+E231*Scoring!$D$34+WR!F231*Scoring!$E$34+WR!G231/Scoring!$F$34+WR!H231*Scoring!$G$34+WR!I231*Scoring!$H$34+K231*Scoring!$I$34+WR!L231*Scoring!$J$34+U231</f>
        <v>120.5952</v>
      </c>
      <c r="O231" s="112">
        <f>C232*Scoring!$B$34+D232/Scoring!$C$34+E232*Scoring!$D$34+WR!F232*Scoring!$E$34+WR!G232/Scoring!$F$34+WR!H232*Scoring!$G$34+WR!I232*Scoring!$H$34+K232*Scoring!$I$34+WR!L232*Scoring!$J$34+U231</f>
        <v>127.7352</v>
      </c>
      <c r="P231" s="8">
        <f>IF(COUNTIF(Rookies!$A:$A,A231)&gt;0,1,0)</f>
        <v>1</v>
      </c>
      <c r="Q231" s="8"/>
      <c r="R231" s="8"/>
      <c r="S231" s="8">
        <f>V231/17</f>
        <v>5.185882353</v>
      </c>
      <c r="T231" s="8">
        <f>IF(P231=1,MAX(0,0.28*(12-S231)),0)</f>
        <v>1.907952941</v>
      </c>
      <c r="U231" s="8">
        <f>T231*17</f>
        <v>32.4352</v>
      </c>
      <c r="V231" s="8">
        <f>C231*Scoring!$B$34+D231/Scoring!$C$34+E231*Scoring!$D$34+WR!F231*Scoring!$E$34+WR!G231/Scoring!$F$34+WR!H231*Scoring!$G$34+WR!I231*Scoring!$H$34+K231*Scoring!$I$34+WR!L231*Scoring!$J$34</f>
        <v>88.16</v>
      </c>
      <c r="W231" s="8"/>
      <c r="X231" s="8"/>
      <c r="Y231" s="8"/>
      <c r="Z231" s="8"/>
    </row>
    <row r="232" ht="14.25" customHeight="1">
      <c r="B232" s="1" t="s">
        <v>39</v>
      </c>
      <c r="C232" s="1">
        <v>40.0</v>
      </c>
      <c r="D232" s="1">
        <v>574.0</v>
      </c>
      <c r="E232" s="1">
        <v>3.0</v>
      </c>
      <c r="F232" s="1">
        <v>1.0</v>
      </c>
      <c r="G232" s="1">
        <v>7.0</v>
      </c>
      <c r="H232" s="1">
        <v>0.0</v>
      </c>
      <c r="I232" s="1">
        <v>0.4</v>
      </c>
      <c r="J232" s="1">
        <v>102.0</v>
      </c>
      <c r="K232" s="18">
        <f t="shared" si="1"/>
        <v>0.4338171263</v>
      </c>
      <c r="L232" s="18">
        <f t="shared" si="2"/>
        <v>28.23170163</v>
      </c>
      <c r="M232" s="118"/>
      <c r="N232" s="118"/>
      <c r="O232" s="11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B233" s="1" t="s">
        <v>48</v>
      </c>
      <c r="C233" s="1">
        <v>35.6</v>
      </c>
      <c r="D233" s="1">
        <v>484.2</v>
      </c>
      <c r="E233" s="1">
        <v>2.7</v>
      </c>
      <c r="F233" s="1">
        <v>0.0</v>
      </c>
      <c r="G233" s="1">
        <v>0.0</v>
      </c>
      <c r="H233" s="1">
        <v>0.0</v>
      </c>
      <c r="I233" s="1">
        <v>1.0</v>
      </c>
      <c r="J233" s="1">
        <v>101.8</v>
      </c>
      <c r="K233" s="18">
        <f t="shared" si="1"/>
        <v>0</v>
      </c>
      <c r="L233" s="18">
        <f t="shared" si="2"/>
        <v>23.81496503</v>
      </c>
      <c r="M233" s="118"/>
      <c r="N233" s="118"/>
      <c r="O233" s="11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1" t="s">
        <v>815</v>
      </c>
      <c r="B234" s="1" t="s">
        <v>182</v>
      </c>
      <c r="C234" s="1">
        <v>38.0</v>
      </c>
      <c r="D234" s="1">
        <v>519.0</v>
      </c>
      <c r="E234" s="1">
        <v>3.0</v>
      </c>
      <c r="F234" s="1">
        <v>1.0</v>
      </c>
      <c r="G234" s="1">
        <v>6.0</v>
      </c>
      <c r="H234" s="1">
        <v>0.0</v>
      </c>
      <c r="I234" s="1">
        <v>1.0</v>
      </c>
      <c r="J234" s="1">
        <v>106.5</v>
      </c>
      <c r="K234" s="18">
        <f t="shared" si="1"/>
        <v>0.3718432511</v>
      </c>
      <c r="L234" s="18">
        <f t="shared" si="2"/>
        <v>25.52657343</v>
      </c>
      <c r="M234" s="112">
        <f>C236*Scoring!$B$34+D236/Scoring!$C$34+E236*Scoring!$D$34+WR!F236*Scoring!$E$34+WR!G236/Scoring!$F$34+WR!H236*Scoring!$G$34+WR!I236*Scoring!$H$34+K236*Scoring!$I$34+WR!L236*Scoring!$J$34+U234</f>
        <v>87.5</v>
      </c>
      <c r="N234" s="112">
        <f>C234*Scoring!$B$34+D234/Scoring!$C$34+E234*Scoring!$D$34+WR!F234*Scoring!$E$34+WR!G234/Scoring!$F$34+WR!H234*Scoring!$G$34+WR!I234*Scoring!$H$34+K234*Scoring!$I$34+WR!L234*Scoring!$J$34+U234</f>
        <v>87.5</v>
      </c>
      <c r="O234" s="112">
        <f>C235*Scoring!$B$34+D235/Scoring!$C$34+E235*Scoring!$D$34+WR!F235*Scoring!$E$34+WR!G235/Scoring!$F$34+WR!H235*Scoring!$G$34+WR!I235*Scoring!$H$34+K235*Scoring!$I$34+WR!L235*Scoring!$J$34+U234</f>
        <v>87.5</v>
      </c>
      <c r="P234" s="8">
        <f>IF(COUNTIF(Rookies!$A:$A,A234)&gt;0,1,0)</f>
        <v>0</v>
      </c>
      <c r="Q234" s="8"/>
      <c r="R234" s="8"/>
      <c r="S234" s="8">
        <f>V234/17</f>
        <v>5.147058824</v>
      </c>
      <c r="T234" s="8">
        <f>IF(P234=1,MAX(0,0.28*(12-S234)),0)</f>
        <v>0</v>
      </c>
      <c r="U234" s="8">
        <f>T234*17</f>
        <v>0</v>
      </c>
      <c r="V234" s="8">
        <f>C234*Scoring!$B$34+D234/Scoring!$C$34+E234*Scoring!$D$34+WR!F234*Scoring!$E$34+WR!G234/Scoring!$F$34+WR!H234*Scoring!$G$34+WR!I234*Scoring!$H$34+K234*Scoring!$I$34+WR!L234*Scoring!$J$34</f>
        <v>87.5</v>
      </c>
      <c r="W234" s="8"/>
      <c r="X234" s="8"/>
      <c r="Y234" s="8"/>
      <c r="Z234" s="8"/>
    </row>
    <row r="235" ht="14.25" customHeight="1">
      <c r="B235" s="1" t="s">
        <v>39</v>
      </c>
      <c r="C235" s="1">
        <v>38.0</v>
      </c>
      <c r="D235" s="1">
        <v>519.0</v>
      </c>
      <c r="E235" s="1">
        <v>3.0</v>
      </c>
      <c r="F235" s="1">
        <v>1.0</v>
      </c>
      <c r="G235" s="1">
        <v>6.0</v>
      </c>
      <c r="H235" s="1">
        <v>0.0</v>
      </c>
      <c r="I235" s="1">
        <v>1.0</v>
      </c>
      <c r="J235" s="1">
        <v>98.0</v>
      </c>
      <c r="K235" s="18">
        <f t="shared" si="1"/>
        <v>0.3718432511</v>
      </c>
      <c r="L235" s="18">
        <f t="shared" si="2"/>
        <v>25.52657343</v>
      </c>
      <c r="M235" s="118"/>
      <c r="N235" s="118"/>
      <c r="O235" s="11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B236" s="1" t="s">
        <v>48</v>
      </c>
      <c r="C236" s="1">
        <v>38.0</v>
      </c>
      <c r="D236" s="1">
        <v>519.0</v>
      </c>
      <c r="E236" s="1">
        <v>3.0</v>
      </c>
      <c r="F236" s="1">
        <v>1.0</v>
      </c>
      <c r="G236" s="1">
        <v>6.0</v>
      </c>
      <c r="H236" s="1">
        <v>0.0</v>
      </c>
      <c r="I236" s="1">
        <v>1.0</v>
      </c>
      <c r="J236" s="1">
        <v>98.0</v>
      </c>
      <c r="K236" s="18">
        <f t="shared" si="1"/>
        <v>0.3718432511</v>
      </c>
      <c r="L236" s="18">
        <f t="shared" si="2"/>
        <v>25.52657343</v>
      </c>
      <c r="M236" s="118"/>
      <c r="N236" s="118"/>
      <c r="O236" s="11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1" t="s">
        <v>820</v>
      </c>
      <c r="B237" s="1" t="s">
        <v>196</v>
      </c>
      <c r="C237" s="1">
        <v>39.6</v>
      </c>
      <c r="D237" s="1">
        <v>511.4</v>
      </c>
      <c r="E237" s="1">
        <v>2.6</v>
      </c>
      <c r="F237" s="1">
        <v>1.0</v>
      </c>
      <c r="G237" s="1">
        <v>5.5</v>
      </c>
      <c r="H237" s="1">
        <v>0.0</v>
      </c>
      <c r="I237" s="1">
        <v>0.7</v>
      </c>
      <c r="J237" s="1">
        <v>105.4</v>
      </c>
      <c r="K237" s="18">
        <f t="shared" si="1"/>
        <v>0.3408563135</v>
      </c>
      <c r="L237" s="18">
        <f t="shared" si="2"/>
        <v>25.15277389</v>
      </c>
      <c r="M237" s="112">
        <f>C239*Scoring!$B$34+D239/Scoring!$C$34+E239*Scoring!$D$34+WR!F239*Scoring!$E$34+WR!G239/Scoring!$F$34+WR!H239*Scoring!$G$34+WR!I239*Scoring!$H$34+K239*Scoring!$I$34+WR!L239*Scoring!$J$34+U237</f>
        <v>105.1268</v>
      </c>
      <c r="N237" s="112">
        <f>C237*Scoring!$B$34+D237/Scoring!$C$34+E237*Scoring!$D$34+WR!F237*Scoring!$E$34+WR!G237/Scoring!$F$34+WR!H237*Scoring!$G$34+WR!I237*Scoring!$H$34+K237*Scoring!$I$34+WR!L237*Scoring!$J$34+U237</f>
        <v>118.8168</v>
      </c>
      <c r="O237" s="112">
        <f>C238*Scoring!$B$34+D238/Scoring!$C$34+E238*Scoring!$D$34+WR!F238*Scoring!$E$34+WR!G238/Scoring!$F$34+WR!H238*Scoring!$G$34+WR!I238*Scoring!$H$34+K238*Scoring!$I$34+WR!L238*Scoring!$J$34+U237</f>
        <v>132.3568</v>
      </c>
      <c r="P237" s="8">
        <f>IF(COUNTIF(Rookies!$A:$A,A237)&gt;0,1,0)</f>
        <v>1</v>
      </c>
      <c r="Q237" s="8"/>
      <c r="R237" s="8"/>
      <c r="S237" s="8">
        <f>V237/17</f>
        <v>5.040588235</v>
      </c>
      <c r="T237" s="8">
        <f>IF(P237=1,MAX(0,0.28*(12-S237)),0)</f>
        <v>1.948635294</v>
      </c>
      <c r="U237" s="8">
        <f>T237*17</f>
        <v>33.1268</v>
      </c>
      <c r="V237" s="8">
        <f>C237*Scoring!$B$34+D237/Scoring!$C$34+E237*Scoring!$D$34+WR!F237*Scoring!$E$34+WR!G237/Scoring!$F$34+WR!H237*Scoring!$G$34+WR!I237*Scoring!$H$34+K237*Scoring!$I$34+WR!L237*Scoring!$J$34</f>
        <v>85.69</v>
      </c>
      <c r="W237" s="8"/>
      <c r="X237" s="8"/>
      <c r="Y237" s="8"/>
      <c r="Z237" s="8"/>
    </row>
    <row r="238" ht="14.25" customHeight="1">
      <c r="B238" s="1" t="s">
        <v>39</v>
      </c>
      <c r="C238" s="1">
        <v>44.3</v>
      </c>
      <c r="D238" s="1">
        <v>589.8</v>
      </c>
      <c r="E238" s="1">
        <v>3.0</v>
      </c>
      <c r="F238" s="1">
        <v>2.0</v>
      </c>
      <c r="G238" s="1">
        <v>11.0</v>
      </c>
      <c r="H238" s="1">
        <v>0.0</v>
      </c>
      <c r="I238" s="1">
        <v>0.5</v>
      </c>
      <c r="J238" s="1">
        <v>111.0</v>
      </c>
      <c r="K238" s="18">
        <f t="shared" si="1"/>
        <v>0.681712627</v>
      </c>
      <c r="L238" s="18">
        <f t="shared" si="2"/>
        <v>29.00881119</v>
      </c>
      <c r="M238" s="118"/>
      <c r="N238" s="118"/>
      <c r="O238" s="11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B239" s="1" t="s">
        <v>48</v>
      </c>
      <c r="C239" s="1">
        <v>35.0</v>
      </c>
      <c r="D239" s="1">
        <v>433.0</v>
      </c>
      <c r="E239" s="1">
        <v>2.2</v>
      </c>
      <c r="F239" s="1">
        <v>0.0</v>
      </c>
      <c r="G239" s="1">
        <v>0.0</v>
      </c>
      <c r="H239" s="1">
        <v>0.0</v>
      </c>
      <c r="I239" s="1">
        <v>1.0</v>
      </c>
      <c r="J239" s="1">
        <v>90.6</v>
      </c>
      <c r="K239" s="18">
        <f t="shared" si="1"/>
        <v>0</v>
      </c>
      <c r="L239" s="18">
        <f t="shared" si="2"/>
        <v>21.2967366</v>
      </c>
      <c r="M239" s="118"/>
      <c r="N239" s="118"/>
      <c r="O239" s="11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1" t="s">
        <v>824</v>
      </c>
      <c r="B240" s="1" t="s">
        <v>106</v>
      </c>
      <c r="C240" s="1">
        <v>35.5</v>
      </c>
      <c r="D240" s="1">
        <v>496.7</v>
      </c>
      <c r="E240" s="1">
        <v>3.1</v>
      </c>
      <c r="F240" s="1">
        <v>3.5</v>
      </c>
      <c r="G240" s="1">
        <v>18.7</v>
      </c>
      <c r="H240" s="1">
        <v>0.1</v>
      </c>
      <c r="I240" s="1">
        <v>1.2</v>
      </c>
      <c r="J240" s="1">
        <v>104.1</v>
      </c>
      <c r="K240" s="18">
        <f t="shared" si="1"/>
        <v>1.158911466</v>
      </c>
      <c r="L240" s="18">
        <f t="shared" si="2"/>
        <v>24.4297669</v>
      </c>
      <c r="M240" s="112">
        <f>C242*Scoring!$B$34+D242/Scoring!$C$34+E242*Scoring!$D$34+WR!F242*Scoring!$E$34+WR!G242/Scoring!$F$34+WR!H242*Scoring!$G$34+WR!I242*Scoring!$H$34+K242*Scoring!$I$34+WR!L242*Scoring!$J$34+U240</f>
        <v>91.7148</v>
      </c>
      <c r="N240" s="112">
        <f>C240*Scoring!$B$34+D240/Scoring!$C$34+E240*Scoring!$D$34+WR!F240*Scoring!$E$34+WR!G240/Scoring!$F$34+WR!H240*Scoring!$G$34+WR!I240*Scoring!$H$34+K240*Scoring!$I$34+WR!L240*Scoring!$J$34+U240</f>
        <v>119.1048</v>
      </c>
      <c r="O240" s="112">
        <f>C241*Scoring!$B$34+D241/Scoring!$C$34+E241*Scoring!$D$34+WR!F241*Scoring!$E$34+WR!G241/Scoring!$F$34+WR!H241*Scoring!$G$34+WR!I241*Scoring!$H$34+K241*Scoring!$I$34+WR!L241*Scoring!$J$34+U240</f>
        <v>147.2548</v>
      </c>
      <c r="P240" s="8">
        <f>IF(COUNTIF(Rookies!$A:$A,A240)&gt;0,1,0)</f>
        <v>1</v>
      </c>
      <c r="Q240" s="8"/>
      <c r="R240" s="8"/>
      <c r="S240" s="8">
        <f>V240/17</f>
        <v>5.064117647</v>
      </c>
      <c r="T240" s="8">
        <f>IF(P240=1,MAX(0,0.28*(12-S240)),0)</f>
        <v>1.942047059</v>
      </c>
      <c r="U240" s="8">
        <f>T240*17</f>
        <v>33.0148</v>
      </c>
      <c r="V240" s="8">
        <f>C240*Scoring!$B$34+D240/Scoring!$C$34+E240*Scoring!$D$34+WR!F240*Scoring!$E$34+WR!G240/Scoring!$F$34+WR!H240*Scoring!$G$34+WR!I240*Scoring!$H$34+K240*Scoring!$I$34+WR!L240*Scoring!$J$34</f>
        <v>86.09</v>
      </c>
      <c r="W240" s="8"/>
      <c r="X240" s="8"/>
      <c r="Y240" s="8"/>
      <c r="Z240" s="8"/>
    </row>
    <row r="241" ht="14.25" customHeight="1">
      <c r="B241" s="1" t="s">
        <v>39</v>
      </c>
      <c r="C241" s="1">
        <v>45.0</v>
      </c>
      <c r="D241" s="1">
        <v>649.0</v>
      </c>
      <c r="E241" s="1">
        <v>4.0</v>
      </c>
      <c r="F241" s="1">
        <v>4.1</v>
      </c>
      <c r="G241" s="1">
        <v>22.4</v>
      </c>
      <c r="H241" s="1">
        <v>0.2</v>
      </c>
      <c r="I241" s="1">
        <v>0.3</v>
      </c>
      <c r="J241" s="1">
        <v>111.5</v>
      </c>
      <c r="K241" s="18">
        <f t="shared" si="1"/>
        <v>1.388214804</v>
      </c>
      <c r="L241" s="18">
        <f t="shared" si="2"/>
        <v>31.92051282</v>
      </c>
      <c r="M241" s="118"/>
      <c r="N241" s="118"/>
      <c r="O241" s="11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B242" s="1" t="s">
        <v>48</v>
      </c>
      <c r="C242" s="1">
        <v>25.9</v>
      </c>
      <c r="D242" s="1">
        <v>344.5</v>
      </c>
      <c r="E242" s="1">
        <v>2.3</v>
      </c>
      <c r="F242" s="1">
        <v>3.0</v>
      </c>
      <c r="G242" s="1">
        <v>15.0</v>
      </c>
      <c r="H242" s="1">
        <v>0.0</v>
      </c>
      <c r="I242" s="1">
        <v>2.0</v>
      </c>
      <c r="J242" s="1">
        <v>87.4</v>
      </c>
      <c r="K242" s="18">
        <f t="shared" si="1"/>
        <v>0.9296081277</v>
      </c>
      <c r="L242" s="18">
        <f t="shared" si="2"/>
        <v>16.94393939</v>
      </c>
      <c r="M242" s="118"/>
      <c r="N242" s="118"/>
      <c r="O242" s="11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1" t="s">
        <v>829</v>
      </c>
      <c r="B243" s="1" t="s">
        <v>170</v>
      </c>
      <c r="C243" s="1">
        <v>36.5</v>
      </c>
      <c r="D243" s="1">
        <v>402.7</v>
      </c>
      <c r="E243" s="1">
        <v>3.9</v>
      </c>
      <c r="F243" s="1">
        <v>3.0</v>
      </c>
      <c r="G243" s="1">
        <v>10.8</v>
      </c>
      <c r="H243" s="1">
        <v>0.0</v>
      </c>
      <c r="I243" s="1">
        <v>0.6</v>
      </c>
      <c r="J243" s="1">
        <v>100.3</v>
      </c>
      <c r="K243" s="18">
        <f t="shared" si="1"/>
        <v>0.669317852</v>
      </c>
      <c r="L243" s="18">
        <f t="shared" si="2"/>
        <v>19.80645688</v>
      </c>
      <c r="M243" s="112">
        <f>C245*Scoring!$B$34+D245/Scoring!$C$34+E245*Scoring!$D$34+WR!F245*Scoring!$E$34+WR!G245/Scoring!$F$34+WR!H245*Scoring!$G$34+WR!I245*Scoring!$H$34+K245*Scoring!$I$34+WR!L245*Scoring!$J$34+U243</f>
        <v>40</v>
      </c>
      <c r="N243" s="112">
        <f>C243*Scoring!$B$34+D243/Scoring!$C$34+E243*Scoring!$D$34+WR!F243*Scoring!$E$34+WR!G243/Scoring!$F$34+WR!H243*Scoring!$G$34+WR!I243*Scoring!$H$34+K243*Scoring!$I$34+WR!L243*Scoring!$J$34+U243</f>
        <v>81.8</v>
      </c>
      <c r="O243" s="112">
        <f>C244*Scoring!$B$34+D244/Scoring!$C$34+E244*Scoring!$D$34+WR!F244*Scoring!$E$34+WR!G244/Scoring!$F$34+WR!H244*Scoring!$G$34+WR!I244*Scoring!$H$34+K244*Scoring!$I$34+WR!L244*Scoring!$J$34+U243</f>
        <v>124.2</v>
      </c>
      <c r="P243" s="8">
        <f>IF(COUNTIF(Rookies!$A:$A,A243)&gt;0,1,0)</f>
        <v>0</v>
      </c>
      <c r="Q243" s="8"/>
      <c r="R243" s="8"/>
      <c r="S243" s="8">
        <f>V243/17</f>
        <v>4.811764706</v>
      </c>
      <c r="T243" s="8">
        <f>IF(P243=1,MAX(0,0.28*(12-S243)),0)</f>
        <v>0</v>
      </c>
      <c r="U243" s="8">
        <f>T243*17</f>
        <v>0</v>
      </c>
      <c r="V243" s="8">
        <f>C243*Scoring!$B$34+D243/Scoring!$C$34+E243*Scoring!$D$34+WR!F243*Scoring!$E$34+WR!G243/Scoring!$F$34+WR!H243*Scoring!$G$34+WR!I243*Scoring!$H$34+K243*Scoring!$I$34+WR!L243*Scoring!$J$34</f>
        <v>81.8</v>
      </c>
      <c r="W243" s="8"/>
      <c r="X243" s="8"/>
      <c r="Y243" s="8"/>
      <c r="Z243" s="8"/>
    </row>
    <row r="244" ht="14.25" customHeight="1">
      <c r="B244" s="1" t="s">
        <v>39</v>
      </c>
      <c r="C244" s="1">
        <v>56.0</v>
      </c>
      <c r="D244" s="1">
        <v>589.0</v>
      </c>
      <c r="E244" s="1">
        <v>6.0</v>
      </c>
      <c r="F244" s="1">
        <v>4.0</v>
      </c>
      <c r="G244" s="1">
        <v>11.0</v>
      </c>
      <c r="H244" s="1">
        <v>0.1</v>
      </c>
      <c r="I244" s="1">
        <v>0.2</v>
      </c>
      <c r="J244" s="1">
        <v>120.5</v>
      </c>
      <c r="K244" s="18">
        <f t="shared" si="1"/>
        <v>0.681712627</v>
      </c>
      <c r="L244" s="18">
        <f t="shared" si="2"/>
        <v>28.96946387</v>
      </c>
      <c r="M244" s="118"/>
      <c r="N244" s="118"/>
      <c r="O244" s="11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B245" s="1" t="s">
        <v>48</v>
      </c>
      <c r="C245" s="1">
        <v>17.0</v>
      </c>
      <c r="D245" s="1">
        <v>216.4</v>
      </c>
      <c r="E245" s="1">
        <v>1.8</v>
      </c>
      <c r="F245" s="1">
        <v>2.1</v>
      </c>
      <c r="G245" s="1">
        <v>10.6</v>
      </c>
      <c r="H245" s="1">
        <v>0.0</v>
      </c>
      <c r="I245" s="1">
        <v>1.0</v>
      </c>
      <c r="J245" s="1">
        <v>70.3</v>
      </c>
      <c r="K245" s="18">
        <f t="shared" si="1"/>
        <v>0.6569230769</v>
      </c>
      <c r="L245" s="18">
        <f t="shared" si="2"/>
        <v>10.64344988</v>
      </c>
      <c r="M245" s="118"/>
      <c r="N245" s="118"/>
      <c r="O245" s="11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1" t="s">
        <v>833</v>
      </c>
      <c r="B246" s="1" t="s">
        <v>134</v>
      </c>
      <c r="C246" s="1">
        <v>35.8</v>
      </c>
      <c r="D246" s="1">
        <v>526.4</v>
      </c>
      <c r="E246" s="1">
        <v>2.0</v>
      </c>
      <c r="F246" s="1">
        <v>1.6</v>
      </c>
      <c r="G246" s="1">
        <v>8.6</v>
      </c>
      <c r="H246" s="1">
        <v>0.0</v>
      </c>
      <c r="I246" s="1">
        <v>0.7</v>
      </c>
      <c r="J246" s="1">
        <v>100.2</v>
      </c>
      <c r="K246" s="18">
        <f t="shared" si="1"/>
        <v>0.5329753266</v>
      </c>
      <c r="L246" s="18">
        <f t="shared" si="2"/>
        <v>25.89053613</v>
      </c>
      <c r="M246" s="112">
        <f>C248*Scoring!$B$34+D248/Scoring!$C$34+E248*Scoring!$D$34+WR!F248*Scoring!$E$34+WR!G248/Scoring!$F$34+WR!H248*Scoring!$G$34+WR!I248*Scoring!$H$34+K248*Scoring!$I$34+WR!L248*Scoring!$J$34+U246</f>
        <v>70.24</v>
      </c>
      <c r="N246" s="112">
        <f>C246*Scoring!$B$34+D246/Scoring!$C$34+E246*Scoring!$D$34+WR!F246*Scoring!$E$34+WR!G246/Scoring!$F$34+WR!H246*Scoring!$G$34+WR!I246*Scoring!$H$34+K246*Scoring!$I$34+WR!L246*Scoring!$J$34+U246</f>
        <v>82</v>
      </c>
      <c r="O246" s="112">
        <f>C247*Scoring!$B$34+D247/Scoring!$C$34+E247*Scoring!$D$34+WR!F247*Scoring!$E$34+WR!G247/Scoring!$F$34+WR!H247*Scoring!$G$34+WR!I247*Scoring!$H$34+K247*Scoring!$I$34+WR!L247*Scoring!$J$34+U246</f>
        <v>94.32</v>
      </c>
      <c r="P246" s="8">
        <f>IF(COUNTIF(Rookies!$A:$A,A246)&gt;0,1,0)</f>
        <v>0</v>
      </c>
      <c r="Q246" s="8"/>
      <c r="R246" s="8"/>
      <c r="S246" s="8">
        <f>V246/17</f>
        <v>4.823529412</v>
      </c>
      <c r="T246" s="8">
        <f>IF(P246=1,MAX(0,0.28*(12-S246)),0)</f>
        <v>0</v>
      </c>
      <c r="U246" s="8">
        <f>T246*17</f>
        <v>0</v>
      </c>
      <c r="V246" s="8">
        <f>C246*Scoring!$B$34+D246/Scoring!$C$34+E246*Scoring!$D$34+WR!F246*Scoring!$E$34+WR!G246/Scoring!$F$34+WR!H246*Scoring!$G$34+WR!I246*Scoring!$H$34+K246*Scoring!$I$34+WR!L246*Scoring!$J$34</f>
        <v>82</v>
      </c>
      <c r="W246" s="8"/>
      <c r="X246" s="8"/>
      <c r="Y246" s="8"/>
      <c r="Z246" s="8"/>
    </row>
    <row r="247" ht="14.25" customHeight="1">
      <c r="B247" s="1" t="s">
        <v>39</v>
      </c>
      <c r="C247" s="1">
        <v>40.0</v>
      </c>
      <c r="D247" s="1">
        <v>613.0</v>
      </c>
      <c r="E247" s="1">
        <v>2.0</v>
      </c>
      <c r="F247" s="1">
        <v>2.2</v>
      </c>
      <c r="G247" s="1">
        <v>12.2</v>
      </c>
      <c r="H247" s="1">
        <v>0.1</v>
      </c>
      <c r="I247" s="1">
        <v>0.4</v>
      </c>
      <c r="J247" s="1">
        <v>98.8</v>
      </c>
      <c r="K247" s="18">
        <f t="shared" si="1"/>
        <v>0.7560812772</v>
      </c>
      <c r="L247" s="18">
        <f t="shared" si="2"/>
        <v>30.14988345</v>
      </c>
      <c r="M247" s="118"/>
      <c r="N247" s="118"/>
      <c r="O247" s="11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B248" s="1" t="s">
        <v>48</v>
      </c>
      <c r="C248" s="1">
        <v>31.5</v>
      </c>
      <c r="D248" s="1">
        <v>439.9</v>
      </c>
      <c r="E248" s="1">
        <v>2.0</v>
      </c>
      <c r="F248" s="1">
        <v>1.0</v>
      </c>
      <c r="G248" s="1">
        <v>5.0</v>
      </c>
      <c r="H248" s="1">
        <v>0.0</v>
      </c>
      <c r="I248" s="1">
        <v>1.0</v>
      </c>
      <c r="J248" s="1">
        <v>93.0</v>
      </c>
      <c r="K248" s="18">
        <f t="shared" si="1"/>
        <v>0.3098693759</v>
      </c>
      <c r="L248" s="18">
        <f t="shared" si="2"/>
        <v>21.63610723</v>
      </c>
      <c r="M248" s="118"/>
      <c r="N248" s="118"/>
      <c r="O248" s="11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1" t="s">
        <v>838</v>
      </c>
      <c r="B249" s="1" t="s">
        <v>202</v>
      </c>
      <c r="C249" s="1">
        <v>30.3</v>
      </c>
      <c r="D249" s="1">
        <v>401.5</v>
      </c>
      <c r="E249" s="1">
        <v>4.7</v>
      </c>
      <c r="F249" s="1">
        <v>0.5</v>
      </c>
      <c r="G249" s="1">
        <v>3.0</v>
      </c>
      <c r="H249" s="1">
        <v>0.0</v>
      </c>
      <c r="I249" s="1">
        <v>0.6</v>
      </c>
      <c r="J249" s="1">
        <v>97.5</v>
      </c>
      <c r="K249" s="18">
        <f t="shared" si="1"/>
        <v>0.1859216255</v>
      </c>
      <c r="L249" s="18">
        <f t="shared" si="2"/>
        <v>19.7474359</v>
      </c>
      <c r="M249" s="112">
        <f>C251*Scoring!$B$34+D251/Scoring!$C$34+E251*Scoring!$D$34+WR!F251*Scoring!$E$34+WR!G251/Scoring!$F$34+WR!H251*Scoring!$G$34+WR!I251*Scoring!$H$34+K251*Scoring!$I$34+WR!L251*Scoring!$J$34+U249</f>
        <v>52.5</v>
      </c>
      <c r="N249" s="112">
        <f>C249*Scoring!$B$34+D249/Scoring!$C$34+E249*Scoring!$D$34+WR!F249*Scoring!$E$34+WR!G249/Scoring!$F$34+WR!H249*Scoring!$G$34+WR!I249*Scoring!$H$34+K249*Scoring!$I$34+WR!L249*Scoring!$J$34+U249</f>
        <v>82.6</v>
      </c>
      <c r="O249" s="112">
        <f>C250*Scoring!$B$34+D250/Scoring!$C$34+E250*Scoring!$D$34+WR!F250*Scoring!$E$34+WR!G250/Scoring!$F$34+WR!H250*Scoring!$G$34+WR!I250*Scoring!$H$34+K250*Scoring!$I$34+WR!L250*Scoring!$J$34+U249</f>
        <v>112.1</v>
      </c>
      <c r="P249" s="8">
        <f>IF(COUNTIF(Rookies!$A:$A,A249)&gt;0,1,0)</f>
        <v>0</v>
      </c>
      <c r="Q249" s="8"/>
      <c r="R249" s="8"/>
      <c r="S249" s="8">
        <f>V249/17</f>
        <v>4.858823529</v>
      </c>
      <c r="T249" s="8">
        <f>IF(P249=1,MAX(0,0.28*(12-S249)),0)</f>
        <v>0</v>
      </c>
      <c r="U249" s="8">
        <f>T249*17</f>
        <v>0</v>
      </c>
      <c r="V249" s="8">
        <f>C249*Scoring!$B$34+D249/Scoring!$C$34+E249*Scoring!$D$34+WR!F249*Scoring!$E$34+WR!G249/Scoring!$F$34+WR!H249*Scoring!$G$34+WR!I249*Scoring!$H$34+K249*Scoring!$I$34+WR!L249*Scoring!$J$34</f>
        <v>82.6</v>
      </c>
      <c r="W249" s="8"/>
      <c r="X249" s="8"/>
      <c r="Y249" s="8"/>
      <c r="Z249" s="8"/>
    </row>
    <row r="250" ht="14.25" customHeight="1">
      <c r="B250" s="1" t="s">
        <v>39</v>
      </c>
      <c r="C250" s="1">
        <v>39.0</v>
      </c>
      <c r="D250" s="1">
        <v>504.0</v>
      </c>
      <c r="E250" s="1">
        <v>7.0</v>
      </c>
      <c r="F250" s="1">
        <v>1.0</v>
      </c>
      <c r="G250" s="1">
        <v>6.0</v>
      </c>
      <c r="H250" s="1">
        <v>0.0</v>
      </c>
      <c r="I250" s="1">
        <v>0.2</v>
      </c>
      <c r="J250" s="1">
        <v>111.3</v>
      </c>
      <c r="K250" s="18">
        <f t="shared" si="1"/>
        <v>0.3718432511</v>
      </c>
      <c r="L250" s="18">
        <f t="shared" si="2"/>
        <v>24.78881119</v>
      </c>
      <c r="M250" s="118"/>
      <c r="N250" s="118"/>
      <c r="O250" s="11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B251" s="1" t="s">
        <v>48</v>
      </c>
      <c r="C251" s="1">
        <v>21.6</v>
      </c>
      <c r="D251" s="1">
        <v>299.0</v>
      </c>
      <c r="E251" s="1">
        <v>2.3</v>
      </c>
      <c r="F251" s="1">
        <v>0.0</v>
      </c>
      <c r="G251" s="1">
        <v>0.0</v>
      </c>
      <c r="H251" s="1">
        <v>0.0</v>
      </c>
      <c r="I251" s="1">
        <v>1.0</v>
      </c>
      <c r="J251" s="1">
        <v>74.2</v>
      </c>
      <c r="K251" s="18">
        <f t="shared" si="1"/>
        <v>0</v>
      </c>
      <c r="L251" s="18">
        <f t="shared" si="2"/>
        <v>14.70606061</v>
      </c>
      <c r="M251" s="118"/>
      <c r="N251" s="118"/>
      <c r="O251" s="11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1" t="s">
        <v>843</v>
      </c>
      <c r="B252" s="1" t="s">
        <v>196</v>
      </c>
      <c r="C252" s="1">
        <v>35.4</v>
      </c>
      <c r="D252" s="1">
        <v>445.9</v>
      </c>
      <c r="E252" s="1">
        <v>2.6</v>
      </c>
      <c r="F252" s="1">
        <v>1.0</v>
      </c>
      <c r="G252" s="1">
        <v>5.5</v>
      </c>
      <c r="H252" s="1">
        <v>0.0</v>
      </c>
      <c r="I252" s="1">
        <v>0.6</v>
      </c>
      <c r="J252" s="1">
        <v>94.8</v>
      </c>
      <c r="K252" s="18">
        <f t="shared" si="1"/>
        <v>0.3408563135</v>
      </c>
      <c r="L252" s="18">
        <f t="shared" si="2"/>
        <v>21.93121212</v>
      </c>
      <c r="M252" s="112">
        <f>C254*Scoring!$B$34+D254/Scoring!$C$34+E254*Scoring!$D$34+WR!F254*Scoring!$E$34+WR!G254/Scoring!$F$34+WR!H254*Scoring!$G$34+WR!I254*Scoring!$H$34+K254*Scoring!$I$34+WR!L254*Scoring!$J$34+U252</f>
        <v>83.5728</v>
      </c>
      <c r="N252" s="112">
        <f>C252*Scoring!$B$34+D252/Scoring!$C$34+E252*Scoring!$D$34+WR!F252*Scoring!$E$34+WR!G252/Scoring!$F$34+WR!H252*Scoring!$G$34+WR!I252*Scoring!$H$34+K252*Scoring!$I$34+WR!L252*Scoring!$J$34+U252</f>
        <v>112.7328</v>
      </c>
      <c r="O252" s="112">
        <f>C253*Scoring!$B$34+D253/Scoring!$C$34+E253*Scoring!$D$34+WR!F253*Scoring!$E$34+WR!G253/Scoring!$F$34+WR!H253*Scoring!$G$34+WR!I253*Scoring!$H$34+K253*Scoring!$I$34+WR!L253*Scoring!$J$34+U252</f>
        <v>141.8928</v>
      </c>
      <c r="P252" s="8">
        <f>IF(COUNTIF(Rookies!$A:$A,A252)&gt;0,1,0)</f>
        <v>1</v>
      </c>
      <c r="Q252" s="8"/>
      <c r="R252" s="8"/>
      <c r="S252" s="8">
        <f>V252/17</f>
        <v>4.543529412</v>
      </c>
      <c r="T252" s="8">
        <f>IF(P252=1,MAX(0,0.28*(12-S252)),0)</f>
        <v>2.087811765</v>
      </c>
      <c r="U252" s="8">
        <f>T252*17</f>
        <v>35.4928</v>
      </c>
      <c r="V252" s="8">
        <f>C252*Scoring!$B$34+D252/Scoring!$C$34+E252*Scoring!$D$34+WR!F252*Scoring!$E$34+WR!G252/Scoring!$F$34+WR!H252*Scoring!$G$34+WR!I252*Scoring!$H$34+K252*Scoring!$I$34+WR!L252*Scoring!$J$34</f>
        <v>77.24</v>
      </c>
      <c r="W252" s="8"/>
      <c r="X252" s="8"/>
      <c r="Y252" s="8"/>
      <c r="Z252" s="8"/>
    </row>
    <row r="253" ht="14.25" customHeight="1">
      <c r="B253" s="1" t="s">
        <v>39</v>
      </c>
      <c r="C253" s="1">
        <v>47.0</v>
      </c>
      <c r="D253" s="1">
        <v>582.0</v>
      </c>
      <c r="E253" s="1">
        <v>4.0</v>
      </c>
      <c r="F253" s="1">
        <v>2.0</v>
      </c>
      <c r="G253" s="1">
        <v>11.0</v>
      </c>
      <c r="H253" s="1">
        <v>0.0</v>
      </c>
      <c r="I253" s="1">
        <v>0.2</v>
      </c>
      <c r="J253" s="1">
        <v>107.4</v>
      </c>
      <c r="K253" s="18">
        <f t="shared" si="1"/>
        <v>0.681712627</v>
      </c>
      <c r="L253" s="18">
        <f t="shared" si="2"/>
        <v>28.62517483</v>
      </c>
      <c r="M253" s="118"/>
      <c r="N253" s="118"/>
      <c r="O253" s="11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B254" s="1" t="s">
        <v>48</v>
      </c>
      <c r="C254" s="1">
        <v>23.8</v>
      </c>
      <c r="D254" s="1">
        <v>309.8</v>
      </c>
      <c r="E254" s="1">
        <v>1.2</v>
      </c>
      <c r="F254" s="1">
        <v>0.0</v>
      </c>
      <c r="G254" s="1">
        <v>0.0</v>
      </c>
      <c r="H254" s="1">
        <v>0.0</v>
      </c>
      <c r="I254" s="1">
        <v>1.0</v>
      </c>
      <c r="J254" s="1">
        <v>73.0</v>
      </c>
      <c r="K254" s="18">
        <f t="shared" si="1"/>
        <v>0</v>
      </c>
      <c r="L254" s="18">
        <f t="shared" si="2"/>
        <v>15.23724942</v>
      </c>
      <c r="M254" s="118"/>
      <c r="N254" s="118"/>
      <c r="O254" s="11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1" t="s">
        <v>847</v>
      </c>
      <c r="B255" s="1" t="s">
        <v>208</v>
      </c>
      <c r="C255" s="1">
        <v>35.9</v>
      </c>
      <c r="D255" s="1">
        <v>417.5</v>
      </c>
      <c r="E255" s="1">
        <v>2.6</v>
      </c>
      <c r="F255" s="1">
        <v>2.1</v>
      </c>
      <c r="G255" s="1">
        <v>10.8</v>
      </c>
      <c r="H255" s="1">
        <v>0.1</v>
      </c>
      <c r="I255" s="1">
        <v>0.4</v>
      </c>
      <c r="J255" s="1">
        <v>93.8</v>
      </c>
      <c r="K255" s="18">
        <f t="shared" si="1"/>
        <v>0.669317852</v>
      </c>
      <c r="L255" s="18">
        <f t="shared" si="2"/>
        <v>20.53438228</v>
      </c>
      <c r="M255" s="112">
        <f>C257*Scoring!$B$34+D257/Scoring!$C$34+E257*Scoring!$D$34+WR!F257*Scoring!$E$34+WR!G257/Scoring!$F$34+WR!H257*Scoring!$G$34+WR!I257*Scoring!$H$34+K257*Scoring!$I$34+WR!L257*Scoring!$J$34+U255</f>
        <v>76.18</v>
      </c>
      <c r="N255" s="112">
        <f>C255*Scoring!$B$34+D255/Scoring!$C$34+E255*Scoring!$D$34+WR!F255*Scoring!$E$34+WR!G255/Scoring!$F$34+WR!H255*Scoring!$G$34+WR!I255*Scoring!$H$34+K255*Scoring!$I$34+WR!L255*Scoring!$J$34+U255</f>
        <v>76.18</v>
      </c>
      <c r="O255" s="112">
        <f>C256*Scoring!$B$34+D256/Scoring!$C$34+E256*Scoring!$D$34+WR!F256*Scoring!$E$34+WR!G256/Scoring!$F$34+WR!H256*Scoring!$G$34+WR!I256*Scoring!$H$34+K256*Scoring!$I$34+WR!L256*Scoring!$J$34+U255</f>
        <v>76.18</v>
      </c>
      <c r="P255" s="8">
        <f>IF(COUNTIF(Rookies!$A:$A,A255)&gt;0,1,0)</f>
        <v>0</v>
      </c>
      <c r="Q255" s="8"/>
      <c r="R255" s="8"/>
      <c r="S255" s="8">
        <f>V255/17</f>
        <v>4.481176471</v>
      </c>
      <c r="T255" s="8">
        <f>IF(P255=1,MAX(0,0.28*(12-S255)),0)</f>
        <v>0</v>
      </c>
      <c r="U255" s="8">
        <f>T255*17</f>
        <v>0</v>
      </c>
      <c r="V255" s="8">
        <f>C255*Scoring!$B$34+D255/Scoring!$C$34+E255*Scoring!$D$34+WR!F255*Scoring!$E$34+WR!G255/Scoring!$F$34+WR!H255*Scoring!$G$34+WR!I255*Scoring!$H$34+K255*Scoring!$I$34+WR!L255*Scoring!$J$34</f>
        <v>76.18</v>
      </c>
      <c r="W255" s="8"/>
      <c r="X255" s="8"/>
      <c r="Y255" s="8"/>
      <c r="Z255" s="8"/>
    </row>
    <row r="256" ht="14.25" customHeight="1">
      <c r="B256" s="1" t="s">
        <v>39</v>
      </c>
      <c r="C256" s="1">
        <v>35.9</v>
      </c>
      <c r="D256" s="1">
        <v>417.5</v>
      </c>
      <c r="E256" s="1">
        <v>2.6</v>
      </c>
      <c r="F256" s="1">
        <v>2.1</v>
      </c>
      <c r="G256" s="1">
        <v>10.8</v>
      </c>
      <c r="H256" s="1">
        <v>0.1</v>
      </c>
      <c r="I256" s="1">
        <v>0.4</v>
      </c>
      <c r="J256" s="1">
        <v>94.1</v>
      </c>
      <c r="K256" s="18">
        <f t="shared" si="1"/>
        <v>0.669317852</v>
      </c>
      <c r="L256" s="18">
        <f t="shared" si="2"/>
        <v>20.53438228</v>
      </c>
      <c r="M256" s="118"/>
      <c r="N256" s="118"/>
      <c r="O256" s="11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B257" s="1" t="s">
        <v>48</v>
      </c>
      <c r="C257" s="1">
        <v>35.9</v>
      </c>
      <c r="D257" s="1">
        <v>417.5</v>
      </c>
      <c r="E257" s="1">
        <v>2.6</v>
      </c>
      <c r="F257" s="1">
        <v>2.1</v>
      </c>
      <c r="G257" s="1">
        <v>10.8</v>
      </c>
      <c r="H257" s="1">
        <v>0.1</v>
      </c>
      <c r="I257" s="1">
        <v>0.4</v>
      </c>
      <c r="J257" s="1">
        <v>94.1</v>
      </c>
      <c r="K257" s="18">
        <f t="shared" si="1"/>
        <v>0.669317852</v>
      </c>
      <c r="L257" s="18">
        <f t="shared" si="2"/>
        <v>20.53438228</v>
      </c>
      <c r="M257" s="118"/>
      <c r="N257" s="118"/>
      <c r="O257" s="11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1" t="s">
        <v>851</v>
      </c>
      <c r="B258" s="1" t="s">
        <v>210</v>
      </c>
      <c r="C258" s="1">
        <v>34.6</v>
      </c>
      <c r="D258" s="1">
        <v>410.8</v>
      </c>
      <c r="E258" s="1">
        <v>2.9</v>
      </c>
      <c r="F258" s="1">
        <v>2.1</v>
      </c>
      <c r="G258" s="1">
        <v>12.5</v>
      </c>
      <c r="H258" s="1">
        <v>0.1</v>
      </c>
      <c r="I258" s="1">
        <v>0.6</v>
      </c>
      <c r="J258" s="1">
        <v>93.1</v>
      </c>
      <c r="K258" s="18">
        <f t="shared" si="1"/>
        <v>0.7746734398</v>
      </c>
      <c r="L258" s="18">
        <f t="shared" si="2"/>
        <v>20.20484848</v>
      </c>
      <c r="M258" s="112">
        <f>C260*Scoring!$B$34+D260/Scoring!$C$34+E260*Scoring!$D$34+WR!F260*Scoring!$E$34+WR!G260/Scoring!$F$34+WR!H260*Scoring!$G$34+WR!I260*Scoring!$H$34+K260*Scoring!$I$34+WR!L260*Scoring!$J$34+U258</f>
        <v>87.7896</v>
      </c>
      <c r="N258" s="112">
        <f>C258*Scoring!$B$34+D258/Scoring!$C$34+E258*Scoring!$D$34+WR!F258*Scoring!$E$34+WR!G258/Scoring!$F$34+WR!H258*Scoring!$G$34+WR!I258*Scoring!$H$34+K258*Scoring!$I$34+WR!L258*Scoring!$J$34+U258</f>
        <v>112.1496</v>
      </c>
      <c r="O258" s="112">
        <f>C259*Scoring!$B$34+D259/Scoring!$C$34+E259*Scoring!$D$34+WR!F259*Scoring!$E$34+WR!G259/Scoring!$F$34+WR!H259*Scoring!$G$34+WR!I259*Scoring!$H$34+K259*Scoring!$I$34+WR!L259*Scoring!$J$34+U258</f>
        <v>135.1196</v>
      </c>
      <c r="P258" s="8">
        <f>IF(COUNTIF(Rookies!$A:$A,A258)&gt;0,1,0)</f>
        <v>1</v>
      </c>
      <c r="Q258" s="8"/>
      <c r="R258" s="8"/>
      <c r="S258" s="8">
        <f>V258/17</f>
        <v>4.495882353</v>
      </c>
      <c r="T258" s="8">
        <f>IF(P258=1,MAX(0,0.28*(12-S258)),0)</f>
        <v>2.101152941</v>
      </c>
      <c r="U258" s="8">
        <f>T258*17</f>
        <v>35.7196</v>
      </c>
      <c r="V258" s="8">
        <f>C258*Scoring!$B$34+D258/Scoring!$C$34+E258*Scoring!$D$34+WR!F258*Scoring!$E$34+WR!G258/Scoring!$F$34+WR!H258*Scoring!$G$34+WR!I258*Scoring!$H$34+K258*Scoring!$I$34+WR!L258*Scoring!$J$34</f>
        <v>76.43</v>
      </c>
      <c r="W258" s="8"/>
      <c r="X258" s="8"/>
      <c r="Y258" s="8"/>
      <c r="Z258" s="8"/>
    </row>
    <row r="259" ht="14.25" customHeight="1">
      <c r="B259" s="1" t="s">
        <v>39</v>
      </c>
      <c r="C259" s="1">
        <v>44.0</v>
      </c>
      <c r="D259" s="1">
        <v>521.0</v>
      </c>
      <c r="E259" s="1">
        <v>4.0</v>
      </c>
      <c r="F259" s="1">
        <v>2.2</v>
      </c>
      <c r="G259" s="1">
        <v>13.0</v>
      </c>
      <c r="H259" s="1">
        <v>0.1</v>
      </c>
      <c r="I259" s="1">
        <v>0.3</v>
      </c>
      <c r="J259" s="1">
        <v>100.6</v>
      </c>
      <c r="K259" s="18">
        <f t="shared" si="1"/>
        <v>0.8056603774</v>
      </c>
      <c r="L259" s="18">
        <f t="shared" si="2"/>
        <v>25.62494172</v>
      </c>
      <c r="M259" s="118"/>
      <c r="N259" s="118"/>
      <c r="O259" s="11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B260" s="1" t="s">
        <v>48</v>
      </c>
      <c r="C260" s="1">
        <v>25.2</v>
      </c>
      <c r="D260" s="1">
        <v>300.7</v>
      </c>
      <c r="E260" s="1">
        <v>1.7</v>
      </c>
      <c r="F260" s="1">
        <v>2.0</v>
      </c>
      <c r="G260" s="1">
        <v>12.0</v>
      </c>
      <c r="H260" s="1">
        <v>0.0</v>
      </c>
      <c r="I260" s="1">
        <v>1.0</v>
      </c>
      <c r="J260" s="1">
        <v>76.7</v>
      </c>
      <c r="K260" s="18">
        <f t="shared" si="1"/>
        <v>0.7436865022</v>
      </c>
      <c r="L260" s="18">
        <f t="shared" si="2"/>
        <v>14.78967366</v>
      </c>
      <c r="M260" s="118"/>
      <c r="N260" s="118"/>
      <c r="O260" s="11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1" t="s">
        <v>855</v>
      </c>
      <c r="B261" s="1" t="s">
        <v>155</v>
      </c>
      <c r="C261" s="1">
        <v>25.4</v>
      </c>
      <c r="D261" s="1">
        <v>467.1</v>
      </c>
      <c r="E261" s="1">
        <v>3.5</v>
      </c>
      <c r="F261" s="1">
        <v>0.0</v>
      </c>
      <c r="G261" s="1">
        <v>0.0</v>
      </c>
      <c r="H261" s="1">
        <v>0.0</v>
      </c>
      <c r="I261" s="1">
        <v>0.1</v>
      </c>
      <c r="J261" s="1">
        <v>92.8</v>
      </c>
      <c r="K261" s="18">
        <f t="shared" si="1"/>
        <v>0</v>
      </c>
      <c r="L261" s="18">
        <f t="shared" si="2"/>
        <v>22.97391608</v>
      </c>
      <c r="M261" s="112">
        <f>C263*Scoring!$B$34+D263/Scoring!$C$34+E263*Scoring!$D$34+WR!F263*Scoring!$E$34+WR!G263/Scoring!$F$34+WR!H263*Scoring!$G$34+WR!I263*Scoring!$H$34+K263*Scoring!$I$34+WR!L263*Scoring!$J$34+U261</f>
        <v>65.43</v>
      </c>
      <c r="N261" s="112">
        <f>C261*Scoring!$B$34+D261/Scoring!$C$34+E261*Scoring!$D$34+WR!F261*Scoring!$E$34+WR!G261/Scoring!$F$34+WR!H261*Scoring!$G$34+WR!I261*Scoring!$H$34+K261*Scoring!$I$34+WR!L261*Scoring!$J$34+U261</f>
        <v>80.21</v>
      </c>
      <c r="O261" s="112">
        <f>C262*Scoring!$B$34+D262/Scoring!$C$34+E262*Scoring!$D$34+WR!F262*Scoring!$E$34+WR!G262/Scoring!$F$34+WR!H262*Scoring!$G$34+WR!I262*Scoring!$H$34+K262*Scoring!$I$34+WR!L262*Scoring!$J$34+U261</f>
        <v>95</v>
      </c>
      <c r="P261" s="8">
        <f>IF(COUNTIF(Rookies!$A:$A,A261)&gt;0,1,0)</f>
        <v>0</v>
      </c>
      <c r="Q261" s="8"/>
      <c r="R261" s="8"/>
      <c r="S261" s="8">
        <f>V261/17</f>
        <v>4.718235294</v>
      </c>
      <c r="T261" s="8">
        <f>IF(P261=1,MAX(0,0.28*(12-S261)),0)</f>
        <v>0</v>
      </c>
      <c r="U261" s="8">
        <f>T261*17</f>
        <v>0</v>
      </c>
      <c r="V261" s="8">
        <f>C261*Scoring!$B$34+D261/Scoring!$C$34+E261*Scoring!$D$34+WR!F261*Scoring!$E$34+WR!G261/Scoring!$F$34+WR!H261*Scoring!$G$34+WR!I261*Scoring!$H$34+K261*Scoring!$I$34+WR!L261*Scoring!$J$34</f>
        <v>80.21</v>
      </c>
      <c r="W261" s="8"/>
      <c r="X261" s="8"/>
      <c r="Y261" s="8"/>
      <c r="Z261" s="8"/>
    </row>
    <row r="262" ht="14.25" customHeight="1">
      <c r="B262" s="1" t="s">
        <v>39</v>
      </c>
      <c r="C262" s="1">
        <v>27.0</v>
      </c>
      <c r="D262" s="1">
        <v>575.0</v>
      </c>
      <c r="E262" s="1">
        <v>4.0</v>
      </c>
      <c r="F262" s="1">
        <v>0.0</v>
      </c>
      <c r="G262" s="1">
        <v>0.0</v>
      </c>
      <c r="H262" s="1">
        <v>0.0</v>
      </c>
      <c r="I262" s="1">
        <v>0.0</v>
      </c>
      <c r="J262" s="1">
        <v>98.4</v>
      </c>
      <c r="K262" s="18">
        <f t="shared" si="1"/>
        <v>0</v>
      </c>
      <c r="L262" s="18">
        <f t="shared" si="2"/>
        <v>28.28088578</v>
      </c>
      <c r="M262" s="118"/>
      <c r="N262" s="118"/>
      <c r="O262" s="11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B263" s="1" t="s">
        <v>48</v>
      </c>
      <c r="C263" s="1">
        <v>23.8</v>
      </c>
      <c r="D263" s="1">
        <v>359.3</v>
      </c>
      <c r="E263" s="1">
        <v>3.0</v>
      </c>
      <c r="F263" s="1">
        <v>0.0</v>
      </c>
      <c r="G263" s="1">
        <v>0.0</v>
      </c>
      <c r="H263" s="1">
        <v>0.0</v>
      </c>
      <c r="I263" s="1">
        <v>0.2</v>
      </c>
      <c r="J263" s="1">
        <v>79.1</v>
      </c>
      <c r="K263" s="18">
        <f t="shared" si="1"/>
        <v>0</v>
      </c>
      <c r="L263" s="18">
        <f t="shared" si="2"/>
        <v>17.6718648</v>
      </c>
      <c r="M263" s="118"/>
      <c r="N263" s="118"/>
      <c r="O263" s="11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1" t="s">
        <v>861</v>
      </c>
      <c r="B264" s="1" t="s">
        <v>229</v>
      </c>
      <c r="C264" s="1">
        <v>35.2</v>
      </c>
      <c r="D264" s="1">
        <v>443.3</v>
      </c>
      <c r="E264" s="1">
        <v>2.3</v>
      </c>
      <c r="F264" s="1">
        <v>0.0</v>
      </c>
      <c r="G264" s="1">
        <v>0.0</v>
      </c>
      <c r="H264" s="1">
        <v>0.0</v>
      </c>
      <c r="I264" s="1">
        <v>0.3</v>
      </c>
      <c r="J264" s="1">
        <v>92.5</v>
      </c>
      <c r="K264" s="18">
        <f t="shared" si="1"/>
        <v>0</v>
      </c>
      <c r="L264" s="18">
        <f t="shared" si="2"/>
        <v>21.80333333</v>
      </c>
      <c r="M264" s="112">
        <f>C266*Scoring!$B$34+D266/Scoring!$C$34+E266*Scoring!$D$34+WR!F266*Scoring!$E$34+WR!G266/Scoring!$F$34+WR!H266*Scoring!$G$34+WR!I266*Scoring!$H$34+K266*Scoring!$I$34+WR!L266*Scoring!$J$34+U264</f>
        <v>75.13</v>
      </c>
      <c r="N264" s="112">
        <f>C264*Scoring!$B$34+D264/Scoring!$C$34+E264*Scoring!$D$34+WR!F264*Scoring!$E$34+WR!G264/Scoring!$F$34+WR!H264*Scoring!$G$34+WR!I264*Scoring!$H$34+K264*Scoring!$I$34+WR!L264*Scoring!$J$34+U264</f>
        <v>75.13</v>
      </c>
      <c r="O264" s="112">
        <f>C265*Scoring!$B$34+D265/Scoring!$C$34+E265*Scoring!$D$34+WR!F265*Scoring!$E$34+WR!G265/Scoring!$F$34+WR!H265*Scoring!$G$34+WR!I265*Scoring!$H$34+K265*Scoring!$I$34+WR!L265*Scoring!$J$34+U264</f>
        <v>75.13</v>
      </c>
      <c r="P264" s="8">
        <f>IF(COUNTIF(Rookies!$A:$A,A264)&gt;0,1,0)</f>
        <v>0</v>
      </c>
      <c r="Q264" s="8"/>
      <c r="R264" s="8"/>
      <c r="S264" s="8">
        <f>V264/17</f>
        <v>4.419411765</v>
      </c>
      <c r="T264" s="8">
        <f>IF(P264=1,MAX(0,0.28*(12-S264)),0)</f>
        <v>0</v>
      </c>
      <c r="U264" s="8">
        <f>T264*17</f>
        <v>0</v>
      </c>
      <c r="V264" s="8">
        <f>C264*Scoring!$B$34+D264/Scoring!$C$34+E264*Scoring!$D$34+WR!F264*Scoring!$E$34+WR!G264/Scoring!$F$34+WR!H264*Scoring!$G$34+WR!I264*Scoring!$H$34+K264*Scoring!$I$34+WR!L264*Scoring!$J$34</f>
        <v>75.13</v>
      </c>
      <c r="W264" s="8"/>
      <c r="X264" s="8"/>
      <c r="Y264" s="8"/>
      <c r="Z264" s="8"/>
    </row>
    <row r="265" ht="14.25" customHeight="1">
      <c r="B265" s="1" t="s">
        <v>39</v>
      </c>
      <c r="C265" s="1">
        <v>35.2</v>
      </c>
      <c r="D265" s="1">
        <v>443.3</v>
      </c>
      <c r="E265" s="1">
        <v>2.3</v>
      </c>
      <c r="F265" s="1">
        <v>0.0</v>
      </c>
      <c r="G265" s="1">
        <v>0.0</v>
      </c>
      <c r="H265" s="1">
        <v>0.0</v>
      </c>
      <c r="I265" s="1">
        <v>0.3</v>
      </c>
      <c r="J265" s="1">
        <v>92.8</v>
      </c>
      <c r="K265" s="18">
        <f t="shared" si="1"/>
        <v>0</v>
      </c>
      <c r="L265" s="18">
        <f t="shared" si="2"/>
        <v>21.80333333</v>
      </c>
      <c r="M265" s="118"/>
      <c r="N265" s="118"/>
      <c r="O265" s="11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B266" s="1" t="s">
        <v>48</v>
      </c>
      <c r="C266" s="1">
        <v>35.2</v>
      </c>
      <c r="D266" s="1">
        <v>443.3</v>
      </c>
      <c r="E266" s="1">
        <v>2.3</v>
      </c>
      <c r="F266" s="1">
        <v>0.0</v>
      </c>
      <c r="G266" s="1">
        <v>0.0</v>
      </c>
      <c r="H266" s="1">
        <v>0.0</v>
      </c>
      <c r="I266" s="1">
        <v>0.3</v>
      </c>
      <c r="J266" s="1">
        <v>92.8</v>
      </c>
      <c r="K266" s="18">
        <f t="shared" si="1"/>
        <v>0</v>
      </c>
      <c r="L266" s="18">
        <f t="shared" si="2"/>
        <v>21.80333333</v>
      </c>
      <c r="M266" s="118"/>
      <c r="N266" s="118"/>
      <c r="O266" s="11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1" t="s">
        <v>865</v>
      </c>
      <c r="B267" s="1" t="s">
        <v>205</v>
      </c>
      <c r="C267" s="1">
        <v>34.0</v>
      </c>
      <c r="D267" s="1">
        <v>409.9</v>
      </c>
      <c r="E267" s="1">
        <v>2.2</v>
      </c>
      <c r="F267" s="1">
        <v>2.1</v>
      </c>
      <c r="G267" s="1">
        <v>14.2</v>
      </c>
      <c r="H267" s="1">
        <v>0.0</v>
      </c>
      <c r="I267" s="1">
        <v>0.1</v>
      </c>
      <c r="J267" s="1">
        <v>89.8</v>
      </c>
      <c r="K267" s="18">
        <f t="shared" si="1"/>
        <v>0.8800290276</v>
      </c>
      <c r="L267" s="18">
        <f t="shared" si="2"/>
        <v>20.16058275</v>
      </c>
      <c r="M267" s="112">
        <f>C269*Scoring!$B$34+D269/Scoring!$C$34+E269*Scoring!$D$34+WR!F269*Scoring!$E$34+WR!G269/Scoring!$F$34+WR!H269*Scoring!$G$34+WR!I269*Scoring!$H$34+K269*Scoring!$I$34+WR!L269*Scoring!$J$34+U267</f>
        <v>53.42</v>
      </c>
      <c r="N267" s="112">
        <f>C267*Scoring!$B$34+D267/Scoring!$C$34+E267*Scoring!$D$34+WR!F267*Scoring!$E$34+WR!G267/Scoring!$F$34+WR!H267*Scoring!$G$34+WR!I267*Scoring!$H$34+K267*Scoring!$I$34+WR!L267*Scoring!$J$34+U267</f>
        <v>72.41</v>
      </c>
      <c r="O267" s="112">
        <f>C268*Scoring!$B$34+D268/Scoring!$C$34+E268*Scoring!$D$34+WR!F268*Scoring!$E$34+WR!G268/Scoring!$F$34+WR!H268*Scoring!$G$34+WR!I268*Scoring!$H$34+K268*Scoring!$I$34+WR!L268*Scoring!$J$34+U267</f>
        <v>92.6</v>
      </c>
      <c r="P267" s="8">
        <f>IF(COUNTIF(Rookies!$A:$A,A267)&gt;0,1,0)</f>
        <v>0</v>
      </c>
      <c r="Q267" s="8"/>
      <c r="R267" s="8"/>
      <c r="S267" s="8">
        <f>V267/17</f>
        <v>4.259411765</v>
      </c>
      <c r="T267" s="8">
        <f>IF(P267=1,MAX(0,0.28*(12-S267)),0)</f>
        <v>0</v>
      </c>
      <c r="U267" s="8">
        <f>T267*17</f>
        <v>0</v>
      </c>
      <c r="V267" s="8">
        <f>C267*Scoring!$B$34+D267/Scoring!$C$34+E267*Scoring!$D$34+WR!F267*Scoring!$E$34+WR!G267/Scoring!$F$34+WR!H267*Scoring!$G$34+WR!I267*Scoring!$H$34+K267*Scoring!$I$34+WR!L267*Scoring!$J$34</f>
        <v>72.41</v>
      </c>
      <c r="W267" s="8"/>
      <c r="X267" s="8"/>
      <c r="Y267" s="8"/>
      <c r="Z267" s="8"/>
    </row>
    <row r="268" ht="14.25" customHeight="1">
      <c r="B268" s="1" t="s">
        <v>39</v>
      </c>
      <c r="C268" s="1">
        <v>43.0</v>
      </c>
      <c r="D268" s="1">
        <v>509.0</v>
      </c>
      <c r="E268" s="1">
        <v>3.0</v>
      </c>
      <c r="F268" s="1">
        <v>2.1</v>
      </c>
      <c r="G268" s="1">
        <v>16.0</v>
      </c>
      <c r="H268" s="1">
        <v>0.1</v>
      </c>
      <c r="I268" s="1">
        <v>0.0</v>
      </c>
      <c r="J268" s="1">
        <v>93.0</v>
      </c>
      <c r="K268" s="18">
        <f t="shared" si="1"/>
        <v>0.9915820029</v>
      </c>
      <c r="L268" s="18">
        <f t="shared" si="2"/>
        <v>25.03473193</v>
      </c>
      <c r="M268" s="118"/>
      <c r="N268" s="118"/>
      <c r="O268" s="11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B269" s="1" t="s">
        <v>48</v>
      </c>
      <c r="C269" s="1">
        <v>25.0</v>
      </c>
      <c r="D269" s="1">
        <v>310.8</v>
      </c>
      <c r="E269" s="1">
        <v>1.5</v>
      </c>
      <c r="F269" s="1">
        <v>2.0</v>
      </c>
      <c r="G269" s="1">
        <v>12.4</v>
      </c>
      <c r="H269" s="1">
        <v>0.0</v>
      </c>
      <c r="I269" s="1">
        <v>0.2</v>
      </c>
      <c r="J269" s="1">
        <v>75.4</v>
      </c>
      <c r="K269" s="18">
        <f t="shared" si="1"/>
        <v>0.7684760522</v>
      </c>
      <c r="L269" s="18">
        <f t="shared" si="2"/>
        <v>15.28643357</v>
      </c>
      <c r="M269" s="118"/>
      <c r="N269" s="118"/>
      <c r="O269" s="11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1" t="s">
        <v>868</v>
      </c>
      <c r="B270" s="1" t="s">
        <v>164</v>
      </c>
      <c r="C270" s="1">
        <v>34.5</v>
      </c>
      <c r="D270" s="1">
        <v>410.5</v>
      </c>
      <c r="E270" s="1">
        <v>2.5</v>
      </c>
      <c r="F270" s="1">
        <v>0.0</v>
      </c>
      <c r="G270" s="1">
        <v>0.0</v>
      </c>
      <c r="H270" s="1">
        <v>0.0</v>
      </c>
      <c r="I270" s="1">
        <v>0.4</v>
      </c>
      <c r="J270" s="1">
        <v>89.8</v>
      </c>
      <c r="K270" s="18">
        <f t="shared" si="1"/>
        <v>0</v>
      </c>
      <c r="L270" s="18">
        <f t="shared" si="2"/>
        <v>20.19009324</v>
      </c>
      <c r="M270" s="112">
        <f>C272*Scoring!$B$34+D272/Scoring!$C$34+E272*Scoring!$D$34+WR!F272*Scoring!$E$34+WR!G272/Scoring!$F$34+WR!H272*Scoring!$G$34+WR!I272*Scoring!$H$34+K272*Scoring!$I$34+WR!L272*Scoring!$J$34+U270</f>
        <v>72.5</v>
      </c>
      <c r="N270" s="112">
        <f>C270*Scoring!$B$34+D270/Scoring!$C$34+E270*Scoring!$D$34+WR!F270*Scoring!$E$34+WR!G270/Scoring!$F$34+WR!H270*Scoring!$G$34+WR!I270*Scoring!$H$34+K270*Scoring!$I$34+WR!L270*Scoring!$J$34+U270</f>
        <v>72.5</v>
      </c>
      <c r="O270" s="112">
        <f>C271*Scoring!$B$34+D271/Scoring!$C$34+E271*Scoring!$D$34+WR!F271*Scoring!$E$34+WR!G271/Scoring!$F$34+WR!H271*Scoring!$G$34+WR!I271*Scoring!$H$34+K271*Scoring!$I$34+WR!L271*Scoring!$J$34+U270</f>
        <v>72.5</v>
      </c>
      <c r="P270" s="8">
        <f>IF(COUNTIF(Rookies!$A:$A,A270)&gt;0,1,0)</f>
        <v>0</v>
      </c>
      <c r="Q270" s="8"/>
      <c r="R270" s="8"/>
      <c r="S270" s="8">
        <f>V270/17</f>
        <v>4.264705882</v>
      </c>
      <c r="T270" s="8">
        <f>IF(P270=1,MAX(0,0.28*(12-S270)),0)</f>
        <v>0</v>
      </c>
      <c r="U270" s="8">
        <f>T270*17</f>
        <v>0</v>
      </c>
      <c r="V270" s="8">
        <f>C270*Scoring!$B$34+D270/Scoring!$C$34+E270*Scoring!$D$34+WR!F270*Scoring!$E$34+WR!G270/Scoring!$F$34+WR!H270*Scoring!$G$34+WR!I270*Scoring!$H$34+K270*Scoring!$I$34+WR!L270*Scoring!$J$34</f>
        <v>72.5</v>
      </c>
      <c r="W270" s="8"/>
      <c r="X270" s="8"/>
      <c r="Y270" s="8"/>
      <c r="Z270" s="8"/>
    </row>
    <row r="271" ht="14.25" customHeight="1">
      <c r="B271" s="1" t="s">
        <v>39</v>
      </c>
      <c r="C271" s="1">
        <v>34.5</v>
      </c>
      <c r="D271" s="1">
        <v>410.5</v>
      </c>
      <c r="E271" s="1">
        <v>2.5</v>
      </c>
      <c r="F271" s="1">
        <v>0.0</v>
      </c>
      <c r="G271" s="1">
        <v>0.0</v>
      </c>
      <c r="H271" s="1">
        <v>0.0</v>
      </c>
      <c r="I271" s="1">
        <v>0.4</v>
      </c>
      <c r="J271" s="1">
        <v>89.9</v>
      </c>
      <c r="K271" s="18">
        <f t="shared" si="1"/>
        <v>0</v>
      </c>
      <c r="L271" s="18">
        <f t="shared" si="2"/>
        <v>20.19009324</v>
      </c>
      <c r="M271" s="118"/>
      <c r="N271" s="118"/>
      <c r="O271" s="11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B272" s="1" t="s">
        <v>48</v>
      </c>
      <c r="C272" s="1">
        <v>34.5</v>
      </c>
      <c r="D272" s="1">
        <v>410.5</v>
      </c>
      <c r="E272" s="1">
        <v>2.5</v>
      </c>
      <c r="F272" s="1">
        <v>0.0</v>
      </c>
      <c r="G272" s="1">
        <v>0.0</v>
      </c>
      <c r="H272" s="1">
        <v>0.0</v>
      </c>
      <c r="I272" s="1">
        <v>0.4</v>
      </c>
      <c r="J272" s="1">
        <v>89.9</v>
      </c>
      <c r="K272" s="18">
        <f t="shared" si="1"/>
        <v>0</v>
      </c>
      <c r="L272" s="18">
        <f t="shared" si="2"/>
        <v>20.19009324</v>
      </c>
      <c r="M272" s="118"/>
      <c r="N272" s="118"/>
      <c r="O272" s="11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1" t="s">
        <v>873</v>
      </c>
      <c r="B273" s="1" t="s">
        <v>140</v>
      </c>
      <c r="C273" s="1">
        <v>34.0</v>
      </c>
      <c r="D273" s="1">
        <v>404.4</v>
      </c>
      <c r="E273" s="1">
        <v>2.6</v>
      </c>
      <c r="F273" s="1">
        <v>0.0</v>
      </c>
      <c r="G273" s="1">
        <v>0.0</v>
      </c>
      <c r="H273" s="1">
        <v>0.0</v>
      </c>
      <c r="I273" s="1">
        <v>0.1</v>
      </c>
      <c r="J273" s="1">
        <v>89.7</v>
      </c>
      <c r="K273" s="18">
        <f t="shared" si="1"/>
        <v>0</v>
      </c>
      <c r="L273" s="18">
        <f t="shared" si="2"/>
        <v>19.89006993</v>
      </c>
      <c r="M273" s="112">
        <f>C275*Scoring!$B$34+D275/Scoring!$C$34+E275*Scoring!$D$34+WR!F275*Scoring!$E$34+WR!G275/Scoring!$F$34+WR!H275*Scoring!$G$34+WR!I275*Scoring!$H$34+K275*Scoring!$I$34+WR!L275*Scoring!$J$34+U273</f>
        <v>30.52</v>
      </c>
      <c r="N273" s="112">
        <f>C273*Scoring!$B$34+D273/Scoring!$C$34+E273*Scoring!$D$34+WR!F273*Scoring!$E$34+WR!G273/Scoring!$F$34+WR!H273*Scoring!$G$34+WR!I273*Scoring!$H$34+K273*Scoring!$I$34+WR!L273*Scoring!$J$34+U273</f>
        <v>72.84</v>
      </c>
      <c r="O273" s="112">
        <f>C274*Scoring!$B$34+D274/Scoring!$C$34+E274*Scoring!$D$34+WR!F274*Scoring!$E$34+WR!G274/Scoring!$F$34+WR!H274*Scoring!$G$34+WR!I274*Scoring!$H$34+K274*Scoring!$I$34+WR!L274*Scoring!$J$34+U273</f>
        <v>114.8</v>
      </c>
      <c r="P273" s="8">
        <f>IF(COUNTIF(Rookies!$A:$A,A273)&gt;0,1,0)</f>
        <v>0</v>
      </c>
      <c r="Q273" s="8"/>
      <c r="R273" s="8"/>
      <c r="S273" s="8">
        <f>V273/17</f>
        <v>4.284705882</v>
      </c>
      <c r="T273" s="8">
        <f>IF(P273=1,MAX(0,0.28*(12-S273)),0)</f>
        <v>0</v>
      </c>
      <c r="U273" s="8">
        <f>T273*17</f>
        <v>0</v>
      </c>
      <c r="V273" s="8">
        <f>C273*Scoring!$B$34+D273/Scoring!$C$34+E273*Scoring!$D$34+WR!F273*Scoring!$E$34+WR!G273/Scoring!$F$34+WR!H273*Scoring!$G$34+WR!I273*Scoring!$H$34+K273*Scoring!$I$34+WR!L273*Scoring!$J$34</f>
        <v>72.84</v>
      </c>
      <c r="W273" s="8"/>
      <c r="X273" s="8"/>
      <c r="Y273" s="8"/>
      <c r="Z273" s="8"/>
    </row>
    <row r="274" ht="14.25" customHeight="1">
      <c r="B274" s="1" t="s">
        <v>39</v>
      </c>
      <c r="C274" s="1">
        <v>55.0</v>
      </c>
      <c r="D274" s="1">
        <v>633.0</v>
      </c>
      <c r="E274" s="1">
        <v>4.0</v>
      </c>
      <c r="F274" s="1">
        <v>0.0</v>
      </c>
      <c r="G274" s="1">
        <v>0.0</v>
      </c>
      <c r="H274" s="1">
        <v>0.0</v>
      </c>
      <c r="I274" s="1">
        <v>0.0</v>
      </c>
      <c r="J274" s="1">
        <v>113.0</v>
      </c>
      <c r="K274" s="18">
        <f t="shared" si="1"/>
        <v>0</v>
      </c>
      <c r="L274" s="18">
        <f t="shared" si="2"/>
        <v>31.13356643</v>
      </c>
      <c r="M274" s="118"/>
      <c r="N274" s="118"/>
      <c r="O274" s="11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B275" s="1" t="s">
        <v>48</v>
      </c>
      <c r="C275" s="1">
        <v>13.1</v>
      </c>
      <c r="D275" s="1">
        <v>175.7</v>
      </c>
      <c r="E275" s="1">
        <v>1.1</v>
      </c>
      <c r="F275" s="1">
        <v>0.0</v>
      </c>
      <c r="G275" s="1">
        <v>0.0</v>
      </c>
      <c r="H275" s="1">
        <v>0.0</v>
      </c>
      <c r="I275" s="1">
        <v>0.1</v>
      </c>
      <c r="J275" s="1">
        <v>58.2</v>
      </c>
      <c r="K275" s="18">
        <f t="shared" si="1"/>
        <v>0</v>
      </c>
      <c r="L275" s="18">
        <f t="shared" si="2"/>
        <v>8.641655012</v>
      </c>
      <c r="M275" s="118"/>
      <c r="N275" s="118"/>
      <c r="O275" s="11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1" t="s">
        <v>877</v>
      </c>
      <c r="B276" s="1" t="s">
        <v>150</v>
      </c>
      <c r="C276" s="1">
        <v>33.8</v>
      </c>
      <c r="D276" s="1">
        <v>383.0</v>
      </c>
      <c r="E276" s="1">
        <v>2.7</v>
      </c>
      <c r="F276" s="1">
        <v>2.2</v>
      </c>
      <c r="G276" s="1">
        <v>12.4</v>
      </c>
      <c r="H276" s="1">
        <v>0.1</v>
      </c>
      <c r="I276" s="1">
        <v>0.4</v>
      </c>
      <c r="J276" s="1">
        <v>89.2</v>
      </c>
      <c r="K276" s="18">
        <f t="shared" si="1"/>
        <v>0.7684760522</v>
      </c>
      <c r="L276" s="18">
        <f t="shared" si="2"/>
        <v>18.83752914</v>
      </c>
      <c r="M276" s="112">
        <f>C278*Scoring!$B$34+D278/Scoring!$C$34+E278*Scoring!$D$34+WR!F278*Scoring!$E$34+WR!G278/Scoring!$F$34+WR!H278*Scoring!$G$34+WR!I278*Scoring!$H$34+K278*Scoring!$I$34+WR!L278*Scoring!$J$34+U276</f>
        <v>72.44</v>
      </c>
      <c r="N276" s="112">
        <f>C276*Scoring!$B$34+D276/Scoring!$C$34+E276*Scoring!$D$34+WR!F276*Scoring!$E$34+WR!G276/Scoring!$F$34+WR!H276*Scoring!$G$34+WR!I276*Scoring!$H$34+K276*Scoring!$I$34+WR!L276*Scoring!$J$34+U276</f>
        <v>72.44</v>
      </c>
      <c r="O276" s="112">
        <f>C277*Scoring!$B$34+D277/Scoring!$C$34+E277*Scoring!$D$34+WR!F277*Scoring!$E$34+WR!G277/Scoring!$F$34+WR!H277*Scoring!$G$34+WR!I277*Scoring!$H$34+K277*Scoring!$I$34+WR!L277*Scoring!$J$34+U276</f>
        <v>72.44</v>
      </c>
      <c r="P276" s="8">
        <f>IF(COUNTIF(Rookies!$A:$A,A276)&gt;0,1,0)</f>
        <v>0</v>
      </c>
      <c r="Q276" s="8"/>
      <c r="R276" s="8"/>
      <c r="S276" s="8">
        <f>V276/17</f>
        <v>4.261176471</v>
      </c>
      <c r="T276" s="8">
        <f>IF(P276=1,MAX(0,0.28*(12-S276)),0)</f>
        <v>0</v>
      </c>
      <c r="U276" s="8">
        <f>T276*17</f>
        <v>0</v>
      </c>
      <c r="V276" s="8">
        <f>C276*Scoring!$B$34+D276/Scoring!$C$34+E276*Scoring!$D$34+WR!F276*Scoring!$E$34+WR!G276/Scoring!$F$34+WR!H276*Scoring!$G$34+WR!I276*Scoring!$H$34+K276*Scoring!$I$34+WR!L276*Scoring!$J$34</f>
        <v>72.44</v>
      </c>
      <c r="W276" s="8"/>
      <c r="X276" s="8"/>
      <c r="Y276" s="8"/>
      <c r="Z276" s="8"/>
    </row>
    <row r="277" ht="14.25" customHeight="1">
      <c r="B277" s="1" t="s">
        <v>39</v>
      </c>
      <c r="C277" s="1">
        <v>33.8</v>
      </c>
      <c r="D277" s="1">
        <v>383.0</v>
      </c>
      <c r="E277" s="1">
        <v>2.7</v>
      </c>
      <c r="F277" s="1">
        <v>2.2</v>
      </c>
      <c r="G277" s="1">
        <v>12.4</v>
      </c>
      <c r="H277" s="1">
        <v>0.1</v>
      </c>
      <c r="I277" s="1">
        <v>0.4</v>
      </c>
      <c r="J277" s="1">
        <v>89.3</v>
      </c>
      <c r="K277" s="18">
        <f t="shared" si="1"/>
        <v>0.7684760522</v>
      </c>
      <c r="L277" s="18">
        <f t="shared" si="2"/>
        <v>18.83752914</v>
      </c>
      <c r="M277" s="118"/>
      <c r="N277" s="118"/>
      <c r="O277" s="11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B278" s="1" t="s">
        <v>48</v>
      </c>
      <c r="C278" s="1">
        <v>33.8</v>
      </c>
      <c r="D278" s="1">
        <v>383.0</v>
      </c>
      <c r="E278" s="1">
        <v>2.7</v>
      </c>
      <c r="F278" s="1">
        <v>2.2</v>
      </c>
      <c r="G278" s="1">
        <v>12.4</v>
      </c>
      <c r="H278" s="1">
        <v>0.1</v>
      </c>
      <c r="I278" s="1">
        <v>0.4</v>
      </c>
      <c r="J278" s="1">
        <v>89.3</v>
      </c>
      <c r="K278" s="18">
        <f t="shared" si="1"/>
        <v>0.7684760522</v>
      </c>
      <c r="L278" s="18">
        <f t="shared" si="2"/>
        <v>18.83752914</v>
      </c>
      <c r="M278" s="118"/>
      <c r="N278" s="118"/>
      <c r="O278" s="11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1" t="s">
        <v>881</v>
      </c>
      <c r="B279" s="1" t="s">
        <v>196</v>
      </c>
      <c r="C279" s="1">
        <v>33.9</v>
      </c>
      <c r="D279" s="1">
        <v>420.3</v>
      </c>
      <c r="E279" s="1">
        <v>1.7</v>
      </c>
      <c r="F279" s="1">
        <v>0.0</v>
      </c>
      <c r="G279" s="1">
        <v>0.0</v>
      </c>
      <c r="H279" s="1">
        <v>0.0</v>
      </c>
      <c r="I279" s="1">
        <v>0.3</v>
      </c>
      <c r="J279" s="1">
        <v>85.4</v>
      </c>
      <c r="K279" s="18">
        <f t="shared" si="1"/>
        <v>0</v>
      </c>
      <c r="L279" s="18">
        <f t="shared" si="2"/>
        <v>20.6720979</v>
      </c>
      <c r="M279" s="112">
        <f>C281*Scoring!$B$34+D281/Scoring!$C$34+E281*Scoring!$D$34+WR!F281*Scoring!$E$34+WR!G281/Scoring!$F$34+WR!H281*Scoring!$G$34+WR!I281*Scoring!$H$34+K281*Scoring!$I$34+WR!L281*Scoring!$J$34+U279</f>
        <v>68.58</v>
      </c>
      <c r="N279" s="112">
        <f>C279*Scoring!$B$34+D279/Scoring!$C$34+E279*Scoring!$D$34+WR!F279*Scoring!$E$34+WR!G279/Scoring!$F$34+WR!H279*Scoring!$G$34+WR!I279*Scoring!$H$34+K279*Scoring!$I$34+WR!L279*Scoring!$J$34+U279</f>
        <v>68.58</v>
      </c>
      <c r="O279" s="112">
        <f>C280*Scoring!$B$34+D280/Scoring!$C$34+E280*Scoring!$D$34+WR!F280*Scoring!$E$34+WR!G280/Scoring!$F$34+WR!H280*Scoring!$G$34+WR!I280*Scoring!$H$34+K280*Scoring!$I$34+WR!L280*Scoring!$J$34+U279</f>
        <v>68.58</v>
      </c>
      <c r="P279" s="8">
        <f>IF(COUNTIF(Rookies!$A:$A,A279)&gt;0,1,0)</f>
        <v>0</v>
      </c>
      <c r="Q279" s="8"/>
      <c r="R279" s="8"/>
      <c r="S279" s="8">
        <f>V279/17</f>
        <v>4.034117647</v>
      </c>
      <c r="T279" s="8">
        <f>IF(P279=1,MAX(0,0.28*(12-S279)),0)</f>
        <v>0</v>
      </c>
      <c r="U279" s="8">
        <f>T279*17</f>
        <v>0</v>
      </c>
      <c r="V279" s="8">
        <f>C279*Scoring!$B$34+D279/Scoring!$C$34+E279*Scoring!$D$34+WR!F279*Scoring!$E$34+WR!G279/Scoring!$F$34+WR!H279*Scoring!$G$34+WR!I279*Scoring!$H$34+K279*Scoring!$I$34+WR!L279*Scoring!$J$34</f>
        <v>68.58</v>
      </c>
      <c r="W279" s="8"/>
      <c r="X279" s="8"/>
      <c r="Y279" s="8"/>
      <c r="Z279" s="8"/>
    </row>
    <row r="280" ht="14.25" customHeight="1">
      <c r="B280" s="1" t="s">
        <v>39</v>
      </c>
      <c r="C280" s="1">
        <v>33.9</v>
      </c>
      <c r="D280" s="1">
        <v>420.3</v>
      </c>
      <c r="E280" s="1">
        <v>1.7</v>
      </c>
      <c r="F280" s="1">
        <v>0.0</v>
      </c>
      <c r="G280" s="1">
        <v>0.0</v>
      </c>
      <c r="H280" s="1">
        <v>0.0</v>
      </c>
      <c r="I280" s="1">
        <v>0.3</v>
      </c>
      <c r="J280" s="1">
        <v>85.6</v>
      </c>
      <c r="K280" s="18">
        <f t="shared" si="1"/>
        <v>0</v>
      </c>
      <c r="L280" s="18">
        <f t="shared" si="2"/>
        <v>20.6720979</v>
      </c>
      <c r="M280" s="118"/>
      <c r="N280" s="118"/>
      <c r="O280" s="11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B281" s="1" t="s">
        <v>48</v>
      </c>
      <c r="C281" s="1">
        <v>33.9</v>
      </c>
      <c r="D281" s="1">
        <v>420.3</v>
      </c>
      <c r="E281" s="1">
        <v>1.7</v>
      </c>
      <c r="F281" s="1">
        <v>0.0</v>
      </c>
      <c r="G281" s="1">
        <v>0.0</v>
      </c>
      <c r="H281" s="1">
        <v>0.0</v>
      </c>
      <c r="I281" s="1">
        <v>0.3</v>
      </c>
      <c r="J281" s="1">
        <v>85.6</v>
      </c>
      <c r="K281" s="18">
        <f t="shared" si="1"/>
        <v>0</v>
      </c>
      <c r="L281" s="18">
        <f t="shared" si="2"/>
        <v>20.6720979</v>
      </c>
      <c r="M281" s="118"/>
      <c r="N281" s="118"/>
      <c r="O281" s="11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1" t="s">
        <v>885</v>
      </c>
      <c r="B282" s="1" t="s">
        <v>179</v>
      </c>
      <c r="C282" s="1">
        <v>25.4</v>
      </c>
      <c r="D282" s="1">
        <v>352.4</v>
      </c>
      <c r="E282" s="1">
        <v>4.1</v>
      </c>
      <c r="F282" s="1">
        <v>0.0</v>
      </c>
      <c r="G282" s="1">
        <v>0.0</v>
      </c>
      <c r="H282" s="1">
        <v>0.0</v>
      </c>
      <c r="I282" s="1">
        <v>0.1</v>
      </c>
      <c r="J282" s="1">
        <v>85.1</v>
      </c>
      <c r="K282" s="18">
        <f t="shared" si="1"/>
        <v>0</v>
      </c>
      <c r="L282" s="18">
        <f t="shared" si="2"/>
        <v>17.33249417</v>
      </c>
      <c r="M282" s="112">
        <f>C284*Scoring!$B$34+D284/Scoring!$C$34+E284*Scoring!$D$34+WR!F284*Scoring!$E$34+WR!G284/Scoring!$F$34+WR!H284*Scoring!$G$34+WR!I284*Scoring!$H$34+K284*Scoring!$I$34+WR!L284*Scoring!$J$34+U282</f>
        <v>60.77</v>
      </c>
      <c r="N282" s="112">
        <f>C282*Scoring!$B$34+D282/Scoring!$C$34+E282*Scoring!$D$34+WR!F282*Scoring!$E$34+WR!G282/Scoring!$F$34+WR!H282*Scoring!$G$34+WR!I282*Scoring!$H$34+K282*Scoring!$I$34+WR!L282*Scoring!$J$34+U282</f>
        <v>72.34</v>
      </c>
      <c r="O282" s="112">
        <f>C283*Scoring!$B$34+D283/Scoring!$C$34+E283*Scoring!$D$34+WR!F283*Scoring!$E$34+WR!G283/Scoring!$F$34+WR!H283*Scoring!$G$34+WR!I283*Scoring!$H$34+K283*Scoring!$I$34+WR!L283*Scoring!$J$34+U282</f>
        <v>83.9</v>
      </c>
      <c r="P282" s="8">
        <f>IF(COUNTIF(Rookies!$A:$A,A282)&gt;0,1,0)</f>
        <v>0</v>
      </c>
      <c r="Q282" s="8"/>
      <c r="R282" s="8"/>
      <c r="S282" s="8">
        <f>V282/17</f>
        <v>4.255294118</v>
      </c>
      <c r="T282" s="8">
        <f>IF(P282=1,MAX(0,0.28*(12-S282)),0)</f>
        <v>0</v>
      </c>
      <c r="U282" s="8">
        <f>T282*17</f>
        <v>0</v>
      </c>
      <c r="V282" s="8">
        <f>C282*Scoring!$B$34+D282/Scoring!$C$34+E282*Scoring!$D$34+WR!F282*Scoring!$E$34+WR!G282/Scoring!$F$34+WR!H282*Scoring!$G$34+WR!I282*Scoring!$H$34+K282*Scoring!$I$34+WR!L282*Scoring!$J$34</f>
        <v>72.34</v>
      </c>
      <c r="W282" s="8"/>
      <c r="X282" s="8"/>
      <c r="Y282" s="8"/>
      <c r="Z282" s="8"/>
    </row>
    <row r="283" ht="14.25" customHeight="1">
      <c r="B283" s="1" t="s">
        <v>39</v>
      </c>
      <c r="C283" s="1">
        <v>27.0</v>
      </c>
      <c r="D283" s="1">
        <v>404.0</v>
      </c>
      <c r="E283" s="1">
        <v>5.0</v>
      </c>
      <c r="F283" s="1">
        <v>0.0</v>
      </c>
      <c r="G283" s="1">
        <v>0.0</v>
      </c>
      <c r="H283" s="1">
        <v>0.0</v>
      </c>
      <c r="I283" s="1">
        <v>0.0</v>
      </c>
      <c r="J283" s="1">
        <v>87.4</v>
      </c>
      <c r="K283" s="18">
        <f t="shared" si="1"/>
        <v>0</v>
      </c>
      <c r="L283" s="18">
        <f t="shared" si="2"/>
        <v>19.87039627</v>
      </c>
      <c r="M283" s="118"/>
      <c r="N283" s="118"/>
      <c r="O283" s="11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B284" s="1" t="s">
        <v>48</v>
      </c>
      <c r="C284" s="1">
        <v>23.8</v>
      </c>
      <c r="D284" s="1">
        <v>300.7</v>
      </c>
      <c r="E284" s="1">
        <v>3.2</v>
      </c>
      <c r="F284" s="1">
        <v>0.0</v>
      </c>
      <c r="G284" s="1">
        <v>0.0</v>
      </c>
      <c r="H284" s="1">
        <v>0.0</v>
      </c>
      <c r="I284" s="1">
        <v>0.2</v>
      </c>
      <c r="J284" s="1">
        <v>74.5</v>
      </c>
      <c r="K284" s="18">
        <f t="shared" si="1"/>
        <v>0</v>
      </c>
      <c r="L284" s="18">
        <f t="shared" si="2"/>
        <v>14.78967366</v>
      </c>
      <c r="M284" s="118"/>
      <c r="N284" s="118"/>
      <c r="O284" s="11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1" t="s">
        <v>891</v>
      </c>
      <c r="B285" s="1" t="s">
        <v>222</v>
      </c>
      <c r="C285" s="1">
        <v>33.2</v>
      </c>
      <c r="D285" s="1">
        <v>397.7</v>
      </c>
      <c r="E285" s="1">
        <v>1.9</v>
      </c>
      <c r="F285" s="1">
        <v>1.0</v>
      </c>
      <c r="G285" s="1">
        <v>4.0</v>
      </c>
      <c r="H285" s="1">
        <v>0.0</v>
      </c>
      <c r="I285" s="1">
        <v>0.6</v>
      </c>
      <c r="J285" s="1">
        <v>83.6</v>
      </c>
      <c r="K285" s="18">
        <f t="shared" si="1"/>
        <v>0.2478955007</v>
      </c>
      <c r="L285" s="18">
        <f t="shared" si="2"/>
        <v>19.56053613</v>
      </c>
      <c r="M285" s="112">
        <f>C287*Scoring!$B$34+D287/Scoring!$C$34+E287*Scoring!$D$34+WR!F287*Scoring!$E$34+WR!G287/Scoring!$F$34+WR!H287*Scoring!$G$34+WR!I287*Scoring!$H$34+K287*Scoring!$I$34+WR!L287*Scoring!$J$34+U285</f>
        <v>75.3084</v>
      </c>
      <c r="N285" s="112">
        <f>C285*Scoring!$B$34+D285/Scoring!$C$34+E285*Scoring!$D$34+WR!F285*Scoring!$E$34+WR!G285/Scoring!$F$34+WR!H285*Scoring!$G$34+WR!I285*Scoring!$H$34+K285*Scoring!$I$34+WR!L285*Scoring!$J$34+U285</f>
        <v>105.3384</v>
      </c>
      <c r="O285" s="112">
        <f>C286*Scoring!$B$34+D286/Scoring!$C$34+E286*Scoring!$D$34+WR!F286*Scoring!$E$34+WR!G286/Scoring!$F$34+WR!H286*Scoring!$G$34+WR!I286*Scoring!$H$34+K286*Scoring!$I$34+WR!L286*Scoring!$J$34+U285</f>
        <v>135.3684</v>
      </c>
      <c r="P285" s="8">
        <f>IF(COUNTIF(Rookies!$A:$A,A285)&gt;0,1,0)</f>
        <v>1</v>
      </c>
      <c r="Q285" s="8"/>
      <c r="R285" s="8"/>
      <c r="S285" s="8">
        <f>V285/17</f>
        <v>3.939411765</v>
      </c>
      <c r="T285" s="8">
        <f>IF(P285=1,MAX(0,0.28*(12-S285)),0)</f>
        <v>2.256964706</v>
      </c>
      <c r="U285" s="8">
        <f>T285*17</f>
        <v>38.3684</v>
      </c>
      <c r="V285" s="8">
        <f>C285*Scoring!$B$34+D285/Scoring!$C$34+E285*Scoring!$D$34+WR!F285*Scoring!$E$34+WR!G285/Scoring!$F$34+WR!H285*Scoring!$G$34+WR!I285*Scoring!$H$34+K285*Scoring!$I$34+WR!L285*Scoring!$J$34</f>
        <v>66.97</v>
      </c>
      <c r="W285" s="8"/>
      <c r="X285" s="8"/>
      <c r="Y285" s="8"/>
      <c r="Z285" s="8"/>
    </row>
    <row r="286" ht="14.25" customHeight="1">
      <c r="B286" s="1" t="s">
        <v>39</v>
      </c>
      <c r="C286" s="1">
        <v>47.0</v>
      </c>
      <c r="D286" s="1">
        <v>551.0</v>
      </c>
      <c r="E286" s="1">
        <v>3.0</v>
      </c>
      <c r="F286" s="1">
        <v>2.0</v>
      </c>
      <c r="G286" s="1">
        <v>8.0</v>
      </c>
      <c r="H286" s="1">
        <v>0.0</v>
      </c>
      <c r="I286" s="1">
        <v>0.2</v>
      </c>
      <c r="J286" s="1">
        <v>96.2</v>
      </c>
      <c r="K286" s="18">
        <f t="shared" si="1"/>
        <v>0.4957910015</v>
      </c>
      <c r="L286" s="18">
        <f t="shared" si="2"/>
        <v>27.1004662</v>
      </c>
      <c r="M286" s="118"/>
      <c r="N286" s="118"/>
      <c r="O286" s="11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B287" s="1" t="s">
        <v>48</v>
      </c>
      <c r="C287" s="1">
        <v>19.4</v>
      </c>
      <c r="D287" s="1">
        <v>244.4</v>
      </c>
      <c r="E287" s="1">
        <v>0.8</v>
      </c>
      <c r="F287" s="1">
        <v>0.0</v>
      </c>
      <c r="G287" s="1">
        <v>0.0</v>
      </c>
      <c r="H287" s="1">
        <v>0.0</v>
      </c>
      <c r="I287" s="1">
        <v>1.0</v>
      </c>
      <c r="J287" s="1">
        <v>62.1</v>
      </c>
      <c r="K287" s="18">
        <f t="shared" si="1"/>
        <v>0</v>
      </c>
      <c r="L287" s="18">
        <f t="shared" si="2"/>
        <v>12.02060606</v>
      </c>
      <c r="M287" s="118"/>
      <c r="N287" s="118"/>
      <c r="O287" s="11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1" t="s">
        <v>895</v>
      </c>
      <c r="B288" s="1" t="s">
        <v>186</v>
      </c>
      <c r="C288" s="1">
        <v>28.9</v>
      </c>
      <c r="D288" s="1">
        <v>389.9</v>
      </c>
      <c r="E288" s="1">
        <v>2.6</v>
      </c>
      <c r="F288" s="1">
        <v>1.0</v>
      </c>
      <c r="G288" s="1">
        <v>6.5</v>
      </c>
      <c r="H288" s="1">
        <v>0.0</v>
      </c>
      <c r="I288" s="1">
        <v>0.6</v>
      </c>
      <c r="J288" s="1">
        <v>82.7</v>
      </c>
      <c r="K288" s="18">
        <f t="shared" si="1"/>
        <v>0.4028301887</v>
      </c>
      <c r="L288" s="18">
        <f t="shared" si="2"/>
        <v>19.17689977</v>
      </c>
      <c r="M288" s="112">
        <f>C290*Scoring!$B$34+D290/Scoring!$C$34+E290*Scoring!$D$34+WR!F290*Scoring!$E$34+WR!G290/Scoring!$F$34+WR!H290*Scoring!$G$34+WR!I290*Scoring!$H$34+K290*Scoring!$I$34+WR!L290*Scoring!$J$34+U288</f>
        <v>89.4128</v>
      </c>
      <c r="N288" s="112">
        <f>C288*Scoring!$B$34+D288/Scoring!$C$34+E288*Scoring!$D$34+WR!F288*Scoring!$E$34+WR!G288/Scoring!$F$34+WR!H288*Scoring!$G$34+WR!I288*Scoring!$H$34+K288*Scoring!$I$34+WR!L288*Scoring!$J$34+U288</f>
        <v>106.4328</v>
      </c>
      <c r="O288" s="112">
        <f>C289*Scoring!$B$34+D289/Scoring!$C$34+E289*Scoring!$D$34+WR!F289*Scoring!$E$34+WR!G289/Scoring!$F$34+WR!H289*Scoring!$G$34+WR!I289*Scoring!$H$34+K289*Scoring!$I$34+WR!L289*Scoring!$J$34+U288</f>
        <v>122.8428</v>
      </c>
      <c r="P288" s="8">
        <f>IF(COUNTIF(Rookies!$A:$A,A288)&gt;0,1,0)</f>
        <v>1</v>
      </c>
      <c r="Q288" s="8"/>
      <c r="R288" s="8"/>
      <c r="S288" s="8">
        <f>V288/17</f>
        <v>4.028823529</v>
      </c>
      <c r="T288" s="8">
        <f>IF(P288=1,MAX(0,0.28*(12-S288)),0)</f>
        <v>2.231929412</v>
      </c>
      <c r="U288" s="8">
        <f>T288*17</f>
        <v>37.9428</v>
      </c>
      <c r="V288" s="8">
        <f>C288*Scoring!$B$34+D288/Scoring!$C$34+E288*Scoring!$D$34+WR!F288*Scoring!$E$34+WR!G288/Scoring!$F$34+WR!H288*Scoring!$G$34+WR!I288*Scoring!$H$34+K288*Scoring!$I$34+WR!L288*Scoring!$J$34</f>
        <v>68.49</v>
      </c>
      <c r="W288" s="8"/>
      <c r="X288" s="8"/>
      <c r="Y288" s="8"/>
      <c r="Z288" s="8"/>
    </row>
    <row r="289" ht="14.25" customHeight="1">
      <c r="B289" s="1" t="s">
        <v>39</v>
      </c>
      <c r="C289" s="1">
        <v>35.0</v>
      </c>
      <c r="D289" s="1">
        <v>485.0</v>
      </c>
      <c r="E289" s="1">
        <v>3.0</v>
      </c>
      <c r="F289" s="1">
        <v>2.0</v>
      </c>
      <c r="G289" s="1">
        <v>13.0</v>
      </c>
      <c r="H289" s="1">
        <v>0.0</v>
      </c>
      <c r="I289" s="1">
        <v>0.2</v>
      </c>
      <c r="J289" s="1">
        <v>83.9</v>
      </c>
      <c r="K289" s="18">
        <f t="shared" si="1"/>
        <v>0.8056603774</v>
      </c>
      <c r="L289" s="18">
        <f t="shared" si="2"/>
        <v>23.85431235</v>
      </c>
      <c r="M289" s="118"/>
      <c r="N289" s="118"/>
      <c r="O289" s="11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B290" s="1" t="s">
        <v>48</v>
      </c>
      <c r="C290" s="1">
        <v>22.8</v>
      </c>
      <c r="D290" s="1">
        <v>294.7</v>
      </c>
      <c r="E290" s="1">
        <v>2.1</v>
      </c>
      <c r="F290" s="1">
        <v>0.0</v>
      </c>
      <c r="G290" s="1">
        <v>0.0</v>
      </c>
      <c r="H290" s="1">
        <v>0.0</v>
      </c>
      <c r="I290" s="1">
        <v>1.0</v>
      </c>
      <c r="J290" s="1">
        <v>71.1</v>
      </c>
      <c r="K290" s="18">
        <f t="shared" si="1"/>
        <v>0</v>
      </c>
      <c r="L290" s="18">
        <f t="shared" si="2"/>
        <v>14.49456876</v>
      </c>
      <c r="M290" s="118"/>
      <c r="N290" s="118"/>
      <c r="O290" s="11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1" t="s">
        <v>899</v>
      </c>
      <c r="B291" s="1" t="s">
        <v>117</v>
      </c>
      <c r="C291" s="1">
        <v>28.2</v>
      </c>
      <c r="D291" s="1">
        <v>349.9</v>
      </c>
      <c r="E291" s="1">
        <v>3.0</v>
      </c>
      <c r="F291" s="1">
        <v>0.0</v>
      </c>
      <c r="G291" s="1">
        <v>0.0</v>
      </c>
      <c r="H291" s="1">
        <v>0.0</v>
      </c>
      <c r="I291" s="1">
        <v>0.1</v>
      </c>
      <c r="J291" s="1">
        <v>81.1</v>
      </c>
      <c r="K291" s="18">
        <f t="shared" si="1"/>
        <v>0</v>
      </c>
      <c r="L291" s="18">
        <f t="shared" si="2"/>
        <v>17.2095338</v>
      </c>
      <c r="M291" s="112">
        <f>C293*Scoring!$B$34+D293/Scoring!$C$34+E293*Scoring!$D$34+WR!F293*Scoring!$E$34+WR!G293/Scoring!$F$34+WR!H293*Scoring!$G$34+WR!I293*Scoring!$H$34+K293*Scoring!$I$34+WR!L293*Scoring!$J$34+U291</f>
        <v>27.38</v>
      </c>
      <c r="N291" s="112">
        <f>C291*Scoring!$B$34+D291/Scoring!$C$34+E291*Scoring!$D$34+WR!F291*Scoring!$E$34+WR!G291/Scoring!$F$34+WR!H291*Scoring!$G$34+WR!I291*Scoring!$H$34+K291*Scoring!$I$34+WR!L291*Scoring!$J$34+U291</f>
        <v>66.89</v>
      </c>
      <c r="O291" s="112">
        <f>C292*Scoring!$B$34+D292/Scoring!$C$34+E292*Scoring!$D$34+WR!F292*Scoring!$E$34+WR!G292/Scoring!$F$34+WR!H292*Scoring!$G$34+WR!I292*Scoring!$H$34+K292*Scoring!$I$34+WR!L292*Scoring!$J$34+U291</f>
        <v>106.6</v>
      </c>
      <c r="P291" s="8">
        <f>IF(COUNTIF(Rookies!$A:$A,A291)&gt;0,1,0)</f>
        <v>0</v>
      </c>
      <c r="Q291" s="8"/>
      <c r="R291" s="8"/>
      <c r="S291" s="8">
        <f>V291/17</f>
        <v>3.934705882</v>
      </c>
      <c r="T291" s="8">
        <f>IF(P291=1,MAX(0,0.28*(12-S291)),0)</f>
        <v>0</v>
      </c>
      <c r="U291" s="8">
        <f>T291*17</f>
        <v>0</v>
      </c>
      <c r="V291" s="8">
        <f>C291*Scoring!$B$34+D291/Scoring!$C$34+E291*Scoring!$D$34+WR!F291*Scoring!$E$34+WR!G291/Scoring!$F$34+WR!H291*Scoring!$G$34+WR!I291*Scoring!$H$34+K291*Scoring!$I$34+WR!L291*Scoring!$J$34</f>
        <v>66.89</v>
      </c>
      <c r="W291" s="8"/>
      <c r="X291" s="8"/>
      <c r="Y291" s="8"/>
      <c r="Z291" s="8"/>
    </row>
    <row r="292" ht="14.25" customHeight="1">
      <c r="B292" s="1" t="s">
        <v>39</v>
      </c>
      <c r="C292" s="1">
        <v>44.0</v>
      </c>
      <c r="D292" s="1">
        <v>546.0</v>
      </c>
      <c r="E292" s="1">
        <v>5.0</v>
      </c>
      <c r="F292" s="1">
        <v>0.0</v>
      </c>
      <c r="G292" s="1">
        <v>0.0</v>
      </c>
      <c r="H292" s="1">
        <v>0.0</v>
      </c>
      <c r="I292" s="1">
        <v>0.0</v>
      </c>
      <c r="J292" s="1">
        <v>105.2</v>
      </c>
      <c r="K292" s="18">
        <f t="shared" si="1"/>
        <v>0</v>
      </c>
      <c r="L292" s="18">
        <f t="shared" si="2"/>
        <v>26.85454545</v>
      </c>
      <c r="M292" s="118"/>
      <c r="N292" s="118"/>
      <c r="O292" s="11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B293" s="1" t="s">
        <v>48</v>
      </c>
      <c r="C293" s="1">
        <v>12.4</v>
      </c>
      <c r="D293" s="1">
        <v>153.8</v>
      </c>
      <c r="E293" s="1">
        <v>1.0</v>
      </c>
      <c r="F293" s="1">
        <v>0.0</v>
      </c>
      <c r="G293" s="1">
        <v>0.0</v>
      </c>
      <c r="H293" s="1">
        <v>0.0</v>
      </c>
      <c r="I293" s="1">
        <v>0.1</v>
      </c>
      <c r="J293" s="1">
        <v>49.5</v>
      </c>
      <c r="K293" s="18">
        <f t="shared" si="1"/>
        <v>0</v>
      </c>
      <c r="L293" s="18">
        <f t="shared" si="2"/>
        <v>7.564522145</v>
      </c>
      <c r="M293" s="118"/>
      <c r="N293" s="118"/>
      <c r="O293" s="11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1" t="s">
        <v>903</v>
      </c>
      <c r="B294" s="1" t="s">
        <v>229</v>
      </c>
      <c r="C294" s="1">
        <v>31.4</v>
      </c>
      <c r="D294" s="1">
        <v>381.7</v>
      </c>
      <c r="E294" s="1">
        <v>1.9</v>
      </c>
      <c r="F294" s="1">
        <v>0.0</v>
      </c>
      <c r="G294" s="1">
        <v>0.0</v>
      </c>
      <c r="H294" s="1">
        <v>0.0</v>
      </c>
      <c r="I294" s="1">
        <v>0.3</v>
      </c>
      <c r="J294" s="1">
        <v>80.3</v>
      </c>
      <c r="K294" s="18">
        <f t="shared" si="1"/>
        <v>0</v>
      </c>
      <c r="L294" s="18">
        <f t="shared" si="2"/>
        <v>18.77358974</v>
      </c>
      <c r="M294" s="112">
        <f>C296*Scoring!$B$34+D296/Scoring!$C$34+E296*Scoring!$D$34+WR!F296*Scoring!$E$34+WR!G296/Scoring!$F$34+WR!H296*Scoring!$G$34+WR!I296*Scoring!$H$34+K296*Scoring!$I$34+WR!L296*Scoring!$J$34+U294</f>
        <v>103.6824</v>
      </c>
      <c r="N294" s="112">
        <f>C294*Scoring!$B$34+D294/Scoring!$C$34+E294*Scoring!$D$34+WR!F294*Scoring!$E$34+WR!G294/Scoring!$F$34+WR!H294*Scoring!$G$34+WR!I294*Scoring!$H$34+K294*Scoring!$I$34+WR!L294*Scoring!$J$34+U294</f>
        <v>103.6824</v>
      </c>
      <c r="O294" s="112">
        <f>C295*Scoring!$B$34+D295/Scoring!$C$34+E295*Scoring!$D$34+WR!F295*Scoring!$E$34+WR!G295/Scoring!$F$34+WR!H295*Scoring!$G$34+WR!I295*Scoring!$H$34+K295*Scoring!$I$34+WR!L295*Scoring!$J$34+U294</f>
        <v>103.6824</v>
      </c>
      <c r="P294" s="8">
        <f>IF(COUNTIF(Rookies!$A:$A,A294)&gt;0,1,0)</f>
        <v>1</v>
      </c>
      <c r="Q294" s="8"/>
      <c r="R294" s="8"/>
      <c r="S294" s="8">
        <f>V294/17</f>
        <v>3.804117647</v>
      </c>
      <c r="T294" s="8">
        <f>IF(P294=1,MAX(0,0.28*(12-S294)),0)</f>
        <v>2.294847059</v>
      </c>
      <c r="U294" s="8">
        <f>T294*17</f>
        <v>39.0124</v>
      </c>
      <c r="V294" s="8">
        <f>C294*Scoring!$B$34+D294/Scoring!$C$34+E294*Scoring!$D$34+WR!F294*Scoring!$E$34+WR!G294/Scoring!$F$34+WR!H294*Scoring!$G$34+WR!I294*Scoring!$H$34+K294*Scoring!$I$34+WR!L294*Scoring!$J$34</f>
        <v>64.67</v>
      </c>
      <c r="W294" s="8"/>
      <c r="X294" s="8"/>
      <c r="Y294" s="8"/>
      <c r="Z294" s="8"/>
    </row>
    <row r="295" ht="14.25" customHeight="1">
      <c r="B295" s="1" t="s">
        <v>39</v>
      </c>
      <c r="C295" s="1">
        <v>31.4</v>
      </c>
      <c r="D295" s="1">
        <v>381.7</v>
      </c>
      <c r="E295" s="1">
        <v>1.9</v>
      </c>
      <c r="F295" s="1">
        <v>0.0</v>
      </c>
      <c r="G295" s="1">
        <v>0.0</v>
      </c>
      <c r="H295" s="1">
        <v>0.0</v>
      </c>
      <c r="I295" s="1">
        <v>0.3</v>
      </c>
      <c r="J295" s="1">
        <v>82.5</v>
      </c>
      <c r="K295" s="18">
        <f t="shared" si="1"/>
        <v>0</v>
      </c>
      <c r="L295" s="18">
        <f t="shared" si="2"/>
        <v>18.77358974</v>
      </c>
      <c r="M295" s="118"/>
      <c r="N295" s="118"/>
      <c r="O295" s="11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B296" s="1" t="s">
        <v>48</v>
      </c>
      <c r="C296" s="1">
        <v>31.4</v>
      </c>
      <c r="D296" s="1">
        <v>381.7</v>
      </c>
      <c r="E296" s="1">
        <v>1.9</v>
      </c>
      <c r="F296" s="1">
        <v>0.0</v>
      </c>
      <c r="G296" s="1">
        <v>0.0</v>
      </c>
      <c r="H296" s="1">
        <v>0.0</v>
      </c>
      <c r="I296" s="1">
        <v>0.3</v>
      </c>
      <c r="J296" s="1">
        <v>82.5</v>
      </c>
      <c r="K296" s="18">
        <f t="shared" si="1"/>
        <v>0</v>
      </c>
      <c r="L296" s="18">
        <f t="shared" si="2"/>
        <v>18.77358974</v>
      </c>
      <c r="M296" s="118"/>
      <c r="N296" s="118"/>
      <c r="O296" s="11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1" t="s">
        <v>908</v>
      </c>
      <c r="B297" s="1" t="s">
        <v>127</v>
      </c>
      <c r="C297" s="1">
        <v>27.8</v>
      </c>
      <c r="D297" s="1">
        <v>352.4</v>
      </c>
      <c r="E297" s="1">
        <v>2.6</v>
      </c>
      <c r="F297" s="1">
        <v>2.5</v>
      </c>
      <c r="G297" s="1">
        <v>11.0</v>
      </c>
      <c r="H297" s="1">
        <v>0.0</v>
      </c>
      <c r="I297" s="1">
        <v>0.1</v>
      </c>
      <c r="J297" s="1">
        <v>79.5</v>
      </c>
      <c r="K297" s="18">
        <f t="shared" si="1"/>
        <v>0.681712627</v>
      </c>
      <c r="L297" s="18">
        <f t="shared" si="2"/>
        <v>17.33249417</v>
      </c>
      <c r="M297" s="112">
        <f>C299*Scoring!$B$34+D299/Scoring!$C$34+E299*Scoring!$D$34+WR!F299*Scoring!$E$34+WR!G299/Scoring!$F$34+WR!H299*Scoring!$G$34+WR!I299*Scoring!$H$34+K299*Scoring!$I$34+WR!L299*Scoring!$J$34+U297</f>
        <v>47.03</v>
      </c>
      <c r="N297" s="112">
        <f>C297*Scoring!$B$34+D297/Scoring!$C$34+E297*Scoring!$D$34+WR!F297*Scoring!$E$34+WR!G297/Scoring!$F$34+WR!H297*Scoring!$G$34+WR!I297*Scoring!$H$34+K297*Scoring!$I$34+WR!L297*Scoring!$J$34+U297</f>
        <v>65.64</v>
      </c>
      <c r="O297" s="112">
        <f>C298*Scoring!$B$34+D298/Scoring!$C$34+E298*Scoring!$D$34+WR!F298*Scoring!$E$34+WR!G298/Scoring!$F$34+WR!H298*Scoring!$G$34+WR!I298*Scoring!$H$34+K298*Scoring!$I$34+WR!L298*Scoring!$J$34+U297</f>
        <v>84.21</v>
      </c>
      <c r="P297" s="8">
        <f>IF(COUNTIF(Rookies!$A:$A,A297)&gt;0,1,0)</f>
        <v>0</v>
      </c>
      <c r="Q297" s="8"/>
      <c r="R297" s="8"/>
      <c r="S297" s="8">
        <f>V297/17</f>
        <v>3.861176471</v>
      </c>
      <c r="T297" s="8">
        <f>IF(P297=1,MAX(0,0.28*(12-S297)),0)</f>
        <v>0</v>
      </c>
      <c r="U297" s="8">
        <f>T297*17</f>
        <v>0</v>
      </c>
      <c r="V297" s="8">
        <f>C297*Scoring!$B$34+D297/Scoring!$C$34+E297*Scoring!$D$34+WR!F297*Scoring!$E$34+WR!G297/Scoring!$F$34+WR!H297*Scoring!$G$34+WR!I297*Scoring!$H$34+K297*Scoring!$I$34+WR!L297*Scoring!$J$34</f>
        <v>65.64</v>
      </c>
      <c r="W297" s="8"/>
      <c r="X297" s="8"/>
      <c r="Y297" s="8"/>
      <c r="Z297" s="8"/>
    </row>
    <row r="298" ht="14.25" customHeight="1">
      <c r="B298" s="1" t="s">
        <v>39</v>
      </c>
      <c r="C298" s="1">
        <v>35.0</v>
      </c>
      <c r="D298" s="1">
        <v>470.0</v>
      </c>
      <c r="E298" s="1">
        <v>3.0</v>
      </c>
      <c r="F298" s="1">
        <v>3.0</v>
      </c>
      <c r="G298" s="1">
        <v>11.1</v>
      </c>
      <c r="H298" s="1">
        <v>0.1</v>
      </c>
      <c r="I298" s="1">
        <v>0.0</v>
      </c>
      <c r="J298" s="1">
        <v>83.8</v>
      </c>
      <c r="K298" s="18">
        <f t="shared" si="1"/>
        <v>0.6879100145</v>
      </c>
      <c r="L298" s="18">
        <f t="shared" si="2"/>
        <v>23.11655012</v>
      </c>
      <c r="M298" s="118"/>
      <c r="N298" s="118"/>
      <c r="O298" s="11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B299" s="1" t="s">
        <v>48</v>
      </c>
      <c r="C299" s="1">
        <v>20.5</v>
      </c>
      <c r="D299" s="1">
        <v>234.8</v>
      </c>
      <c r="E299" s="1">
        <v>2.1</v>
      </c>
      <c r="F299" s="1">
        <v>2.0</v>
      </c>
      <c r="G299" s="1">
        <v>11.0</v>
      </c>
      <c r="H299" s="1">
        <v>0.0</v>
      </c>
      <c r="I299" s="1">
        <v>0.2</v>
      </c>
      <c r="J299" s="1">
        <v>65.4</v>
      </c>
      <c r="K299" s="18">
        <f t="shared" si="1"/>
        <v>0.681712627</v>
      </c>
      <c r="L299" s="18">
        <f t="shared" si="2"/>
        <v>11.54843823</v>
      </c>
      <c r="M299" s="118"/>
      <c r="N299" s="118"/>
      <c r="O299" s="11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1" t="s">
        <v>913</v>
      </c>
      <c r="B300" s="1" t="s">
        <v>214</v>
      </c>
      <c r="C300" s="1">
        <v>25.4</v>
      </c>
      <c r="D300" s="1">
        <v>342.8</v>
      </c>
      <c r="E300" s="1">
        <v>3.3</v>
      </c>
      <c r="F300" s="1">
        <v>0.0</v>
      </c>
      <c r="G300" s="1">
        <v>0.0</v>
      </c>
      <c r="H300" s="1">
        <v>0.0</v>
      </c>
      <c r="I300" s="1">
        <v>0.0</v>
      </c>
      <c r="J300" s="1">
        <v>79.5</v>
      </c>
      <c r="K300" s="18">
        <f t="shared" si="1"/>
        <v>0</v>
      </c>
      <c r="L300" s="18">
        <f t="shared" si="2"/>
        <v>16.86032634</v>
      </c>
      <c r="M300" s="112">
        <f>C302*Scoring!$B$34+D302/Scoring!$C$34+E302*Scoring!$D$34+WR!F302*Scoring!$E$34+WR!G302/Scoring!$F$34+WR!H302*Scoring!$G$34+WR!I302*Scoring!$H$34+K302*Scoring!$I$34+WR!L302*Scoring!$J$34+U300</f>
        <v>19.36</v>
      </c>
      <c r="N300" s="112">
        <f>C300*Scoring!$B$34+D300/Scoring!$C$34+E300*Scoring!$D$34+WR!F300*Scoring!$E$34+WR!G300/Scoring!$F$34+WR!H300*Scoring!$G$34+WR!I300*Scoring!$H$34+K300*Scoring!$I$34+WR!L300*Scoring!$J$34+U300</f>
        <v>66.78</v>
      </c>
      <c r="O300" s="112">
        <f>C301*Scoring!$B$34+D301/Scoring!$C$34+E301*Scoring!$D$34+WR!F301*Scoring!$E$34+WR!G301/Scoring!$F$34+WR!H301*Scoring!$G$34+WR!I301*Scoring!$H$34+K301*Scoring!$I$34+WR!L301*Scoring!$J$34+U300</f>
        <v>114</v>
      </c>
      <c r="P300" s="8">
        <f>IF(COUNTIF(Rookies!$A:$A,A300)&gt;0,1,0)</f>
        <v>0</v>
      </c>
      <c r="Q300" s="8"/>
      <c r="R300" s="8"/>
      <c r="S300" s="8">
        <f>V300/17</f>
        <v>3.928235294</v>
      </c>
      <c r="T300" s="8">
        <f>IF(P300=1,MAX(0,0.28*(12-S300)),0)</f>
        <v>0</v>
      </c>
      <c r="U300" s="8">
        <f>T300*17</f>
        <v>0</v>
      </c>
      <c r="V300" s="8">
        <f>C300*Scoring!$B$34+D300/Scoring!$C$34+E300*Scoring!$D$34+WR!F300*Scoring!$E$34+WR!G300/Scoring!$F$34+WR!H300*Scoring!$G$34+WR!I300*Scoring!$H$34+K300*Scoring!$I$34+WR!L300*Scoring!$J$34</f>
        <v>66.78</v>
      </c>
      <c r="W300" s="8"/>
      <c r="X300" s="8"/>
      <c r="Y300" s="8"/>
      <c r="Z300" s="8"/>
    </row>
    <row r="301" ht="14.25" customHeight="1">
      <c r="B301" s="1" t="s">
        <v>39</v>
      </c>
      <c r="C301" s="1">
        <v>42.0</v>
      </c>
      <c r="D301" s="1">
        <v>570.0</v>
      </c>
      <c r="E301" s="1">
        <v>6.0</v>
      </c>
      <c r="F301" s="1">
        <v>0.0</v>
      </c>
      <c r="G301" s="1">
        <v>0.0</v>
      </c>
      <c r="H301" s="1">
        <v>0.0</v>
      </c>
      <c r="I301" s="1">
        <v>0.0</v>
      </c>
      <c r="J301" s="1">
        <v>110.4</v>
      </c>
      <c r="K301" s="18">
        <f t="shared" si="1"/>
        <v>0</v>
      </c>
      <c r="L301" s="18">
        <f t="shared" si="2"/>
        <v>28.03496503</v>
      </c>
      <c r="M301" s="118"/>
      <c r="N301" s="118"/>
      <c r="O301" s="11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B302" s="1" t="s">
        <v>48</v>
      </c>
      <c r="C302" s="1">
        <v>8.8</v>
      </c>
      <c r="D302" s="1">
        <v>115.6</v>
      </c>
      <c r="E302" s="1">
        <v>0.6</v>
      </c>
      <c r="F302" s="1">
        <v>0.0</v>
      </c>
      <c r="G302" s="1">
        <v>0.0</v>
      </c>
      <c r="H302" s="1">
        <v>0.0</v>
      </c>
      <c r="I302" s="1">
        <v>0.1</v>
      </c>
      <c r="J302" s="1">
        <v>40.5</v>
      </c>
      <c r="K302" s="18">
        <f t="shared" si="1"/>
        <v>0</v>
      </c>
      <c r="L302" s="18">
        <f t="shared" si="2"/>
        <v>5.685687646</v>
      </c>
      <c r="M302" s="118"/>
      <c r="N302" s="118"/>
      <c r="O302" s="11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1" t="s">
        <v>917</v>
      </c>
      <c r="B303" s="1" t="s">
        <v>214</v>
      </c>
      <c r="C303" s="1">
        <v>27.8</v>
      </c>
      <c r="D303" s="1">
        <v>271.6</v>
      </c>
      <c r="E303" s="1">
        <v>3.4</v>
      </c>
      <c r="F303" s="1">
        <v>10.1</v>
      </c>
      <c r="G303" s="1">
        <v>33.7</v>
      </c>
      <c r="H303" s="1">
        <v>0.3</v>
      </c>
      <c r="I303" s="1">
        <v>0.6</v>
      </c>
      <c r="J303" s="1">
        <v>79.2</v>
      </c>
      <c r="K303" s="18">
        <f t="shared" si="1"/>
        <v>2.088519594</v>
      </c>
      <c r="L303" s="18">
        <f t="shared" si="2"/>
        <v>13.35841492</v>
      </c>
      <c r="M303" s="112">
        <f>C305*Scoring!$B$34+D305/Scoring!$C$34+E305*Scoring!$D$34+WR!F305*Scoring!$E$34+WR!G305/Scoring!$F$34+WR!H305*Scoring!$G$34+WR!I305*Scoring!$H$34+K305*Scoring!$I$34+WR!L305*Scoring!$J$34+U303</f>
        <v>21.02</v>
      </c>
      <c r="N303" s="112">
        <f>C303*Scoring!$B$34+D303/Scoring!$C$34+E303*Scoring!$D$34+WR!F303*Scoring!$E$34+WR!G303/Scoring!$F$34+WR!H303*Scoring!$G$34+WR!I303*Scoring!$H$34+K303*Scoring!$I$34+WR!L303*Scoring!$J$34+U303</f>
        <v>65.43</v>
      </c>
      <c r="O303" s="112">
        <f>C304*Scoring!$B$34+D304/Scoring!$C$34+E304*Scoring!$D$34+WR!F304*Scoring!$E$34+WR!G304/Scoring!$F$34+WR!H304*Scoring!$G$34+WR!I304*Scoring!$H$34+K304*Scoring!$I$34+WR!L304*Scoring!$J$34+U303</f>
        <v>109.83</v>
      </c>
      <c r="P303" s="8">
        <f>IF(COUNTIF(Rookies!$A:$A,A303)&gt;0,1,0)</f>
        <v>0</v>
      </c>
      <c r="Q303" s="8"/>
      <c r="R303" s="8"/>
      <c r="S303" s="8">
        <f>V303/17</f>
        <v>3.848823529</v>
      </c>
      <c r="T303" s="8">
        <f>IF(P303=1,MAX(0,0.28*(12-S303)),0)</f>
        <v>0</v>
      </c>
      <c r="U303" s="8">
        <f>T303*17</f>
        <v>0</v>
      </c>
      <c r="V303" s="8">
        <f>C303*Scoring!$B$34+D303/Scoring!$C$34+E303*Scoring!$D$34+WR!F303*Scoring!$E$34+WR!G303/Scoring!$F$34+WR!H303*Scoring!$G$34+WR!I303*Scoring!$H$34+K303*Scoring!$I$34+WR!L303*Scoring!$J$34</f>
        <v>65.43</v>
      </c>
      <c r="W303" s="8"/>
      <c r="X303" s="8"/>
      <c r="Y303" s="8"/>
      <c r="Z303" s="8"/>
    </row>
    <row r="304" ht="14.25" customHeight="1">
      <c r="B304" s="1" t="s">
        <v>39</v>
      </c>
      <c r="C304" s="1">
        <v>45.0</v>
      </c>
      <c r="D304" s="1">
        <v>431.0</v>
      </c>
      <c r="E304" s="1">
        <v>6.0</v>
      </c>
      <c r="F304" s="1">
        <v>10.2</v>
      </c>
      <c r="G304" s="1">
        <v>50.3</v>
      </c>
      <c r="H304" s="1">
        <v>0.6</v>
      </c>
      <c r="I304" s="1">
        <v>0.2</v>
      </c>
      <c r="J304" s="1">
        <v>97.8</v>
      </c>
      <c r="K304" s="18">
        <f t="shared" si="1"/>
        <v>3.117285922</v>
      </c>
      <c r="L304" s="18">
        <f t="shared" si="2"/>
        <v>21.1983683</v>
      </c>
      <c r="M304" s="118"/>
      <c r="N304" s="118"/>
      <c r="O304" s="11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B305" s="1" t="s">
        <v>48</v>
      </c>
      <c r="C305" s="1">
        <v>10.6</v>
      </c>
      <c r="D305" s="1">
        <v>112.2</v>
      </c>
      <c r="E305" s="1">
        <v>0.8</v>
      </c>
      <c r="F305" s="1">
        <v>10.0</v>
      </c>
      <c r="G305" s="1">
        <v>17.0</v>
      </c>
      <c r="H305" s="1">
        <v>0.0</v>
      </c>
      <c r="I305" s="1">
        <v>1.0</v>
      </c>
      <c r="J305" s="1">
        <v>56.6</v>
      </c>
      <c r="K305" s="18">
        <f t="shared" si="1"/>
        <v>1.053555878</v>
      </c>
      <c r="L305" s="18">
        <f t="shared" si="2"/>
        <v>5.518461538</v>
      </c>
      <c r="M305" s="118"/>
      <c r="N305" s="118"/>
      <c r="O305" s="11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1" t="s">
        <v>921</v>
      </c>
      <c r="B306" s="1" t="s">
        <v>18</v>
      </c>
      <c r="C306" s="1">
        <v>24.4</v>
      </c>
      <c r="D306" s="1">
        <v>337.7</v>
      </c>
      <c r="E306" s="1">
        <v>2.8</v>
      </c>
      <c r="F306" s="1">
        <v>0.0</v>
      </c>
      <c r="G306" s="1">
        <v>0.0</v>
      </c>
      <c r="H306" s="1">
        <v>0.0</v>
      </c>
      <c r="I306" s="1">
        <v>0.2</v>
      </c>
      <c r="J306" s="1">
        <v>74.6</v>
      </c>
      <c r="K306" s="18">
        <f t="shared" si="1"/>
        <v>0</v>
      </c>
      <c r="L306" s="18">
        <f t="shared" si="2"/>
        <v>16.60948718</v>
      </c>
      <c r="M306" s="112">
        <f>C308*Scoring!$B$34+D308/Scoring!$C$34+E308*Scoring!$D$34+WR!F308*Scoring!$E$34+WR!G308/Scoring!$F$34+WR!H308*Scoring!$G$34+WR!I308*Scoring!$H$34+K308*Scoring!$I$34+WR!L308*Scoring!$J$34+U306</f>
        <v>62.37</v>
      </c>
      <c r="N306" s="112">
        <f>C306*Scoring!$B$34+D306/Scoring!$C$34+E306*Scoring!$D$34+WR!F306*Scoring!$E$34+WR!G306/Scoring!$F$34+WR!H306*Scoring!$G$34+WR!I306*Scoring!$H$34+K306*Scoring!$I$34+WR!L306*Scoring!$J$34+U306</f>
        <v>62.37</v>
      </c>
      <c r="O306" s="112">
        <f>C307*Scoring!$B$34+D307/Scoring!$C$34+E307*Scoring!$D$34+WR!F307*Scoring!$E$34+WR!G307/Scoring!$F$34+WR!H307*Scoring!$G$34+WR!I307*Scoring!$H$34+K307*Scoring!$I$34+WR!L307*Scoring!$J$34+U306</f>
        <v>62.37</v>
      </c>
      <c r="P306" s="8">
        <f>IF(COUNTIF(Rookies!$A:$A,A306)&gt;0,1,0)</f>
        <v>0</v>
      </c>
      <c r="Q306" s="8"/>
      <c r="R306" s="8"/>
      <c r="S306" s="8">
        <f>V306/17</f>
        <v>3.668823529</v>
      </c>
      <c r="T306" s="8">
        <f>IF(P306=1,MAX(0,0.28*(12-S306)),0)</f>
        <v>0</v>
      </c>
      <c r="U306" s="8">
        <f>T306*17</f>
        <v>0</v>
      </c>
      <c r="V306" s="8">
        <f>C306*Scoring!$B$34+D306/Scoring!$C$34+E306*Scoring!$D$34+WR!F306*Scoring!$E$34+WR!G306/Scoring!$F$34+WR!H306*Scoring!$G$34+WR!I306*Scoring!$H$34+K306*Scoring!$I$34+WR!L306*Scoring!$J$34</f>
        <v>62.37</v>
      </c>
      <c r="W306" s="8"/>
      <c r="X306" s="8"/>
      <c r="Y306" s="8"/>
      <c r="Z306" s="8"/>
    </row>
    <row r="307" ht="14.25" customHeight="1">
      <c r="B307" s="1" t="s">
        <v>39</v>
      </c>
      <c r="C307" s="1">
        <v>24.4</v>
      </c>
      <c r="D307" s="1">
        <v>337.7</v>
      </c>
      <c r="E307" s="1">
        <v>2.8</v>
      </c>
      <c r="F307" s="1">
        <v>0.0</v>
      </c>
      <c r="G307" s="1">
        <v>0.0</v>
      </c>
      <c r="H307" s="1">
        <v>0.0</v>
      </c>
      <c r="I307" s="1">
        <v>0.2</v>
      </c>
      <c r="J307" s="1">
        <v>75.4</v>
      </c>
      <c r="K307" s="18">
        <f t="shared" si="1"/>
        <v>0</v>
      </c>
      <c r="L307" s="18">
        <f t="shared" si="2"/>
        <v>16.60948718</v>
      </c>
      <c r="M307" s="118"/>
      <c r="N307" s="118"/>
      <c r="O307" s="11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B308" s="1" t="s">
        <v>48</v>
      </c>
      <c r="C308" s="1">
        <v>24.4</v>
      </c>
      <c r="D308" s="1">
        <v>337.7</v>
      </c>
      <c r="E308" s="1">
        <v>2.8</v>
      </c>
      <c r="F308" s="1">
        <v>0.0</v>
      </c>
      <c r="G308" s="1">
        <v>0.0</v>
      </c>
      <c r="H308" s="1">
        <v>0.0</v>
      </c>
      <c r="I308" s="1">
        <v>0.2</v>
      </c>
      <c r="J308" s="1">
        <v>75.4</v>
      </c>
      <c r="K308" s="18">
        <f t="shared" si="1"/>
        <v>0</v>
      </c>
      <c r="L308" s="18">
        <f t="shared" si="2"/>
        <v>16.60948718</v>
      </c>
      <c r="M308" s="118"/>
      <c r="N308" s="118"/>
      <c r="O308" s="11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1" t="s">
        <v>927</v>
      </c>
      <c r="B309" s="1" t="s">
        <v>170</v>
      </c>
      <c r="C309" s="1">
        <v>28.4</v>
      </c>
      <c r="D309" s="1">
        <v>320.5</v>
      </c>
      <c r="E309" s="1">
        <v>2.1</v>
      </c>
      <c r="F309" s="1">
        <v>0.0</v>
      </c>
      <c r="G309" s="1">
        <v>0.0</v>
      </c>
      <c r="H309" s="1">
        <v>0.0</v>
      </c>
      <c r="I309" s="1">
        <v>0.3</v>
      </c>
      <c r="J309" s="1">
        <v>72.6</v>
      </c>
      <c r="K309" s="18">
        <f t="shared" si="1"/>
        <v>0</v>
      </c>
      <c r="L309" s="18">
        <f t="shared" si="2"/>
        <v>15.76351981</v>
      </c>
      <c r="M309" s="112">
        <f>C311*Scoring!$B$34+D311/Scoring!$C$34+E311*Scoring!$D$34+WR!F311*Scoring!$E$34+WR!G311/Scoring!$F$34+WR!H311*Scoring!$G$34+WR!I311*Scoring!$H$34+K311*Scoring!$I$34+WR!L311*Scoring!$J$34+U309</f>
        <v>58.25</v>
      </c>
      <c r="N309" s="112">
        <f>C309*Scoring!$B$34+D309/Scoring!$C$34+E309*Scoring!$D$34+WR!F309*Scoring!$E$34+WR!G309/Scoring!$F$34+WR!H309*Scoring!$G$34+WR!I309*Scoring!$H$34+K309*Scoring!$I$34+WR!L309*Scoring!$J$34+U309</f>
        <v>58.25</v>
      </c>
      <c r="O309" s="112">
        <f>C310*Scoring!$B$34+D310/Scoring!$C$34+E310*Scoring!$D$34+WR!F310*Scoring!$E$34+WR!G310/Scoring!$F$34+WR!H310*Scoring!$G$34+WR!I310*Scoring!$H$34+K310*Scoring!$I$34+WR!L310*Scoring!$J$34+U309</f>
        <v>58.25</v>
      </c>
      <c r="P309" s="8">
        <f>IF(COUNTIF(Rookies!$A:$A,A309)&gt;0,1,0)</f>
        <v>0</v>
      </c>
      <c r="Q309" s="8"/>
      <c r="R309" s="8"/>
      <c r="S309" s="8">
        <f>V309/17</f>
        <v>3.426470588</v>
      </c>
      <c r="T309" s="8">
        <f>IF(P309=1,MAX(0,0.28*(12-S309)),0)</f>
        <v>0</v>
      </c>
      <c r="U309" s="8">
        <f>T309*17</f>
        <v>0</v>
      </c>
      <c r="V309" s="8">
        <f>C309*Scoring!$B$34+D309/Scoring!$C$34+E309*Scoring!$D$34+WR!F309*Scoring!$E$34+WR!G309/Scoring!$F$34+WR!H309*Scoring!$G$34+WR!I309*Scoring!$H$34+K309*Scoring!$I$34+WR!L309*Scoring!$J$34</f>
        <v>58.25</v>
      </c>
      <c r="W309" s="8"/>
      <c r="X309" s="8"/>
      <c r="Y309" s="8"/>
      <c r="Z309" s="8"/>
    </row>
    <row r="310" ht="14.25" customHeight="1">
      <c r="B310" s="1" t="s">
        <v>39</v>
      </c>
      <c r="C310" s="1">
        <v>28.4</v>
      </c>
      <c r="D310" s="1">
        <v>320.5</v>
      </c>
      <c r="E310" s="1">
        <v>2.1</v>
      </c>
      <c r="F310" s="1">
        <v>0.0</v>
      </c>
      <c r="G310" s="1">
        <v>0.0</v>
      </c>
      <c r="H310" s="1">
        <v>0.0</v>
      </c>
      <c r="I310" s="1">
        <v>0.3</v>
      </c>
      <c r="J310" s="1">
        <v>72.8</v>
      </c>
      <c r="K310" s="18">
        <f t="shared" si="1"/>
        <v>0</v>
      </c>
      <c r="L310" s="18">
        <f t="shared" si="2"/>
        <v>15.76351981</v>
      </c>
      <c r="M310" s="118"/>
      <c r="N310" s="118"/>
      <c r="O310" s="11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B311" s="1" t="s">
        <v>48</v>
      </c>
      <c r="C311" s="1">
        <v>28.4</v>
      </c>
      <c r="D311" s="1">
        <v>320.5</v>
      </c>
      <c r="E311" s="1">
        <v>2.1</v>
      </c>
      <c r="F311" s="1">
        <v>0.0</v>
      </c>
      <c r="G311" s="1">
        <v>0.0</v>
      </c>
      <c r="H311" s="1">
        <v>0.0</v>
      </c>
      <c r="I311" s="1">
        <v>0.3</v>
      </c>
      <c r="J311" s="1">
        <v>72.8</v>
      </c>
      <c r="K311" s="18">
        <f t="shared" si="1"/>
        <v>0</v>
      </c>
      <c r="L311" s="18">
        <f t="shared" si="2"/>
        <v>15.76351981</v>
      </c>
      <c r="M311" s="118"/>
      <c r="N311" s="118"/>
      <c r="O311" s="11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1" t="s">
        <v>931</v>
      </c>
      <c r="B312" s="1" t="s">
        <v>18</v>
      </c>
      <c r="C312" s="1">
        <v>25.9</v>
      </c>
      <c r="D312" s="1">
        <v>342.2</v>
      </c>
      <c r="E312" s="1">
        <v>1.6</v>
      </c>
      <c r="F312" s="1">
        <v>0.0</v>
      </c>
      <c r="G312" s="1">
        <v>0.0</v>
      </c>
      <c r="H312" s="1">
        <v>0.0</v>
      </c>
      <c r="I312" s="1">
        <v>0.1</v>
      </c>
      <c r="J312" s="1">
        <v>69.7</v>
      </c>
      <c r="K312" s="18">
        <f t="shared" si="1"/>
        <v>0</v>
      </c>
      <c r="L312" s="18">
        <f t="shared" si="2"/>
        <v>16.83081585</v>
      </c>
      <c r="M312" s="112">
        <f>C314*Scoring!$B$34+D314/Scoring!$C$34+E314*Scoring!$D$34+WR!F314*Scoring!$E$34+WR!G314/Scoring!$F$34+WR!H314*Scoring!$G$34+WR!I314*Scoring!$H$34+K314*Scoring!$I$34+WR!L314*Scoring!$J$34+U312</f>
        <v>35.79</v>
      </c>
      <c r="N312" s="112">
        <f>C312*Scoring!$B$34+D312/Scoring!$C$34+E312*Scoring!$D$34+WR!F312*Scoring!$E$34+WR!G312/Scoring!$F$34+WR!H312*Scoring!$G$34+WR!I312*Scoring!$H$34+K312*Scoring!$I$34+WR!L312*Scoring!$J$34+U312</f>
        <v>56.57</v>
      </c>
      <c r="O312" s="112">
        <f>C313*Scoring!$B$34+D313/Scoring!$C$34+E313*Scoring!$D$34+WR!F313*Scoring!$E$34+WR!G313/Scoring!$F$34+WR!H313*Scoring!$G$34+WR!I313*Scoring!$H$34+K313*Scoring!$I$34+WR!L313*Scoring!$J$34+U312</f>
        <v>77.4</v>
      </c>
      <c r="P312" s="8">
        <f>IF(COUNTIF(Rookies!$A:$A,A312)&gt;0,1,0)</f>
        <v>0</v>
      </c>
      <c r="Q312" s="8"/>
      <c r="R312" s="8"/>
      <c r="S312" s="8">
        <f>V312/17</f>
        <v>3.327647059</v>
      </c>
      <c r="T312" s="8">
        <f>IF(P312=1,MAX(0,0.28*(12-S312)),0)</f>
        <v>0</v>
      </c>
      <c r="U312" s="8">
        <f>T312*17</f>
        <v>0</v>
      </c>
      <c r="V312" s="8">
        <f>C312*Scoring!$B$34+D312/Scoring!$C$34+E312*Scoring!$D$34+WR!F312*Scoring!$E$34+WR!G312/Scoring!$F$34+WR!H312*Scoring!$G$34+WR!I312*Scoring!$H$34+K312*Scoring!$I$34+WR!L312*Scoring!$J$34</f>
        <v>56.57</v>
      </c>
      <c r="W312" s="8"/>
      <c r="X312" s="8"/>
      <c r="Y312" s="8"/>
      <c r="Z312" s="8"/>
    </row>
    <row r="313" ht="14.25" customHeight="1">
      <c r="B313" s="1" t="s">
        <v>39</v>
      </c>
      <c r="C313" s="1">
        <v>35.0</v>
      </c>
      <c r="D313" s="1">
        <v>479.0</v>
      </c>
      <c r="E313" s="1">
        <v>2.0</v>
      </c>
      <c r="F313" s="1">
        <v>0.0</v>
      </c>
      <c r="G313" s="1">
        <v>0.0</v>
      </c>
      <c r="H313" s="1">
        <v>0.0</v>
      </c>
      <c r="I313" s="1">
        <v>0.0</v>
      </c>
      <c r="J313" s="1">
        <v>76.9</v>
      </c>
      <c r="K313" s="18">
        <f t="shared" si="1"/>
        <v>0</v>
      </c>
      <c r="L313" s="18">
        <f t="shared" si="2"/>
        <v>23.55920746</v>
      </c>
      <c r="M313" s="118"/>
      <c r="N313" s="118"/>
      <c r="O313" s="11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B314" s="1" t="s">
        <v>48</v>
      </c>
      <c r="C314" s="1">
        <v>16.9</v>
      </c>
      <c r="D314" s="1">
        <v>205.4</v>
      </c>
      <c r="E314" s="1">
        <v>1.2</v>
      </c>
      <c r="F314" s="1">
        <v>0.0</v>
      </c>
      <c r="G314" s="1">
        <v>0.0</v>
      </c>
      <c r="H314" s="1">
        <v>0.0</v>
      </c>
      <c r="I314" s="1">
        <v>0.2</v>
      </c>
      <c r="J314" s="1">
        <v>53.8</v>
      </c>
      <c r="K314" s="18">
        <f t="shared" si="1"/>
        <v>0</v>
      </c>
      <c r="L314" s="18">
        <f t="shared" si="2"/>
        <v>10.10242424</v>
      </c>
      <c r="M314" s="118"/>
      <c r="N314" s="118"/>
      <c r="O314" s="11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1" t="s">
        <v>935</v>
      </c>
      <c r="B315" s="1" t="s">
        <v>170</v>
      </c>
      <c r="C315" s="1">
        <v>24.1</v>
      </c>
      <c r="D315" s="1">
        <v>273.1</v>
      </c>
      <c r="E315" s="1">
        <v>1.6</v>
      </c>
      <c r="F315" s="1">
        <v>8.2</v>
      </c>
      <c r="G315" s="1">
        <v>45.2</v>
      </c>
      <c r="H315" s="1">
        <v>0.3</v>
      </c>
      <c r="I315" s="1">
        <v>0.4</v>
      </c>
      <c r="J315" s="1">
        <v>66.8</v>
      </c>
      <c r="K315" s="18">
        <f t="shared" si="1"/>
        <v>2.801219158</v>
      </c>
      <c r="L315" s="18">
        <f t="shared" si="2"/>
        <v>13.43219114</v>
      </c>
      <c r="M315" s="112">
        <f>C317*Scoring!$B$34+D317/Scoring!$C$34+E317*Scoring!$D$34+WR!F317*Scoring!$E$34+WR!G317/Scoring!$F$34+WR!H317*Scoring!$G$34+WR!I317*Scoring!$H$34+K317*Scoring!$I$34+WR!L317*Scoring!$J$34+U315</f>
        <v>54.48</v>
      </c>
      <c r="N315" s="112">
        <f>C315*Scoring!$B$34+D315/Scoring!$C$34+E315*Scoring!$D$34+WR!F315*Scoring!$E$34+WR!G315/Scoring!$F$34+WR!H315*Scoring!$G$34+WR!I315*Scoring!$H$34+K315*Scoring!$I$34+WR!L315*Scoring!$J$34+U315</f>
        <v>54.48</v>
      </c>
      <c r="O315" s="112">
        <f>C316*Scoring!$B$34+D316/Scoring!$C$34+E316*Scoring!$D$34+WR!F316*Scoring!$E$34+WR!G316/Scoring!$F$34+WR!H316*Scoring!$G$34+WR!I316*Scoring!$H$34+K316*Scoring!$I$34+WR!L316*Scoring!$J$34+U315</f>
        <v>54.48</v>
      </c>
      <c r="P315" s="8">
        <f>IF(COUNTIF(Rookies!$A:$A,A315)&gt;0,1,0)</f>
        <v>0</v>
      </c>
      <c r="Q315" s="8"/>
      <c r="R315" s="8"/>
      <c r="S315" s="8">
        <f>V315/17</f>
        <v>3.204705882</v>
      </c>
      <c r="T315" s="8">
        <f>IF(P315=1,MAX(0,0.28*(12-S315)),0)</f>
        <v>0</v>
      </c>
      <c r="U315" s="8">
        <f>T315*17</f>
        <v>0</v>
      </c>
      <c r="V315" s="8">
        <f>C315*Scoring!$B$34+D315/Scoring!$C$34+E315*Scoring!$D$34+WR!F315*Scoring!$E$34+WR!G315/Scoring!$F$34+WR!H315*Scoring!$G$34+WR!I315*Scoring!$H$34+K315*Scoring!$I$34+WR!L315*Scoring!$J$34</f>
        <v>54.48</v>
      </c>
      <c r="W315" s="8"/>
      <c r="X315" s="8"/>
      <c r="Y315" s="8"/>
      <c r="Z315" s="8"/>
    </row>
    <row r="316" ht="14.25" customHeight="1">
      <c r="B316" s="1" t="s">
        <v>39</v>
      </c>
      <c r="C316" s="1">
        <v>24.1</v>
      </c>
      <c r="D316" s="1">
        <v>273.1</v>
      </c>
      <c r="E316" s="1">
        <v>1.6</v>
      </c>
      <c r="F316" s="1">
        <v>8.2</v>
      </c>
      <c r="G316" s="1">
        <v>45.2</v>
      </c>
      <c r="H316" s="1">
        <v>0.3</v>
      </c>
      <c r="I316" s="1">
        <v>0.4</v>
      </c>
      <c r="J316" s="1">
        <v>69.9</v>
      </c>
      <c r="K316" s="18">
        <f t="shared" si="1"/>
        <v>2.801219158</v>
      </c>
      <c r="L316" s="18">
        <f t="shared" si="2"/>
        <v>13.43219114</v>
      </c>
      <c r="M316" s="118"/>
      <c r="N316" s="118"/>
      <c r="O316" s="11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B317" s="1" t="s">
        <v>48</v>
      </c>
      <c r="C317" s="1">
        <v>24.1</v>
      </c>
      <c r="D317" s="1">
        <v>273.1</v>
      </c>
      <c r="E317" s="1">
        <v>1.6</v>
      </c>
      <c r="F317" s="1">
        <v>8.2</v>
      </c>
      <c r="G317" s="1">
        <v>45.2</v>
      </c>
      <c r="H317" s="1">
        <v>0.3</v>
      </c>
      <c r="I317" s="1">
        <v>0.4</v>
      </c>
      <c r="J317" s="1">
        <v>69.9</v>
      </c>
      <c r="K317" s="18">
        <f t="shared" si="1"/>
        <v>2.801219158</v>
      </c>
      <c r="L317" s="18">
        <f t="shared" si="2"/>
        <v>13.43219114</v>
      </c>
      <c r="M317" s="118"/>
      <c r="N317" s="118"/>
      <c r="O317" s="11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1" t="s">
        <v>939</v>
      </c>
      <c r="B318" s="1" t="s">
        <v>222</v>
      </c>
      <c r="C318" s="1">
        <v>27.7</v>
      </c>
      <c r="D318" s="1">
        <v>315.0</v>
      </c>
      <c r="E318" s="1">
        <v>1.2</v>
      </c>
      <c r="F318" s="1">
        <v>0.0</v>
      </c>
      <c r="G318" s="1">
        <v>0.0</v>
      </c>
      <c r="H318" s="1">
        <v>0.0</v>
      </c>
      <c r="I318" s="1">
        <v>0.3</v>
      </c>
      <c r="J318" s="1">
        <v>65.8</v>
      </c>
      <c r="K318" s="18">
        <f t="shared" si="1"/>
        <v>0</v>
      </c>
      <c r="L318" s="18">
        <f t="shared" si="2"/>
        <v>15.49300699</v>
      </c>
      <c r="M318" s="112">
        <f>C320*Scoring!$B$34+D320/Scoring!$C$34+E320*Scoring!$D$34+WR!F320*Scoring!$E$34+WR!G320/Scoring!$F$34+WR!H320*Scoring!$G$34+WR!I320*Scoring!$H$34+K320*Scoring!$I$34+WR!L320*Scoring!$J$34+U318</f>
        <v>51.95</v>
      </c>
      <c r="N318" s="112">
        <f>C318*Scoring!$B$34+D318/Scoring!$C$34+E318*Scoring!$D$34+WR!F318*Scoring!$E$34+WR!G318/Scoring!$F$34+WR!H318*Scoring!$G$34+WR!I318*Scoring!$H$34+K318*Scoring!$I$34+WR!L318*Scoring!$J$34+U318</f>
        <v>51.95</v>
      </c>
      <c r="O318" s="112">
        <f>C319*Scoring!$B$34+D319/Scoring!$C$34+E319*Scoring!$D$34+WR!F319*Scoring!$E$34+WR!G319/Scoring!$F$34+WR!H319*Scoring!$G$34+WR!I319*Scoring!$H$34+K319*Scoring!$I$34+WR!L319*Scoring!$J$34+U318</f>
        <v>51.95</v>
      </c>
      <c r="P318" s="8">
        <f>IF(COUNTIF(Rookies!$A:$A,A318)&gt;0,1,0)</f>
        <v>0</v>
      </c>
      <c r="Q318" s="8"/>
      <c r="R318" s="8"/>
      <c r="S318" s="8">
        <f>V318/17</f>
        <v>3.055882353</v>
      </c>
      <c r="T318" s="8">
        <f>IF(P318=1,MAX(0,0.28*(12-S318)),0)</f>
        <v>0</v>
      </c>
      <c r="U318" s="8">
        <f>T318*17</f>
        <v>0</v>
      </c>
      <c r="V318" s="8">
        <f>C318*Scoring!$B$34+D318/Scoring!$C$34+E318*Scoring!$D$34+WR!F318*Scoring!$E$34+WR!G318/Scoring!$F$34+WR!H318*Scoring!$G$34+WR!I318*Scoring!$H$34+K318*Scoring!$I$34+WR!L318*Scoring!$J$34</f>
        <v>51.95</v>
      </c>
      <c r="W318" s="8"/>
      <c r="X318" s="8"/>
      <c r="Y318" s="8"/>
      <c r="Z318" s="8"/>
    </row>
    <row r="319" ht="14.25" customHeight="1">
      <c r="B319" s="1" t="s">
        <v>39</v>
      </c>
      <c r="C319" s="1">
        <v>27.7</v>
      </c>
      <c r="D319" s="1">
        <v>315.0</v>
      </c>
      <c r="E319" s="1">
        <v>1.2</v>
      </c>
      <c r="F319" s="1">
        <v>0.0</v>
      </c>
      <c r="G319" s="1">
        <v>0.0</v>
      </c>
      <c r="H319" s="1">
        <v>0.0</v>
      </c>
      <c r="I319" s="1">
        <v>0.3</v>
      </c>
      <c r="J319" s="1">
        <v>66.0</v>
      </c>
      <c r="K319" s="18">
        <f t="shared" si="1"/>
        <v>0</v>
      </c>
      <c r="L319" s="18">
        <f t="shared" si="2"/>
        <v>15.49300699</v>
      </c>
      <c r="M319" s="118"/>
      <c r="N319" s="118"/>
      <c r="O319" s="11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B320" s="1" t="s">
        <v>48</v>
      </c>
      <c r="C320" s="1">
        <v>27.7</v>
      </c>
      <c r="D320" s="1">
        <v>315.0</v>
      </c>
      <c r="E320" s="1">
        <v>1.2</v>
      </c>
      <c r="F320" s="1">
        <v>0.0</v>
      </c>
      <c r="G320" s="1">
        <v>0.0</v>
      </c>
      <c r="H320" s="1">
        <v>0.0</v>
      </c>
      <c r="I320" s="1">
        <v>0.3</v>
      </c>
      <c r="J320" s="1">
        <v>66.0</v>
      </c>
      <c r="K320" s="18">
        <f t="shared" si="1"/>
        <v>0</v>
      </c>
      <c r="L320" s="18">
        <f t="shared" si="2"/>
        <v>15.49300699</v>
      </c>
      <c r="M320" s="118"/>
      <c r="N320" s="118"/>
      <c r="O320" s="11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1" t="s">
        <v>942</v>
      </c>
      <c r="B321" s="1" t="s">
        <v>193</v>
      </c>
      <c r="C321" s="1">
        <v>17.5</v>
      </c>
      <c r="D321" s="1">
        <v>338.3</v>
      </c>
      <c r="E321" s="1">
        <v>1.3</v>
      </c>
      <c r="F321" s="1">
        <v>5.1</v>
      </c>
      <c r="G321" s="1">
        <v>46.1</v>
      </c>
      <c r="H321" s="1">
        <v>0.1</v>
      </c>
      <c r="I321" s="1">
        <v>0.1</v>
      </c>
      <c r="J321" s="1">
        <v>64.1</v>
      </c>
      <c r="K321" s="18">
        <f t="shared" si="1"/>
        <v>2.856995646</v>
      </c>
      <c r="L321" s="18">
        <f t="shared" si="2"/>
        <v>16.63899767</v>
      </c>
      <c r="M321" s="112">
        <f>C323*Scoring!$B$34+D323/Scoring!$C$34+E323*Scoring!$D$34+WR!F323*Scoring!$E$34+WR!G323/Scoring!$F$34+WR!H323*Scoring!$G$34+WR!I323*Scoring!$H$34+K323*Scoring!$I$34+WR!L323*Scoring!$J$34+U321</f>
        <v>23.58</v>
      </c>
      <c r="N321" s="112">
        <f>C321*Scoring!$B$34+D321/Scoring!$C$34+E321*Scoring!$D$34+WR!F321*Scoring!$E$34+WR!G321/Scoring!$F$34+WR!H321*Scoring!$G$34+WR!I321*Scoring!$H$34+K321*Scoring!$I$34+WR!L321*Scoring!$J$34+U321</f>
        <v>55.39</v>
      </c>
      <c r="O321" s="112">
        <f>C322*Scoring!$B$34+D322/Scoring!$C$34+E322*Scoring!$D$34+WR!F322*Scoring!$E$34+WR!G322/Scoring!$F$34+WR!H322*Scoring!$G$34+WR!I322*Scoring!$H$34+K322*Scoring!$I$34+WR!L322*Scoring!$J$34+U321</f>
        <v>87.4</v>
      </c>
      <c r="P321" s="8">
        <f>IF(COUNTIF(Rookies!$A:$A,A321)&gt;0,1,0)</f>
        <v>0</v>
      </c>
      <c r="Q321" s="8"/>
      <c r="R321" s="8"/>
      <c r="S321" s="8">
        <f>V321/17</f>
        <v>3.258235294</v>
      </c>
      <c r="T321" s="8">
        <f>IF(P321=1,MAX(0,0.28*(12-S321)),0)</f>
        <v>0</v>
      </c>
      <c r="U321" s="8">
        <f>T321*17</f>
        <v>0</v>
      </c>
      <c r="V321" s="8">
        <f>C321*Scoring!$B$34+D321/Scoring!$C$34+E321*Scoring!$D$34+WR!F321*Scoring!$E$34+WR!G321/Scoring!$F$34+WR!H321*Scoring!$G$34+WR!I321*Scoring!$H$34+K321*Scoring!$I$34+WR!L321*Scoring!$J$34</f>
        <v>55.39</v>
      </c>
      <c r="W321" s="8"/>
      <c r="X321" s="8"/>
      <c r="Y321" s="8"/>
      <c r="Z321" s="8"/>
    </row>
    <row r="322" ht="14.25" customHeight="1">
      <c r="B322" s="1" t="s">
        <v>39</v>
      </c>
      <c r="C322" s="1">
        <v>25.0</v>
      </c>
      <c r="D322" s="1">
        <v>551.0</v>
      </c>
      <c r="E322" s="1">
        <v>2.0</v>
      </c>
      <c r="F322" s="1">
        <v>6.0</v>
      </c>
      <c r="G322" s="1">
        <v>66.0</v>
      </c>
      <c r="H322" s="1">
        <v>0.2</v>
      </c>
      <c r="I322" s="1">
        <v>0.0</v>
      </c>
      <c r="J322" s="1">
        <v>78.5</v>
      </c>
      <c r="K322" s="18">
        <f t="shared" si="1"/>
        <v>4.090275762</v>
      </c>
      <c r="L322" s="18">
        <f t="shared" si="2"/>
        <v>27.1004662</v>
      </c>
      <c r="M322" s="118"/>
      <c r="N322" s="118"/>
      <c r="O322" s="11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B323" s="1" t="s">
        <v>48</v>
      </c>
      <c r="C323" s="1">
        <v>10.0</v>
      </c>
      <c r="D323" s="1">
        <v>125.5</v>
      </c>
      <c r="E323" s="1">
        <v>0.6</v>
      </c>
      <c r="F323" s="1">
        <v>4.2</v>
      </c>
      <c r="G323" s="1">
        <v>26.3</v>
      </c>
      <c r="H323" s="1">
        <v>0.0</v>
      </c>
      <c r="I323" s="1">
        <v>0.1</v>
      </c>
      <c r="J323" s="1">
        <v>37.4</v>
      </c>
      <c r="K323" s="18">
        <f t="shared" si="1"/>
        <v>1.629912917</v>
      </c>
      <c r="L323" s="18">
        <f t="shared" si="2"/>
        <v>6.172610723</v>
      </c>
      <c r="M323" s="118"/>
      <c r="N323" s="118"/>
      <c r="O323" s="11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1" t="s">
        <v>946</v>
      </c>
      <c r="B324" s="1" t="s">
        <v>134</v>
      </c>
      <c r="C324" s="1">
        <v>21.4</v>
      </c>
      <c r="D324" s="1">
        <v>309.0</v>
      </c>
      <c r="E324" s="1">
        <v>1.7</v>
      </c>
      <c r="F324" s="1">
        <v>2.2</v>
      </c>
      <c r="G324" s="1">
        <v>11.9</v>
      </c>
      <c r="H324" s="1">
        <v>0.1</v>
      </c>
      <c r="I324" s="1">
        <v>0.2</v>
      </c>
      <c r="J324" s="1">
        <v>63.6</v>
      </c>
      <c r="K324" s="18">
        <f t="shared" si="1"/>
        <v>0.7374891147</v>
      </c>
      <c r="L324" s="18">
        <f t="shared" si="2"/>
        <v>15.1979021</v>
      </c>
      <c r="M324" s="112">
        <f>C326*Scoring!$B$34+D326/Scoring!$C$34+E326*Scoring!$D$34+WR!F326*Scoring!$E$34+WR!G326/Scoring!$F$34+WR!H326*Scoring!$G$34+WR!I326*Scoring!$H$34+K326*Scoring!$I$34+WR!L326*Scoring!$J$34+U324</f>
        <v>53.19</v>
      </c>
      <c r="N324" s="112">
        <f>C324*Scoring!$B$34+D324/Scoring!$C$34+E324*Scoring!$D$34+WR!F324*Scoring!$E$34+WR!G324/Scoring!$F$34+WR!H324*Scoring!$G$34+WR!I324*Scoring!$H$34+K324*Scoring!$I$34+WR!L324*Scoring!$J$34+U324</f>
        <v>53.19</v>
      </c>
      <c r="O324" s="112">
        <f>C325*Scoring!$B$34+D325/Scoring!$C$34+E325*Scoring!$D$34+WR!F325*Scoring!$E$34+WR!G325/Scoring!$F$34+WR!H325*Scoring!$G$34+WR!I325*Scoring!$H$34+K325*Scoring!$I$34+WR!L325*Scoring!$J$34+U324</f>
        <v>53.19</v>
      </c>
      <c r="P324" s="8">
        <f>IF(COUNTIF(Rookies!$A:$A,A324)&gt;0,1,0)</f>
        <v>0</v>
      </c>
      <c r="Q324" s="8"/>
      <c r="R324" s="8"/>
      <c r="S324" s="8">
        <f>V324/17</f>
        <v>3.128823529</v>
      </c>
      <c r="T324" s="8">
        <f>IF(P324=1,MAX(0,0.28*(12-S324)),0)</f>
        <v>0</v>
      </c>
      <c r="U324" s="8">
        <f>T324*17</f>
        <v>0</v>
      </c>
      <c r="V324" s="8">
        <f>C324*Scoring!$B$34+D324/Scoring!$C$34+E324*Scoring!$D$34+WR!F324*Scoring!$E$34+WR!G324/Scoring!$F$34+WR!H324*Scoring!$G$34+WR!I324*Scoring!$H$34+K324*Scoring!$I$34+WR!L324*Scoring!$J$34</f>
        <v>53.19</v>
      </c>
      <c r="W324" s="8"/>
      <c r="X324" s="8"/>
      <c r="Y324" s="8"/>
      <c r="Z324" s="8"/>
    </row>
    <row r="325" ht="14.25" customHeight="1">
      <c r="B325" s="1" t="s">
        <v>39</v>
      </c>
      <c r="C325" s="1">
        <v>21.4</v>
      </c>
      <c r="D325" s="1">
        <v>309.0</v>
      </c>
      <c r="E325" s="1">
        <v>1.7</v>
      </c>
      <c r="F325" s="1">
        <v>2.2</v>
      </c>
      <c r="G325" s="1">
        <v>11.9</v>
      </c>
      <c r="H325" s="1">
        <v>0.1</v>
      </c>
      <c r="I325" s="1">
        <v>0.2</v>
      </c>
      <c r="J325" s="1">
        <v>63.8</v>
      </c>
      <c r="K325" s="18">
        <f t="shared" si="1"/>
        <v>0.7374891147</v>
      </c>
      <c r="L325" s="18">
        <f t="shared" si="2"/>
        <v>15.1979021</v>
      </c>
      <c r="M325" s="118"/>
      <c r="N325" s="118"/>
      <c r="O325" s="11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B326" s="1" t="s">
        <v>48</v>
      </c>
      <c r="C326" s="1">
        <v>21.4</v>
      </c>
      <c r="D326" s="1">
        <v>309.0</v>
      </c>
      <c r="E326" s="1">
        <v>1.7</v>
      </c>
      <c r="F326" s="1">
        <v>2.2</v>
      </c>
      <c r="G326" s="1">
        <v>11.9</v>
      </c>
      <c r="H326" s="1">
        <v>0.1</v>
      </c>
      <c r="I326" s="1">
        <v>0.2</v>
      </c>
      <c r="J326" s="1">
        <v>63.8</v>
      </c>
      <c r="K326" s="18">
        <f t="shared" si="1"/>
        <v>0.7374891147</v>
      </c>
      <c r="L326" s="18">
        <f t="shared" si="2"/>
        <v>15.1979021</v>
      </c>
      <c r="M326" s="118"/>
      <c r="N326" s="118"/>
      <c r="O326" s="11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1" t="s">
        <v>949</v>
      </c>
      <c r="B327" s="1" t="s">
        <v>150</v>
      </c>
      <c r="C327" s="1">
        <v>18.1</v>
      </c>
      <c r="D327" s="1">
        <v>229.5</v>
      </c>
      <c r="E327" s="1">
        <v>1.7</v>
      </c>
      <c r="F327" s="1">
        <v>17.8</v>
      </c>
      <c r="G327" s="1">
        <v>103.2</v>
      </c>
      <c r="H327" s="1">
        <v>0.4</v>
      </c>
      <c r="I327" s="1">
        <v>0.4</v>
      </c>
      <c r="J327" s="1">
        <v>63.5</v>
      </c>
      <c r="K327" s="18">
        <f t="shared" si="1"/>
        <v>6.395703919</v>
      </c>
      <c r="L327" s="18">
        <f t="shared" si="2"/>
        <v>11.28776224</v>
      </c>
      <c r="M327" s="112">
        <f>C329*Scoring!$B$34+D329/Scoring!$C$34+E329*Scoring!$D$34+WR!F329*Scoring!$E$34+WR!G329/Scoring!$F$34+WR!H329*Scoring!$G$34+WR!I329*Scoring!$H$34+K329*Scoring!$I$34+WR!L329*Scoring!$J$34+U327</f>
        <v>54.12</v>
      </c>
      <c r="N327" s="112">
        <f>C327*Scoring!$B$34+D327/Scoring!$C$34+E327*Scoring!$D$34+WR!F327*Scoring!$E$34+WR!G327/Scoring!$F$34+WR!H327*Scoring!$G$34+WR!I327*Scoring!$H$34+K327*Scoring!$I$34+WR!L327*Scoring!$J$34+U327</f>
        <v>54.12</v>
      </c>
      <c r="O327" s="112">
        <f>C328*Scoring!$B$34+D328/Scoring!$C$34+E328*Scoring!$D$34+WR!F328*Scoring!$E$34+WR!G328/Scoring!$F$34+WR!H328*Scoring!$G$34+WR!I328*Scoring!$H$34+K328*Scoring!$I$34+WR!L328*Scoring!$J$34+U327</f>
        <v>54.12</v>
      </c>
      <c r="P327" s="8">
        <f>IF(COUNTIF(Rookies!$A:$A,A327)&gt;0,1,0)</f>
        <v>0</v>
      </c>
      <c r="Q327" s="8"/>
      <c r="R327" s="8"/>
      <c r="S327" s="8">
        <f>V327/17</f>
        <v>3.183529412</v>
      </c>
      <c r="T327" s="8">
        <f>IF(P327=1,MAX(0,0.28*(12-S327)),0)</f>
        <v>0</v>
      </c>
      <c r="U327" s="8">
        <f>T327*17</f>
        <v>0</v>
      </c>
      <c r="V327" s="8">
        <f>C327*Scoring!$B$34+D327/Scoring!$C$34+E327*Scoring!$D$34+WR!F327*Scoring!$E$34+WR!G327/Scoring!$F$34+WR!H327*Scoring!$G$34+WR!I327*Scoring!$H$34+K327*Scoring!$I$34+WR!L327*Scoring!$J$34</f>
        <v>54.12</v>
      </c>
      <c r="W327" s="8"/>
      <c r="X327" s="8"/>
      <c r="Y327" s="8"/>
      <c r="Z327" s="8"/>
    </row>
    <row r="328" ht="14.25" customHeight="1">
      <c r="B328" s="1" t="s">
        <v>39</v>
      </c>
      <c r="C328" s="1">
        <v>18.1</v>
      </c>
      <c r="D328" s="1">
        <v>229.5</v>
      </c>
      <c r="E328" s="1">
        <v>1.7</v>
      </c>
      <c r="F328" s="1">
        <v>17.8</v>
      </c>
      <c r="G328" s="1">
        <v>103.2</v>
      </c>
      <c r="H328" s="1">
        <v>0.4</v>
      </c>
      <c r="I328" s="1">
        <v>0.4</v>
      </c>
      <c r="J328" s="1">
        <v>66.8</v>
      </c>
      <c r="K328" s="18">
        <f t="shared" si="1"/>
        <v>6.395703919</v>
      </c>
      <c r="L328" s="18">
        <f t="shared" si="2"/>
        <v>11.28776224</v>
      </c>
      <c r="M328" s="118"/>
      <c r="N328" s="118"/>
      <c r="O328" s="11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B329" s="1" t="s">
        <v>48</v>
      </c>
      <c r="C329" s="1">
        <v>18.1</v>
      </c>
      <c r="D329" s="1">
        <v>229.5</v>
      </c>
      <c r="E329" s="1">
        <v>1.7</v>
      </c>
      <c r="F329" s="1">
        <v>17.8</v>
      </c>
      <c r="G329" s="1">
        <v>103.2</v>
      </c>
      <c r="H329" s="1">
        <v>0.4</v>
      </c>
      <c r="I329" s="1">
        <v>0.4</v>
      </c>
      <c r="J329" s="1">
        <v>66.8</v>
      </c>
      <c r="K329" s="18">
        <f t="shared" si="1"/>
        <v>6.395703919</v>
      </c>
      <c r="L329" s="18">
        <f t="shared" si="2"/>
        <v>11.28776224</v>
      </c>
      <c r="M329" s="118"/>
      <c r="N329" s="118"/>
      <c r="O329" s="11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1" t="s">
        <v>952</v>
      </c>
      <c r="B330" s="1" t="s">
        <v>94</v>
      </c>
      <c r="C330" s="1">
        <v>22.7</v>
      </c>
      <c r="D330" s="1">
        <v>270.9</v>
      </c>
      <c r="E330" s="1">
        <v>1.5</v>
      </c>
      <c r="F330" s="1">
        <v>4.1</v>
      </c>
      <c r="G330" s="1">
        <v>21.4</v>
      </c>
      <c r="H330" s="1">
        <v>0.2</v>
      </c>
      <c r="I330" s="1">
        <v>0.3</v>
      </c>
      <c r="J330" s="1">
        <v>61.3</v>
      </c>
      <c r="K330" s="18">
        <f t="shared" si="1"/>
        <v>1.326240929</v>
      </c>
      <c r="L330" s="18">
        <f t="shared" si="2"/>
        <v>13.32398601</v>
      </c>
      <c r="M330" s="112">
        <f>C332*Scoring!$B$34+D332/Scoring!$C$34+E332*Scoring!$D$34+WR!F332*Scoring!$E$34+WR!G332/Scoring!$F$34+WR!H332*Scoring!$G$34+WR!I332*Scoring!$H$34+K332*Scoring!$I$34+WR!L332*Scoring!$J$34+U330</f>
        <v>50.18</v>
      </c>
      <c r="N330" s="112">
        <f>C330*Scoring!$B$34+D330/Scoring!$C$34+E330*Scoring!$D$34+WR!F330*Scoring!$E$34+WR!G330/Scoring!$F$34+WR!H330*Scoring!$G$34+WR!I330*Scoring!$H$34+K330*Scoring!$I$34+WR!L330*Scoring!$J$34+U330</f>
        <v>50.18</v>
      </c>
      <c r="O330" s="112">
        <f>C331*Scoring!$B$34+D331/Scoring!$C$34+E331*Scoring!$D$34+WR!F331*Scoring!$E$34+WR!G331/Scoring!$F$34+WR!H331*Scoring!$G$34+WR!I331*Scoring!$H$34+K331*Scoring!$I$34+WR!L331*Scoring!$J$34+U330</f>
        <v>50.18</v>
      </c>
      <c r="P330" s="8">
        <f>IF(COUNTIF(Rookies!$A:$A,A330)&gt;0,1,0)</f>
        <v>0</v>
      </c>
      <c r="Q330" s="8"/>
      <c r="R330" s="8"/>
      <c r="S330" s="8">
        <f>V330/17</f>
        <v>2.951764706</v>
      </c>
      <c r="T330" s="8">
        <f>IF(P330=1,MAX(0,0.28*(12-S330)),0)</f>
        <v>0</v>
      </c>
      <c r="U330" s="8">
        <f>T330*17</f>
        <v>0</v>
      </c>
      <c r="V330" s="8">
        <f>C330*Scoring!$B$34+D330/Scoring!$C$34+E330*Scoring!$D$34+WR!F330*Scoring!$E$34+WR!G330/Scoring!$F$34+WR!H330*Scoring!$G$34+WR!I330*Scoring!$H$34+K330*Scoring!$I$34+WR!L330*Scoring!$J$34</f>
        <v>50.18</v>
      </c>
      <c r="W330" s="8"/>
      <c r="X330" s="8"/>
      <c r="Y330" s="8"/>
      <c r="Z330" s="8"/>
    </row>
    <row r="331" ht="14.25" customHeight="1">
      <c r="B331" s="1" t="s">
        <v>39</v>
      </c>
      <c r="C331" s="1">
        <v>22.7</v>
      </c>
      <c r="D331" s="1">
        <v>270.9</v>
      </c>
      <c r="E331" s="1">
        <v>1.5</v>
      </c>
      <c r="F331" s="1">
        <v>4.1</v>
      </c>
      <c r="G331" s="1">
        <v>21.4</v>
      </c>
      <c r="H331" s="1">
        <v>0.2</v>
      </c>
      <c r="I331" s="1">
        <v>0.3</v>
      </c>
      <c r="J331" s="1">
        <v>61.5</v>
      </c>
      <c r="K331" s="18">
        <f t="shared" si="1"/>
        <v>1.326240929</v>
      </c>
      <c r="L331" s="18">
        <f t="shared" si="2"/>
        <v>13.32398601</v>
      </c>
      <c r="M331" s="118"/>
      <c r="N331" s="118"/>
      <c r="O331" s="11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B332" s="1" t="s">
        <v>48</v>
      </c>
      <c r="C332" s="1">
        <v>22.7</v>
      </c>
      <c r="D332" s="1">
        <v>270.9</v>
      </c>
      <c r="E332" s="1">
        <v>1.5</v>
      </c>
      <c r="F332" s="1">
        <v>4.1</v>
      </c>
      <c r="G332" s="1">
        <v>21.4</v>
      </c>
      <c r="H332" s="1">
        <v>0.2</v>
      </c>
      <c r="I332" s="1">
        <v>0.3</v>
      </c>
      <c r="J332" s="1">
        <v>61.5</v>
      </c>
      <c r="K332" s="18">
        <f t="shared" si="1"/>
        <v>1.326240929</v>
      </c>
      <c r="L332" s="18">
        <f t="shared" si="2"/>
        <v>13.32398601</v>
      </c>
      <c r="M332" s="118"/>
      <c r="N332" s="118"/>
      <c r="O332" s="11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1" t="s">
        <v>956</v>
      </c>
      <c r="B333" s="1" t="s">
        <v>199</v>
      </c>
      <c r="C333" s="1">
        <v>20.5</v>
      </c>
      <c r="D333" s="1">
        <v>230.8</v>
      </c>
      <c r="E333" s="1">
        <v>1.7</v>
      </c>
      <c r="F333" s="1">
        <v>9.0</v>
      </c>
      <c r="G333" s="1">
        <v>46.9</v>
      </c>
      <c r="H333" s="1">
        <v>0.3</v>
      </c>
      <c r="I333" s="1">
        <v>0.3</v>
      </c>
      <c r="J333" s="1">
        <v>59.8</v>
      </c>
      <c r="K333" s="18">
        <f t="shared" si="1"/>
        <v>2.906574746</v>
      </c>
      <c r="L333" s="18">
        <f t="shared" si="2"/>
        <v>11.35170163</v>
      </c>
      <c r="M333" s="112">
        <f>C335*Scoring!$B$34+D335/Scoring!$C$34+E335*Scoring!$D$34+WR!F335*Scoring!$E$34+WR!G335/Scoring!$F$34+WR!H335*Scoring!$G$34+WR!I335*Scoring!$H$34+K335*Scoring!$I$34+WR!L335*Scoring!$J$34+U333</f>
        <v>49.42</v>
      </c>
      <c r="N333" s="112">
        <f>C333*Scoring!$B$34+D333/Scoring!$C$34+E333*Scoring!$D$34+WR!F333*Scoring!$E$34+WR!G333/Scoring!$F$34+WR!H333*Scoring!$G$34+WR!I333*Scoring!$H$34+K333*Scoring!$I$34+WR!L333*Scoring!$J$34+U333</f>
        <v>49.42</v>
      </c>
      <c r="O333" s="112">
        <f>C334*Scoring!$B$34+D334/Scoring!$C$34+E334*Scoring!$D$34+WR!F334*Scoring!$E$34+WR!G334/Scoring!$F$34+WR!H334*Scoring!$G$34+WR!I334*Scoring!$H$34+K334*Scoring!$I$34+WR!L334*Scoring!$J$34+U333</f>
        <v>49.42</v>
      </c>
      <c r="P333" s="8">
        <f>IF(COUNTIF(Rookies!$A:$A,A333)&gt;0,1,0)</f>
        <v>0</v>
      </c>
      <c r="Q333" s="8"/>
      <c r="R333" s="8"/>
      <c r="S333" s="8">
        <f>V333/17</f>
        <v>2.907058824</v>
      </c>
      <c r="T333" s="8">
        <f>IF(P333=1,MAX(0,0.28*(12-S333)),0)</f>
        <v>0</v>
      </c>
      <c r="U333" s="8">
        <f>T333*17</f>
        <v>0</v>
      </c>
      <c r="V333" s="8">
        <f>C333*Scoring!$B$34+D333/Scoring!$C$34+E333*Scoring!$D$34+WR!F333*Scoring!$E$34+WR!G333/Scoring!$F$34+WR!H333*Scoring!$G$34+WR!I333*Scoring!$H$34+K333*Scoring!$I$34+WR!L333*Scoring!$J$34</f>
        <v>49.42</v>
      </c>
      <c r="W333" s="8"/>
      <c r="X333" s="8"/>
      <c r="Y333" s="8"/>
      <c r="Z333" s="8"/>
    </row>
    <row r="334" ht="14.25" customHeight="1">
      <c r="B334" s="1" t="s">
        <v>39</v>
      </c>
      <c r="C334" s="1">
        <v>20.5</v>
      </c>
      <c r="D334" s="1">
        <v>230.8</v>
      </c>
      <c r="E334" s="1">
        <v>1.7</v>
      </c>
      <c r="F334" s="1">
        <v>9.0</v>
      </c>
      <c r="G334" s="1">
        <v>46.9</v>
      </c>
      <c r="H334" s="1">
        <v>0.3</v>
      </c>
      <c r="I334" s="1">
        <v>0.3</v>
      </c>
      <c r="J334" s="1">
        <v>60.6</v>
      </c>
      <c r="K334" s="18">
        <f t="shared" si="1"/>
        <v>2.906574746</v>
      </c>
      <c r="L334" s="18">
        <f t="shared" si="2"/>
        <v>11.35170163</v>
      </c>
      <c r="M334" s="118"/>
      <c r="N334" s="118"/>
      <c r="O334" s="11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B335" s="1" t="s">
        <v>48</v>
      </c>
      <c r="C335" s="1">
        <v>20.5</v>
      </c>
      <c r="D335" s="1">
        <v>230.8</v>
      </c>
      <c r="E335" s="1">
        <v>1.7</v>
      </c>
      <c r="F335" s="1">
        <v>9.0</v>
      </c>
      <c r="G335" s="1">
        <v>46.9</v>
      </c>
      <c r="H335" s="1">
        <v>0.3</v>
      </c>
      <c r="I335" s="1">
        <v>0.3</v>
      </c>
      <c r="J335" s="1">
        <v>60.6</v>
      </c>
      <c r="K335" s="18">
        <f t="shared" si="1"/>
        <v>2.906574746</v>
      </c>
      <c r="L335" s="18">
        <f t="shared" si="2"/>
        <v>11.35170163</v>
      </c>
      <c r="M335" s="118"/>
      <c r="N335" s="118"/>
      <c r="O335" s="11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1" t="s">
        <v>959</v>
      </c>
      <c r="B336" s="1" t="s">
        <v>134</v>
      </c>
      <c r="C336" s="1">
        <v>23.0</v>
      </c>
      <c r="D336" s="1">
        <v>279.9</v>
      </c>
      <c r="E336" s="1">
        <v>1.5</v>
      </c>
      <c r="F336" s="1">
        <v>0.0</v>
      </c>
      <c r="G336" s="1">
        <v>0.0</v>
      </c>
      <c r="H336" s="1">
        <v>0.0</v>
      </c>
      <c r="I336" s="1">
        <v>0.2</v>
      </c>
      <c r="J336" s="1">
        <v>59.7</v>
      </c>
      <c r="K336" s="18">
        <f t="shared" si="1"/>
        <v>0</v>
      </c>
      <c r="L336" s="18">
        <f t="shared" si="2"/>
        <v>13.76664336</v>
      </c>
      <c r="M336" s="112">
        <f>C338*Scoring!$B$34+D338/Scoring!$C$34+E338*Scoring!$D$34+WR!F338*Scoring!$E$34+WR!G338/Scoring!$F$34+WR!H338*Scoring!$G$34+WR!I338*Scoring!$H$34+K338*Scoring!$I$34+WR!L338*Scoring!$J$34+U336</f>
        <v>91.7448</v>
      </c>
      <c r="N336" s="112">
        <f>C336*Scoring!$B$34+D336/Scoring!$C$34+E336*Scoring!$D$34+WR!F336*Scoring!$E$34+WR!G336/Scoring!$F$34+WR!H336*Scoring!$G$34+WR!I336*Scoring!$H$34+K336*Scoring!$I$34+WR!L336*Scoring!$J$34+U336</f>
        <v>91.7448</v>
      </c>
      <c r="O336" s="112">
        <f>C337*Scoring!$B$34+D337/Scoring!$C$34+E337*Scoring!$D$34+WR!F337*Scoring!$E$34+WR!G337/Scoring!$F$34+WR!H337*Scoring!$G$34+WR!I337*Scoring!$H$34+K337*Scoring!$I$34+WR!L337*Scoring!$J$34+U336</f>
        <v>91.7448</v>
      </c>
      <c r="P336" s="8">
        <f>IF(COUNTIF(Rookies!$A:$A,A336)&gt;0,1,0)</f>
        <v>1</v>
      </c>
      <c r="Q336" s="8"/>
      <c r="R336" s="8"/>
      <c r="S336" s="8">
        <f>V336/17</f>
        <v>2.828823529</v>
      </c>
      <c r="T336" s="8">
        <f>IF(P336=1,MAX(0,0.28*(12-S336)),0)</f>
        <v>2.567929412</v>
      </c>
      <c r="U336" s="8">
        <f>T336*17</f>
        <v>43.6548</v>
      </c>
      <c r="V336" s="8">
        <f>C336*Scoring!$B$34+D336/Scoring!$C$34+E336*Scoring!$D$34+WR!F336*Scoring!$E$34+WR!G336/Scoring!$F$34+WR!H336*Scoring!$G$34+WR!I336*Scoring!$H$34+K336*Scoring!$I$34+WR!L336*Scoring!$J$34</f>
        <v>48.09</v>
      </c>
      <c r="W336" s="8"/>
      <c r="X336" s="8"/>
      <c r="Y336" s="8"/>
      <c r="Z336" s="8"/>
    </row>
    <row r="337" ht="14.25" customHeight="1">
      <c r="B337" s="1" t="s">
        <v>39</v>
      </c>
      <c r="C337" s="1">
        <v>23.0</v>
      </c>
      <c r="D337" s="1">
        <v>279.9</v>
      </c>
      <c r="E337" s="1">
        <v>1.5</v>
      </c>
      <c r="F337" s="1">
        <v>0.0</v>
      </c>
      <c r="G337" s="1">
        <v>0.0</v>
      </c>
      <c r="H337" s="1">
        <v>0.0</v>
      </c>
      <c r="I337" s="1">
        <v>0.2</v>
      </c>
      <c r="J337" s="1">
        <v>59.9</v>
      </c>
      <c r="K337" s="18">
        <f t="shared" si="1"/>
        <v>0</v>
      </c>
      <c r="L337" s="18">
        <f t="shared" si="2"/>
        <v>13.76664336</v>
      </c>
      <c r="M337" s="118"/>
      <c r="N337" s="118"/>
      <c r="O337" s="11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B338" s="1" t="s">
        <v>48</v>
      </c>
      <c r="C338" s="1">
        <v>23.0</v>
      </c>
      <c r="D338" s="1">
        <v>279.9</v>
      </c>
      <c r="E338" s="1">
        <v>1.5</v>
      </c>
      <c r="F338" s="1">
        <v>0.0</v>
      </c>
      <c r="G338" s="1">
        <v>0.0</v>
      </c>
      <c r="H338" s="1">
        <v>0.0</v>
      </c>
      <c r="I338" s="1">
        <v>0.2</v>
      </c>
      <c r="J338" s="1">
        <v>59.9</v>
      </c>
      <c r="K338" s="18">
        <f t="shared" si="1"/>
        <v>0</v>
      </c>
      <c r="L338" s="18">
        <f t="shared" si="2"/>
        <v>13.76664336</v>
      </c>
      <c r="M338" s="118"/>
      <c r="N338" s="118"/>
      <c r="O338" s="11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1" t="s">
        <v>962</v>
      </c>
      <c r="B339" s="1" t="s">
        <v>134</v>
      </c>
      <c r="C339" s="1">
        <v>19.6</v>
      </c>
      <c r="D339" s="1">
        <v>262.2</v>
      </c>
      <c r="E339" s="1">
        <v>2.2</v>
      </c>
      <c r="F339" s="1">
        <v>0.0</v>
      </c>
      <c r="G339" s="1">
        <v>0.0</v>
      </c>
      <c r="H339" s="1">
        <v>0.0</v>
      </c>
      <c r="I339" s="1">
        <v>0.0</v>
      </c>
      <c r="J339" s="1">
        <v>58.8</v>
      </c>
      <c r="K339" s="18">
        <f t="shared" si="1"/>
        <v>0</v>
      </c>
      <c r="L339" s="18">
        <f t="shared" si="2"/>
        <v>12.89608392</v>
      </c>
      <c r="M339" s="112">
        <f>C341*Scoring!$B$34+D341/Scoring!$C$34+E341*Scoring!$D$34+WR!F341*Scoring!$E$34+WR!G341/Scoring!$F$34+WR!H341*Scoring!$G$34+WR!I341*Scoring!$H$34+K341*Scoring!$I$34+WR!L341*Scoring!$J$34+U339</f>
        <v>12.69</v>
      </c>
      <c r="N339" s="112">
        <f>C339*Scoring!$B$34+D339/Scoring!$C$34+E339*Scoring!$D$34+WR!F339*Scoring!$E$34+WR!G339/Scoring!$F$34+WR!H339*Scoring!$G$34+WR!I339*Scoring!$H$34+K339*Scoring!$I$34+WR!L339*Scoring!$J$34+U339</f>
        <v>49.22</v>
      </c>
      <c r="O339" s="112">
        <f>C340*Scoring!$B$34+D340/Scoring!$C$34+E340*Scoring!$D$34+WR!F340*Scoring!$E$34+WR!G340/Scoring!$F$34+WR!H340*Scoring!$G$34+WR!I340*Scoring!$H$34+K340*Scoring!$I$34+WR!L340*Scoring!$J$34+U339</f>
        <v>85.5</v>
      </c>
      <c r="P339" s="8">
        <f>IF(COUNTIF(Rookies!$A:$A,A339)&gt;0,1,0)</f>
        <v>0</v>
      </c>
      <c r="Q339" s="8"/>
      <c r="R339" s="8"/>
      <c r="S339" s="8">
        <f>V339/17</f>
        <v>2.895294118</v>
      </c>
      <c r="T339" s="8">
        <f>IF(P339=1,MAX(0,0.28*(12-S339)),0)</f>
        <v>0</v>
      </c>
      <c r="U339" s="8">
        <f>T339*17</f>
        <v>0</v>
      </c>
      <c r="V339" s="8">
        <f>C339*Scoring!$B$34+D339/Scoring!$C$34+E339*Scoring!$D$34+WR!F339*Scoring!$E$34+WR!G339/Scoring!$F$34+WR!H339*Scoring!$G$34+WR!I339*Scoring!$H$34+K339*Scoring!$I$34+WR!L339*Scoring!$J$34</f>
        <v>49.22</v>
      </c>
      <c r="W339" s="8"/>
      <c r="X339" s="8"/>
      <c r="Y339" s="8"/>
      <c r="Z339" s="8"/>
    </row>
    <row r="340" ht="14.25" customHeight="1">
      <c r="B340" s="1" t="s">
        <v>39</v>
      </c>
      <c r="C340" s="1">
        <v>33.0</v>
      </c>
      <c r="D340" s="1">
        <v>450.0</v>
      </c>
      <c r="E340" s="1">
        <v>4.0</v>
      </c>
      <c r="F340" s="1">
        <v>0.0</v>
      </c>
      <c r="G340" s="1">
        <v>0.0</v>
      </c>
      <c r="H340" s="1">
        <v>0.0</v>
      </c>
      <c r="I340" s="1">
        <v>0.0</v>
      </c>
      <c r="J340" s="1">
        <v>79.6</v>
      </c>
      <c r="K340" s="18">
        <f t="shared" si="1"/>
        <v>0</v>
      </c>
      <c r="L340" s="18">
        <f t="shared" si="2"/>
        <v>22.13286713</v>
      </c>
      <c r="M340" s="118"/>
      <c r="N340" s="118"/>
      <c r="O340" s="11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B341" s="1" t="s">
        <v>48</v>
      </c>
      <c r="C341" s="1">
        <v>6.1</v>
      </c>
      <c r="D341" s="1">
        <v>74.4</v>
      </c>
      <c r="E341" s="1">
        <v>0.4</v>
      </c>
      <c r="F341" s="1">
        <v>0.0</v>
      </c>
      <c r="G341" s="1">
        <v>0.0</v>
      </c>
      <c r="H341" s="1">
        <v>0.0</v>
      </c>
      <c r="I341" s="1">
        <v>0.1</v>
      </c>
      <c r="J341" s="1">
        <v>29.5</v>
      </c>
      <c r="K341" s="18">
        <f t="shared" si="1"/>
        <v>0</v>
      </c>
      <c r="L341" s="18">
        <f t="shared" si="2"/>
        <v>3.659300699</v>
      </c>
      <c r="M341" s="118"/>
      <c r="N341" s="118"/>
      <c r="O341" s="11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1" t="s">
        <v>965</v>
      </c>
      <c r="B342" s="1" t="s">
        <v>159</v>
      </c>
      <c r="C342" s="1">
        <v>17.6</v>
      </c>
      <c r="D342" s="1">
        <v>232.8</v>
      </c>
      <c r="E342" s="1">
        <v>2.7</v>
      </c>
      <c r="F342" s="1">
        <v>0.5</v>
      </c>
      <c r="G342" s="1">
        <v>3.5</v>
      </c>
      <c r="H342" s="1">
        <v>0.0</v>
      </c>
      <c r="I342" s="1">
        <v>0.0</v>
      </c>
      <c r="J342" s="1">
        <v>57.2</v>
      </c>
      <c r="K342" s="18">
        <f t="shared" si="1"/>
        <v>0.2169085631</v>
      </c>
      <c r="L342" s="18">
        <f t="shared" si="2"/>
        <v>11.45006993</v>
      </c>
      <c r="M342" s="112">
        <f>C344*Scoring!$B$34+D344/Scoring!$C$34+E344*Scoring!$D$34+WR!F344*Scoring!$E$34+WR!G344/Scoring!$F$34+WR!H344*Scoring!$G$34+WR!I344*Scoring!$H$34+K344*Scoring!$I$34+WR!L344*Scoring!$J$34+U342</f>
        <v>6.95</v>
      </c>
      <c r="N342" s="112">
        <f>C342*Scoring!$B$34+D342/Scoring!$C$34+E342*Scoring!$D$34+WR!F342*Scoring!$E$34+WR!G342/Scoring!$F$34+WR!H342*Scoring!$G$34+WR!I342*Scoring!$H$34+K342*Scoring!$I$34+WR!L342*Scoring!$J$34+U342</f>
        <v>48.63</v>
      </c>
      <c r="O342" s="112">
        <f>C343*Scoring!$B$34+D343/Scoring!$C$34+E343*Scoring!$D$34+WR!F343*Scoring!$E$34+WR!G343/Scoring!$F$34+WR!H343*Scoring!$G$34+WR!I343*Scoring!$H$34+K343*Scoring!$I$34+WR!L343*Scoring!$J$34+U342</f>
        <v>89.7</v>
      </c>
      <c r="P342" s="8">
        <f>IF(COUNTIF(Rookies!$A:$A,A342)&gt;0,1,0)</f>
        <v>0</v>
      </c>
      <c r="Q342" s="8"/>
      <c r="R342" s="8"/>
      <c r="S342" s="8">
        <f>V342/17</f>
        <v>2.860588235</v>
      </c>
      <c r="T342" s="8">
        <f>IF(P342=1,MAX(0,0.28*(12-S342)),0)</f>
        <v>0</v>
      </c>
      <c r="U342" s="8">
        <f>T342*17</f>
        <v>0</v>
      </c>
      <c r="V342" s="8">
        <f>C342*Scoring!$B$34+D342/Scoring!$C$34+E342*Scoring!$D$34+WR!F342*Scoring!$E$34+WR!G342/Scoring!$F$34+WR!H342*Scoring!$G$34+WR!I342*Scoring!$H$34+K342*Scoring!$I$34+WR!L342*Scoring!$J$34</f>
        <v>48.63</v>
      </c>
      <c r="W342" s="8"/>
      <c r="X342" s="8"/>
      <c r="Y342" s="8"/>
      <c r="Z342" s="8"/>
    </row>
    <row r="343" ht="14.25" customHeight="1">
      <c r="B343" s="1" t="s">
        <v>39</v>
      </c>
      <c r="C343" s="1">
        <v>32.0</v>
      </c>
      <c r="D343" s="1">
        <v>430.0</v>
      </c>
      <c r="E343" s="1">
        <v>5.0</v>
      </c>
      <c r="F343" s="1">
        <v>1.0</v>
      </c>
      <c r="G343" s="1">
        <v>7.0</v>
      </c>
      <c r="H343" s="1">
        <v>0.0</v>
      </c>
      <c r="I343" s="1">
        <v>0.0</v>
      </c>
      <c r="J343" s="1">
        <v>82.6</v>
      </c>
      <c r="K343" s="18">
        <f t="shared" si="1"/>
        <v>0.4338171263</v>
      </c>
      <c r="L343" s="18">
        <f t="shared" si="2"/>
        <v>21.14918415</v>
      </c>
      <c r="M343" s="118"/>
      <c r="N343" s="118"/>
      <c r="O343" s="11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B344" s="1" t="s">
        <v>48</v>
      </c>
      <c r="C344" s="1">
        <v>3.2</v>
      </c>
      <c r="D344" s="1">
        <v>35.5</v>
      </c>
      <c r="E344" s="1">
        <v>0.3</v>
      </c>
      <c r="F344" s="1">
        <v>0.0</v>
      </c>
      <c r="G344" s="1">
        <v>0.0</v>
      </c>
      <c r="H344" s="1">
        <v>0.0</v>
      </c>
      <c r="I344" s="1">
        <v>0.0</v>
      </c>
      <c r="J344" s="1">
        <v>23.1</v>
      </c>
      <c r="K344" s="18">
        <f t="shared" si="1"/>
        <v>0</v>
      </c>
      <c r="L344" s="18">
        <f t="shared" si="2"/>
        <v>1.746037296</v>
      </c>
      <c r="M344" s="118"/>
      <c r="N344" s="118"/>
      <c r="O344" s="11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1" t="s">
        <v>967</v>
      </c>
      <c r="B345" s="1" t="s">
        <v>196</v>
      </c>
      <c r="C345" s="1">
        <v>21.8</v>
      </c>
      <c r="D345" s="1">
        <v>311.6</v>
      </c>
      <c r="E345" s="1">
        <v>0.5</v>
      </c>
      <c r="F345" s="1">
        <v>2.2</v>
      </c>
      <c r="G345" s="1">
        <v>11.4</v>
      </c>
      <c r="H345" s="1">
        <v>0.1</v>
      </c>
      <c r="I345" s="1">
        <v>0.2</v>
      </c>
      <c r="J345" s="1">
        <v>57.0</v>
      </c>
      <c r="K345" s="18">
        <f t="shared" si="1"/>
        <v>0.7065021771</v>
      </c>
      <c r="L345" s="18">
        <f t="shared" si="2"/>
        <v>15.32578089</v>
      </c>
      <c r="M345" s="112">
        <f>C347*Scoring!$B$34+D347/Scoring!$C$34+E347*Scoring!$D$34+WR!F347*Scoring!$E$34+WR!G347/Scoring!$F$34+WR!H347*Scoring!$G$34+WR!I347*Scoring!$H$34+K347*Scoring!$I$34+WR!L347*Scoring!$J$34+U345</f>
        <v>46.4</v>
      </c>
      <c r="N345" s="112">
        <f>C345*Scoring!$B$34+D345/Scoring!$C$34+E345*Scoring!$D$34+WR!F345*Scoring!$E$34+WR!G345/Scoring!$F$34+WR!H345*Scoring!$G$34+WR!I345*Scoring!$H$34+K345*Scoring!$I$34+WR!L345*Scoring!$J$34+U345</f>
        <v>46.4</v>
      </c>
      <c r="O345" s="112">
        <f>C346*Scoring!$B$34+D346/Scoring!$C$34+E346*Scoring!$D$34+WR!F346*Scoring!$E$34+WR!G346/Scoring!$F$34+WR!H346*Scoring!$G$34+WR!I346*Scoring!$H$34+K346*Scoring!$I$34+WR!L346*Scoring!$J$34+U345</f>
        <v>46.4</v>
      </c>
      <c r="P345" s="8">
        <f>IF(COUNTIF(Rookies!$A:$A,A345)&gt;0,1,0)</f>
        <v>0</v>
      </c>
      <c r="Q345" s="8"/>
      <c r="R345" s="8"/>
      <c r="S345" s="8">
        <f>V345/17</f>
        <v>2.729411765</v>
      </c>
      <c r="T345" s="8">
        <f>IF(P345=1,MAX(0,0.28*(12-S345)),0)</f>
        <v>0</v>
      </c>
      <c r="U345" s="8">
        <f>T345*17</f>
        <v>0</v>
      </c>
      <c r="V345" s="8">
        <f>C345*Scoring!$B$34+D345/Scoring!$C$34+E345*Scoring!$D$34+WR!F345*Scoring!$E$34+WR!G345/Scoring!$F$34+WR!H345*Scoring!$G$34+WR!I345*Scoring!$H$34+K345*Scoring!$I$34+WR!L345*Scoring!$J$34</f>
        <v>46.4</v>
      </c>
      <c r="W345" s="8"/>
      <c r="X345" s="8"/>
      <c r="Y345" s="8"/>
      <c r="Z345" s="8"/>
    </row>
    <row r="346" ht="14.25" customHeight="1">
      <c r="B346" s="1" t="s">
        <v>39</v>
      </c>
      <c r="C346" s="1">
        <v>21.8</v>
      </c>
      <c r="D346" s="1">
        <v>311.6</v>
      </c>
      <c r="E346" s="1">
        <v>0.5</v>
      </c>
      <c r="F346" s="1">
        <v>2.2</v>
      </c>
      <c r="G346" s="1">
        <v>11.4</v>
      </c>
      <c r="H346" s="1">
        <v>0.1</v>
      </c>
      <c r="I346" s="1">
        <v>0.2</v>
      </c>
      <c r="J346" s="1">
        <v>57.0</v>
      </c>
      <c r="K346" s="18">
        <f t="shared" si="1"/>
        <v>0.7065021771</v>
      </c>
      <c r="L346" s="18">
        <f t="shared" si="2"/>
        <v>15.32578089</v>
      </c>
      <c r="M346" s="118"/>
      <c r="N346" s="118"/>
      <c r="O346" s="11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B347" s="1" t="s">
        <v>48</v>
      </c>
      <c r="C347" s="1">
        <v>21.8</v>
      </c>
      <c r="D347" s="1">
        <v>311.6</v>
      </c>
      <c r="E347" s="1">
        <v>0.5</v>
      </c>
      <c r="F347" s="1">
        <v>2.2</v>
      </c>
      <c r="G347" s="1">
        <v>11.4</v>
      </c>
      <c r="H347" s="1">
        <v>0.1</v>
      </c>
      <c r="I347" s="1">
        <v>0.2</v>
      </c>
      <c r="J347" s="1">
        <v>57.0</v>
      </c>
      <c r="K347" s="18">
        <f t="shared" si="1"/>
        <v>0.7065021771</v>
      </c>
      <c r="L347" s="18">
        <f t="shared" si="2"/>
        <v>15.32578089</v>
      </c>
      <c r="M347" s="118"/>
      <c r="N347" s="118"/>
      <c r="O347" s="11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1" t="s">
        <v>968</v>
      </c>
      <c r="B348" s="1" t="s">
        <v>226</v>
      </c>
      <c r="C348" s="1">
        <v>19.0</v>
      </c>
      <c r="D348" s="1">
        <v>235.1</v>
      </c>
      <c r="E348" s="1">
        <v>2.1</v>
      </c>
      <c r="F348" s="1">
        <v>0.0</v>
      </c>
      <c r="G348" s="1">
        <v>-0.5</v>
      </c>
      <c r="H348" s="1">
        <v>0.0</v>
      </c>
      <c r="I348" s="1">
        <v>0.0</v>
      </c>
      <c r="J348" s="1">
        <v>55.0</v>
      </c>
      <c r="K348" s="18">
        <f t="shared" si="1"/>
        <v>0</v>
      </c>
      <c r="L348" s="18">
        <f t="shared" si="2"/>
        <v>11.56319347</v>
      </c>
      <c r="M348" s="112">
        <f>C350*Scoring!$B$34+D350/Scoring!$C$34+E350*Scoring!$D$34+WR!F350*Scoring!$E$34+WR!G350/Scoring!$F$34+WR!H350*Scoring!$G$34+WR!I350*Scoring!$H$34+K350*Scoring!$I$34+WR!L350*Scoring!$J$34+U348</f>
        <v>5.92</v>
      </c>
      <c r="N348" s="112">
        <f>C348*Scoring!$B$34+D348/Scoring!$C$34+E348*Scoring!$D$34+WR!F348*Scoring!$E$34+WR!G348/Scoring!$F$34+WR!H348*Scoring!$G$34+WR!I348*Scoring!$H$34+K348*Scoring!$I$34+WR!L348*Scoring!$J$34+U348</f>
        <v>45.56</v>
      </c>
      <c r="O348" s="112">
        <f>C349*Scoring!$B$34+D349/Scoring!$C$34+E349*Scoring!$D$34+WR!F349*Scoring!$E$34+WR!G349/Scoring!$F$34+WR!H349*Scoring!$G$34+WR!I349*Scoring!$H$34+K349*Scoring!$I$34+WR!L349*Scoring!$J$34+U348</f>
        <v>85.2</v>
      </c>
      <c r="P348" s="8">
        <f>IF(COUNTIF(Rookies!$A:$A,A348)&gt;0,1,0)</f>
        <v>0</v>
      </c>
      <c r="Q348" s="8"/>
      <c r="R348" s="8"/>
      <c r="S348" s="8">
        <f>V348/17</f>
        <v>2.68</v>
      </c>
      <c r="T348" s="8">
        <f>IF(P348=1,MAX(0,0.28*(12-S348)),0)</f>
        <v>0</v>
      </c>
      <c r="U348" s="8">
        <f>T348*17</f>
        <v>0</v>
      </c>
      <c r="V348" s="8">
        <f>C348*Scoring!$B$34+D348/Scoring!$C$34+E348*Scoring!$D$34+WR!F348*Scoring!$E$34+WR!G348/Scoring!$F$34+WR!H348*Scoring!$G$34+WR!I348*Scoring!$H$34+K348*Scoring!$I$34+WR!L348*Scoring!$J$34</f>
        <v>45.56</v>
      </c>
      <c r="W348" s="8"/>
      <c r="X348" s="8"/>
      <c r="Y348" s="8"/>
      <c r="Z348" s="8"/>
    </row>
    <row r="349" ht="14.25" customHeight="1">
      <c r="B349" s="1" t="s">
        <v>39</v>
      </c>
      <c r="C349" s="1">
        <v>35.0</v>
      </c>
      <c r="D349" s="1">
        <v>437.0</v>
      </c>
      <c r="E349" s="1">
        <v>4.0</v>
      </c>
      <c r="F349" s="1">
        <v>0.0</v>
      </c>
      <c r="G349" s="1">
        <v>0.0</v>
      </c>
      <c r="H349" s="1">
        <v>0.0</v>
      </c>
      <c r="I349" s="1">
        <v>0.0</v>
      </c>
      <c r="J349" s="1">
        <v>78.0</v>
      </c>
      <c r="K349" s="18">
        <f t="shared" si="1"/>
        <v>0</v>
      </c>
      <c r="L349" s="18">
        <f t="shared" si="2"/>
        <v>21.49347319</v>
      </c>
      <c r="M349" s="118"/>
      <c r="N349" s="118"/>
      <c r="O349" s="11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B350" s="1" t="s">
        <v>48</v>
      </c>
      <c r="C350" s="1">
        <v>3.0</v>
      </c>
      <c r="D350" s="1">
        <v>33.2</v>
      </c>
      <c r="E350" s="1">
        <v>0.2</v>
      </c>
      <c r="F350" s="1">
        <v>0.0</v>
      </c>
      <c r="G350" s="1">
        <v>-1.0</v>
      </c>
      <c r="H350" s="1">
        <v>0.0</v>
      </c>
      <c r="I350" s="1">
        <v>0.0</v>
      </c>
      <c r="J350" s="1">
        <v>23.4</v>
      </c>
      <c r="K350" s="18">
        <f t="shared" si="1"/>
        <v>0</v>
      </c>
      <c r="L350" s="18">
        <f t="shared" si="2"/>
        <v>1.632913753</v>
      </c>
      <c r="M350" s="118"/>
      <c r="N350" s="118"/>
      <c r="O350" s="11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1" t="s">
        <v>969</v>
      </c>
      <c r="B351" s="1" t="s">
        <v>140</v>
      </c>
      <c r="C351" s="1">
        <v>17.6</v>
      </c>
      <c r="D351" s="1">
        <v>251.5</v>
      </c>
      <c r="E351" s="1">
        <v>1.7</v>
      </c>
      <c r="F351" s="1">
        <v>0.5</v>
      </c>
      <c r="G351" s="1">
        <v>2.5</v>
      </c>
      <c r="H351" s="1">
        <v>0.0</v>
      </c>
      <c r="I351" s="1">
        <v>0.0</v>
      </c>
      <c r="J351" s="1">
        <v>52.9</v>
      </c>
      <c r="K351" s="18">
        <f t="shared" si="1"/>
        <v>0.154934688</v>
      </c>
      <c r="L351" s="18">
        <f t="shared" si="2"/>
        <v>12.36981352</v>
      </c>
      <c r="M351" s="112">
        <f>C353*Scoring!$B$34+D353/Scoring!$C$34+E353*Scoring!$D$34+WR!F353*Scoring!$E$34+WR!G353/Scoring!$F$34+WR!H353*Scoring!$G$34+WR!I353*Scoring!$H$34+K353*Scoring!$I$34+WR!L353*Scoring!$J$34+U351</f>
        <v>7.86</v>
      </c>
      <c r="N351" s="112">
        <f>C351*Scoring!$B$34+D351/Scoring!$C$34+E351*Scoring!$D$34+WR!F351*Scoring!$E$34+WR!G351/Scoring!$F$34+WR!H351*Scoring!$G$34+WR!I351*Scoring!$H$34+K351*Scoring!$I$34+WR!L351*Scoring!$J$34+U351</f>
        <v>44.4</v>
      </c>
      <c r="O351" s="112">
        <f>C352*Scoring!$B$34+D352/Scoring!$C$34+E352*Scoring!$D$34+WR!F352*Scoring!$E$34+WR!G352/Scoring!$F$34+WR!H352*Scoring!$G$34+WR!I352*Scoring!$H$34+K352*Scoring!$I$34+WR!L352*Scoring!$J$34+U351</f>
        <v>80.4</v>
      </c>
      <c r="P351" s="8">
        <f>IF(COUNTIF(Rookies!$A:$A,A351)&gt;0,1,0)</f>
        <v>0</v>
      </c>
      <c r="Q351" s="8"/>
      <c r="R351" s="8"/>
      <c r="S351" s="8">
        <f>V351/17</f>
        <v>2.611764706</v>
      </c>
      <c r="T351" s="8">
        <f>IF(P351=1,MAX(0,0.28*(12-S351)),0)</f>
        <v>0</v>
      </c>
      <c r="U351" s="8">
        <f>T351*17</f>
        <v>0</v>
      </c>
      <c r="V351" s="8">
        <f>C351*Scoring!$B$34+D351/Scoring!$C$34+E351*Scoring!$D$34+WR!F351*Scoring!$E$34+WR!G351/Scoring!$F$34+WR!H351*Scoring!$G$34+WR!I351*Scoring!$H$34+K351*Scoring!$I$34+WR!L351*Scoring!$J$34</f>
        <v>44.4</v>
      </c>
      <c r="W351" s="8"/>
      <c r="X351" s="8"/>
      <c r="Y351" s="8"/>
      <c r="Z351" s="8"/>
    </row>
    <row r="352" ht="14.25" customHeight="1">
      <c r="B352" s="1" t="s">
        <v>39</v>
      </c>
      <c r="C352" s="1">
        <v>32.0</v>
      </c>
      <c r="D352" s="1">
        <v>459.0</v>
      </c>
      <c r="E352" s="1">
        <v>3.0</v>
      </c>
      <c r="F352" s="1">
        <v>1.0</v>
      </c>
      <c r="G352" s="1">
        <v>5.0</v>
      </c>
      <c r="H352" s="1">
        <v>0.0</v>
      </c>
      <c r="I352" s="1">
        <v>0.0</v>
      </c>
      <c r="J352" s="1">
        <v>73.6</v>
      </c>
      <c r="K352" s="18">
        <f t="shared" si="1"/>
        <v>0.3098693759</v>
      </c>
      <c r="L352" s="18">
        <f t="shared" si="2"/>
        <v>22.57552448</v>
      </c>
      <c r="M352" s="118"/>
      <c r="N352" s="118"/>
      <c r="O352" s="11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B353" s="1" t="s">
        <v>48</v>
      </c>
      <c r="C353" s="1">
        <v>3.3</v>
      </c>
      <c r="D353" s="1">
        <v>44.1</v>
      </c>
      <c r="E353" s="1">
        <v>0.3</v>
      </c>
      <c r="F353" s="1">
        <v>0.0</v>
      </c>
      <c r="G353" s="1">
        <v>0.0</v>
      </c>
      <c r="H353" s="1">
        <v>0.0</v>
      </c>
      <c r="I353" s="1">
        <v>0.0</v>
      </c>
      <c r="J353" s="1">
        <v>23.9</v>
      </c>
      <c r="K353" s="18">
        <f t="shared" si="1"/>
        <v>0</v>
      </c>
      <c r="L353" s="18">
        <f t="shared" si="2"/>
        <v>2.169020979</v>
      </c>
      <c r="M353" s="118"/>
      <c r="N353" s="118"/>
      <c r="O353" s="11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1" t="s">
        <v>970</v>
      </c>
      <c r="B354" s="1" t="s">
        <v>217</v>
      </c>
      <c r="C354" s="1">
        <v>22.8</v>
      </c>
      <c r="D354" s="1">
        <v>239.2</v>
      </c>
      <c r="E354" s="1">
        <v>0.7</v>
      </c>
      <c r="F354" s="1">
        <v>0.0</v>
      </c>
      <c r="G354" s="1">
        <v>0.0</v>
      </c>
      <c r="H354" s="1">
        <v>0.0</v>
      </c>
      <c r="I354" s="1">
        <v>0.2</v>
      </c>
      <c r="J354" s="1">
        <v>50.2</v>
      </c>
      <c r="K354" s="18">
        <f t="shared" si="1"/>
        <v>0</v>
      </c>
      <c r="L354" s="18">
        <f t="shared" si="2"/>
        <v>11.76484848</v>
      </c>
      <c r="M354" s="112">
        <f>C356*Scoring!$B$34+D356/Scoring!$C$34+E356*Scoring!$D$34+WR!F356*Scoring!$E$34+WR!G356/Scoring!$F$34+WR!H356*Scoring!$G$34+WR!I356*Scoring!$H$34+K356*Scoring!$I$34+WR!L356*Scoring!$J$34+U354</f>
        <v>39.12</v>
      </c>
      <c r="N354" s="112">
        <f>C354*Scoring!$B$34+D354/Scoring!$C$34+E354*Scoring!$D$34+WR!F354*Scoring!$E$34+WR!G354/Scoring!$F$34+WR!H354*Scoring!$G$34+WR!I354*Scoring!$H$34+K354*Scoring!$I$34+WR!L354*Scoring!$J$34+U354</f>
        <v>39.12</v>
      </c>
      <c r="O354" s="112">
        <f>C355*Scoring!$B$34+D355/Scoring!$C$34+E355*Scoring!$D$34+WR!F355*Scoring!$E$34+WR!G355/Scoring!$F$34+WR!H355*Scoring!$G$34+WR!I355*Scoring!$H$34+K355*Scoring!$I$34+WR!L355*Scoring!$J$34+U354</f>
        <v>39.12</v>
      </c>
      <c r="P354" s="8">
        <f>IF(COUNTIF(Rookies!$A:$A,A354)&gt;0,1,0)</f>
        <v>0</v>
      </c>
      <c r="Q354" s="8"/>
      <c r="R354" s="8"/>
      <c r="S354" s="8">
        <f>V354/17</f>
        <v>2.301176471</v>
      </c>
      <c r="T354" s="8">
        <f>IF(P354=1,MAX(0,0.28*(12-S354)),0)</f>
        <v>0</v>
      </c>
      <c r="U354" s="8">
        <f>T354*17</f>
        <v>0</v>
      </c>
      <c r="V354" s="8">
        <f>C354*Scoring!$B$34+D354/Scoring!$C$34+E354*Scoring!$D$34+WR!F354*Scoring!$E$34+WR!G354/Scoring!$F$34+WR!H354*Scoring!$G$34+WR!I354*Scoring!$H$34+K354*Scoring!$I$34+WR!L354*Scoring!$J$34</f>
        <v>39.12</v>
      </c>
      <c r="W354" s="8"/>
      <c r="X354" s="8"/>
      <c r="Y354" s="8"/>
      <c r="Z354" s="8"/>
    </row>
    <row r="355" ht="14.25" customHeight="1">
      <c r="B355" s="1" t="s">
        <v>39</v>
      </c>
      <c r="C355" s="1">
        <v>22.8</v>
      </c>
      <c r="D355" s="1">
        <v>239.2</v>
      </c>
      <c r="E355" s="1">
        <v>0.7</v>
      </c>
      <c r="F355" s="1">
        <v>0.0</v>
      </c>
      <c r="G355" s="1">
        <v>0.0</v>
      </c>
      <c r="H355" s="1">
        <v>0.0</v>
      </c>
      <c r="I355" s="1">
        <v>0.2</v>
      </c>
      <c r="J355" s="1">
        <v>50.3</v>
      </c>
      <c r="K355" s="18">
        <f t="shared" si="1"/>
        <v>0</v>
      </c>
      <c r="L355" s="18">
        <f t="shared" si="2"/>
        <v>11.76484848</v>
      </c>
      <c r="M355" s="118"/>
      <c r="N355" s="118"/>
      <c r="O355" s="11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B356" s="1" t="s">
        <v>48</v>
      </c>
      <c r="C356" s="1">
        <v>22.8</v>
      </c>
      <c r="D356" s="1">
        <v>239.2</v>
      </c>
      <c r="E356" s="1">
        <v>0.7</v>
      </c>
      <c r="F356" s="1">
        <v>0.0</v>
      </c>
      <c r="G356" s="1">
        <v>0.0</v>
      </c>
      <c r="H356" s="1">
        <v>0.0</v>
      </c>
      <c r="I356" s="1">
        <v>0.2</v>
      </c>
      <c r="J356" s="1">
        <v>50.3</v>
      </c>
      <c r="K356" s="18">
        <f t="shared" si="1"/>
        <v>0</v>
      </c>
      <c r="L356" s="18">
        <f t="shared" si="2"/>
        <v>11.76484848</v>
      </c>
      <c r="M356" s="118"/>
      <c r="N356" s="118"/>
      <c r="O356" s="11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1" t="s">
        <v>971</v>
      </c>
      <c r="B357" s="1" t="s">
        <v>106</v>
      </c>
      <c r="C357" s="1">
        <v>14.4</v>
      </c>
      <c r="D357" s="1">
        <v>221.1</v>
      </c>
      <c r="E357" s="1">
        <v>2.3</v>
      </c>
      <c r="F357" s="1">
        <v>0.0</v>
      </c>
      <c r="G357" s="1">
        <v>0.0</v>
      </c>
      <c r="H357" s="1">
        <v>0.0</v>
      </c>
      <c r="I357" s="1">
        <v>0.0</v>
      </c>
      <c r="J357" s="1">
        <v>49.9</v>
      </c>
      <c r="K357" s="18">
        <f t="shared" si="1"/>
        <v>0</v>
      </c>
      <c r="L357" s="18">
        <f t="shared" si="2"/>
        <v>10.87461538</v>
      </c>
      <c r="M357" s="112">
        <f>C359*Scoring!$B$34+D359/Scoring!$C$34+E359*Scoring!$D$34+WR!F359*Scoring!$E$34+WR!G359/Scoring!$F$34+WR!H359*Scoring!$G$34+WR!I359*Scoring!$H$34+K359*Scoring!$I$34+WR!L359*Scoring!$J$34+U357</f>
        <v>14.18</v>
      </c>
      <c r="N357" s="112">
        <f>C357*Scoring!$B$34+D357/Scoring!$C$34+E357*Scoring!$D$34+WR!F357*Scoring!$E$34+WR!G357/Scoring!$F$34+WR!H357*Scoring!$G$34+WR!I357*Scoring!$H$34+K357*Scoring!$I$34+WR!L357*Scoring!$J$34+U357</f>
        <v>43.11</v>
      </c>
      <c r="O357" s="112">
        <f>C358*Scoring!$B$34+D358/Scoring!$C$34+E358*Scoring!$D$34+WR!F358*Scoring!$E$34+WR!G358/Scoring!$F$34+WR!H358*Scoring!$G$34+WR!I358*Scoring!$H$34+K358*Scoring!$I$34+WR!L358*Scoring!$J$34+U357</f>
        <v>71.2</v>
      </c>
      <c r="P357" s="8">
        <f>IF(COUNTIF(Rookies!$A:$A,A357)&gt;0,1,0)</f>
        <v>0</v>
      </c>
      <c r="Q357" s="8"/>
      <c r="R357" s="8"/>
      <c r="S357" s="8">
        <f>V357/17</f>
        <v>2.535882353</v>
      </c>
      <c r="T357" s="8">
        <f>IF(P357=1,MAX(0,0.28*(12-S357)),0)</f>
        <v>0</v>
      </c>
      <c r="U357" s="8">
        <f>T357*17</f>
        <v>0</v>
      </c>
      <c r="V357" s="8">
        <f>C357*Scoring!$B$34+D357/Scoring!$C$34+E357*Scoring!$D$34+WR!F357*Scoring!$E$34+WR!G357/Scoring!$F$34+WR!H357*Scoring!$G$34+WR!I357*Scoring!$H$34+K357*Scoring!$I$34+WR!L357*Scoring!$J$34</f>
        <v>43.11</v>
      </c>
      <c r="W357" s="8"/>
      <c r="X357" s="8"/>
      <c r="Y357" s="8"/>
      <c r="Z357" s="8"/>
    </row>
    <row r="358" ht="14.25" customHeight="1">
      <c r="B358" s="1" t="s">
        <v>39</v>
      </c>
      <c r="C358" s="1">
        <v>22.0</v>
      </c>
      <c r="D358" s="1">
        <v>362.0</v>
      </c>
      <c r="E358" s="1">
        <v>4.0</v>
      </c>
      <c r="F358" s="1">
        <v>0.0</v>
      </c>
      <c r="G358" s="1">
        <v>0.0</v>
      </c>
      <c r="H358" s="1">
        <v>0.0</v>
      </c>
      <c r="I358" s="1">
        <v>0.0</v>
      </c>
      <c r="J358" s="1">
        <v>67.4</v>
      </c>
      <c r="K358" s="18">
        <f t="shared" si="1"/>
        <v>0</v>
      </c>
      <c r="L358" s="18">
        <f t="shared" si="2"/>
        <v>17.804662</v>
      </c>
      <c r="M358" s="118"/>
      <c r="N358" s="118"/>
      <c r="O358" s="11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B359" s="1" t="s">
        <v>48</v>
      </c>
      <c r="C359" s="1">
        <v>6.7</v>
      </c>
      <c r="D359" s="1">
        <v>80.3</v>
      </c>
      <c r="E359" s="1">
        <v>0.5</v>
      </c>
      <c r="F359" s="1">
        <v>0.0</v>
      </c>
      <c r="G359" s="1">
        <v>0.0</v>
      </c>
      <c r="H359" s="1">
        <v>0.0</v>
      </c>
      <c r="I359" s="1">
        <v>0.1</v>
      </c>
      <c r="J359" s="1">
        <v>26.1</v>
      </c>
      <c r="K359" s="18">
        <f t="shared" si="1"/>
        <v>0</v>
      </c>
      <c r="L359" s="18">
        <f t="shared" si="2"/>
        <v>3.949487179</v>
      </c>
      <c r="M359" s="118"/>
      <c r="N359" s="118"/>
      <c r="O359" s="11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1" t="s">
        <v>972</v>
      </c>
      <c r="B360" s="1" t="s">
        <v>196</v>
      </c>
      <c r="C360" s="1">
        <v>16.0</v>
      </c>
      <c r="D360" s="1">
        <v>233.0</v>
      </c>
      <c r="E360" s="1">
        <v>1.3</v>
      </c>
      <c r="F360" s="1">
        <v>0.0</v>
      </c>
      <c r="G360" s="1">
        <v>0.0</v>
      </c>
      <c r="H360" s="1">
        <v>0.0</v>
      </c>
      <c r="I360" s="1">
        <v>0.0</v>
      </c>
      <c r="J360" s="1">
        <v>47.1</v>
      </c>
      <c r="K360" s="18">
        <f t="shared" si="1"/>
        <v>0</v>
      </c>
      <c r="L360" s="18">
        <f t="shared" si="2"/>
        <v>11.45990676</v>
      </c>
      <c r="M360" s="112">
        <f>C362*Scoring!$B$34+D362/Scoring!$C$34+E362*Scoring!$D$34+WR!F362*Scoring!$E$34+WR!G362/Scoring!$F$34+WR!H362*Scoring!$G$34+WR!I362*Scoring!$H$34+K362*Scoring!$I$34+WR!L362*Scoring!$J$34+U360</f>
        <v>39.1</v>
      </c>
      <c r="N360" s="112">
        <f>C360*Scoring!$B$34+D360/Scoring!$C$34+E360*Scoring!$D$34+WR!F360*Scoring!$E$34+WR!G360/Scoring!$F$34+WR!H360*Scoring!$G$34+WR!I360*Scoring!$H$34+K360*Scoring!$I$34+WR!L360*Scoring!$J$34+U360</f>
        <v>39.1</v>
      </c>
      <c r="O360" s="112">
        <f>C361*Scoring!$B$34+D361/Scoring!$C$34+E361*Scoring!$D$34+WR!F361*Scoring!$E$34+WR!G361/Scoring!$F$34+WR!H361*Scoring!$G$34+WR!I361*Scoring!$H$34+K361*Scoring!$I$34+WR!L361*Scoring!$J$34+U360</f>
        <v>39.1</v>
      </c>
      <c r="P360" s="8">
        <f>IF(COUNTIF(Rookies!$A:$A,A360)&gt;0,1,0)</f>
        <v>0</v>
      </c>
      <c r="Q360" s="8"/>
      <c r="R360" s="8"/>
      <c r="S360" s="8">
        <f>V360/17</f>
        <v>2.3</v>
      </c>
      <c r="T360" s="8">
        <f>IF(P360=1,MAX(0,0.28*(12-S360)),0)</f>
        <v>0</v>
      </c>
      <c r="U360" s="8">
        <f>T360*17</f>
        <v>0</v>
      </c>
      <c r="V360" s="8">
        <f>C360*Scoring!$B$34+D360/Scoring!$C$34+E360*Scoring!$D$34+WR!F360*Scoring!$E$34+WR!G360/Scoring!$F$34+WR!H360*Scoring!$G$34+WR!I360*Scoring!$H$34+K360*Scoring!$I$34+WR!L360*Scoring!$J$34</f>
        <v>39.1</v>
      </c>
      <c r="W360" s="8"/>
      <c r="X360" s="8"/>
      <c r="Y360" s="8"/>
      <c r="Z360" s="8"/>
    </row>
    <row r="361" ht="14.25" customHeight="1">
      <c r="B361" s="1" t="s">
        <v>39</v>
      </c>
      <c r="C361" s="1">
        <v>16.0</v>
      </c>
      <c r="D361" s="1">
        <v>233.0</v>
      </c>
      <c r="E361" s="1">
        <v>1.3</v>
      </c>
      <c r="F361" s="1">
        <v>0.0</v>
      </c>
      <c r="G361" s="1">
        <v>0.0</v>
      </c>
      <c r="H361" s="1">
        <v>0.0</v>
      </c>
      <c r="I361" s="1">
        <v>0.0</v>
      </c>
      <c r="J361" s="1">
        <v>47.1</v>
      </c>
      <c r="K361" s="18">
        <f t="shared" si="1"/>
        <v>0</v>
      </c>
      <c r="L361" s="18">
        <f t="shared" si="2"/>
        <v>11.45990676</v>
      </c>
      <c r="M361" s="118"/>
      <c r="N361" s="118"/>
      <c r="O361" s="11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B362" s="1" t="s">
        <v>48</v>
      </c>
      <c r="C362" s="1">
        <v>16.0</v>
      </c>
      <c r="D362" s="1">
        <v>233.0</v>
      </c>
      <c r="E362" s="1">
        <v>1.3</v>
      </c>
      <c r="F362" s="1">
        <v>0.0</v>
      </c>
      <c r="G362" s="1">
        <v>0.0</v>
      </c>
      <c r="H362" s="1">
        <v>0.0</v>
      </c>
      <c r="I362" s="1">
        <v>0.0</v>
      </c>
      <c r="J362" s="1">
        <v>47.1</v>
      </c>
      <c r="K362" s="18">
        <f t="shared" si="1"/>
        <v>0</v>
      </c>
      <c r="L362" s="18">
        <f t="shared" si="2"/>
        <v>11.45990676</v>
      </c>
      <c r="M362" s="118"/>
      <c r="N362" s="118"/>
      <c r="O362" s="11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1" t="s">
        <v>973</v>
      </c>
      <c r="B363" s="1" t="s">
        <v>106</v>
      </c>
      <c r="C363" s="1">
        <v>15.9</v>
      </c>
      <c r="D363" s="1">
        <v>216.9</v>
      </c>
      <c r="E363" s="1">
        <v>1.6</v>
      </c>
      <c r="F363" s="1">
        <v>0.0</v>
      </c>
      <c r="G363" s="1">
        <v>0.0</v>
      </c>
      <c r="H363" s="1">
        <v>0.0</v>
      </c>
      <c r="I363" s="1">
        <v>0.2</v>
      </c>
      <c r="J363" s="1">
        <v>46.7</v>
      </c>
      <c r="K363" s="18">
        <f t="shared" si="1"/>
        <v>0</v>
      </c>
      <c r="L363" s="18">
        <f t="shared" si="2"/>
        <v>10.66804196</v>
      </c>
      <c r="M363" s="112">
        <f>C365*Scoring!$B$34+D365/Scoring!$C$34+E365*Scoring!$D$34+WR!F365*Scoring!$E$34+WR!G365/Scoring!$F$34+WR!H365*Scoring!$G$34+WR!I365*Scoring!$H$34+K365*Scoring!$I$34+WR!L365*Scoring!$J$34+U363</f>
        <v>38.84</v>
      </c>
      <c r="N363" s="112">
        <f>C363*Scoring!$B$34+D363/Scoring!$C$34+E363*Scoring!$D$34+WR!F363*Scoring!$E$34+WR!G363/Scoring!$F$34+WR!H363*Scoring!$G$34+WR!I363*Scoring!$H$34+K363*Scoring!$I$34+WR!L363*Scoring!$J$34+U363</f>
        <v>38.84</v>
      </c>
      <c r="O363" s="112">
        <f>C364*Scoring!$B$34+D364/Scoring!$C$34+E364*Scoring!$D$34+WR!F364*Scoring!$E$34+WR!G364/Scoring!$F$34+WR!H364*Scoring!$G$34+WR!I364*Scoring!$H$34+K364*Scoring!$I$34+WR!L364*Scoring!$J$34+U363</f>
        <v>38.84</v>
      </c>
      <c r="P363" s="8">
        <f>IF(COUNTIF(Rookies!$A:$A,A363)&gt;0,1,0)</f>
        <v>0</v>
      </c>
      <c r="Q363" s="8"/>
      <c r="R363" s="8"/>
      <c r="S363" s="8">
        <f>V363/17</f>
        <v>2.284705882</v>
      </c>
      <c r="T363" s="8">
        <f>IF(P363=1,MAX(0,0.28*(12-S363)),0)</f>
        <v>0</v>
      </c>
      <c r="U363" s="8">
        <f>T363*17</f>
        <v>0</v>
      </c>
      <c r="V363" s="8">
        <f>C363*Scoring!$B$34+D363/Scoring!$C$34+E363*Scoring!$D$34+WR!F363*Scoring!$E$34+WR!G363/Scoring!$F$34+WR!H363*Scoring!$G$34+WR!I363*Scoring!$H$34+K363*Scoring!$I$34+WR!L363*Scoring!$J$34</f>
        <v>38.84</v>
      </c>
      <c r="W363" s="8"/>
      <c r="X363" s="8"/>
      <c r="Y363" s="8"/>
      <c r="Z363" s="8"/>
    </row>
    <row r="364" ht="14.25" customHeight="1">
      <c r="B364" s="1" t="s">
        <v>39</v>
      </c>
      <c r="C364" s="1">
        <v>15.9</v>
      </c>
      <c r="D364" s="1">
        <v>216.9</v>
      </c>
      <c r="E364" s="1">
        <v>1.6</v>
      </c>
      <c r="F364" s="1">
        <v>0.0</v>
      </c>
      <c r="G364" s="1">
        <v>0.0</v>
      </c>
      <c r="H364" s="1">
        <v>0.0</v>
      </c>
      <c r="I364" s="1">
        <v>0.2</v>
      </c>
      <c r="J364" s="1">
        <v>47.0</v>
      </c>
      <c r="K364" s="18">
        <f t="shared" si="1"/>
        <v>0</v>
      </c>
      <c r="L364" s="18">
        <f t="shared" si="2"/>
        <v>10.66804196</v>
      </c>
      <c r="M364" s="118"/>
      <c r="N364" s="118"/>
      <c r="O364" s="11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B365" s="1" t="s">
        <v>48</v>
      </c>
      <c r="C365" s="1">
        <v>15.9</v>
      </c>
      <c r="D365" s="1">
        <v>216.9</v>
      </c>
      <c r="E365" s="1">
        <v>1.6</v>
      </c>
      <c r="F365" s="1">
        <v>0.0</v>
      </c>
      <c r="G365" s="1">
        <v>0.0</v>
      </c>
      <c r="H365" s="1">
        <v>0.0</v>
      </c>
      <c r="I365" s="1">
        <v>0.2</v>
      </c>
      <c r="J365" s="1">
        <v>47.0</v>
      </c>
      <c r="K365" s="18">
        <f t="shared" si="1"/>
        <v>0</v>
      </c>
      <c r="L365" s="18">
        <f t="shared" si="2"/>
        <v>10.66804196</v>
      </c>
      <c r="M365" s="118"/>
      <c r="N365" s="118"/>
      <c r="O365" s="11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1" t="s">
        <v>974</v>
      </c>
      <c r="B366" s="1" t="s">
        <v>159</v>
      </c>
      <c r="C366" s="1">
        <v>19.2</v>
      </c>
      <c r="D366" s="1">
        <v>186.9</v>
      </c>
      <c r="E366" s="1">
        <v>0.9</v>
      </c>
      <c r="F366" s="1">
        <v>4.6</v>
      </c>
      <c r="G366" s="1">
        <v>27.2</v>
      </c>
      <c r="H366" s="1">
        <v>0.2</v>
      </c>
      <c r="I366" s="1">
        <v>0.2</v>
      </c>
      <c r="J366" s="1">
        <v>46.4</v>
      </c>
      <c r="K366" s="18">
        <f t="shared" si="1"/>
        <v>1.685689405</v>
      </c>
      <c r="L366" s="18">
        <f t="shared" si="2"/>
        <v>9.192517483</v>
      </c>
      <c r="M366" s="112">
        <f>C368*Scoring!$B$34+D368/Scoring!$C$34+E368*Scoring!$D$34+WR!F368*Scoring!$E$34+WR!G368/Scoring!$F$34+WR!H368*Scoring!$G$34+WR!I368*Scoring!$H$34+K368*Scoring!$I$34+WR!L368*Scoring!$J$34+U366</f>
        <v>37.21</v>
      </c>
      <c r="N366" s="112">
        <f>C366*Scoring!$B$34+D366/Scoring!$C$34+E366*Scoring!$D$34+WR!F366*Scoring!$E$34+WR!G366/Scoring!$F$34+WR!H366*Scoring!$G$34+WR!I366*Scoring!$H$34+K366*Scoring!$I$34+WR!L366*Scoring!$J$34+U366</f>
        <v>37.21</v>
      </c>
      <c r="O366" s="112">
        <f>C367*Scoring!$B$34+D367/Scoring!$C$34+E367*Scoring!$D$34+WR!F367*Scoring!$E$34+WR!G367/Scoring!$F$34+WR!H367*Scoring!$G$34+WR!I367*Scoring!$H$34+K367*Scoring!$I$34+WR!L367*Scoring!$J$34+U366</f>
        <v>37.21</v>
      </c>
      <c r="P366" s="8">
        <f>IF(COUNTIF(Rookies!$A:$A,A366)&gt;0,1,0)</f>
        <v>0</v>
      </c>
      <c r="Q366" s="8"/>
      <c r="R366" s="8"/>
      <c r="S366" s="8">
        <f>V366/17</f>
        <v>2.188823529</v>
      </c>
      <c r="T366" s="8">
        <f>IF(P366=1,MAX(0,0.28*(12-S366)),0)</f>
        <v>0</v>
      </c>
      <c r="U366" s="8">
        <f>T366*17</f>
        <v>0</v>
      </c>
      <c r="V366" s="8">
        <f>C366*Scoring!$B$34+D366/Scoring!$C$34+E366*Scoring!$D$34+WR!F366*Scoring!$E$34+WR!G366/Scoring!$F$34+WR!H366*Scoring!$G$34+WR!I366*Scoring!$H$34+K366*Scoring!$I$34+WR!L366*Scoring!$J$34</f>
        <v>37.21</v>
      </c>
      <c r="W366" s="8"/>
      <c r="X366" s="8"/>
      <c r="Y366" s="8"/>
      <c r="Z366" s="8"/>
    </row>
    <row r="367" ht="14.25" customHeight="1">
      <c r="B367" s="1" t="s">
        <v>39</v>
      </c>
      <c r="C367" s="1">
        <v>19.2</v>
      </c>
      <c r="D367" s="1">
        <v>186.9</v>
      </c>
      <c r="E367" s="1">
        <v>0.9</v>
      </c>
      <c r="F367" s="1">
        <v>4.6</v>
      </c>
      <c r="G367" s="1">
        <v>27.2</v>
      </c>
      <c r="H367" s="1">
        <v>0.2</v>
      </c>
      <c r="I367" s="1">
        <v>0.2</v>
      </c>
      <c r="J367" s="1">
        <v>48.0</v>
      </c>
      <c r="K367" s="18">
        <f t="shared" si="1"/>
        <v>1.685689405</v>
      </c>
      <c r="L367" s="18">
        <f t="shared" si="2"/>
        <v>9.192517483</v>
      </c>
      <c r="M367" s="118"/>
      <c r="N367" s="118"/>
      <c r="O367" s="11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B368" s="1" t="s">
        <v>48</v>
      </c>
      <c r="C368" s="1">
        <v>19.2</v>
      </c>
      <c r="D368" s="1">
        <v>186.9</v>
      </c>
      <c r="E368" s="1">
        <v>0.9</v>
      </c>
      <c r="F368" s="1">
        <v>4.6</v>
      </c>
      <c r="G368" s="1">
        <v>27.2</v>
      </c>
      <c r="H368" s="1">
        <v>0.2</v>
      </c>
      <c r="I368" s="1">
        <v>0.2</v>
      </c>
      <c r="J368" s="1">
        <v>48.0</v>
      </c>
      <c r="K368" s="18">
        <f t="shared" si="1"/>
        <v>1.685689405</v>
      </c>
      <c r="L368" s="18">
        <f t="shared" si="2"/>
        <v>9.192517483</v>
      </c>
      <c r="M368" s="118"/>
      <c r="N368" s="118"/>
      <c r="O368" s="11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1" t="s">
        <v>975</v>
      </c>
      <c r="B369" s="1" t="s">
        <v>106</v>
      </c>
      <c r="C369" s="1">
        <v>15.0</v>
      </c>
      <c r="D369" s="1">
        <v>217.8</v>
      </c>
      <c r="E369" s="1">
        <v>1.4</v>
      </c>
      <c r="F369" s="1">
        <v>0.0</v>
      </c>
      <c r="G369" s="1">
        <v>0.0</v>
      </c>
      <c r="H369" s="1">
        <v>0.0</v>
      </c>
      <c r="I369" s="1">
        <v>0.1</v>
      </c>
      <c r="J369" s="1">
        <v>44.7</v>
      </c>
      <c r="K369" s="18">
        <f t="shared" si="1"/>
        <v>0</v>
      </c>
      <c r="L369" s="18">
        <f t="shared" si="2"/>
        <v>10.71230769</v>
      </c>
      <c r="M369" s="112">
        <f>C371*Scoring!$B$34+D371/Scoring!$C$34+E371*Scoring!$D$34+WR!F371*Scoring!$E$34+WR!G371/Scoring!$F$34+WR!H371*Scoring!$G$34+WR!I371*Scoring!$H$34+K371*Scoring!$I$34+WR!L371*Scoring!$J$34+U369</f>
        <v>37.48</v>
      </c>
      <c r="N369" s="112">
        <f>C369*Scoring!$B$34+D369/Scoring!$C$34+E369*Scoring!$D$34+WR!F369*Scoring!$E$34+WR!G369/Scoring!$F$34+WR!H369*Scoring!$G$34+WR!I369*Scoring!$H$34+K369*Scoring!$I$34+WR!L369*Scoring!$J$34+U369</f>
        <v>37.48</v>
      </c>
      <c r="O369" s="112">
        <f>C370*Scoring!$B$34+D370/Scoring!$C$34+E370*Scoring!$D$34+WR!F370*Scoring!$E$34+WR!G370/Scoring!$F$34+WR!H370*Scoring!$G$34+WR!I370*Scoring!$H$34+K370*Scoring!$I$34+WR!L370*Scoring!$J$34+U369</f>
        <v>37.48</v>
      </c>
      <c r="P369" s="8">
        <f>IF(COUNTIF(Rookies!$A:$A,A369)&gt;0,1,0)</f>
        <v>0</v>
      </c>
      <c r="Q369" s="8"/>
      <c r="R369" s="8"/>
      <c r="S369" s="8">
        <f>V369/17</f>
        <v>2.204705882</v>
      </c>
      <c r="T369" s="8">
        <f>IF(P369=1,MAX(0,0.28*(12-S369)),0)</f>
        <v>0</v>
      </c>
      <c r="U369" s="8">
        <f>T369*17</f>
        <v>0</v>
      </c>
      <c r="V369" s="8">
        <f>C369*Scoring!$B$34+D369/Scoring!$C$34+E369*Scoring!$D$34+WR!F369*Scoring!$E$34+WR!G369/Scoring!$F$34+WR!H369*Scoring!$G$34+WR!I369*Scoring!$H$34+K369*Scoring!$I$34+WR!L369*Scoring!$J$34</f>
        <v>37.48</v>
      </c>
      <c r="W369" s="8"/>
      <c r="X369" s="8"/>
      <c r="Y369" s="8"/>
      <c r="Z369" s="8"/>
    </row>
    <row r="370" ht="14.25" customHeight="1">
      <c r="B370" s="1" t="s">
        <v>39</v>
      </c>
      <c r="C370" s="1">
        <v>15.0</v>
      </c>
      <c r="D370" s="1">
        <v>217.8</v>
      </c>
      <c r="E370" s="1">
        <v>1.4</v>
      </c>
      <c r="F370" s="1">
        <v>0.0</v>
      </c>
      <c r="G370" s="1">
        <v>0.0</v>
      </c>
      <c r="H370" s="1">
        <v>0.0</v>
      </c>
      <c r="I370" s="1">
        <v>0.1</v>
      </c>
      <c r="J370" s="1">
        <v>45.0</v>
      </c>
      <c r="K370" s="18">
        <f t="shared" si="1"/>
        <v>0</v>
      </c>
      <c r="L370" s="18">
        <f t="shared" si="2"/>
        <v>10.71230769</v>
      </c>
      <c r="M370" s="118"/>
      <c r="N370" s="118"/>
      <c r="O370" s="11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B371" s="1" t="s">
        <v>48</v>
      </c>
      <c r="C371" s="1">
        <v>15.0</v>
      </c>
      <c r="D371" s="1">
        <v>217.8</v>
      </c>
      <c r="E371" s="1">
        <v>1.4</v>
      </c>
      <c r="F371" s="1">
        <v>0.0</v>
      </c>
      <c r="G371" s="1">
        <v>0.0</v>
      </c>
      <c r="H371" s="1">
        <v>0.0</v>
      </c>
      <c r="I371" s="1">
        <v>0.1</v>
      </c>
      <c r="J371" s="1">
        <v>45.0</v>
      </c>
      <c r="K371" s="18">
        <f t="shared" si="1"/>
        <v>0</v>
      </c>
      <c r="L371" s="18">
        <f t="shared" si="2"/>
        <v>10.71230769</v>
      </c>
      <c r="M371" s="118"/>
      <c r="N371" s="118"/>
      <c r="O371" s="11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1" t="s">
        <v>976</v>
      </c>
      <c r="B372" s="1" t="s">
        <v>61</v>
      </c>
      <c r="C372" s="1">
        <v>14.5</v>
      </c>
      <c r="D372" s="1">
        <v>208.8</v>
      </c>
      <c r="E372" s="1">
        <v>1.5</v>
      </c>
      <c r="F372" s="1">
        <v>0.0</v>
      </c>
      <c r="G372" s="1">
        <v>0.0</v>
      </c>
      <c r="H372" s="1">
        <v>0.0</v>
      </c>
      <c r="I372" s="1">
        <v>0.2</v>
      </c>
      <c r="J372" s="1">
        <v>43.8</v>
      </c>
      <c r="K372" s="18">
        <f t="shared" si="1"/>
        <v>0</v>
      </c>
      <c r="L372" s="18">
        <f t="shared" si="2"/>
        <v>10.26965035</v>
      </c>
      <c r="M372" s="112">
        <f>C374*Scoring!$B$34+D374/Scoring!$C$34+E374*Scoring!$D$34+WR!F374*Scoring!$E$34+WR!G374/Scoring!$F$34+WR!H374*Scoring!$G$34+WR!I374*Scoring!$H$34+K374*Scoring!$I$34+WR!L374*Scoring!$J$34+U372</f>
        <v>36.73</v>
      </c>
      <c r="N372" s="112">
        <f>C372*Scoring!$B$34+D372/Scoring!$C$34+E372*Scoring!$D$34+WR!F372*Scoring!$E$34+WR!G372/Scoring!$F$34+WR!H372*Scoring!$G$34+WR!I372*Scoring!$H$34+K372*Scoring!$I$34+WR!L372*Scoring!$J$34+U372</f>
        <v>36.73</v>
      </c>
      <c r="O372" s="112">
        <f>C373*Scoring!$B$34+D373/Scoring!$C$34+E373*Scoring!$D$34+WR!F373*Scoring!$E$34+WR!G373/Scoring!$F$34+WR!H373*Scoring!$G$34+WR!I373*Scoring!$H$34+K373*Scoring!$I$34+WR!L373*Scoring!$J$34+U372</f>
        <v>36.73</v>
      </c>
      <c r="P372" s="8">
        <f>IF(COUNTIF(Rookies!$A:$A,A372)&gt;0,1,0)</f>
        <v>0</v>
      </c>
      <c r="Q372" s="8"/>
      <c r="R372" s="8"/>
      <c r="S372" s="8">
        <f>V372/17</f>
        <v>2.160588235</v>
      </c>
      <c r="T372" s="8">
        <f>IF(P372=1,MAX(0,0.28*(12-S372)),0)</f>
        <v>0</v>
      </c>
      <c r="U372" s="8">
        <f>T372*17</f>
        <v>0</v>
      </c>
      <c r="V372" s="8">
        <f>C372*Scoring!$B$34+D372/Scoring!$C$34+E372*Scoring!$D$34+WR!F372*Scoring!$E$34+WR!G372/Scoring!$F$34+WR!H372*Scoring!$G$34+WR!I372*Scoring!$H$34+K372*Scoring!$I$34+WR!L372*Scoring!$J$34</f>
        <v>36.73</v>
      </c>
      <c r="W372" s="8"/>
      <c r="X372" s="8"/>
      <c r="Y372" s="8"/>
      <c r="Z372" s="8"/>
    </row>
    <row r="373" ht="14.25" customHeight="1">
      <c r="B373" s="1" t="s">
        <v>39</v>
      </c>
      <c r="C373" s="1">
        <v>14.5</v>
      </c>
      <c r="D373" s="1">
        <v>208.8</v>
      </c>
      <c r="E373" s="1">
        <v>1.5</v>
      </c>
      <c r="F373" s="1">
        <v>0.0</v>
      </c>
      <c r="G373" s="1">
        <v>0.0</v>
      </c>
      <c r="H373" s="1">
        <v>0.0</v>
      </c>
      <c r="I373" s="1">
        <v>0.2</v>
      </c>
      <c r="J373" s="1">
        <v>44.0</v>
      </c>
      <c r="K373" s="18">
        <f t="shared" si="1"/>
        <v>0</v>
      </c>
      <c r="L373" s="18">
        <f t="shared" si="2"/>
        <v>10.26965035</v>
      </c>
      <c r="M373" s="118"/>
      <c r="N373" s="118"/>
      <c r="O373" s="11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B374" s="1" t="s">
        <v>48</v>
      </c>
      <c r="C374" s="1">
        <v>14.5</v>
      </c>
      <c r="D374" s="1">
        <v>208.8</v>
      </c>
      <c r="E374" s="1">
        <v>1.5</v>
      </c>
      <c r="F374" s="1">
        <v>0.0</v>
      </c>
      <c r="G374" s="1">
        <v>0.0</v>
      </c>
      <c r="H374" s="1">
        <v>0.0</v>
      </c>
      <c r="I374" s="1">
        <v>0.2</v>
      </c>
      <c r="J374" s="1">
        <v>44.0</v>
      </c>
      <c r="K374" s="18">
        <f t="shared" si="1"/>
        <v>0</v>
      </c>
      <c r="L374" s="18">
        <f t="shared" si="2"/>
        <v>10.26965035</v>
      </c>
      <c r="M374" s="118"/>
      <c r="N374" s="118"/>
      <c r="O374" s="11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1" t="s">
        <v>977</v>
      </c>
      <c r="B375" s="1" t="s">
        <v>155</v>
      </c>
      <c r="C375" s="1">
        <v>16.2</v>
      </c>
      <c r="D375" s="1">
        <v>203.2</v>
      </c>
      <c r="E375" s="1">
        <v>1.3</v>
      </c>
      <c r="F375" s="1">
        <v>0.0</v>
      </c>
      <c r="G375" s="1">
        <v>0.0</v>
      </c>
      <c r="H375" s="1">
        <v>0.0</v>
      </c>
      <c r="I375" s="1">
        <v>0.2</v>
      </c>
      <c r="J375" s="1">
        <v>43.8</v>
      </c>
      <c r="K375" s="18">
        <f t="shared" si="1"/>
        <v>0</v>
      </c>
      <c r="L375" s="18">
        <f t="shared" si="2"/>
        <v>9.994219114</v>
      </c>
      <c r="M375" s="112">
        <f>C377*Scoring!$B$34+D377/Scoring!$C$34+E377*Scoring!$D$34+WR!F377*Scoring!$E$34+WR!G377/Scoring!$F$34+WR!H377*Scoring!$G$34+WR!I377*Scoring!$H$34+K377*Scoring!$I$34+WR!L377*Scoring!$J$34+U375</f>
        <v>82.9104</v>
      </c>
      <c r="N375" s="112">
        <f>C375*Scoring!$B$34+D375/Scoring!$C$34+E375*Scoring!$D$34+WR!F375*Scoring!$E$34+WR!G375/Scoring!$F$34+WR!H375*Scoring!$G$34+WR!I375*Scoring!$H$34+K375*Scoring!$I$34+WR!L375*Scoring!$J$34+U375</f>
        <v>82.9104</v>
      </c>
      <c r="O375" s="112">
        <f>C376*Scoring!$B$34+D376/Scoring!$C$34+E376*Scoring!$D$34+WR!F376*Scoring!$E$34+WR!G376/Scoring!$F$34+WR!H376*Scoring!$G$34+WR!I376*Scoring!$H$34+K376*Scoring!$I$34+WR!L376*Scoring!$J$34+U375</f>
        <v>82.9104</v>
      </c>
      <c r="P375" s="8">
        <f>IF(COUNTIF(Rookies!$A:$A,A375)&gt;0,1,0)</f>
        <v>1</v>
      </c>
      <c r="Q375" s="8"/>
      <c r="R375" s="8"/>
      <c r="S375" s="8">
        <f>V375/17</f>
        <v>2.107058824</v>
      </c>
      <c r="T375" s="8">
        <f>IF(P375=1,MAX(0,0.28*(12-S375)),0)</f>
        <v>2.770023529</v>
      </c>
      <c r="U375" s="8">
        <f>T375*17</f>
        <v>47.0904</v>
      </c>
      <c r="V375" s="8">
        <f>C375*Scoring!$B$34+D375/Scoring!$C$34+E375*Scoring!$D$34+WR!F375*Scoring!$E$34+WR!G375/Scoring!$F$34+WR!H375*Scoring!$G$34+WR!I375*Scoring!$H$34+K375*Scoring!$I$34+WR!L375*Scoring!$J$34</f>
        <v>35.82</v>
      </c>
      <c r="W375" s="8"/>
      <c r="X375" s="8"/>
      <c r="Y375" s="8"/>
      <c r="Z375" s="8"/>
    </row>
    <row r="376" ht="14.25" customHeight="1">
      <c r="B376" s="1" t="s">
        <v>39</v>
      </c>
      <c r="C376" s="1">
        <v>16.2</v>
      </c>
      <c r="D376" s="1">
        <v>203.2</v>
      </c>
      <c r="E376" s="1">
        <v>1.3</v>
      </c>
      <c r="F376" s="1">
        <v>0.0</v>
      </c>
      <c r="G376" s="1">
        <v>0.0</v>
      </c>
      <c r="H376" s="1">
        <v>0.0</v>
      </c>
      <c r="I376" s="1">
        <v>0.2</v>
      </c>
      <c r="J376" s="1">
        <v>44.0</v>
      </c>
      <c r="K376" s="18">
        <f t="shared" si="1"/>
        <v>0</v>
      </c>
      <c r="L376" s="18">
        <f t="shared" si="2"/>
        <v>9.994219114</v>
      </c>
      <c r="M376" s="118"/>
      <c r="N376" s="118"/>
      <c r="O376" s="11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B377" s="1" t="s">
        <v>48</v>
      </c>
      <c r="C377" s="1">
        <v>16.2</v>
      </c>
      <c r="D377" s="1">
        <v>203.2</v>
      </c>
      <c r="E377" s="1">
        <v>1.3</v>
      </c>
      <c r="F377" s="1">
        <v>0.0</v>
      </c>
      <c r="G377" s="1">
        <v>0.0</v>
      </c>
      <c r="H377" s="1">
        <v>0.0</v>
      </c>
      <c r="I377" s="1">
        <v>0.2</v>
      </c>
      <c r="J377" s="1">
        <v>44.0</v>
      </c>
      <c r="K377" s="18">
        <f t="shared" si="1"/>
        <v>0</v>
      </c>
      <c r="L377" s="18">
        <f t="shared" si="2"/>
        <v>9.994219114</v>
      </c>
      <c r="M377" s="118"/>
      <c r="N377" s="118"/>
      <c r="O377" s="11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1" t="s">
        <v>978</v>
      </c>
      <c r="B378" s="1" t="s">
        <v>210</v>
      </c>
      <c r="C378" s="1">
        <v>18.8</v>
      </c>
      <c r="D378" s="1">
        <v>185.9</v>
      </c>
      <c r="E378" s="1">
        <v>0.7</v>
      </c>
      <c r="F378" s="1">
        <v>2.2</v>
      </c>
      <c r="G378" s="1">
        <v>12.7</v>
      </c>
      <c r="H378" s="1">
        <v>0.1</v>
      </c>
      <c r="I378" s="1">
        <v>0.2</v>
      </c>
      <c r="J378" s="1">
        <v>43.1</v>
      </c>
      <c r="K378" s="18">
        <f t="shared" si="1"/>
        <v>0.7870682148</v>
      </c>
      <c r="L378" s="18">
        <f t="shared" si="2"/>
        <v>9.143333333</v>
      </c>
      <c r="M378" s="112">
        <f>C380*Scoring!$B$34+D380/Scoring!$C$34+E380*Scoring!$D$34+WR!F380*Scoring!$E$34+WR!G380/Scoring!$F$34+WR!H380*Scoring!$G$34+WR!I380*Scoring!$H$34+K380*Scoring!$I$34+WR!L380*Scoring!$J$34+U378</f>
        <v>33.66</v>
      </c>
      <c r="N378" s="112">
        <f>C378*Scoring!$B$34+D378/Scoring!$C$34+E378*Scoring!$D$34+WR!F378*Scoring!$E$34+WR!G378/Scoring!$F$34+WR!H378*Scoring!$G$34+WR!I378*Scoring!$H$34+K378*Scoring!$I$34+WR!L378*Scoring!$J$34+U378</f>
        <v>33.66</v>
      </c>
      <c r="O378" s="112">
        <f>C379*Scoring!$B$34+D379/Scoring!$C$34+E379*Scoring!$D$34+WR!F379*Scoring!$E$34+WR!G379/Scoring!$F$34+WR!H379*Scoring!$G$34+WR!I379*Scoring!$H$34+K379*Scoring!$I$34+WR!L379*Scoring!$J$34+U378</f>
        <v>33.66</v>
      </c>
      <c r="P378" s="8">
        <f>IF(COUNTIF(Rookies!$A:$A,A378)&gt;0,1,0)</f>
        <v>0</v>
      </c>
      <c r="Q378" s="8"/>
      <c r="R378" s="8"/>
      <c r="S378" s="8">
        <f>V378/17</f>
        <v>1.98</v>
      </c>
      <c r="T378" s="8">
        <f>IF(P378=1,MAX(0,0.28*(12-S378)),0)</f>
        <v>0</v>
      </c>
      <c r="U378" s="8">
        <f>T378*17</f>
        <v>0</v>
      </c>
      <c r="V378" s="8">
        <f>C378*Scoring!$B$34+D378/Scoring!$C$34+E378*Scoring!$D$34+WR!F378*Scoring!$E$34+WR!G378/Scoring!$F$34+WR!H378*Scoring!$G$34+WR!I378*Scoring!$H$34+K378*Scoring!$I$34+WR!L378*Scoring!$J$34</f>
        <v>33.66</v>
      </c>
      <c r="W378" s="8"/>
      <c r="X378" s="8"/>
      <c r="Y378" s="8"/>
      <c r="Z378" s="8"/>
    </row>
    <row r="379" ht="14.25" customHeight="1">
      <c r="B379" s="1" t="s">
        <v>39</v>
      </c>
      <c r="C379" s="1">
        <v>18.8</v>
      </c>
      <c r="D379" s="1">
        <v>185.9</v>
      </c>
      <c r="E379" s="1">
        <v>0.7</v>
      </c>
      <c r="F379" s="1">
        <v>2.2</v>
      </c>
      <c r="G379" s="1">
        <v>12.7</v>
      </c>
      <c r="H379" s="1">
        <v>0.1</v>
      </c>
      <c r="I379" s="1">
        <v>0.2</v>
      </c>
      <c r="J379" s="1">
        <v>46.8</v>
      </c>
      <c r="K379" s="18">
        <f t="shared" si="1"/>
        <v>0.7870682148</v>
      </c>
      <c r="L379" s="18">
        <f t="shared" si="2"/>
        <v>9.143333333</v>
      </c>
      <c r="M379" s="118"/>
      <c r="N379" s="118"/>
      <c r="O379" s="11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B380" s="1" t="s">
        <v>48</v>
      </c>
      <c r="C380" s="1">
        <v>18.8</v>
      </c>
      <c r="D380" s="1">
        <v>185.9</v>
      </c>
      <c r="E380" s="1">
        <v>0.7</v>
      </c>
      <c r="F380" s="1">
        <v>2.2</v>
      </c>
      <c r="G380" s="1">
        <v>12.7</v>
      </c>
      <c r="H380" s="1">
        <v>0.1</v>
      </c>
      <c r="I380" s="1">
        <v>0.2</v>
      </c>
      <c r="J380" s="1">
        <v>46.8</v>
      </c>
      <c r="K380" s="18">
        <f t="shared" si="1"/>
        <v>0.7870682148</v>
      </c>
      <c r="L380" s="18">
        <f t="shared" si="2"/>
        <v>9.143333333</v>
      </c>
      <c r="M380" s="118"/>
      <c r="N380" s="118"/>
      <c r="O380" s="11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1" t="s">
        <v>979</v>
      </c>
      <c r="B381" s="1" t="s">
        <v>127</v>
      </c>
      <c r="C381" s="1">
        <v>14.1</v>
      </c>
      <c r="D381" s="1">
        <v>176.3</v>
      </c>
      <c r="E381" s="1">
        <v>1.3</v>
      </c>
      <c r="F381" s="1">
        <v>0.0</v>
      </c>
      <c r="G381" s="1">
        <v>0.0</v>
      </c>
      <c r="H381" s="1">
        <v>0.0</v>
      </c>
      <c r="I381" s="1">
        <v>0.1</v>
      </c>
      <c r="J381" s="1">
        <v>39.5</v>
      </c>
      <c r="K381" s="18">
        <f t="shared" si="1"/>
        <v>0</v>
      </c>
      <c r="L381" s="18">
        <f t="shared" si="2"/>
        <v>8.671165501</v>
      </c>
      <c r="M381" s="112">
        <f>C383*Scoring!$B$34+D383/Scoring!$C$34+E383*Scoring!$D$34+WR!F383*Scoring!$E$34+WR!G383/Scoring!$F$34+WR!H383*Scoring!$G$34+WR!I383*Scoring!$H$34+K383*Scoring!$I$34+WR!L383*Scoring!$J$34+U381</f>
        <v>80.3616</v>
      </c>
      <c r="N381" s="112">
        <f>C381*Scoring!$B$34+D381/Scoring!$C$34+E381*Scoring!$D$34+WR!F381*Scoring!$E$34+WR!G381/Scoring!$F$34+WR!H381*Scoring!$G$34+WR!I381*Scoring!$H$34+K381*Scoring!$I$34+WR!L381*Scoring!$J$34+U381</f>
        <v>80.3616</v>
      </c>
      <c r="O381" s="112">
        <f>C382*Scoring!$B$34+D382/Scoring!$C$34+E382*Scoring!$D$34+WR!F382*Scoring!$E$34+WR!G382/Scoring!$F$34+WR!H382*Scoring!$G$34+WR!I382*Scoring!$H$34+K382*Scoring!$I$34+WR!L382*Scoring!$J$34+U381</f>
        <v>80.3616</v>
      </c>
      <c r="P381" s="8">
        <f>IF(COUNTIF(Rookies!$A:$A,A381)&gt;0,1,0)</f>
        <v>1</v>
      </c>
      <c r="Q381" s="8"/>
      <c r="R381" s="8"/>
      <c r="S381" s="8">
        <f>V381/17</f>
        <v>1.898823529</v>
      </c>
      <c r="T381" s="8">
        <f>IF(P381=1,MAX(0,0.28*(12-S381)),0)</f>
        <v>2.828329412</v>
      </c>
      <c r="U381" s="8">
        <f>T381*17</f>
        <v>48.0816</v>
      </c>
      <c r="V381" s="8">
        <f>C381*Scoring!$B$34+D381/Scoring!$C$34+E381*Scoring!$D$34+WR!F381*Scoring!$E$34+WR!G381/Scoring!$F$34+WR!H381*Scoring!$G$34+WR!I381*Scoring!$H$34+K381*Scoring!$I$34+WR!L381*Scoring!$J$34</f>
        <v>32.28</v>
      </c>
      <c r="W381" s="8"/>
      <c r="X381" s="8"/>
      <c r="Y381" s="8"/>
      <c r="Z381" s="8"/>
    </row>
    <row r="382" ht="14.25" customHeight="1">
      <c r="B382" s="1" t="s">
        <v>39</v>
      </c>
      <c r="C382" s="1">
        <v>14.1</v>
      </c>
      <c r="D382" s="1">
        <v>176.3</v>
      </c>
      <c r="E382" s="1">
        <v>1.3</v>
      </c>
      <c r="F382" s="1">
        <v>0.0</v>
      </c>
      <c r="G382" s="1">
        <v>0.0</v>
      </c>
      <c r="H382" s="1">
        <v>0.0</v>
      </c>
      <c r="I382" s="1">
        <v>0.1</v>
      </c>
      <c r="J382" s="1">
        <v>39.6</v>
      </c>
      <c r="K382" s="18">
        <f t="shared" si="1"/>
        <v>0</v>
      </c>
      <c r="L382" s="18">
        <f t="shared" si="2"/>
        <v>8.671165501</v>
      </c>
      <c r="M382" s="118"/>
      <c r="N382" s="118"/>
      <c r="O382" s="11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B383" s="1" t="s">
        <v>48</v>
      </c>
      <c r="C383" s="1">
        <v>14.1</v>
      </c>
      <c r="D383" s="1">
        <v>176.3</v>
      </c>
      <c r="E383" s="1">
        <v>1.3</v>
      </c>
      <c r="F383" s="1">
        <v>0.0</v>
      </c>
      <c r="G383" s="1">
        <v>0.0</v>
      </c>
      <c r="H383" s="1">
        <v>0.0</v>
      </c>
      <c r="I383" s="1">
        <v>0.1</v>
      </c>
      <c r="J383" s="1">
        <v>39.6</v>
      </c>
      <c r="K383" s="18">
        <f t="shared" si="1"/>
        <v>0</v>
      </c>
      <c r="L383" s="18">
        <f t="shared" si="2"/>
        <v>8.671165501</v>
      </c>
      <c r="M383" s="118"/>
      <c r="N383" s="118"/>
      <c r="O383" s="11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1" t="s">
        <v>980</v>
      </c>
      <c r="B384" s="1" t="s">
        <v>182</v>
      </c>
      <c r="C384" s="1">
        <v>15.1</v>
      </c>
      <c r="D384" s="1">
        <v>193.2</v>
      </c>
      <c r="E384" s="1">
        <v>0.9</v>
      </c>
      <c r="F384" s="1">
        <v>0.0</v>
      </c>
      <c r="G384" s="1">
        <v>0.0</v>
      </c>
      <c r="H384" s="1">
        <v>0.0</v>
      </c>
      <c r="I384" s="1">
        <v>0.2</v>
      </c>
      <c r="J384" s="1">
        <v>39.5</v>
      </c>
      <c r="K384" s="18">
        <f t="shared" si="1"/>
        <v>0</v>
      </c>
      <c r="L384" s="18">
        <f t="shared" si="2"/>
        <v>9.502377622</v>
      </c>
      <c r="M384" s="112">
        <f>C386*Scoring!$B$34+D386/Scoring!$C$34+E386*Scoring!$D$34+WR!F386*Scoring!$E$34+WR!G386/Scoring!$F$34+WR!H386*Scoring!$G$34+WR!I386*Scoring!$H$34+K386*Scoring!$I$34+WR!L386*Scoring!$J$34+U384</f>
        <v>80.0664</v>
      </c>
      <c r="N384" s="112">
        <f>C384*Scoring!$B$34+D384/Scoring!$C$34+E384*Scoring!$D$34+WR!F384*Scoring!$E$34+WR!G384/Scoring!$F$34+WR!H384*Scoring!$G$34+WR!I384*Scoring!$H$34+K384*Scoring!$I$34+WR!L384*Scoring!$J$34+U384</f>
        <v>80.0664</v>
      </c>
      <c r="O384" s="112">
        <f>C385*Scoring!$B$34+D385/Scoring!$C$34+E385*Scoring!$D$34+WR!F385*Scoring!$E$34+WR!G385/Scoring!$F$34+WR!H385*Scoring!$G$34+WR!I385*Scoring!$H$34+K385*Scoring!$I$34+WR!L385*Scoring!$J$34+U384</f>
        <v>80.0664</v>
      </c>
      <c r="P384" s="8">
        <f>IF(COUNTIF(Rookies!$A:$A,A384)&gt;0,1,0)</f>
        <v>1</v>
      </c>
      <c r="Q384" s="8"/>
      <c r="R384" s="8"/>
      <c r="S384" s="8">
        <f>V384/17</f>
        <v>1.874705882</v>
      </c>
      <c r="T384" s="8">
        <f>IF(P384=1,MAX(0,0.28*(12-S384)),0)</f>
        <v>2.835082353</v>
      </c>
      <c r="U384" s="8">
        <f>T384*17</f>
        <v>48.1964</v>
      </c>
      <c r="V384" s="8">
        <f>C384*Scoring!$B$34+D384/Scoring!$C$34+E384*Scoring!$D$34+WR!F384*Scoring!$E$34+WR!G384/Scoring!$F$34+WR!H384*Scoring!$G$34+WR!I384*Scoring!$H$34+K384*Scoring!$I$34+WR!L384*Scoring!$J$34</f>
        <v>31.87</v>
      </c>
      <c r="W384" s="8"/>
      <c r="X384" s="8"/>
      <c r="Y384" s="8"/>
      <c r="Z384" s="8"/>
    </row>
    <row r="385" ht="14.25" customHeight="1">
      <c r="B385" s="1" t="s">
        <v>39</v>
      </c>
      <c r="C385" s="1">
        <v>15.1</v>
      </c>
      <c r="D385" s="1">
        <v>193.2</v>
      </c>
      <c r="E385" s="1">
        <v>0.9</v>
      </c>
      <c r="F385" s="1">
        <v>0.0</v>
      </c>
      <c r="G385" s="1">
        <v>0.0</v>
      </c>
      <c r="H385" s="1">
        <v>0.0</v>
      </c>
      <c r="I385" s="1">
        <v>0.2</v>
      </c>
      <c r="J385" s="1">
        <v>39.5</v>
      </c>
      <c r="K385" s="18">
        <f t="shared" si="1"/>
        <v>0</v>
      </c>
      <c r="L385" s="18">
        <f t="shared" si="2"/>
        <v>9.502377622</v>
      </c>
      <c r="M385" s="118"/>
      <c r="N385" s="118"/>
      <c r="O385" s="11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B386" s="1" t="s">
        <v>48</v>
      </c>
      <c r="C386" s="1">
        <v>15.1</v>
      </c>
      <c r="D386" s="1">
        <v>193.2</v>
      </c>
      <c r="E386" s="1">
        <v>0.9</v>
      </c>
      <c r="F386" s="1">
        <v>0.0</v>
      </c>
      <c r="G386" s="1">
        <v>0.0</v>
      </c>
      <c r="H386" s="1">
        <v>0.0</v>
      </c>
      <c r="I386" s="1">
        <v>0.2</v>
      </c>
      <c r="J386" s="1">
        <v>39.5</v>
      </c>
      <c r="K386" s="18">
        <f t="shared" si="1"/>
        <v>0</v>
      </c>
      <c r="L386" s="18">
        <f t="shared" si="2"/>
        <v>9.502377622</v>
      </c>
      <c r="M386" s="118"/>
      <c r="N386" s="118"/>
      <c r="O386" s="11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1" t="s">
        <v>981</v>
      </c>
      <c r="B387" s="1" t="s">
        <v>159</v>
      </c>
      <c r="C387" s="1">
        <v>12.5</v>
      </c>
      <c r="D387" s="1">
        <v>153.5</v>
      </c>
      <c r="E387" s="1">
        <v>1.2</v>
      </c>
      <c r="F387" s="1">
        <v>0.0</v>
      </c>
      <c r="G387" s="1">
        <v>0.0</v>
      </c>
      <c r="H387" s="1">
        <v>0.0</v>
      </c>
      <c r="I387" s="1">
        <v>0.1</v>
      </c>
      <c r="J387" s="1">
        <v>34.9</v>
      </c>
      <c r="K387" s="18">
        <f t="shared" si="1"/>
        <v>0</v>
      </c>
      <c r="L387" s="18">
        <f t="shared" si="2"/>
        <v>7.5497669</v>
      </c>
      <c r="M387" s="112">
        <f>C389*Scoring!$B$34+D389/Scoring!$C$34+E389*Scoring!$D$34+WR!F389*Scoring!$E$34+WR!G389/Scoring!$F$34+WR!H389*Scoring!$G$34+WR!I389*Scoring!$H$34+K389*Scoring!$I$34+WR!L389*Scoring!$J$34+U387</f>
        <v>77.712</v>
      </c>
      <c r="N387" s="112">
        <f>C387*Scoring!$B$34+D387/Scoring!$C$34+E387*Scoring!$D$34+WR!F387*Scoring!$E$34+WR!G387/Scoring!$F$34+WR!H387*Scoring!$G$34+WR!I387*Scoring!$H$34+K387*Scoring!$I$34+WR!L387*Scoring!$J$34+U387</f>
        <v>77.712</v>
      </c>
      <c r="O387" s="112">
        <f>C388*Scoring!$B$34+D388/Scoring!$C$34+E388*Scoring!$D$34+WR!F388*Scoring!$E$34+WR!G388/Scoring!$F$34+WR!H388*Scoring!$G$34+WR!I388*Scoring!$H$34+K388*Scoring!$I$34+WR!L388*Scoring!$J$34+U387</f>
        <v>77.712</v>
      </c>
      <c r="P387" s="8">
        <f>IF(COUNTIF(Rookies!$A:$A,A387)&gt;0,1,0)</f>
        <v>1</v>
      </c>
      <c r="Q387" s="8"/>
      <c r="R387" s="8"/>
      <c r="S387" s="8">
        <f>V387/17</f>
        <v>1.682352941</v>
      </c>
      <c r="T387" s="8">
        <f>IF(P387=1,MAX(0,0.28*(12-S387)),0)</f>
        <v>2.888941176</v>
      </c>
      <c r="U387" s="8">
        <f>T387*17</f>
        <v>49.112</v>
      </c>
      <c r="V387" s="8">
        <f>C387*Scoring!$B$34+D387/Scoring!$C$34+E387*Scoring!$D$34+WR!F387*Scoring!$E$34+WR!G387/Scoring!$F$34+WR!H387*Scoring!$G$34+WR!I387*Scoring!$H$34+K387*Scoring!$I$34+WR!L387*Scoring!$J$34</f>
        <v>28.6</v>
      </c>
      <c r="W387" s="8"/>
      <c r="X387" s="8"/>
      <c r="Y387" s="8"/>
      <c r="Z387" s="8"/>
    </row>
    <row r="388" ht="14.25" customHeight="1">
      <c r="B388" s="1" t="s">
        <v>39</v>
      </c>
      <c r="C388" s="1">
        <v>12.5</v>
      </c>
      <c r="D388" s="1">
        <v>153.5</v>
      </c>
      <c r="E388" s="1">
        <v>1.2</v>
      </c>
      <c r="F388" s="1">
        <v>0.0</v>
      </c>
      <c r="G388" s="1">
        <v>0.0</v>
      </c>
      <c r="H388" s="1">
        <v>0.0</v>
      </c>
      <c r="I388" s="1">
        <v>0.1</v>
      </c>
      <c r="J388" s="1">
        <v>36.2</v>
      </c>
      <c r="K388" s="18">
        <f t="shared" si="1"/>
        <v>0</v>
      </c>
      <c r="L388" s="18">
        <f t="shared" si="2"/>
        <v>7.5497669</v>
      </c>
      <c r="M388" s="118"/>
      <c r="N388" s="118"/>
      <c r="O388" s="11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B389" s="1" t="s">
        <v>48</v>
      </c>
      <c r="C389" s="1">
        <v>12.5</v>
      </c>
      <c r="D389" s="1">
        <v>153.5</v>
      </c>
      <c r="E389" s="1">
        <v>1.2</v>
      </c>
      <c r="F389" s="1">
        <v>0.0</v>
      </c>
      <c r="G389" s="1">
        <v>0.0</v>
      </c>
      <c r="H389" s="1">
        <v>0.0</v>
      </c>
      <c r="I389" s="1">
        <v>0.1</v>
      </c>
      <c r="J389" s="1">
        <v>36.2</v>
      </c>
      <c r="K389" s="18">
        <f t="shared" si="1"/>
        <v>0</v>
      </c>
      <c r="L389" s="18">
        <f t="shared" si="2"/>
        <v>7.5497669</v>
      </c>
      <c r="M389" s="118"/>
      <c r="N389" s="118"/>
      <c r="O389" s="11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1" t="s">
        <v>982</v>
      </c>
      <c r="B390" s="1" t="s">
        <v>106</v>
      </c>
      <c r="C390" s="1">
        <v>12.4</v>
      </c>
      <c r="D390" s="1">
        <v>159.5</v>
      </c>
      <c r="E390" s="1">
        <v>1.1</v>
      </c>
      <c r="F390" s="1">
        <v>0.0</v>
      </c>
      <c r="G390" s="1">
        <v>0.0</v>
      </c>
      <c r="H390" s="1">
        <v>0.0</v>
      </c>
      <c r="I390" s="1">
        <v>0.1</v>
      </c>
      <c r="J390" s="1">
        <v>34.7</v>
      </c>
      <c r="K390" s="18">
        <f t="shared" si="1"/>
        <v>0</v>
      </c>
      <c r="L390" s="18">
        <f t="shared" si="2"/>
        <v>7.844871795</v>
      </c>
      <c r="M390" s="112">
        <f>C392*Scoring!$B$34+D392/Scoring!$C$34+E392*Scoring!$D$34+WR!F392*Scoring!$E$34+WR!G392/Scoring!$F$34+WR!H392*Scoring!$G$34+WR!I392*Scoring!$H$34+K392*Scoring!$I$34+WR!L392*Scoring!$J$34+U390</f>
        <v>28.55</v>
      </c>
      <c r="N390" s="112">
        <f>C390*Scoring!$B$34+D390/Scoring!$C$34+E390*Scoring!$D$34+WR!F390*Scoring!$E$34+WR!G390/Scoring!$F$34+WR!H390*Scoring!$G$34+WR!I390*Scoring!$H$34+K390*Scoring!$I$34+WR!L390*Scoring!$J$34+U390</f>
        <v>28.55</v>
      </c>
      <c r="O390" s="112">
        <f>C391*Scoring!$B$34+D391/Scoring!$C$34+E391*Scoring!$D$34+WR!F391*Scoring!$E$34+WR!G391/Scoring!$F$34+WR!H391*Scoring!$G$34+WR!I391*Scoring!$H$34+K391*Scoring!$I$34+WR!L391*Scoring!$J$34+U390</f>
        <v>28.55</v>
      </c>
      <c r="P390" s="8">
        <f>IF(COUNTIF(Rookies!$A:$A,A390)&gt;0,1,0)</f>
        <v>0</v>
      </c>
      <c r="Q390" s="8"/>
      <c r="R390" s="8"/>
      <c r="S390" s="8">
        <f>V390/17</f>
        <v>1.679411765</v>
      </c>
      <c r="T390" s="8">
        <f>IF(P390=1,MAX(0,0.28*(12-S390)),0)</f>
        <v>0</v>
      </c>
      <c r="U390" s="8">
        <f>T390*17</f>
        <v>0</v>
      </c>
      <c r="V390" s="8">
        <f>C390*Scoring!$B$34+D390/Scoring!$C$34+E390*Scoring!$D$34+WR!F390*Scoring!$E$34+WR!G390/Scoring!$F$34+WR!H390*Scoring!$G$34+WR!I390*Scoring!$H$34+K390*Scoring!$I$34+WR!L390*Scoring!$J$34</f>
        <v>28.55</v>
      </c>
      <c r="W390" s="8"/>
      <c r="X390" s="8"/>
      <c r="Y390" s="8"/>
      <c r="Z390" s="8"/>
    </row>
    <row r="391" ht="14.25" customHeight="1">
      <c r="B391" s="1" t="s">
        <v>39</v>
      </c>
      <c r="C391" s="1">
        <v>12.4</v>
      </c>
      <c r="D391" s="1">
        <v>159.5</v>
      </c>
      <c r="E391" s="1">
        <v>1.1</v>
      </c>
      <c r="F391" s="1">
        <v>0.0</v>
      </c>
      <c r="G391" s="1">
        <v>0.0</v>
      </c>
      <c r="H391" s="1">
        <v>0.0</v>
      </c>
      <c r="I391" s="1">
        <v>0.1</v>
      </c>
      <c r="J391" s="1">
        <v>37.3</v>
      </c>
      <c r="K391" s="18">
        <f t="shared" si="1"/>
        <v>0</v>
      </c>
      <c r="L391" s="18">
        <f t="shared" si="2"/>
        <v>7.844871795</v>
      </c>
      <c r="M391" s="118"/>
      <c r="N391" s="118"/>
      <c r="O391" s="11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B392" s="1" t="s">
        <v>48</v>
      </c>
      <c r="C392" s="1">
        <v>12.4</v>
      </c>
      <c r="D392" s="1">
        <v>159.5</v>
      </c>
      <c r="E392" s="1">
        <v>1.1</v>
      </c>
      <c r="F392" s="1">
        <v>0.0</v>
      </c>
      <c r="G392" s="1">
        <v>0.0</v>
      </c>
      <c r="H392" s="1">
        <v>0.0</v>
      </c>
      <c r="I392" s="1">
        <v>0.1</v>
      </c>
      <c r="J392" s="1">
        <v>37.3</v>
      </c>
      <c r="K392" s="18">
        <f t="shared" si="1"/>
        <v>0</v>
      </c>
      <c r="L392" s="18">
        <f t="shared" si="2"/>
        <v>7.844871795</v>
      </c>
      <c r="M392" s="118"/>
      <c r="N392" s="118"/>
      <c r="O392" s="11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1" t="s">
        <v>983</v>
      </c>
      <c r="B393" s="1" t="s">
        <v>61</v>
      </c>
      <c r="C393" s="1">
        <v>11.1</v>
      </c>
      <c r="D393" s="1">
        <v>165.8</v>
      </c>
      <c r="E393" s="1">
        <v>1.0</v>
      </c>
      <c r="F393" s="1">
        <v>0.0</v>
      </c>
      <c r="G393" s="1">
        <v>0.0</v>
      </c>
      <c r="H393" s="1">
        <v>0.0</v>
      </c>
      <c r="I393" s="1">
        <v>0.1</v>
      </c>
      <c r="J393" s="1">
        <v>33.5</v>
      </c>
      <c r="K393" s="18">
        <f t="shared" si="1"/>
        <v>0</v>
      </c>
      <c r="L393" s="18">
        <f t="shared" si="2"/>
        <v>8.154731935</v>
      </c>
      <c r="M393" s="112">
        <f>C395*Scoring!$B$34+D395/Scoring!$C$34+E395*Scoring!$D$34+WR!F395*Scoring!$E$34+WR!G395/Scoring!$F$34+WR!H395*Scoring!$G$34+WR!I395*Scoring!$H$34+K395*Scoring!$I$34+WR!L395*Scoring!$J$34+U393</f>
        <v>77.2296</v>
      </c>
      <c r="N393" s="112">
        <f>C393*Scoring!$B$34+D393/Scoring!$C$34+E393*Scoring!$D$34+WR!F393*Scoring!$E$34+WR!G393/Scoring!$F$34+WR!H393*Scoring!$G$34+WR!I393*Scoring!$H$34+K393*Scoring!$I$34+WR!L393*Scoring!$J$34+U393</f>
        <v>77.2296</v>
      </c>
      <c r="O393" s="112">
        <f>C394*Scoring!$B$34+D394/Scoring!$C$34+E394*Scoring!$D$34+WR!F394*Scoring!$E$34+WR!G394/Scoring!$F$34+WR!H394*Scoring!$G$34+WR!I394*Scoring!$H$34+K394*Scoring!$I$34+WR!L394*Scoring!$J$34+U393</f>
        <v>77.2296</v>
      </c>
      <c r="P393" s="8">
        <f>IF(COUNTIF(Rookies!$A:$A,A393)&gt;0,1,0)</f>
        <v>1</v>
      </c>
      <c r="Q393" s="8"/>
      <c r="R393" s="8"/>
      <c r="S393" s="8">
        <f>V393/17</f>
        <v>1.642941176</v>
      </c>
      <c r="T393" s="8">
        <f>IF(P393=1,MAX(0,0.28*(12-S393)),0)</f>
        <v>2.899976471</v>
      </c>
      <c r="U393" s="8">
        <f>T393*17</f>
        <v>49.2996</v>
      </c>
      <c r="V393" s="8">
        <f>C393*Scoring!$B$34+D393/Scoring!$C$34+E393*Scoring!$D$34+WR!F393*Scoring!$E$34+WR!G393/Scoring!$F$34+WR!H393*Scoring!$G$34+WR!I393*Scoring!$H$34+K393*Scoring!$I$34+WR!L393*Scoring!$J$34</f>
        <v>27.93</v>
      </c>
      <c r="W393" s="8"/>
      <c r="X393" s="8"/>
      <c r="Y393" s="8"/>
      <c r="Z393" s="8"/>
    </row>
    <row r="394" ht="14.25" customHeight="1">
      <c r="B394" s="1" t="s">
        <v>39</v>
      </c>
      <c r="C394" s="1">
        <v>11.1</v>
      </c>
      <c r="D394" s="1">
        <v>165.8</v>
      </c>
      <c r="E394" s="1">
        <v>1.0</v>
      </c>
      <c r="F394" s="1">
        <v>0.0</v>
      </c>
      <c r="G394" s="1">
        <v>0.0</v>
      </c>
      <c r="H394" s="1">
        <v>0.0</v>
      </c>
      <c r="I394" s="1">
        <v>0.1</v>
      </c>
      <c r="J394" s="1">
        <v>33.6</v>
      </c>
      <c r="K394" s="18">
        <f t="shared" si="1"/>
        <v>0</v>
      </c>
      <c r="L394" s="18">
        <f t="shared" si="2"/>
        <v>8.154731935</v>
      </c>
      <c r="M394" s="118"/>
      <c r="N394" s="118"/>
      <c r="O394" s="11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B395" s="1" t="s">
        <v>48</v>
      </c>
      <c r="C395" s="1">
        <v>11.1</v>
      </c>
      <c r="D395" s="1">
        <v>165.8</v>
      </c>
      <c r="E395" s="1">
        <v>1.0</v>
      </c>
      <c r="F395" s="1">
        <v>0.0</v>
      </c>
      <c r="G395" s="1">
        <v>0.0</v>
      </c>
      <c r="H395" s="1">
        <v>0.0</v>
      </c>
      <c r="I395" s="1">
        <v>0.1</v>
      </c>
      <c r="J395" s="1">
        <v>33.6</v>
      </c>
      <c r="K395" s="18">
        <f t="shared" si="1"/>
        <v>0</v>
      </c>
      <c r="L395" s="18">
        <f t="shared" si="2"/>
        <v>8.154731935</v>
      </c>
      <c r="M395" s="118"/>
      <c r="N395" s="118"/>
      <c r="O395" s="11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1" t="s">
        <v>984</v>
      </c>
      <c r="B396" s="1" t="s">
        <v>196</v>
      </c>
      <c r="C396" s="1">
        <v>13.5</v>
      </c>
      <c r="D396" s="1">
        <v>170.2</v>
      </c>
      <c r="E396" s="1">
        <v>0.4</v>
      </c>
      <c r="F396" s="1">
        <v>0.0</v>
      </c>
      <c r="G396" s="1">
        <v>0.0</v>
      </c>
      <c r="H396" s="1">
        <v>0.0</v>
      </c>
      <c r="I396" s="1">
        <v>0.1</v>
      </c>
      <c r="J396" s="1">
        <v>32.8</v>
      </c>
      <c r="K396" s="18">
        <f t="shared" si="1"/>
        <v>0</v>
      </c>
      <c r="L396" s="18">
        <f t="shared" si="2"/>
        <v>8.371142191</v>
      </c>
      <c r="M396" s="112">
        <f>C398*Scoring!$B$34+D398/Scoring!$C$34+E398*Scoring!$D$34+WR!F398*Scoring!$E$34+WR!G398/Scoring!$F$34+WR!H398*Scoring!$G$34+WR!I398*Scoring!$H$34+K398*Scoring!$I$34+WR!L398*Scoring!$J$34+U396</f>
        <v>75.8184</v>
      </c>
      <c r="N396" s="112">
        <f>C396*Scoring!$B$34+D396/Scoring!$C$34+E396*Scoring!$D$34+WR!F396*Scoring!$E$34+WR!G396/Scoring!$F$34+WR!H396*Scoring!$G$34+WR!I396*Scoring!$H$34+K396*Scoring!$I$34+WR!L396*Scoring!$J$34+U396</f>
        <v>75.8184</v>
      </c>
      <c r="O396" s="112">
        <f>C397*Scoring!$B$34+D397/Scoring!$C$34+E397*Scoring!$D$34+WR!F397*Scoring!$E$34+WR!G397/Scoring!$F$34+WR!H397*Scoring!$G$34+WR!I397*Scoring!$H$34+K397*Scoring!$I$34+WR!L397*Scoring!$J$34+U396</f>
        <v>75.8184</v>
      </c>
      <c r="P396" s="8">
        <f>IF(COUNTIF(Rookies!$A:$A,A396)&gt;0,1,0)</f>
        <v>1</v>
      </c>
      <c r="Q396" s="8"/>
      <c r="R396" s="8"/>
      <c r="S396" s="8">
        <f>V396/17</f>
        <v>1.527647059</v>
      </c>
      <c r="T396" s="8">
        <f>IF(P396=1,MAX(0,0.28*(12-S396)),0)</f>
        <v>2.932258824</v>
      </c>
      <c r="U396" s="8">
        <f>T396*17</f>
        <v>49.8484</v>
      </c>
      <c r="V396" s="8">
        <f>C396*Scoring!$B$34+D396/Scoring!$C$34+E396*Scoring!$D$34+WR!F396*Scoring!$E$34+WR!G396/Scoring!$F$34+WR!H396*Scoring!$G$34+WR!I396*Scoring!$H$34+K396*Scoring!$I$34+WR!L396*Scoring!$J$34</f>
        <v>25.97</v>
      </c>
      <c r="W396" s="8"/>
      <c r="X396" s="8"/>
      <c r="Y396" s="8"/>
      <c r="Z396" s="8"/>
    </row>
    <row r="397" ht="14.25" customHeight="1">
      <c r="B397" s="1" t="s">
        <v>39</v>
      </c>
      <c r="C397" s="1">
        <v>13.5</v>
      </c>
      <c r="D397" s="1">
        <v>170.2</v>
      </c>
      <c r="E397" s="1">
        <v>0.4</v>
      </c>
      <c r="F397" s="1">
        <v>0.0</v>
      </c>
      <c r="G397" s="1">
        <v>0.0</v>
      </c>
      <c r="H397" s="1">
        <v>0.0</v>
      </c>
      <c r="I397" s="1">
        <v>0.1</v>
      </c>
      <c r="J397" s="1">
        <v>32.9</v>
      </c>
      <c r="K397" s="18">
        <f t="shared" si="1"/>
        <v>0</v>
      </c>
      <c r="L397" s="18">
        <f t="shared" si="2"/>
        <v>8.371142191</v>
      </c>
      <c r="M397" s="118"/>
      <c r="N397" s="118"/>
      <c r="O397" s="11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B398" s="1" t="s">
        <v>48</v>
      </c>
      <c r="C398" s="1">
        <v>13.5</v>
      </c>
      <c r="D398" s="1">
        <v>170.2</v>
      </c>
      <c r="E398" s="1">
        <v>0.4</v>
      </c>
      <c r="F398" s="1">
        <v>0.0</v>
      </c>
      <c r="G398" s="1">
        <v>0.0</v>
      </c>
      <c r="H398" s="1">
        <v>0.0</v>
      </c>
      <c r="I398" s="1">
        <v>0.1</v>
      </c>
      <c r="J398" s="1">
        <v>32.9</v>
      </c>
      <c r="K398" s="18">
        <f t="shared" si="1"/>
        <v>0</v>
      </c>
      <c r="L398" s="18">
        <f t="shared" si="2"/>
        <v>8.371142191</v>
      </c>
      <c r="M398" s="118"/>
      <c r="N398" s="118"/>
      <c r="O398" s="11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1" t="s">
        <v>985</v>
      </c>
      <c r="B399" s="1" t="s">
        <v>229</v>
      </c>
      <c r="C399" s="1">
        <v>14.3</v>
      </c>
      <c r="D399" s="1">
        <v>142.3</v>
      </c>
      <c r="E399" s="1">
        <v>0.6</v>
      </c>
      <c r="F399" s="1">
        <v>0.0</v>
      </c>
      <c r="G399" s="1">
        <v>0.0</v>
      </c>
      <c r="H399" s="1">
        <v>0.0</v>
      </c>
      <c r="I399" s="1">
        <v>0.2</v>
      </c>
      <c r="J399" s="1">
        <v>32.0</v>
      </c>
      <c r="K399" s="18">
        <f t="shared" si="1"/>
        <v>0</v>
      </c>
      <c r="L399" s="18">
        <f t="shared" si="2"/>
        <v>6.998904429</v>
      </c>
      <c r="M399" s="112">
        <f>C401*Scoring!$B$34+D401/Scoring!$C$34+E401*Scoring!$D$34+WR!F401*Scoring!$E$34+WR!G401/Scoring!$F$34+WR!H401*Scoring!$G$34+WR!I401*Scoring!$H$34+K401*Scoring!$I$34+WR!L401*Scoring!$J$34+U399</f>
        <v>24.58</v>
      </c>
      <c r="N399" s="112">
        <f>C399*Scoring!$B$34+D399/Scoring!$C$34+E399*Scoring!$D$34+WR!F399*Scoring!$E$34+WR!G399/Scoring!$F$34+WR!H399*Scoring!$G$34+WR!I399*Scoring!$H$34+K399*Scoring!$I$34+WR!L399*Scoring!$J$34+U399</f>
        <v>24.58</v>
      </c>
      <c r="O399" s="112">
        <f>C400*Scoring!$B$34+D400/Scoring!$C$34+E400*Scoring!$D$34+WR!F400*Scoring!$E$34+WR!G400/Scoring!$F$34+WR!H400*Scoring!$G$34+WR!I400*Scoring!$H$34+K400*Scoring!$I$34+WR!L400*Scoring!$J$34+U399</f>
        <v>24.58</v>
      </c>
      <c r="P399" s="8">
        <f>IF(COUNTIF(Rookies!$A:$A,A399)&gt;0,1,0)</f>
        <v>0</v>
      </c>
      <c r="Q399" s="8"/>
      <c r="R399" s="8"/>
      <c r="S399" s="8">
        <f>V399/17</f>
        <v>1.445882353</v>
      </c>
      <c r="T399" s="8">
        <f>IF(P399=1,MAX(0,0.28*(12-S399)),0)</f>
        <v>0</v>
      </c>
      <c r="U399" s="8">
        <f>T399*17</f>
        <v>0</v>
      </c>
      <c r="V399" s="8">
        <f>C399*Scoring!$B$34+D399/Scoring!$C$34+E399*Scoring!$D$34+WR!F399*Scoring!$E$34+WR!G399/Scoring!$F$34+WR!H399*Scoring!$G$34+WR!I399*Scoring!$H$34+K399*Scoring!$I$34+WR!L399*Scoring!$J$34</f>
        <v>24.58</v>
      </c>
      <c r="W399" s="8"/>
      <c r="X399" s="8"/>
      <c r="Y399" s="8"/>
      <c r="Z399" s="8"/>
    </row>
    <row r="400" ht="14.25" customHeight="1">
      <c r="B400" s="1" t="s">
        <v>39</v>
      </c>
      <c r="C400" s="1">
        <v>14.3</v>
      </c>
      <c r="D400" s="1">
        <v>142.3</v>
      </c>
      <c r="E400" s="1">
        <v>0.6</v>
      </c>
      <c r="F400" s="1">
        <v>0.0</v>
      </c>
      <c r="G400" s="1">
        <v>0.0</v>
      </c>
      <c r="H400" s="1">
        <v>0.0</v>
      </c>
      <c r="I400" s="1">
        <v>0.2</v>
      </c>
      <c r="J400" s="1">
        <v>32.3</v>
      </c>
      <c r="K400" s="18">
        <f t="shared" si="1"/>
        <v>0</v>
      </c>
      <c r="L400" s="18">
        <f t="shared" si="2"/>
        <v>6.998904429</v>
      </c>
      <c r="M400" s="118"/>
      <c r="N400" s="118"/>
      <c r="O400" s="11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B401" s="1" t="s">
        <v>48</v>
      </c>
      <c r="C401" s="1">
        <v>14.3</v>
      </c>
      <c r="D401" s="1">
        <v>142.3</v>
      </c>
      <c r="E401" s="1">
        <v>0.6</v>
      </c>
      <c r="F401" s="1">
        <v>0.0</v>
      </c>
      <c r="G401" s="1">
        <v>0.0</v>
      </c>
      <c r="H401" s="1">
        <v>0.0</v>
      </c>
      <c r="I401" s="1">
        <v>0.2</v>
      </c>
      <c r="J401" s="1">
        <v>32.3</v>
      </c>
      <c r="K401" s="18">
        <f t="shared" si="1"/>
        <v>0</v>
      </c>
      <c r="L401" s="18">
        <f t="shared" si="2"/>
        <v>6.998904429</v>
      </c>
      <c r="M401" s="118"/>
      <c r="N401" s="118"/>
      <c r="O401" s="11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1" t="s">
        <v>997</v>
      </c>
      <c r="B402" s="1" t="s">
        <v>176</v>
      </c>
      <c r="C402" s="1">
        <v>11.3</v>
      </c>
      <c r="D402" s="1">
        <v>128.2</v>
      </c>
      <c r="E402" s="1">
        <v>0.9</v>
      </c>
      <c r="F402" s="1">
        <v>2.3</v>
      </c>
      <c r="G402" s="1">
        <v>12.1</v>
      </c>
      <c r="H402" s="1">
        <v>0.1</v>
      </c>
      <c r="I402" s="1">
        <v>0.1</v>
      </c>
      <c r="J402" s="1">
        <v>31.2</v>
      </c>
      <c r="K402" s="18">
        <f t="shared" si="1"/>
        <v>0.7498838897</v>
      </c>
      <c r="L402" s="18">
        <f t="shared" si="2"/>
        <v>6.305407925</v>
      </c>
      <c r="M402" s="112">
        <f>C404*Scoring!$B$34+D404/Scoring!$C$34+E404*Scoring!$D$34+WR!F404*Scoring!$E$34+WR!G404/Scoring!$F$34+WR!H404*Scoring!$G$34+WR!I404*Scoring!$H$34+K404*Scoring!$I$34+WR!L404*Scoring!$J$34+U402</f>
        <v>25.48</v>
      </c>
      <c r="N402" s="112">
        <f>C402*Scoring!$B$34+D402/Scoring!$C$34+E402*Scoring!$D$34+WR!F402*Scoring!$E$34+WR!G402/Scoring!$F$34+WR!H402*Scoring!$G$34+WR!I402*Scoring!$H$34+K402*Scoring!$I$34+WR!L402*Scoring!$J$34+U402</f>
        <v>25.48</v>
      </c>
      <c r="O402" s="112">
        <f>C403*Scoring!$B$34+D403/Scoring!$C$34+E403*Scoring!$D$34+WR!F403*Scoring!$E$34+WR!G403/Scoring!$F$34+WR!H403*Scoring!$G$34+WR!I403*Scoring!$H$34+K403*Scoring!$I$34+WR!L403*Scoring!$J$34+U402</f>
        <v>25.48</v>
      </c>
      <c r="P402" s="8">
        <f>IF(COUNTIF(Rookies!$A:$A,A402)&gt;0,1,0)</f>
        <v>0</v>
      </c>
      <c r="Q402" s="8"/>
      <c r="R402" s="8"/>
      <c r="S402" s="8">
        <f>V402/17</f>
        <v>1.498823529</v>
      </c>
      <c r="T402" s="8">
        <f>IF(P402=1,MAX(0,0.28*(12-S402)),0)</f>
        <v>0</v>
      </c>
      <c r="U402" s="8">
        <f>T402*17</f>
        <v>0</v>
      </c>
      <c r="V402" s="8">
        <f>C402*Scoring!$B$34+D402/Scoring!$C$34+E402*Scoring!$D$34+WR!F402*Scoring!$E$34+WR!G402/Scoring!$F$34+WR!H402*Scoring!$G$34+WR!I402*Scoring!$H$34+K402*Scoring!$I$34+WR!L402*Scoring!$J$34</f>
        <v>25.48</v>
      </c>
      <c r="W402" s="8"/>
      <c r="X402" s="8"/>
      <c r="Y402" s="8"/>
      <c r="Z402" s="8"/>
    </row>
    <row r="403" ht="14.25" customHeight="1">
      <c r="B403" s="1" t="s">
        <v>39</v>
      </c>
      <c r="C403" s="1">
        <v>11.3</v>
      </c>
      <c r="D403" s="1">
        <v>128.2</v>
      </c>
      <c r="E403" s="1">
        <v>0.9</v>
      </c>
      <c r="F403" s="1">
        <v>2.3</v>
      </c>
      <c r="G403" s="1">
        <v>12.1</v>
      </c>
      <c r="H403" s="1">
        <v>0.1</v>
      </c>
      <c r="I403" s="1">
        <v>0.1</v>
      </c>
      <c r="J403" s="1">
        <v>31.7</v>
      </c>
      <c r="K403" s="18">
        <f t="shared" si="1"/>
        <v>0.7498838897</v>
      </c>
      <c r="L403" s="18">
        <f t="shared" si="2"/>
        <v>6.305407925</v>
      </c>
      <c r="M403" s="118"/>
      <c r="N403" s="118"/>
      <c r="O403" s="11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B404" s="1" t="s">
        <v>48</v>
      </c>
      <c r="C404" s="1">
        <v>11.3</v>
      </c>
      <c r="D404" s="1">
        <v>128.2</v>
      </c>
      <c r="E404" s="1">
        <v>0.9</v>
      </c>
      <c r="F404" s="1">
        <v>2.3</v>
      </c>
      <c r="G404" s="1">
        <v>12.1</v>
      </c>
      <c r="H404" s="1">
        <v>0.1</v>
      </c>
      <c r="I404" s="1">
        <v>0.1</v>
      </c>
      <c r="J404" s="1">
        <v>31.7</v>
      </c>
      <c r="K404" s="18">
        <f t="shared" si="1"/>
        <v>0.7498838897</v>
      </c>
      <c r="L404" s="18">
        <f t="shared" si="2"/>
        <v>6.305407925</v>
      </c>
      <c r="M404" s="118"/>
      <c r="N404" s="118"/>
      <c r="O404" s="11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1" t="s">
        <v>1008</v>
      </c>
      <c r="B405" s="1" t="s">
        <v>226</v>
      </c>
      <c r="C405" s="1">
        <v>9.9</v>
      </c>
      <c r="D405" s="1">
        <v>130.3</v>
      </c>
      <c r="E405" s="1">
        <v>0.8</v>
      </c>
      <c r="F405" s="1">
        <v>4.3</v>
      </c>
      <c r="G405" s="1">
        <v>23.6</v>
      </c>
      <c r="H405" s="1">
        <v>0.1</v>
      </c>
      <c r="I405" s="1">
        <v>0.1</v>
      </c>
      <c r="J405" s="1">
        <v>30.4</v>
      </c>
      <c r="K405" s="18">
        <f t="shared" si="1"/>
        <v>1.462583454</v>
      </c>
      <c r="L405" s="18">
        <f t="shared" si="2"/>
        <v>6.408694639</v>
      </c>
      <c r="M405" s="112">
        <f>C407*Scoring!$B$34+D407/Scoring!$C$34+E407*Scoring!$D$34+WR!F407*Scoring!$E$34+WR!G407/Scoring!$F$34+WR!H407*Scoring!$G$34+WR!I407*Scoring!$H$34+K407*Scoring!$I$34+WR!L407*Scoring!$J$34+U405</f>
        <v>25.54</v>
      </c>
      <c r="N405" s="112">
        <f>C405*Scoring!$B$34+D405/Scoring!$C$34+E405*Scoring!$D$34+WR!F405*Scoring!$E$34+WR!G405/Scoring!$F$34+WR!H405*Scoring!$G$34+WR!I405*Scoring!$H$34+K405*Scoring!$I$34+WR!L405*Scoring!$J$34+U405</f>
        <v>25.54</v>
      </c>
      <c r="O405" s="112">
        <f>C406*Scoring!$B$34+D406/Scoring!$C$34+E406*Scoring!$D$34+WR!F406*Scoring!$E$34+WR!G406/Scoring!$F$34+WR!H406*Scoring!$G$34+WR!I406*Scoring!$H$34+K406*Scoring!$I$34+WR!L406*Scoring!$J$34+U405</f>
        <v>25.54</v>
      </c>
      <c r="P405" s="8">
        <f>IF(COUNTIF(Rookies!$A:$A,A405)&gt;0,1,0)</f>
        <v>0</v>
      </c>
      <c r="Q405" s="8"/>
      <c r="R405" s="8"/>
      <c r="S405" s="8">
        <f>V405/17</f>
        <v>1.502352941</v>
      </c>
      <c r="T405" s="8">
        <f>IF(P405=1,MAX(0,0.28*(12-S405)),0)</f>
        <v>0</v>
      </c>
      <c r="U405" s="8">
        <f>T405*17</f>
        <v>0</v>
      </c>
      <c r="V405" s="8">
        <f>C405*Scoring!$B$34+D405/Scoring!$C$34+E405*Scoring!$D$34+WR!F405*Scoring!$E$34+WR!G405/Scoring!$F$34+WR!H405*Scoring!$G$34+WR!I405*Scoring!$H$34+K405*Scoring!$I$34+WR!L405*Scoring!$J$34</f>
        <v>25.54</v>
      </c>
      <c r="W405" s="8"/>
      <c r="X405" s="8"/>
      <c r="Y405" s="8"/>
      <c r="Z405" s="8"/>
    </row>
    <row r="406" ht="14.25" customHeight="1">
      <c r="B406" s="1" t="s">
        <v>39</v>
      </c>
      <c r="C406" s="1">
        <v>9.9</v>
      </c>
      <c r="D406" s="1">
        <v>130.3</v>
      </c>
      <c r="E406" s="1">
        <v>0.8</v>
      </c>
      <c r="F406" s="1">
        <v>4.3</v>
      </c>
      <c r="G406" s="1">
        <v>23.6</v>
      </c>
      <c r="H406" s="1">
        <v>0.1</v>
      </c>
      <c r="I406" s="1">
        <v>0.1</v>
      </c>
      <c r="J406" s="1">
        <v>30.6</v>
      </c>
      <c r="K406" s="18">
        <f t="shared" si="1"/>
        <v>1.462583454</v>
      </c>
      <c r="L406" s="18">
        <f t="shared" si="2"/>
        <v>6.408694639</v>
      </c>
      <c r="M406" s="118"/>
      <c r="N406" s="118"/>
      <c r="O406" s="11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B407" s="1" t="s">
        <v>48</v>
      </c>
      <c r="C407" s="1">
        <v>9.9</v>
      </c>
      <c r="D407" s="1">
        <v>130.3</v>
      </c>
      <c r="E407" s="1">
        <v>0.8</v>
      </c>
      <c r="F407" s="1">
        <v>4.3</v>
      </c>
      <c r="G407" s="1">
        <v>23.6</v>
      </c>
      <c r="H407" s="1">
        <v>0.1</v>
      </c>
      <c r="I407" s="1">
        <v>0.1</v>
      </c>
      <c r="J407" s="1">
        <v>30.6</v>
      </c>
      <c r="K407" s="18">
        <f t="shared" si="1"/>
        <v>1.462583454</v>
      </c>
      <c r="L407" s="18">
        <f t="shared" si="2"/>
        <v>6.408694639</v>
      </c>
      <c r="M407" s="118"/>
      <c r="N407" s="118"/>
      <c r="O407" s="11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1" t="s">
        <v>1011</v>
      </c>
      <c r="B408" s="1" t="s">
        <v>176</v>
      </c>
      <c r="C408" s="1">
        <v>9.9</v>
      </c>
      <c r="D408" s="1">
        <v>126.7</v>
      </c>
      <c r="E408" s="1">
        <v>1.1</v>
      </c>
      <c r="F408" s="1">
        <v>0.0</v>
      </c>
      <c r="G408" s="1">
        <v>0.0</v>
      </c>
      <c r="H408" s="1">
        <v>0.0</v>
      </c>
      <c r="I408" s="1">
        <v>0.1</v>
      </c>
      <c r="J408" s="1">
        <v>29.2</v>
      </c>
      <c r="K408" s="18">
        <f t="shared" si="1"/>
        <v>0</v>
      </c>
      <c r="L408" s="18">
        <f t="shared" si="2"/>
        <v>6.231631702</v>
      </c>
      <c r="M408" s="112">
        <f>C410*Scoring!$B$34+D410/Scoring!$C$34+E410*Scoring!$D$34+WR!F410*Scoring!$E$34+WR!G410/Scoring!$F$34+WR!H410*Scoring!$G$34+WR!I410*Scoring!$H$34+K410*Scoring!$I$34+WR!L410*Scoring!$J$34+U408</f>
        <v>24.02</v>
      </c>
      <c r="N408" s="112">
        <f>C408*Scoring!$B$34+D408/Scoring!$C$34+E408*Scoring!$D$34+WR!F408*Scoring!$E$34+WR!G408/Scoring!$F$34+WR!H408*Scoring!$G$34+WR!I408*Scoring!$H$34+K408*Scoring!$I$34+WR!L408*Scoring!$J$34+U408</f>
        <v>24.02</v>
      </c>
      <c r="O408" s="112">
        <f>C409*Scoring!$B$34+D409/Scoring!$C$34+E409*Scoring!$D$34+WR!F409*Scoring!$E$34+WR!G409/Scoring!$F$34+WR!H409*Scoring!$G$34+WR!I409*Scoring!$H$34+K409*Scoring!$I$34+WR!L409*Scoring!$J$34+U408</f>
        <v>24.02</v>
      </c>
      <c r="P408" s="8">
        <f>IF(COUNTIF(Rookies!$A:$A,A408)&gt;0,1,0)</f>
        <v>0</v>
      </c>
      <c r="Q408" s="8"/>
      <c r="R408" s="8"/>
      <c r="S408" s="8">
        <f>V408/17</f>
        <v>1.412941176</v>
      </c>
      <c r="T408" s="8">
        <f>IF(P408=1,MAX(0,0.28*(12-S408)),0)</f>
        <v>0</v>
      </c>
      <c r="U408" s="8">
        <f>T408*17</f>
        <v>0</v>
      </c>
      <c r="V408" s="8">
        <f>C408*Scoring!$B$34+D408/Scoring!$C$34+E408*Scoring!$D$34+WR!F408*Scoring!$E$34+WR!G408/Scoring!$F$34+WR!H408*Scoring!$G$34+WR!I408*Scoring!$H$34+K408*Scoring!$I$34+WR!L408*Scoring!$J$34</f>
        <v>24.02</v>
      </c>
      <c r="W408" s="8"/>
      <c r="X408" s="8"/>
      <c r="Y408" s="8"/>
      <c r="Z408" s="8"/>
    </row>
    <row r="409" ht="14.25" customHeight="1">
      <c r="B409" s="1" t="s">
        <v>39</v>
      </c>
      <c r="C409" s="1">
        <v>9.9</v>
      </c>
      <c r="D409" s="1">
        <v>126.7</v>
      </c>
      <c r="E409" s="1">
        <v>1.1</v>
      </c>
      <c r="F409" s="1">
        <v>0.0</v>
      </c>
      <c r="G409" s="1">
        <v>0.0</v>
      </c>
      <c r="H409" s="1">
        <v>0.0</v>
      </c>
      <c r="I409" s="1">
        <v>0.1</v>
      </c>
      <c r="J409" s="1">
        <v>29.2</v>
      </c>
      <c r="K409" s="18">
        <f t="shared" si="1"/>
        <v>0</v>
      </c>
      <c r="L409" s="18">
        <f t="shared" si="2"/>
        <v>6.231631702</v>
      </c>
      <c r="M409" s="118"/>
      <c r="N409" s="118"/>
      <c r="O409" s="11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B410" s="1" t="s">
        <v>48</v>
      </c>
      <c r="C410" s="1">
        <v>9.9</v>
      </c>
      <c r="D410" s="1">
        <v>126.7</v>
      </c>
      <c r="E410" s="1">
        <v>1.1</v>
      </c>
      <c r="F410" s="1">
        <v>0.0</v>
      </c>
      <c r="G410" s="1">
        <v>0.0</v>
      </c>
      <c r="H410" s="1">
        <v>0.0</v>
      </c>
      <c r="I410" s="1">
        <v>0.1</v>
      </c>
      <c r="J410" s="1">
        <v>29.2</v>
      </c>
      <c r="K410" s="18">
        <f t="shared" si="1"/>
        <v>0</v>
      </c>
      <c r="L410" s="18">
        <f t="shared" si="2"/>
        <v>6.231631702</v>
      </c>
      <c r="M410" s="118"/>
      <c r="N410" s="118"/>
      <c r="O410" s="11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1" t="s">
        <v>1012</v>
      </c>
      <c r="B411" s="1" t="s">
        <v>220</v>
      </c>
      <c r="C411" s="1">
        <v>11.8</v>
      </c>
      <c r="D411" s="1">
        <v>135.1</v>
      </c>
      <c r="E411" s="1">
        <v>0.6</v>
      </c>
      <c r="F411" s="1">
        <v>0.0</v>
      </c>
      <c r="G411" s="1">
        <v>0.0</v>
      </c>
      <c r="H411" s="1">
        <v>0.0</v>
      </c>
      <c r="I411" s="1">
        <v>0.1</v>
      </c>
      <c r="J411" s="1">
        <v>28.8</v>
      </c>
      <c r="K411" s="18">
        <f t="shared" si="1"/>
        <v>0</v>
      </c>
      <c r="L411" s="18">
        <f t="shared" si="2"/>
        <v>6.644778555</v>
      </c>
      <c r="M411" s="112">
        <f>C413*Scoring!$B$34+D413/Scoring!$C$34+E413*Scoring!$D$34+WR!F413*Scoring!$E$34+WR!G413/Scoring!$F$34+WR!H413*Scoring!$G$34+WR!I413*Scoring!$H$34+K413*Scoring!$I$34+WR!L413*Scoring!$J$34+U411</f>
        <v>22.81</v>
      </c>
      <c r="N411" s="112">
        <f>C411*Scoring!$B$34+D411/Scoring!$C$34+E411*Scoring!$D$34+WR!F411*Scoring!$E$34+WR!G411/Scoring!$F$34+WR!H411*Scoring!$G$34+WR!I411*Scoring!$H$34+K411*Scoring!$I$34+WR!L411*Scoring!$J$34+U411</f>
        <v>22.81</v>
      </c>
      <c r="O411" s="112">
        <f>C412*Scoring!$B$34+D412/Scoring!$C$34+E412*Scoring!$D$34+WR!F412*Scoring!$E$34+WR!G412/Scoring!$F$34+WR!H412*Scoring!$G$34+WR!I412*Scoring!$H$34+K412*Scoring!$I$34+WR!L412*Scoring!$J$34+U411</f>
        <v>22.81</v>
      </c>
      <c r="P411" s="8">
        <f>IF(COUNTIF(Rookies!$A:$A,A411)&gt;0,1,0)</f>
        <v>0</v>
      </c>
      <c r="Q411" s="8"/>
      <c r="R411" s="8"/>
      <c r="S411" s="8">
        <f>V411/17</f>
        <v>1.341764706</v>
      </c>
      <c r="T411" s="8">
        <f>IF(P411=1,MAX(0,0.28*(12-S411)),0)</f>
        <v>0</v>
      </c>
      <c r="U411" s="8">
        <f>T411*17</f>
        <v>0</v>
      </c>
      <c r="V411" s="8">
        <f>C411*Scoring!$B$34+D411/Scoring!$C$34+E411*Scoring!$D$34+WR!F411*Scoring!$E$34+WR!G411/Scoring!$F$34+WR!H411*Scoring!$G$34+WR!I411*Scoring!$H$34+K411*Scoring!$I$34+WR!L411*Scoring!$J$34</f>
        <v>22.81</v>
      </c>
      <c r="W411" s="8"/>
      <c r="X411" s="8"/>
      <c r="Y411" s="8"/>
      <c r="Z411" s="8"/>
    </row>
    <row r="412" ht="14.25" customHeight="1">
      <c r="B412" s="1" t="s">
        <v>39</v>
      </c>
      <c r="C412" s="1">
        <v>11.8</v>
      </c>
      <c r="D412" s="1">
        <v>135.1</v>
      </c>
      <c r="E412" s="1">
        <v>0.6</v>
      </c>
      <c r="F412" s="1">
        <v>0.0</v>
      </c>
      <c r="G412" s="1">
        <v>0.0</v>
      </c>
      <c r="H412" s="1">
        <v>0.0</v>
      </c>
      <c r="I412" s="1">
        <v>0.1</v>
      </c>
      <c r="J412" s="1">
        <v>28.9</v>
      </c>
      <c r="K412" s="18">
        <f t="shared" si="1"/>
        <v>0</v>
      </c>
      <c r="L412" s="18">
        <f t="shared" si="2"/>
        <v>6.644778555</v>
      </c>
      <c r="M412" s="118"/>
      <c r="N412" s="118"/>
      <c r="O412" s="11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B413" s="1" t="s">
        <v>48</v>
      </c>
      <c r="C413" s="1">
        <v>11.8</v>
      </c>
      <c r="D413" s="1">
        <v>135.1</v>
      </c>
      <c r="E413" s="1">
        <v>0.6</v>
      </c>
      <c r="F413" s="1">
        <v>0.0</v>
      </c>
      <c r="G413" s="1">
        <v>0.0</v>
      </c>
      <c r="H413" s="1">
        <v>0.0</v>
      </c>
      <c r="I413" s="1">
        <v>0.1</v>
      </c>
      <c r="J413" s="1">
        <v>28.9</v>
      </c>
      <c r="K413" s="18">
        <f t="shared" si="1"/>
        <v>0</v>
      </c>
      <c r="L413" s="18">
        <f t="shared" si="2"/>
        <v>6.644778555</v>
      </c>
      <c r="M413" s="118"/>
      <c r="N413" s="118"/>
      <c r="O413" s="11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1" t="s">
        <v>1013</v>
      </c>
      <c r="B414" s="1" t="s">
        <v>18</v>
      </c>
      <c r="C414" s="1">
        <v>10.1</v>
      </c>
      <c r="D414" s="1">
        <v>136.5</v>
      </c>
      <c r="E414" s="1">
        <v>0.8</v>
      </c>
      <c r="F414" s="1">
        <v>0.0</v>
      </c>
      <c r="G414" s="1">
        <v>0.0</v>
      </c>
      <c r="H414" s="1">
        <v>0.0</v>
      </c>
      <c r="I414" s="1">
        <v>0.1</v>
      </c>
      <c r="J414" s="1">
        <v>28.4</v>
      </c>
      <c r="K414" s="18">
        <f t="shared" si="1"/>
        <v>0</v>
      </c>
      <c r="L414" s="18">
        <f t="shared" si="2"/>
        <v>6.713636364</v>
      </c>
      <c r="M414" s="112">
        <f>C416*Scoring!$B$34+D416/Scoring!$C$34+E416*Scoring!$D$34+WR!F416*Scoring!$E$34+WR!G416/Scoring!$F$34+WR!H416*Scoring!$G$34+WR!I416*Scoring!$H$34+K416*Scoring!$I$34+WR!L416*Scoring!$J$34+U414</f>
        <v>73.896</v>
      </c>
      <c r="N414" s="112">
        <f>C414*Scoring!$B$34+D414/Scoring!$C$34+E414*Scoring!$D$34+WR!F414*Scoring!$E$34+WR!G414/Scoring!$F$34+WR!H414*Scoring!$G$34+WR!I414*Scoring!$H$34+K414*Scoring!$I$34+WR!L414*Scoring!$J$34+U414</f>
        <v>73.896</v>
      </c>
      <c r="O414" s="112">
        <f>C415*Scoring!$B$34+D415/Scoring!$C$34+E415*Scoring!$D$34+WR!F415*Scoring!$E$34+WR!G415/Scoring!$F$34+WR!H415*Scoring!$G$34+WR!I415*Scoring!$H$34+K415*Scoring!$I$34+WR!L415*Scoring!$J$34+U414</f>
        <v>73.896</v>
      </c>
      <c r="P414" s="8">
        <f>IF(COUNTIF(Rookies!$A:$A,A414)&gt;0,1,0)</f>
        <v>1</v>
      </c>
      <c r="Q414" s="8"/>
      <c r="R414" s="8"/>
      <c r="S414" s="8">
        <f>V414/17</f>
        <v>1.370588235</v>
      </c>
      <c r="T414" s="8">
        <f>IF(P414=1,MAX(0,0.28*(12-S414)),0)</f>
        <v>2.976235294</v>
      </c>
      <c r="U414" s="8">
        <f>T414*17</f>
        <v>50.596</v>
      </c>
      <c r="V414" s="8">
        <f>C414*Scoring!$B$34+D414/Scoring!$C$34+E414*Scoring!$D$34+WR!F414*Scoring!$E$34+WR!G414/Scoring!$F$34+WR!H414*Scoring!$G$34+WR!I414*Scoring!$H$34+K414*Scoring!$I$34+WR!L414*Scoring!$J$34</f>
        <v>23.3</v>
      </c>
      <c r="W414" s="8"/>
      <c r="X414" s="8"/>
      <c r="Y414" s="8"/>
      <c r="Z414" s="8"/>
    </row>
    <row r="415" ht="14.25" customHeight="1">
      <c r="B415" s="1" t="s">
        <v>39</v>
      </c>
      <c r="C415" s="1">
        <v>10.1</v>
      </c>
      <c r="D415" s="1">
        <v>136.5</v>
      </c>
      <c r="E415" s="1">
        <v>0.8</v>
      </c>
      <c r="F415" s="1">
        <v>0.0</v>
      </c>
      <c r="G415" s="1">
        <v>0.0</v>
      </c>
      <c r="H415" s="1">
        <v>0.0</v>
      </c>
      <c r="I415" s="1">
        <v>0.1</v>
      </c>
      <c r="J415" s="1">
        <v>28.5</v>
      </c>
      <c r="K415" s="18">
        <f t="shared" si="1"/>
        <v>0</v>
      </c>
      <c r="L415" s="18">
        <f t="shared" si="2"/>
        <v>6.713636364</v>
      </c>
      <c r="M415" s="118"/>
      <c r="N415" s="118"/>
      <c r="O415" s="11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B416" s="1" t="s">
        <v>48</v>
      </c>
      <c r="C416" s="1">
        <v>10.1</v>
      </c>
      <c r="D416" s="1">
        <v>136.5</v>
      </c>
      <c r="E416" s="1">
        <v>0.8</v>
      </c>
      <c r="F416" s="1">
        <v>0.0</v>
      </c>
      <c r="G416" s="1">
        <v>0.0</v>
      </c>
      <c r="H416" s="1">
        <v>0.0</v>
      </c>
      <c r="I416" s="1">
        <v>0.1</v>
      </c>
      <c r="J416" s="1">
        <v>28.5</v>
      </c>
      <c r="K416" s="18">
        <f t="shared" si="1"/>
        <v>0</v>
      </c>
      <c r="L416" s="18">
        <f t="shared" si="2"/>
        <v>6.713636364</v>
      </c>
      <c r="M416" s="118"/>
      <c r="N416" s="118"/>
      <c r="O416" s="11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1" t="s">
        <v>1014</v>
      </c>
      <c r="B417" s="1" t="s">
        <v>94</v>
      </c>
      <c r="C417" s="1">
        <v>10.8</v>
      </c>
      <c r="D417" s="1">
        <v>126.6</v>
      </c>
      <c r="E417" s="1">
        <v>0.8</v>
      </c>
      <c r="F417" s="1">
        <v>0.0</v>
      </c>
      <c r="G417" s="1">
        <v>0.0</v>
      </c>
      <c r="H417" s="1">
        <v>0.0</v>
      </c>
      <c r="I417" s="1">
        <v>0.1</v>
      </c>
      <c r="J417" s="1">
        <v>28.0</v>
      </c>
      <c r="K417" s="18">
        <f t="shared" si="1"/>
        <v>0</v>
      </c>
      <c r="L417" s="18">
        <f t="shared" si="2"/>
        <v>6.226713287</v>
      </c>
      <c r="M417" s="112">
        <f>C419*Scoring!$B$34+D419/Scoring!$C$34+E419*Scoring!$D$34+WR!F419*Scoring!$E$34+WR!G419/Scoring!$F$34+WR!H419*Scoring!$G$34+WR!I419*Scoring!$H$34+K419*Scoring!$I$34+WR!L419*Scoring!$J$34+U417</f>
        <v>22.66</v>
      </c>
      <c r="N417" s="112">
        <f>C417*Scoring!$B$34+D417/Scoring!$C$34+E417*Scoring!$D$34+WR!F417*Scoring!$E$34+WR!G417/Scoring!$F$34+WR!H417*Scoring!$G$34+WR!I417*Scoring!$H$34+K417*Scoring!$I$34+WR!L417*Scoring!$J$34+U417</f>
        <v>22.66</v>
      </c>
      <c r="O417" s="112">
        <f>C418*Scoring!$B$34+D418/Scoring!$C$34+E418*Scoring!$D$34+WR!F418*Scoring!$E$34+WR!G418/Scoring!$F$34+WR!H418*Scoring!$G$34+WR!I418*Scoring!$H$34+K418*Scoring!$I$34+WR!L418*Scoring!$J$34+U417</f>
        <v>22.66</v>
      </c>
      <c r="P417" s="8">
        <f>IF(COUNTIF(Rookies!$A:$A,A417)&gt;0,1,0)</f>
        <v>0</v>
      </c>
      <c r="Q417" s="8"/>
      <c r="R417" s="8"/>
      <c r="S417" s="8">
        <f>V417/17</f>
        <v>1.332941176</v>
      </c>
      <c r="T417" s="8">
        <f>IF(P417=1,MAX(0,0.28*(12-S417)),0)</f>
        <v>0</v>
      </c>
      <c r="U417" s="8">
        <f>T417*17</f>
        <v>0</v>
      </c>
      <c r="V417" s="8">
        <f>C417*Scoring!$B$34+D417/Scoring!$C$34+E417*Scoring!$D$34+WR!F417*Scoring!$E$34+WR!G417/Scoring!$F$34+WR!H417*Scoring!$G$34+WR!I417*Scoring!$H$34+K417*Scoring!$I$34+WR!L417*Scoring!$J$34</f>
        <v>22.66</v>
      </c>
      <c r="W417" s="8"/>
      <c r="X417" s="8"/>
      <c r="Y417" s="8"/>
      <c r="Z417" s="8"/>
    </row>
    <row r="418" ht="14.25" customHeight="1">
      <c r="B418" s="1" t="s">
        <v>39</v>
      </c>
      <c r="C418" s="1">
        <v>10.8</v>
      </c>
      <c r="D418" s="1">
        <v>126.6</v>
      </c>
      <c r="E418" s="1">
        <v>0.8</v>
      </c>
      <c r="F418" s="1">
        <v>0.0</v>
      </c>
      <c r="G418" s="1">
        <v>0.0</v>
      </c>
      <c r="H418" s="1">
        <v>0.0</v>
      </c>
      <c r="I418" s="1">
        <v>0.1</v>
      </c>
      <c r="J418" s="1">
        <v>28.1</v>
      </c>
      <c r="K418" s="18">
        <f t="shared" si="1"/>
        <v>0</v>
      </c>
      <c r="L418" s="18">
        <f t="shared" si="2"/>
        <v>6.226713287</v>
      </c>
      <c r="M418" s="118"/>
      <c r="N418" s="118"/>
      <c r="O418" s="11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B419" s="1" t="s">
        <v>48</v>
      </c>
      <c r="C419" s="1">
        <v>10.8</v>
      </c>
      <c r="D419" s="1">
        <v>126.6</v>
      </c>
      <c r="E419" s="1">
        <v>0.8</v>
      </c>
      <c r="F419" s="1">
        <v>0.0</v>
      </c>
      <c r="G419" s="1">
        <v>0.0</v>
      </c>
      <c r="H419" s="1">
        <v>0.0</v>
      </c>
      <c r="I419" s="1">
        <v>0.1</v>
      </c>
      <c r="J419" s="1">
        <v>28.1</v>
      </c>
      <c r="K419" s="18">
        <f t="shared" si="1"/>
        <v>0</v>
      </c>
      <c r="L419" s="18">
        <f t="shared" si="2"/>
        <v>6.226713287</v>
      </c>
      <c r="M419" s="118"/>
      <c r="N419" s="118"/>
      <c r="O419" s="11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1" t="s">
        <v>1015</v>
      </c>
      <c r="B420" s="1" t="s">
        <v>164</v>
      </c>
      <c r="C420" s="1">
        <v>9.5</v>
      </c>
      <c r="D420" s="1">
        <v>121.7</v>
      </c>
      <c r="E420" s="1">
        <v>0.7</v>
      </c>
      <c r="F420" s="1">
        <v>2.1</v>
      </c>
      <c r="G420" s="1">
        <v>11.3</v>
      </c>
      <c r="H420" s="1">
        <v>0.1</v>
      </c>
      <c r="I420" s="1">
        <v>0.1</v>
      </c>
      <c r="J420" s="1">
        <v>27.5</v>
      </c>
      <c r="K420" s="18">
        <f t="shared" si="1"/>
        <v>0.7003047896</v>
      </c>
      <c r="L420" s="18">
        <f t="shared" si="2"/>
        <v>5.985710956</v>
      </c>
      <c r="M420" s="112">
        <f>C422*Scoring!$B$34+D422/Scoring!$C$34+E422*Scoring!$D$34+WR!F422*Scoring!$E$34+WR!G422/Scoring!$F$34+WR!H422*Scoring!$G$34+WR!I422*Scoring!$H$34+K422*Scoring!$I$34+WR!L422*Scoring!$J$34+U420</f>
        <v>73.428</v>
      </c>
      <c r="N420" s="112">
        <f>C420*Scoring!$B$34+D420/Scoring!$C$34+E420*Scoring!$D$34+WR!F420*Scoring!$E$34+WR!G420/Scoring!$F$34+WR!H420*Scoring!$G$34+WR!I420*Scoring!$H$34+K420*Scoring!$I$34+WR!L420*Scoring!$J$34+U420</f>
        <v>73.428</v>
      </c>
      <c r="O420" s="112">
        <f>C421*Scoring!$B$34+D421/Scoring!$C$34+E421*Scoring!$D$34+WR!F421*Scoring!$E$34+WR!G421/Scoring!$F$34+WR!H421*Scoring!$G$34+WR!I421*Scoring!$H$34+K421*Scoring!$I$34+WR!L421*Scoring!$J$34+U420</f>
        <v>73.428</v>
      </c>
      <c r="P420" s="8">
        <f>IF(COUNTIF(Rookies!$A:$A,A420)&gt;0,1,0)</f>
        <v>1</v>
      </c>
      <c r="Q420" s="8"/>
      <c r="R420" s="8"/>
      <c r="S420" s="8">
        <f>V420/17</f>
        <v>1.332352941</v>
      </c>
      <c r="T420" s="8">
        <f>IF(P420=1,MAX(0,0.28*(12-S420)),0)</f>
        <v>2.986941176</v>
      </c>
      <c r="U420" s="8">
        <f>T420*17</f>
        <v>50.778</v>
      </c>
      <c r="V420" s="8">
        <f>C420*Scoring!$B$34+D420/Scoring!$C$34+E420*Scoring!$D$34+WR!F420*Scoring!$E$34+WR!G420/Scoring!$F$34+WR!H420*Scoring!$G$34+WR!I420*Scoring!$H$34+K420*Scoring!$I$34+WR!L420*Scoring!$J$34</f>
        <v>22.65</v>
      </c>
      <c r="W420" s="8"/>
      <c r="X420" s="8"/>
      <c r="Y420" s="8"/>
      <c r="Z420" s="8"/>
    </row>
    <row r="421" ht="14.25" customHeight="1">
      <c r="B421" s="1" t="s">
        <v>39</v>
      </c>
      <c r="C421" s="1">
        <v>9.5</v>
      </c>
      <c r="D421" s="1">
        <v>121.7</v>
      </c>
      <c r="E421" s="1">
        <v>0.7</v>
      </c>
      <c r="F421" s="1">
        <v>2.1</v>
      </c>
      <c r="G421" s="1">
        <v>11.3</v>
      </c>
      <c r="H421" s="1">
        <v>0.1</v>
      </c>
      <c r="I421" s="1">
        <v>0.1</v>
      </c>
      <c r="J421" s="1">
        <v>27.5</v>
      </c>
      <c r="K421" s="18">
        <f t="shared" si="1"/>
        <v>0.7003047896</v>
      </c>
      <c r="L421" s="18">
        <f t="shared" si="2"/>
        <v>5.985710956</v>
      </c>
      <c r="M421" s="118"/>
      <c r="N421" s="118"/>
      <c r="O421" s="11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B422" s="1" t="s">
        <v>48</v>
      </c>
      <c r="C422" s="1">
        <v>9.5</v>
      </c>
      <c r="D422" s="1">
        <v>121.7</v>
      </c>
      <c r="E422" s="1">
        <v>0.7</v>
      </c>
      <c r="F422" s="1">
        <v>2.1</v>
      </c>
      <c r="G422" s="1">
        <v>11.3</v>
      </c>
      <c r="H422" s="1">
        <v>0.1</v>
      </c>
      <c r="I422" s="1">
        <v>0.1</v>
      </c>
      <c r="J422" s="1">
        <v>27.5</v>
      </c>
      <c r="K422" s="18">
        <f t="shared" si="1"/>
        <v>0.7003047896</v>
      </c>
      <c r="L422" s="18">
        <f t="shared" si="2"/>
        <v>5.985710956</v>
      </c>
      <c r="M422" s="118"/>
      <c r="N422" s="118"/>
      <c r="O422" s="11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1" t="s">
        <v>1016</v>
      </c>
      <c r="B423" s="1" t="s">
        <v>205</v>
      </c>
      <c r="C423" s="1">
        <v>9.3</v>
      </c>
      <c r="D423" s="1">
        <v>125.6</v>
      </c>
      <c r="E423" s="1">
        <v>0.7</v>
      </c>
      <c r="F423" s="1">
        <v>0.0</v>
      </c>
      <c r="G423" s="1">
        <v>0.0</v>
      </c>
      <c r="H423" s="1">
        <v>0.0</v>
      </c>
      <c r="I423" s="1">
        <v>0.1</v>
      </c>
      <c r="J423" s="1">
        <v>25.7</v>
      </c>
      <c r="K423" s="18">
        <f t="shared" si="1"/>
        <v>0</v>
      </c>
      <c r="L423" s="18">
        <f t="shared" si="2"/>
        <v>6.177529138</v>
      </c>
      <c r="M423" s="112">
        <f>C425*Scoring!$B$34+D425/Scoring!$C$34+E425*Scoring!$D$34+WR!F425*Scoring!$E$34+WR!G425/Scoring!$F$34+WR!H425*Scoring!$G$34+WR!I425*Scoring!$H$34+K425*Scoring!$I$34+WR!L425*Scoring!$J$34+U423</f>
        <v>21.21</v>
      </c>
      <c r="N423" s="112">
        <f>C423*Scoring!$B$34+D423/Scoring!$C$34+E423*Scoring!$D$34+WR!F423*Scoring!$E$34+WR!G423/Scoring!$F$34+WR!H423*Scoring!$G$34+WR!I423*Scoring!$H$34+K423*Scoring!$I$34+WR!L423*Scoring!$J$34+U423</f>
        <v>21.21</v>
      </c>
      <c r="O423" s="112">
        <f>C424*Scoring!$B$34+D424/Scoring!$C$34+E424*Scoring!$D$34+WR!F424*Scoring!$E$34+WR!G424/Scoring!$F$34+WR!H424*Scoring!$G$34+WR!I424*Scoring!$H$34+K424*Scoring!$I$34+WR!L424*Scoring!$J$34+U423</f>
        <v>21.21</v>
      </c>
      <c r="P423" s="8">
        <f>IF(COUNTIF(Rookies!$A:$A,A423)&gt;0,1,0)</f>
        <v>0</v>
      </c>
      <c r="Q423" s="8"/>
      <c r="R423" s="8"/>
      <c r="S423" s="8">
        <f>V423/17</f>
        <v>1.247647059</v>
      </c>
      <c r="T423" s="8">
        <f>IF(P423=1,MAX(0,0.28*(12-S423)),0)</f>
        <v>0</v>
      </c>
      <c r="U423" s="8">
        <f>T423*17</f>
        <v>0</v>
      </c>
      <c r="V423" s="8">
        <f>C423*Scoring!$B$34+D423/Scoring!$C$34+E423*Scoring!$D$34+WR!F423*Scoring!$E$34+WR!G423/Scoring!$F$34+WR!H423*Scoring!$G$34+WR!I423*Scoring!$H$34+K423*Scoring!$I$34+WR!L423*Scoring!$J$34</f>
        <v>21.21</v>
      </c>
      <c r="W423" s="8"/>
      <c r="X423" s="8"/>
      <c r="Y423" s="8"/>
      <c r="Z423" s="8"/>
    </row>
    <row r="424" ht="14.25" customHeight="1">
      <c r="B424" s="1" t="s">
        <v>39</v>
      </c>
      <c r="C424" s="1">
        <v>9.3</v>
      </c>
      <c r="D424" s="1">
        <v>125.6</v>
      </c>
      <c r="E424" s="1">
        <v>0.7</v>
      </c>
      <c r="F424" s="1">
        <v>0.0</v>
      </c>
      <c r="G424" s="1">
        <v>0.0</v>
      </c>
      <c r="H424" s="1">
        <v>0.0</v>
      </c>
      <c r="I424" s="1">
        <v>0.1</v>
      </c>
      <c r="J424" s="1">
        <v>25.8</v>
      </c>
      <c r="K424" s="18">
        <f t="shared" si="1"/>
        <v>0</v>
      </c>
      <c r="L424" s="18">
        <f t="shared" si="2"/>
        <v>6.177529138</v>
      </c>
      <c r="M424" s="118"/>
      <c r="N424" s="118"/>
      <c r="O424" s="11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B425" s="1" t="s">
        <v>48</v>
      </c>
      <c r="C425" s="1">
        <v>9.3</v>
      </c>
      <c r="D425" s="1">
        <v>125.6</v>
      </c>
      <c r="E425" s="1">
        <v>0.7</v>
      </c>
      <c r="F425" s="1">
        <v>0.0</v>
      </c>
      <c r="G425" s="1">
        <v>0.0</v>
      </c>
      <c r="H425" s="1">
        <v>0.0</v>
      </c>
      <c r="I425" s="1">
        <v>0.1</v>
      </c>
      <c r="J425" s="1">
        <v>25.8</v>
      </c>
      <c r="K425" s="18">
        <f t="shared" si="1"/>
        <v>0</v>
      </c>
      <c r="L425" s="18">
        <f t="shared" si="2"/>
        <v>6.177529138</v>
      </c>
      <c r="M425" s="118"/>
      <c r="N425" s="118"/>
      <c r="O425" s="11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1" t="s">
        <v>1017</v>
      </c>
      <c r="B426" s="1" t="s">
        <v>134</v>
      </c>
      <c r="C426" s="1">
        <v>9.2</v>
      </c>
      <c r="D426" s="1">
        <v>113.3</v>
      </c>
      <c r="E426" s="1">
        <v>0.6</v>
      </c>
      <c r="F426" s="1">
        <v>0.0</v>
      </c>
      <c r="G426" s="1">
        <v>0.0</v>
      </c>
      <c r="H426" s="1">
        <v>0.0</v>
      </c>
      <c r="I426" s="1">
        <v>0.1</v>
      </c>
      <c r="J426" s="1">
        <v>24.1</v>
      </c>
      <c r="K426" s="18">
        <f t="shared" si="1"/>
        <v>0</v>
      </c>
      <c r="L426" s="18">
        <f t="shared" si="2"/>
        <v>5.572564103</v>
      </c>
      <c r="M426" s="112">
        <f>C428*Scoring!$B$34+D428/Scoring!$C$34+E428*Scoring!$D$34+WR!F428*Scoring!$E$34+WR!G428/Scoring!$F$34+WR!H428*Scoring!$G$34+WR!I428*Scoring!$H$34+K428*Scoring!$I$34+WR!L428*Scoring!$J$34+U426</f>
        <v>19.33</v>
      </c>
      <c r="N426" s="112">
        <f>C426*Scoring!$B$34+D426/Scoring!$C$34+E426*Scoring!$D$34+WR!F426*Scoring!$E$34+WR!G426/Scoring!$F$34+WR!H426*Scoring!$G$34+WR!I426*Scoring!$H$34+K426*Scoring!$I$34+WR!L426*Scoring!$J$34+U426</f>
        <v>19.33</v>
      </c>
      <c r="O426" s="112">
        <f>C427*Scoring!$B$34+D427/Scoring!$C$34+E427*Scoring!$D$34+WR!F427*Scoring!$E$34+WR!G427/Scoring!$F$34+WR!H427*Scoring!$G$34+WR!I427*Scoring!$H$34+K427*Scoring!$I$34+WR!L427*Scoring!$J$34+U426</f>
        <v>19.33</v>
      </c>
      <c r="P426" s="8">
        <f>IF(COUNTIF(Rookies!$A:$A,A426)&gt;0,1,0)</f>
        <v>0</v>
      </c>
      <c r="Q426" s="8"/>
      <c r="R426" s="8"/>
      <c r="S426" s="8">
        <f>V426/17</f>
        <v>1.137058824</v>
      </c>
      <c r="T426" s="8">
        <f>IF(P426=1,MAX(0,0.28*(12-S426)),0)</f>
        <v>0</v>
      </c>
      <c r="U426" s="8">
        <f>T426*17</f>
        <v>0</v>
      </c>
      <c r="V426" s="8">
        <f>C426*Scoring!$B$34+D426/Scoring!$C$34+E426*Scoring!$D$34+WR!F426*Scoring!$E$34+WR!G426/Scoring!$F$34+WR!H426*Scoring!$G$34+WR!I426*Scoring!$H$34+K426*Scoring!$I$34+WR!L426*Scoring!$J$34</f>
        <v>19.33</v>
      </c>
      <c r="W426" s="8"/>
      <c r="X426" s="8"/>
      <c r="Y426" s="8"/>
      <c r="Z426" s="8"/>
    </row>
    <row r="427" ht="14.25" customHeight="1">
      <c r="B427" s="1" t="s">
        <v>39</v>
      </c>
      <c r="C427" s="1">
        <v>9.2</v>
      </c>
      <c r="D427" s="1">
        <v>113.3</v>
      </c>
      <c r="E427" s="1">
        <v>0.6</v>
      </c>
      <c r="F427" s="1">
        <v>0.0</v>
      </c>
      <c r="G427" s="1">
        <v>0.0</v>
      </c>
      <c r="H427" s="1">
        <v>0.0</v>
      </c>
      <c r="I427" s="1">
        <v>0.1</v>
      </c>
      <c r="J427" s="1">
        <v>24.1</v>
      </c>
      <c r="K427" s="18">
        <f t="shared" si="1"/>
        <v>0</v>
      </c>
      <c r="L427" s="18">
        <f t="shared" si="2"/>
        <v>5.572564103</v>
      </c>
      <c r="M427" s="118"/>
      <c r="N427" s="118"/>
      <c r="O427" s="11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B428" s="1" t="s">
        <v>48</v>
      </c>
      <c r="C428" s="1">
        <v>9.2</v>
      </c>
      <c r="D428" s="1">
        <v>113.3</v>
      </c>
      <c r="E428" s="1">
        <v>0.6</v>
      </c>
      <c r="F428" s="1">
        <v>0.0</v>
      </c>
      <c r="G428" s="1">
        <v>0.0</v>
      </c>
      <c r="H428" s="1">
        <v>0.0</v>
      </c>
      <c r="I428" s="1">
        <v>0.1</v>
      </c>
      <c r="J428" s="1">
        <v>24.1</v>
      </c>
      <c r="K428" s="18">
        <f t="shared" si="1"/>
        <v>0</v>
      </c>
      <c r="L428" s="18">
        <f t="shared" si="2"/>
        <v>5.572564103</v>
      </c>
      <c r="M428" s="118"/>
      <c r="N428" s="118"/>
      <c r="O428" s="11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1" t="s">
        <v>1018</v>
      </c>
      <c r="B429" s="1" t="s">
        <v>94</v>
      </c>
      <c r="C429" s="1">
        <v>6.4</v>
      </c>
      <c r="D429" s="1">
        <v>91.4</v>
      </c>
      <c r="E429" s="1">
        <v>0.6</v>
      </c>
      <c r="F429" s="1">
        <v>4.1</v>
      </c>
      <c r="G429" s="1">
        <v>22.4</v>
      </c>
      <c r="H429" s="1">
        <v>0.2</v>
      </c>
      <c r="I429" s="1">
        <v>0.1</v>
      </c>
      <c r="J429" s="1">
        <v>22.1</v>
      </c>
      <c r="K429" s="18">
        <f t="shared" si="1"/>
        <v>1.388214804</v>
      </c>
      <c r="L429" s="18">
        <f t="shared" si="2"/>
        <v>4.495431235</v>
      </c>
      <c r="M429" s="112">
        <f>C431*Scoring!$B$34+D431/Scoring!$C$34+E431*Scoring!$D$34+WR!F431*Scoring!$E$34+WR!G431/Scoring!$F$34+WR!H431*Scoring!$G$34+WR!I431*Scoring!$H$34+K431*Scoring!$I$34+WR!L431*Scoring!$J$34+U429</f>
        <v>19.18</v>
      </c>
      <c r="N429" s="112">
        <f>C429*Scoring!$B$34+D429/Scoring!$C$34+E429*Scoring!$D$34+WR!F429*Scoring!$E$34+WR!G429/Scoring!$F$34+WR!H429*Scoring!$G$34+WR!I429*Scoring!$H$34+K429*Scoring!$I$34+WR!L429*Scoring!$J$34+U429</f>
        <v>19.18</v>
      </c>
      <c r="O429" s="112">
        <f>C430*Scoring!$B$34+D430/Scoring!$C$34+E430*Scoring!$D$34+WR!F430*Scoring!$E$34+WR!G430/Scoring!$F$34+WR!H430*Scoring!$G$34+WR!I430*Scoring!$H$34+K430*Scoring!$I$34+WR!L430*Scoring!$J$34+U429</f>
        <v>19.18</v>
      </c>
      <c r="P429" s="8">
        <f>IF(COUNTIF(Rookies!$A:$A,A429)&gt;0,1,0)</f>
        <v>0</v>
      </c>
      <c r="Q429" s="8"/>
      <c r="R429" s="8"/>
      <c r="S429" s="8">
        <f>V429/17</f>
        <v>1.128235294</v>
      </c>
      <c r="T429" s="8">
        <f>IF(P429=1,MAX(0,0.28*(12-S429)),0)</f>
        <v>0</v>
      </c>
      <c r="U429" s="8">
        <f>T429*17</f>
        <v>0</v>
      </c>
      <c r="V429" s="8">
        <f>C429*Scoring!$B$34+D429/Scoring!$C$34+E429*Scoring!$D$34+WR!F429*Scoring!$E$34+WR!G429/Scoring!$F$34+WR!H429*Scoring!$G$34+WR!I429*Scoring!$H$34+K429*Scoring!$I$34+WR!L429*Scoring!$J$34</f>
        <v>19.18</v>
      </c>
      <c r="W429" s="8"/>
      <c r="X429" s="8"/>
      <c r="Y429" s="8"/>
      <c r="Z429" s="8"/>
    </row>
    <row r="430" ht="14.25" customHeight="1">
      <c r="B430" s="1" t="s">
        <v>39</v>
      </c>
      <c r="C430" s="1">
        <v>6.4</v>
      </c>
      <c r="D430" s="1">
        <v>91.4</v>
      </c>
      <c r="E430" s="1">
        <v>0.6</v>
      </c>
      <c r="F430" s="1">
        <v>4.1</v>
      </c>
      <c r="G430" s="1">
        <v>22.4</v>
      </c>
      <c r="H430" s="1">
        <v>0.2</v>
      </c>
      <c r="I430" s="1">
        <v>0.1</v>
      </c>
      <c r="J430" s="1">
        <v>22.6</v>
      </c>
      <c r="K430" s="18">
        <f t="shared" si="1"/>
        <v>1.388214804</v>
      </c>
      <c r="L430" s="18">
        <f t="shared" si="2"/>
        <v>4.495431235</v>
      </c>
      <c r="M430" s="118"/>
      <c r="N430" s="118"/>
      <c r="O430" s="11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B431" s="1" t="s">
        <v>48</v>
      </c>
      <c r="C431" s="1">
        <v>6.4</v>
      </c>
      <c r="D431" s="1">
        <v>91.4</v>
      </c>
      <c r="E431" s="1">
        <v>0.6</v>
      </c>
      <c r="F431" s="1">
        <v>4.1</v>
      </c>
      <c r="G431" s="1">
        <v>22.4</v>
      </c>
      <c r="H431" s="1">
        <v>0.2</v>
      </c>
      <c r="I431" s="1">
        <v>0.1</v>
      </c>
      <c r="J431" s="1">
        <v>22.6</v>
      </c>
      <c r="K431" s="18">
        <f t="shared" si="1"/>
        <v>1.388214804</v>
      </c>
      <c r="L431" s="18">
        <f t="shared" si="2"/>
        <v>4.495431235</v>
      </c>
      <c r="M431" s="118"/>
      <c r="N431" s="118"/>
      <c r="O431" s="11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1" t="s">
        <v>1019</v>
      </c>
      <c r="B432" s="1" t="s">
        <v>186</v>
      </c>
      <c r="C432" s="1">
        <v>6.7</v>
      </c>
      <c r="D432" s="1">
        <v>77.5</v>
      </c>
      <c r="E432" s="1">
        <v>0.6</v>
      </c>
      <c r="F432" s="1">
        <v>4.4</v>
      </c>
      <c r="G432" s="1">
        <v>23.2</v>
      </c>
      <c r="H432" s="1">
        <v>0.2</v>
      </c>
      <c r="I432" s="1">
        <v>0.1</v>
      </c>
      <c r="J432" s="1">
        <v>21.4</v>
      </c>
      <c r="K432" s="18">
        <f t="shared" si="1"/>
        <v>1.437793904</v>
      </c>
      <c r="L432" s="18">
        <f t="shared" si="2"/>
        <v>3.811771562</v>
      </c>
      <c r="M432" s="112">
        <f>C434*Scoring!$B$34+D434/Scoring!$C$34+E434*Scoring!$D$34+WR!F434*Scoring!$E$34+WR!G434/Scoring!$F$34+WR!H434*Scoring!$G$34+WR!I434*Scoring!$H$34+K434*Scoring!$I$34+WR!L434*Scoring!$J$34+U432</f>
        <v>18.02</v>
      </c>
      <c r="N432" s="112">
        <f>C432*Scoring!$B$34+D432/Scoring!$C$34+E432*Scoring!$D$34+WR!F432*Scoring!$E$34+WR!G432/Scoring!$F$34+WR!H432*Scoring!$G$34+WR!I432*Scoring!$H$34+K432*Scoring!$I$34+WR!L432*Scoring!$J$34+U432</f>
        <v>18.02</v>
      </c>
      <c r="O432" s="112">
        <f>C433*Scoring!$B$34+D433/Scoring!$C$34+E433*Scoring!$D$34+WR!F433*Scoring!$E$34+WR!G433/Scoring!$F$34+WR!H433*Scoring!$G$34+WR!I433*Scoring!$H$34+K433*Scoring!$I$34+WR!L433*Scoring!$J$34+U432</f>
        <v>18.02</v>
      </c>
      <c r="P432" s="8">
        <f>IF(COUNTIF(Rookies!$A:$A,A432)&gt;0,1,0)</f>
        <v>0</v>
      </c>
      <c r="Q432" s="8"/>
      <c r="R432" s="8"/>
      <c r="S432" s="8">
        <f>V432/17</f>
        <v>1.06</v>
      </c>
      <c r="T432" s="8">
        <f>IF(P432=1,MAX(0,0.28*(12-S432)),0)</f>
        <v>0</v>
      </c>
      <c r="U432" s="8">
        <f>T432*17</f>
        <v>0</v>
      </c>
      <c r="V432" s="8">
        <f>C432*Scoring!$B$34+D432/Scoring!$C$34+E432*Scoring!$D$34+WR!F432*Scoring!$E$34+WR!G432/Scoring!$F$34+WR!H432*Scoring!$G$34+WR!I432*Scoring!$H$34+K432*Scoring!$I$34+WR!L432*Scoring!$J$34</f>
        <v>18.02</v>
      </c>
      <c r="W432" s="8"/>
      <c r="X432" s="8"/>
      <c r="Y432" s="8"/>
      <c r="Z432" s="8"/>
    </row>
    <row r="433" ht="14.25" customHeight="1">
      <c r="B433" s="1" t="s">
        <v>39</v>
      </c>
      <c r="C433" s="1">
        <v>6.7</v>
      </c>
      <c r="D433" s="1">
        <v>77.5</v>
      </c>
      <c r="E433" s="1">
        <v>0.6</v>
      </c>
      <c r="F433" s="1">
        <v>4.4</v>
      </c>
      <c r="G433" s="1">
        <v>23.2</v>
      </c>
      <c r="H433" s="1">
        <v>0.2</v>
      </c>
      <c r="I433" s="1">
        <v>0.1</v>
      </c>
      <c r="J433" s="1">
        <v>21.6</v>
      </c>
      <c r="K433" s="18">
        <f t="shared" si="1"/>
        <v>1.437793904</v>
      </c>
      <c r="L433" s="18">
        <f t="shared" si="2"/>
        <v>3.811771562</v>
      </c>
      <c r="M433" s="118"/>
      <c r="N433" s="118"/>
      <c r="O433" s="11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B434" s="1" t="s">
        <v>48</v>
      </c>
      <c r="C434" s="1">
        <v>6.7</v>
      </c>
      <c r="D434" s="1">
        <v>77.5</v>
      </c>
      <c r="E434" s="1">
        <v>0.6</v>
      </c>
      <c r="F434" s="1">
        <v>4.4</v>
      </c>
      <c r="G434" s="1">
        <v>23.2</v>
      </c>
      <c r="H434" s="1">
        <v>0.2</v>
      </c>
      <c r="I434" s="1">
        <v>0.1</v>
      </c>
      <c r="J434" s="1">
        <v>21.6</v>
      </c>
      <c r="K434" s="18">
        <f t="shared" si="1"/>
        <v>1.437793904</v>
      </c>
      <c r="L434" s="18">
        <f t="shared" si="2"/>
        <v>3.811771562</v>
      </c>
      <c r="M434" s="118"/>
      <c r="N434" s="118"/>
      <c r="O434" s="11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1" t="s">
        <v>1020</v>
      </c>
      <c r="B435" s="1" t="s">
        <v>208</v>
      </c>
      <c r="C435" s="1">
        <v>6.7</v>
      </c>
      <c r="D435" s="1">
        <v>75.6</v>
      </c>
      <c r="E435" s="1">
        <v>0.4</v>
      </c>
      <c r="F435" s="1">
        <v>6.2</v>
      </c>
      <c r="G435" s="1">
        <v>36.7</v>
      </c>
      <c r="H435" s="1">
        <v>0.2</v>
      </c>
      <c r="I435" s="1">
        <v>0.1</v>
      </c>
      <c r="J435" s="1">
        <v>21.1</v>
      </c>
      <c r="K435" s="18">
        <f t="shared" si="1"/>
        <v>2.274441219</v>
      </c>
      <c r="L435" s="18">
        <f t="shared" si="2"/>
        <v>3.718321678</v>
      </c>
      <c r="M435" s="112">
        <f>C437*Scoring!$B$34+D437/Scoring!$C$34+E437*Scoring!$D$34+WR!F437*Scoring!$E$34+WR!G437/Scoring!$F$34+WR!H437*Scoring!$G$34+WR!I437*Scoring!$H$34+K437*Scoring!$I$34+WR!L437*Scoring!$J$34+U435</f>
        <v>17.98</v>
      </c>
      <c r="N435" s="112">
        <f>C435*Scoring!$B$34+D435/Scoring!$C$34+E435*Scoring!$D$34+WR!F435*Scoring!$E$34+WR!G435/Scoring!$F$34+WR!H435*Scoring!$G$34+WR!I435*Scoring!$H$34+K435*Scoring!$I$34+WR!L435*Scoring!$J$34+U435</f>
        <v>17.98</v>
      </c>
      <c r="O435" s="112">
        <f>C436*Scoring!$B$34+D436/Scoring!$C$34+E436*Scoring!$D$34+WR!F436*Scoring!$E$34+WR!G436/Scoring!$F$34+WR!H436*Scoring!$G$34+WR!I436*Scoring!$H$34+K436*Scoring!$I$34+WR!L436*Scoring!$J$34+U435</f>
        <v>17.98</v>
      </c>
      <c r="P435" s="8">
        <f>IF(COUNTIF(Rookies!$A:$A,A435)&gt;0,1,0)</f>
        <v>0</v>
      </c>
      <c r="Q435" s="8"/>
      <c r="R435" s="8"/>
      <c r="S435" s="8">
        <f>V435/17</f>
        <v>1.057647059</v>
      </c>
      <c r="T435" s="8">
        <f>IF(P435=1,MAX(0,0.28*(12-S435)),0)</f>
        <v>0</v>
      </c>
      <c r="U435" s="8">
        <f>T435*17</f>
        <v>0</v>
      </c>
      <c r="V435" s="8">
        <f>C435*Scoring!$B$34+D435/Scoring!$C$34+E435*Scoring!$D$34+WR!F435*Scoring!$E$34+WR!G435/Scoring!$F$34+WR!H435*Scoring!$G$34+WR!I435*Scoring!$H$34+K435*Scoring!$I$34+WR!L435*Scoring!$J$34</f>
        <v>17.98</v>
      </c>
      <c r="W435" s="8"/>
      <c r="X435" s="8"/>
      <c r="Y435" s="8"/>
      <c r="Z435" s="8"/>
    </row>
    <row r="436" ht="14.25" customHeight="1">
      <c r="B436" s="1" t="s">
        <v>39</v>
      </c>
      <c r="C436" s="1">
        <v>6.7</v>
      </c>
      <c r="D436" s="1">
        <v>75.6</v>
      </c>
      <c r="E436" s="1">
        <v>0.4</v>
      </c>
      <c r="F436" s="1">
        <v>6.2</v>
      </c>
      <c r="G436" s="1">
        <v>36.7</v>
      </c>
      <c r="H436" s="1">
        <v>0.2</v>
      </c>
      <c r="I436" s="1">
        <v>0.1</v>
      </c>
      <c r="J436" s="1">
        <v>21.2</v>
      </c>
      <c r="K436" s="18">
        <f t="shared" si="1"/>
        <v>2.274441219</v>
      </c>
      <c r="L436" s="18">
        <f t="shared" si="2"/>
        <v>3.718321678</v>
      </c>
      <c r="M436" s="118"/>
      <c r="N436" s="118"/>
      <c r="O436" s="11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B437" s="1" t="s">
        <v>48</v>
      </c>
      <c r="C437" s="1">
        <v>6.7</v>
      </c>
      <c r="D437" s="1">
        <v>75.6</v>
      </c>
      <c r="E437" s="1">
        <v>0.4</v>
      </c>
      <c r="F437" s="1">
        <v>6.2</v>
      </c>
      <c r="G437" s="1">
        <v>36.7</v>
      </c>
      <c r="H437" s="1">
        <v>0.2</v>
      </c>
      <c r="I437" s="1">
        <v>0.1</v>
      </c>
      <c r="J437" s="1">
        <v>21.2</v>
      </c>
      <c r="K437" s="18">
        <f t="shared" si="1"/>
        <v>2.274441219</v>
      </c>
      <c r="L437" s="18">
        <f t="shared" si="2"/>
        <v>3.718321678</v>
      </c>
      <c r="M437" s="118"/>
      <c r="N437" s="118"/>
      <c r="O437" s="11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1" t="s">
        <v>1021</v>
      </c>
      <c r="B438" s="1" t="s">
        <v>155</v>
      </c>
      <c r="C438" s="1">
        <v>6.8</v>
      </c>
      <c r="D438" s="1">
        <v>78.2</v>
      </c>
      <c r="E438" s="1">
        <v>0.6</v>
      </c>
      <c r="F438" s="1">
        <v>0.0</v>
      </c>
      <c r="G438" s="1">
        <v>0.0</v>
      </c>
      <c r="H438" s="1">
        <v>0.0</v>
      </c>
      <c r="I438" s="1">
        <v>0.1</v>
      </c>
      <c r="J438" s="1">
        <v>18.3</v>
      </c>
      <c r="K438" s="18">
        <f t="shared" si="1"/>
        <v>0</v>
      </c>
      <c r="L438" s="18">
        <f t="shared" si="2"/>
        <v>3.846200466</v>
      </c>
      <c r="M438" s="112">
        <f>C440*Scoring!$B$34+D440/Scoring!$C$34+E440*Scoring!$D$34+WR!F440*Scoring!$E$34+WR!G440/Scoring!$F$34+WR!H440*Scoring!$G$34+WR!I440*Scoring!$H$34+K440*Scoring!$I$34+WR!L440*Scoring!$J$34+U438</f>
        <v>14.62</v>
      </c>
      <c r="N438" s="112">
        <f>C438*Scoring!$B$34+D438/Scoring!$C$34+E438*Scoring!$D$34+WR!F438*Scoring!$E$34+WR!G438/Scoring!$F$34+WR!H438*Scoring!$G$34+WR!I438*Scoring!$H$34+K438*Scoring!$I$34+WR!L438*Scoring!$J$34+U438</f>
        <v>14.62</v>
      </c>
      <c r="O438" s="112">
        <f>C439*Scoring!$B$34+D439/Scoring!$C$34+E439*Scoring!$D$34+WR!F439*Scoring!$E$34+WR!G439/Scoring!$F$34+WR!H439*Scoring!$G$34+WR!I439*Scoring!$H$34+K439*Scoring!$I$34+WR!L439*Scoring!$J$34+U438</f>
        <v>14.62</v>
      </c>
      <c r="P438" s="8">
        <f>IF(COUNTIF(Rookies!$A:$A,A438)&gt;0,1,0)</f>
        <v>0</v>
      </c>
      <c r="Q438" s="8"/>
      <c r="R438" s="8"/>
      <c r="S438" s="8">
        <f>V438/17</f>
        <v>0.86</v>
      </c>
      <c r="T438" s="8">
        <f>IF(P438=1,MAX(0,0.28*(12-S438)),0)</f>
        <v>0</v>
      </c>
      <c r="U438" s="8">
        <f>T438*17</f>
        <v>0</v>
      </c>
      <c r="V438" s="8">
        <f>C438*Scoring!$B$34+D438/Scoring!$C$34+E438*Scoring!$D$34+WR!F438*Scoring!$E$34+WR!G438/Scoring!$F$34+WR!H438*Scoring!$G$34+WR!I438*Scoring!$H$34+K438*Scoring!$I$34+WR!L438*Scoring!$J$34</f>
        <v>14.62</v>
      </c>
      <c r="W438" s="8"/>
      <c r="X438" s="8"/>
      <c r="Y438" s="8"/>
      <c r="Z438" s="8"/>
    </row>
    <row r="439" ht="14.25" customHeight="1">
      <c r="B439" s="1" t="s">
        <v>39</v>
      </c>
      <c r="C439" s="1">
        <v>6.8</v>
      </c>
      <c r="D439" s="1">
        <v>78.2</v>
      </c>
      <c r="E439" s="1">
        <v>0.6</v>
      </c>
      <c r="F439" s="1">
        <v>0.0</v>
      </c>
      <c r="G439" s="1">
        <v>0.0</v>
      </c>
      <c r="H439" s="1">
        <v>0.0</v>
      </c>
      <c r="I439" s="1">
        <v>0.1</v>
      </c>
      <c r="J439" s="1">
        <v>18.4</v>
      </c>
      <c r="K439" s="18">
        <f t="shared" si="1"/>
        <v>0</v>
      </c>
      <c r="L439" s="18">
        <f t="shared" si="2"/>
        <v>3.846200466</v>
      </c>
      <c r="M439" s="118"/>
      <c r="N439" s="118"/>
      <c r="O439" s="11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B440" s="1" t="s">
        <v>48</v>
      </c>
      <c r="C440" s="1">
        <v>6.8</v>
      </c>
      <c r="D440" s="1">
        <v>78.2</v>
      </c>
      <c r="E440" s="1">
        <v>0.6</v>
      </c>
      <c r="F440" s="1">
        <v>0.0</v>
      </c>
      <c r="G440" s="1">
        <v>0.0</v>
      </c>
      <c r="H440" s="1">
        <v>0.0</v>
      </c>
      <c r="I440" s="1">
        <v>0.1</v>
      </c>
      <c r="J440" s="1">
        <v>18.4</v>
      </c>
      <c r="K440" s="18">
        <f t="shared" si="1"/>
        <v>0</v>
      </c>
      <c r="L440" s="18">
        <f t="shared" si="2"/>
        <v>3.846200466</v>
      </c>
      <c r="M440" s="118"/>
      <c r="N440" s="118"/>
      <c r="O440" s="11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1" t="s">
        <v>1022</v>
      </c>
      <c r="B441" s="1" t="s">
        <v>164</v>
      </c>
      <c r="C441" s="1">
        <v>6.4</v>
      </c>
      <c r="D441" s="1">
        <v>80.6</v>
      </c>
      <c r="E441" s="1">
        <v>0.6</v>
      </c>
      <c r="F441" s="1">
        <v>0.0</v>
      </c>
      <c r="G441" s="1">
        <v>0.0</v>
      </c>
      <c r="H441" s="1">
        <v>0.0</v>
      </c>
      <c r="I441" s="1">
        <v>0.1</v>
      </c>
      <c r="J441" s="1">
        <v>17.8</v>
      </c>
      <c r="K441" s="18">
        <f t="shared" si="1"/>
        <v>0</v>
      </c>
      <c r="L441" s="18">
        <f t="shared" si="2"/>
        <v>3.964242424</v>
      </c>
      <c r="M441" s="112">
        <f>C443*Scoring!$B$34+D443/Scoring!$C$34+E443*Scoring!$D$34+WR!F443*Scoring!$E$34+WR!G443/Scoring!$F$34+WR!H443*Scoring!$G$34+WR!I443*Scoring!$H$34+K443*Scoring!$I$34+WR!L443*Scoring!$J$34+U441</f>
        <v>14.66</v>
      </c>
      <c r="N441" s="112">
        <f>C441*Scoring!$B$34+D441/Scoring!$C$34+E441*Scoring!$D$34+WR!F441*Scoring!$E$34+WR!G441/Scoring!$F$34+WR!H441*Scoring!$G$34+WR!I441*Scoring!$H$34+K441*Scoring!$I$34+WR!L441*Scoring!$J$34+U441</f>
        <v>14.66</v>
      </c>
      <c r="O441" s="112">
        <f>C442*Scoring!$B$34+D442/Scoring!$C$34+E442*Scoring!$D$34+WR!F442*Scoring!$E$34+WR!G442/Scoring!$F$34+WR!H442*Scoring!$G$34+WR!I442*Scoring!$H$34+K442*Scoring!$I$34+WR!L442*Scoring!$J$34+U441</f>
        <v>14.66</v>
      </c>
      <c r="P441" s="8">
        <f>IF(COUNTIF(Rookies!$A:$A,A441)&gt;0,1,0)</f>
        <v>0</v>
      </c>
      <c r="Q441" s="8"/>
      <c r="R441" s="8"/>
      <c r="S441" s="8">
        <f>V441/17</f>
        <v>0.8623529412</v>
      </c>
      <c r="T441" s="8">
        <f>IF(P441=1,MAX(0,0.28*(12-S441)),0)</f>
        <v>0</v>
      </c>
      <c r="U441" s="8">
        <f>T441*17</f>
        <v>0</v>
      </c>
      <c r="V441" s="8">
        <f>C441*Scoring!$B$34+D441/Scoring!$C$34+E441*Scoring!$D$34+WR!F441*Scoring!$E$34+WR!G441/Scoring!$F$34+WR!H441*Scoring!$G$34+WR!I441*Scoring!$H$34+K441*Scoring!$I$34+WR!L441*Scoring!$J$34</f>
        <v>14.66</v>
      </c>
      <c r="W441" s="8"/>
      <c r="X441" s="8"/>
      <c r="Y441" s="8"/>
      <c r="Z441" s="8"/>
    </row>
    <row r="442" ht="14.25" customHeight="1">
      <c r="B442" s="1" t="s">
        <v>39</v>
      </c>
      <c r="C442" s="1">
        <v>6.4</v>
      </c>
      <c r="D442" s="1">
        <v>80.6</v>
      </c>
      <c r="E442" s="1">
        <v>0.6</v>
      </c>
      <c r="F442" s="1">
        <v>0.0</v>
      </c>
      <c r="G442" s="1">
        <v>0.0</v>
      </c>
      <c r="H442" s="1">
        <v>0.0</v>
      </c>
      <c r="I442" s="1">
        <v>0.1</v>
      </c>
      <c r="J442" s="1">
        <v>18.1</v>
      </c>
      <c r="K442" s="18">
        <f t="shared" si="1"/>
        <v>0</v>
      </c>
      <c r="L442" s="18">
        <f t="shared" si="2"/>
        <v>3.964242424</v>
      </c>
      <c r="M442" s="118"/>
      <c r="N442" s="118"/>
      <c r="O442" s="11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B443" s="1" t="s">
        <v>48</v>
      </c>
      <c r="C443" s="1">
        <v>6.4</v>
      </c>
      <c r="D443" s="1">
        <v>80.6</v>
      </c>
      <c r="E443" s="1">
        <v>0.6</v>
      </c>
      <c r="F443" s="1">
        <v>0.0</v>
      </c>
      <c r="G443" s="1">
        <v>0.0</v>
      </c>
      <c r="H443" s="1">
        <v>0.0</v>
      </c>
      <c r="I443" s="1">
        <v>0.1</v>
      </c>
      <c r="J443" s="1">
        <v>18.1</v>
      </c>
      <c r="K443" s="18">
        <f t="shared" si="1"/>
        <v>0</v>
      </c>
      <c r="L443" s="18">
        <f t="shared" si="2"/>
        <v>3.964242424</v>
      </c>
      <c r="M443" s="118"/>
      <c r="N443" s="118"/>
      <c r="O443" s="11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1" t="s">
        <v>1024</v>
      </c>
      <c r="B444" s="1" t="s">
        <v>193</v>
      </c>
      <c r="C444" s="1">
        <v>6.1</v>
      </c>
      <c r="D444" s="1">
        <v>76.6</v>
      </c>
      <c r="E444" s="1">
        <v>0.6</v>
      </c>
      <c r="F444" s="1">
        <v>0.0</v>
      </c>
      <c r="G444" s="1">
        <v>0.0</v>
      </c>
      <c r="H444" s="1">
        <v>0.0</v>
      </c>
      <c r="I444" s="1">
        <v>0.1</v>
      </c>
      <c r="J444" s="1">
        <v>17.2</v>
      </c>
      <c r="K444" s="18">
        <f t="shared" si="1"/>
        <v>0</v>
      </c>
      <c r="L444" s="18">
        <f t="shared" si="2"/>
        <v>3.767505828</v>
      </c>
      <c r="M444" s="112">
        <f>C446*Scoring!$B$34+D446/Scoring!$C$34+E446*Scoring!$D$34+WR!F446*Scoring!$E$34+WR!G446/Scoring!$F$34+WR!H446*Scoring!$G$34+WR!I446*Scoring!$H$34+K446*Scoring!$I$34+WR!L446*Scoring!$J$34+U444</f>
        <v>14.11</v>
      </c>
      <c r="N444" s="112">
        <f>C444*Scoring!$B$34+D444/Scoring!$C$34+E444*Scoring!$D$34+WR!F444*Scoring!$E$34+WR!G444/Scoring!$F$34+WR!H444*Scoring!$G$34+WR!I444*Scoring!$H$34+K444*Scoring!$I$34+WR!L444*Scoring!$J$34+U444</f>
        <v>14.11</v>
      </c>
      <c r="O444" s="112">
        <f>C445*Scoring!$B$34+D445/Scoring!$C$34+E445*Scoring!$D$34+WR!F445*Scoring!$E$34+WR!G445/Scoring!$F$34+WR!H445*Scoring!$G$34+WR!I445*Scoring!$H$34+K445*Scoring!$I$34+WR!L445*Scoring!$J$34+U444</f>
        <v>14.11</v>
      </c>
      <c r="P444" s="8">
        <f>IF(COUNTIF(Rookies!$A:$A,A444)&gt;0,1,0)</f>
        <v>0</v>
      </c>
      <c r="Q444" s="8"/>
      <c r="R444" s="8"/>
      <c r="S444" s="8">
        <f>V444/17</f>
        <v>0.83</v>
      </c>
      <c r="T444" s="8">
        <f>IF(P444=1,MAX(0,0.28*(12-S444)),0)</f>
        <v>0</v>
      </c>
      <c r="U444" s="8">
        <f>T444*17</f>
        <v>0</v>
      </c>
      <c r="V444" s="8">
        <f>C444*Scoring!$B$34+D444/Scoring!$C$34+E444*Scoring!$D$34+WR!F444*Scoring!$E$34+WR!G444/Scoring!$F$34+WR!H444*Scoring!$G$34+WR!I444*Scoring!$H$34+K444*Scoring!$I$34+WR!L444*Scoring!$J$34</f>
        <v>14.11</v>
      </c>
      <c r="W444" s="8"/>
      <c r="X444" s="8"/>
      <c r="Y444" s="8"/>
      <c r="Z444" s="8"/>
    </row>
    <row r="445" ht="14.25" customHeight="1">
      <c r="B445" s="1" t="s">
        <v>39</v>
      </c>
      <c r="C445" s="1">
        <v>6.1</v>
      </c>
      <c r="D445" s="1">
        <v>76.6</v>
      </c>
      <c r="E445" s="1">
        <v>0.6</v>
      </c>
      <c r="F445" s="1">
        <v>0.0</v>
      </c>
      <c r="G445" s="1">
        <v>0.0</v>
      </c>
      <c r="H445" s="1">
        <v>0.0</v>
      </c>
      <c r="I445" s="1">
        <v>0.1</v>
      </c>
      <c r="J445" s="1">
        <v>17.3</v>
      </c>
      <c r="K445" s="18">
        <f t="shared" si="1"/>
        <v>0</v>
      </c>
      <c r="L445" s="18">
        <f t="shared" si="2"/>
        <v>3.767505828</v>
      </c>
      <c r="M445" s="118"/>
      <c r="N445" s="118"/>
      <c r="O445" s="11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B446" s="1" t="s">
        <v>48</v>
      </c>
      <c r="C446" s="1">
        <v>6.1</v>
      </c>
      <c r="D446" s="1">
        <v>76.6</v>
      </c>
      <c r="E446" s="1">
        <v>0.6</v>
      </c>
      <c r="F446" s="1">
        <v>0.0</v>
      </c>
      <c r="G446" s="1">
        <v>0.0</v>
      </c>
      <c r="H446" s="1">
        <v>0.0</v>
      </c>
      <c r="I446" s="1">
        <v>0.1</v>
      </c>
      <c r="J446" s="1">
        <v>17.3</v>
      </c>
      <c r="K446" s="18">
        <f t="shared" si="1"/>
        <v>0</v>
      </c>
      <c r="L446" s="18">
        <f t="shared" si="2"/>
        <v>3.767505828</v>
      </c>
      <c r="M446" s="118"/>
      <c r="N446" s="118"/>
      <c r="O446" s="11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1" t="s">
        <v>1025</v>
      </c>
      <c r="B447" s="1" t="s">
        <v>182</v>
      </c>
      <c r="C447" s="1">
        <v>6.8</v>
      </c>
      <c r="D447" s="1">
        <v>80.5</v>
      </c>
      <c r="E447" s="1">
        <v>0.3</v>
      </c>
      <c r="F447" s="1">
        <v>0.0</v>
      </c>
      <c r="G447" s="1">
        <v>0.0</v>
      </c>
      <c r="H447" s="1">
        <v>0.0</v>
      </c>
      <c r="I447" s="1">
        <v>0.1</v>
      </c>
      <c r="J447" s="1">
        <v>16.7</v>
      </c>
      <c r="K447" s="18">
        <f t="shared" si="1"/>
        <v>0</v>
      </c>
      <c r="L447" s="18">
        <f t="shared" si="2"/>
        <v>3.959324009</v>
      </c>
      <c r="M447" s="112">
        <f>C449*Scoring!$B$34+D449/Scoring!$C$34+E449*Scoring!$D$34+WR!F449*Scoring!$E$34+WR!G449/Scoring!$F$34+WR!H449*Scoring!$G$34+WR!I449*Scoring!$H$34+K449*Scoring!$I$34+WR!L449*Scoring!$J$34+U447</f>
        <v>13.05</v>
      </c>
      <c r="N447" s="112">
        <f>C447*Scoring!$B$34+D447/Scoring!$C$34+E447*Scoring!$D$34+WR!F447*Scoring!$E$34+WR!G447/Scoring!$F$34+WR!H447*Scoring!$G$34+WR!I447*Scoring!$H$34+K447*Scoring!$I$34+WR!L447*Scoring!$J$34+U447</f>
        <v>13.05</v>
      </c>
      <c r="O447" s="112">
        <f>C448*Scoring!$B$34+D448/Scoring!$C$34+E448*Scoring!$D$34+WR!F448*Scoring!$E$34+WR!G448/Scoring!$F$34+WR!H448*Scoring!$G$34+WR!I448*Scoring!$H$34+K448*Scoring!$I$34+WR!L448*Scoring!$J$34+U447</f>
        <v>13.05</v>
      </c>
      <c r="P447" s="8">
        <f>IF(COUNTIF(Rookies!$A:$A,A447)&gt;0,1,0)</f>
        <v>0</v>
      </c>
      <c r="Q447" s="8"/>
      <c r="R447" s="8"/>
      <c r="S447" s="8">
        <f>V447/17</f>
        <v>0.7676470588</v>
      </c>
      <c r="T447" s="8">
        <f>IF(P447=1,MAX(0,0.28*(12-S447)),0)</f>
        <v>0</v>
      </c>
      <c r="U447" s="8">
        <f>T447*17</f>
        <v>0</v>
      </c>
      <c r="V447" s="8">
        <f>C447*Scoring!$B$34+D447/Scoring!$C$34+E447*Scoring!$D$34+WR!F447*Scoring!$E$34+WR!G447/Scoring!$F$34+WR!H447*Scoring!$G$34+WR!I447*Scoring!$H$34+K447*Scoring!$I$34+WR!L447*Scoring!$J$34</f>
        <v>13.05</v>
      </c>
      <c r="W447" s="8"/>
      <c r="X447" s="8"/>
      <c r="Y447" s="8"/>
      <c r="Z447" s="8"/>
    </row>
    <row r="448" ht="14.25" customHeight="1">
      <c r="B448" s="1" t="s">
        <v>39</v>
      </c>
      <c r="C448" s="1">
        <v>6.8</v>
      </c>
      <c r="D448" s="1">
        <v>80.5</v>
      </c>
      <c r="E448" s="1">
        <v>0.3</v>
      </c>
      <c r="F448" s="1">
        <v>0.0</v>
      </c>
      <c r="G448" s="1">
        <v>0.0</v>
      </c>
      <c r="H448" s="1">
        <v>0.0</v>
      </c>
      <c r="I448" s="1">
        <v>0.1</v>
      </c>
      <c r="J448" s="1">
        <v>17.4</v>
      </c>
      <c r="K448" s="18">
        <f t="shared" si="1"/>
        <v>0</v>
      </c>
      <c r="L448" s="18">
        <f t="shared" si="2"/>
        <v>3.959324009</v>
      </c>
      <c r="M448" s="118"/>
      <c r="N448" s="118"/>
      <c r="O448" s="11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B449" s="1" t="s">
        <v>48</v>
      </c>
      <c r="C449" s="1">
        <v>6.8</v>
      </c>
      <c r="D449" s="1">
        <v>80.5</v>
      </c>
      <c r="E449" s="1">
        <v>0.3</v>
      </c>
      <c r="F449" s="1">
        <v>0.0</v>
      </c>
      <c r="G449" s="1">
        <v>0.0</v>
      </c>
      <c r="H449" s="1">
        <v>0.0</v>
      </c>
      <c r="I449" s="1">
        <v>0.1</v>
      </c>
      <c r="J449" s="1">
        <v>17.4</v>
      </c>
      <c r="K449" s="18">
        <f t="shared" si="1"/>
        <v>0</v>
      </c>
      <c r="L449" s="18">
        <f t="shared" si="2"/>
        <v>3.959324009</v>
      </c>
      <c r="M449" s="118"/>
      <c r="N449" s="118"/>
      <c r="O449" s="11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1" t="s">
        <v>1026</v>
      </c>
      <c r="B450" s="1" t="s">
        <v>222</v>
      </c>
      <c r="C450" s="1">
        <v>6.0</v>
      </c>
      <c r="D450" s="1">
        <v>83.0</v>
      </c>
      <c r="E450" s="1">
        <v>0.3</v>
      </c>
      <c r="F450" s="1">
        <v>0.0</v>
      </c>
      <c r="G450" s="1">
        <v>0.0</v>
      </c>
      <c r="H450" s="1">
        <v>0.0</v>
      </c>
      <c r="I450" s="1">
        <v>0.1</v>
      </c>
      <c r="J450" s="1">
        <v>16.0</v>
      </c>
      <c r="K450" s="18">
        <f t="shared" si="1"/>
        <v>0</v>
      </c>
      <c r="L450" s="18">
        <f t="shared" si="2"/>
        <v>4.082284382</v>
      </c>
      <c r="M450" s="112">
        <f>C452*Scoring!$B$34+D452/Scoring!$C$34+E452*Scoring!$D$34+WR!F452*Scoring!$E$34+WR!G452/Scoring!$F$34+WR!H452*Scoring!$G$34+WR!I452*Scoring!$H$34+K452*Scoring!$I$34+WR!L452*Scoring!$J$34+U450</f>
        <v>12.9</v>
      </c>
      <c r="N450" s="112">
        <f>C450*Scoring!$B$34+D450/Scoring!$C$34+E450*Scoring!$D$34+WR!F450*Scoring!$E$34+WR!G450/Scoring!$F$34+WR!H450*Scoring!$G$34+WR!I450*Scoring!$H$34+K450*Scoring!$I$34+WR!L450*Scoring!$J$34+U450</f>
        <v>12.9</v>
      </c>
      <c r="O450" s="112">
        <f>C451*Scoring!$B$34+D451/Scoring!$C$34+E451*Scoring!$D$34+WR!F451*Scoring!$E$34+WR!G451/Scoring!$F$34+WR!H451*Scoring!$G$34+WR!I451*Scoring!$H$34+K451*Scoring!$I$34+WR!L451*Scoring!$J$34+U450</f>
        <v>12.9</v>
      </c>
      <c r="P450" s="8">
        <f>IF(COUNTIF(Rookies!$A:$A,A450)&gt;0,1,0)</f>
        <v>0</v>
      </c>
      <c r="Q450" s="8"/>
      <c r="R450" s="8"/>
      <c r="S450" s="8">
        <f>V450/17</f>
        <v>0.7588235294</v>
      </c>
      <c r="T450" s="8">
        <f>IF(P450=1,MAX(0,0.28*(12-S450)),0)</f>
        <v>0</v>
      </c>
      <c r="U450" s="8">
        <f>T450*17</f>
        <v>0</v>
      </c>
      <c r="V450" s="8">
        <f>C450*Scoring!$B$34+D450/Scoring!$C$34+E450*Scoring!$D$34+WR!F450*Scoring!$E$34+WR!G450/Scoring!$F$34+WR!H450*Scoring!$G$34+WR!I450*Scoring!$H$34+K450*Scoring!$I$34+WR!L450*Scoring!$J$34</f>
        <v>12.9</v>
      </c>
      <c r="W450" s="8"/>
      <c r="X450" s="8"/>
      <c r="Y450" s="8"/>
      <c r="Z450" s="8"/>
    </row>
    <row r="451" ht="14.25" customHeight="1">
      <c r="B451" s="1" t="s">
        <v>39</v>
      </c>
      <c r="C451" s="1">
        <v>6.0</v>
      </c>
      <c r="D451" s="1">
        <v>83.0</v>
      </c>
      <c r="E451" s="1">
        <v>0.3</v>
      </c>
      <c r="F451" s="1">
        <v>0.0</v>
      </c>
      <c r="G451" s="1">
        <v>0.0</v>
      </c>
      <c r="H451" s="1">
        <v>0.0</v>
      </c>
      <c r="I451" s="1">
        <v>0.1</v>
      </c>
      <c r="J451" s="1">
        <v>16.1</v>
      </c>
      <c r="K451" s="18">
        <f t="shared" si="1"/>
        <v>0</v>
      </c>
      <c r="L451" s="18">
        <f t="shared" si="2"/>
        <v>4.082284382</v>
      </c>
      <c r="M451" s="118"/>
      <c r="N451" s="118"/>
      <c r="O451" s="11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B452" s="1" t="s">
        <v>48</v>
      </c>
      <c r="C452" s="1">
        <v>6.0</v>
      </c>
      <c r="D452" s="1">
        <v>83.0</v>
      </c>
      <c r="E452" s="1">
        <v>0.3</v>
      </c>
      <c r="F452" s="1">
        <v>0.0</v>
      </c>
      <c r="G452" s="1">
        <v>0.0</v>
      </c>
      <c r="H452" s="1">
        <v>0.0</v>
      </c>
      <c r="I452" s="1">
        <v>0.1</v>
      </c>
      <c r="J452" s="1">
        <v>16.1</v>
      </c>
      <c r="K452" s="18">
        <f t="shared" si="1"/>
        <v>0</v>
      </c>
      <c r="L452" s="18">
        <f t="shared" si="2"/>
        <v>4.082284382</v>
      </c>
      <c r="M452" s="118"/>
      <c r="N452" s="118"/>
      <c r="O452" s="11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1" t="s">
        <v>1027</v>
      </c>
      <c r="B453" s="1" t="s">
        <v>179</v>
      </c>
      <c r="C453" s="1">
        <v>4.1</v>
      </c>
      <c r="D453" s="1">
        <v>39.7</v>
      </c>
      <c r="E453" s="1">
        <v>0.3</v>
      </c>
      <c r="F453" s="1">
        <v>4.6</v>
      </c>
      <c r="G453" s="1">
        <v>24.0</v>
      </c>
      <c r="H453" s="1">
        <v>0.4</v>
      </c>
      <c r="I453" s="1">
        <v>0.1</v>
      </c>
      <c r="J453" s="1">
        <v>14.1</v>
      </c>
      <c r="K453" s="18">
        <f t="shared" si="1"/>
        <v>1.487373004</v>
      </c>
      <c r="L453" s="18">
        <f t="shared" si="2"/>
        <v>1.952610723</v>
      </c>
      <c r="M453" s="112">
        <f>C455*Scoring!$B$34+D455/Scoring!$C$34+E455*Scoring!$D$34+WR!F455*Scoring!$E$34+WR!G455/Scoring!$F$34+WR!H455*Scoring!$G$34+WR!I455*Scoring!$H$34+K455*Scoring!$I$34+WR!L455*Scoring!$J$34+U453</f>
        <v>12.42</v>
      </c>
      <c r="N453" s="112">
        <f>C453*Scoring!$B$34+D453/Scoring!$C$34+E453*Scoring!$D$34+WR!F453*Scoring!$E$34+WR!G453/Scoring!$F$34+WR!H453*Scoring!$G$34+WR!I453*Scoring!$H$34+K453*Scoring!$I$34+WR!L453*Scoring!$J$34+U453</f>
        <v>12.42</v>
      </c>
      <c r="O453" s="112">
        <f>C454*Scoring!$B$34+D454/Scoring!$C$34+E454*Scoring!$D$34+WR!F454*Scoring!$E$34+WR!G454/Scoring!$F$34+WR!H454*Scoring!$G$34+WR!I454*Scoring!$H$34+K454*Scoring!$I$34+WR!L454*Scoring!$J$34+U453</f>
        <v>12.42</v>
      </c>
      <c r="P453" s="8">
        <f>IF(COUNTIF(Rookies!$A:$A,A453)&gt;0,1,0)</f>
        <v>0</v>
      </c>
      <c r="Q453" s="8"/>
      <c r="R453" s="8"/>
      <c r="S453" s="8">
        <f>V453/17</f>
        <v>0.7305882353</v>
      </c>
      <c r="T453" s="8">
        <f>IF(P453=1,MAX(0,0.28*(12-S453)),0)</f>
        <v>0</v>
      </c>
      <c r="U453" s="8">
        <f>T453*17</f>
        <v>0</v>
      </c>
      <c r="V453" s="8">
        <f>C453*Scoring!$B$34+D453/Scoring!$C$34+E453*Scoring!$D$34+WR!F453*Scoring!$E$34+WR!G453/Scoring!$F$34+WR!H453*Scoring!$G$34+WR!I453*Scoring!$H$34+K453*Scoring!$I$34+WR!L453*Scoring!$J$34</f>
        <v>12.42</v>
      </c>
      <c r="W453" s="8"/>
      <c r="X453" s="8"/>
      <c r="Y453" s="8"/>
      <c r="Z453" s="8"/>
    </row>
    <row r="454" ht="14.25" customHeight="1">
      <c r="B454" s="1" t="s">
        <v>39</v>
      </c>
      <c r="C454" s="1">
        <v>4.1</v>
      </c>
      <c r="D454" s="1">
        <v>39.7</v>
      </c>
      <c r="E454" s="1">
        <v>0.3</v>
      </c>
      <c r="F454" s="1">
        <v>4.6</v>
      </c>
      <c r="G454" s="1">
        <v>24.0</v>
      </c>
      <c r="H454" s="1">
        <v>0.4</v>
      </c>
      <c r="I454" s="1">
        <v>0.1</v>
      </c>
      <c r="J454" s="1">
        <v>16.0</v>
      </c>
      <c r="K454" s="18">
        <f t="shared" si="1"/>
        <v>1.487373004</v>
      </c>
      <c r="L454" s="18">
        <f t="shared" si="2"/>
        <v>1.952610723</v>
      </c>
      <c r="M454" s="118"/>
      <c r="N454" s="118"/>
      <c r="O454" s="11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B455" s="1" t="s">
        <v>48</v>
      </c>
      <c r="C455" s="1">
        <v>4.1</v>
      </c>
      <c r="D455" s="1">
        <v>39.7</v>
      </c>
      <c r="E455" s="1">
        <v>0.3</v>
      </c>
      <c r="F455" s="1">
        <v>4.6</v>
      </c>
      <c r="G455" s="1">
        <v>24.0</v>
      </c>
      <c r="H455" s="1">
        <v>0.4</v>
      </c>
      <c r="I455" s="1">
        <v>0.1</v>
      </c>
      <c r="J455" s="1">
        <v>16.0</v>
      </c>
      <c r="K455" s="18">
        <f t="shared" si="1"/>
        <v>1.487373004</v>
      </c>
      <c r="L455" s="18">
        <f t="shared" si="2"/>
        <v>1.952610723</v>
      </c>
      <c r="M455" s="118"/>
      <c r="N455" s="118"/>
      <c r="O455" s="11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1" t="s">
        <v>1028</v>
      </c>
      <c r="B456" s="1" t="s">
        <v>182</v>
      </c>
      <c r="C456" s="1">
        <v>4.6</v>
      </c>
      <c r="D456" s="1">
        <v>57.3</v>
      </c>
      <c r="E456" s="1">
        <v>0.3</v>
      </c>
      <c r="F456" s="1">
        <v>0.0</v>
      </c>
      <c r="G456" s="1">
        <v>0.0</v>
      </c>
      <c r="H456" s="1">
        <v>0.0</v>
      </c>
      <c r="I456" s="1">
        <v>0.1</v>
      </c>
      <c r="J456" s="1">
        <v>11.8</v>
      </c>
      <c r="K456" s="18">
        <f t="shared" si="1"/>
        <v>0</v>
      </c>
      <c r="L456" s="18">
        <f t="shared" si="2"/>
        <v>2.818251748</v>
      </c>
      <c r="M456" s="112">
        <f>C458*Scoring!$B$34+D458/Scoring!$C$34+E458*Scoring!$D$34+WR!F458*Scoring!$E$34+WR!G458/Scoring!$F$34+WR!H458*Scoring!$G$34+WR!I458*Scoring!$H$34+K458*Scoring!$I$34+WR!L458*Scoring!$J$34+U456</f>
        <v>64.0536</v>
      </c>
      <c r="N456" s="112">
        <f>C456*Scoring!$B$34+D456/Scoring!$C$34+E456*Scoring!$D$34+WR!F456*Scoring!$E$34+WR!G456/Scoring!$F$34+WR!H456*Scoring!$G$34+WR!I456*Scoring!$H$34+K456*Scoring!$I$34+WR!L456*Scoring!$J$34+U456</f>
        <v>64.0536</v>
      </c>
      <c r="O456" s="112">
        <f>C457*Scoring!$B$34+D457/Scoring!$C$34+E457*Scoring!$D$34+WR!F457*Scoring!$E$34+WR!G457/Scoring!$F$34+WR!H457*Scoring!$G$34+WR!I457*Scoring!$H$34+K457*Scoring!$I$34+WR!L457*Scoring!$J$34+U456</f>
        <v>64.0536</v>
      </c>
      <c r="P456" s="8">
        <f>IF(COUNTIF(Rookies!$A:$A,A456)&gt;0,1,0)</f>
        <v>1</v>
      </c>
      <c r="Q456" s="8"/>
      <c r="R456" s="8"/>
      <c r="S456" s="8">
        <f>V456/17</f>
        <v>0.5664705882</v>
      </c>
      <c r="T456" s="8">
        <f>IF(P456=1,MAX(0,0.28*(12-S456)),0)</f>
        <v>3.201388235</v>
      </c>
      <c r="U456" s="8">
        <f>T456*17</f>
        <v>54.4236</v>
      </c>
      <c r="V456" s="8">
        <f>C456*Scoring!$B$34+D456/Scoring!$C$34+E456*Scoring!$D$34+WR!F456*Scoring!$E$34+WR!G456/Scoring!$F$34+WR!H456*Scoring!$G$34+WR!I456*Scoring!$H$34+K456*Scoring!$I$34+WR!L456*Scoring!$J$34</f>
        <v>9.63</v>
      </c>
      <c r="W456" s="8"/>
      <c r="X456" s="8"/>
      <c r="Y456" s="8"/>
      <c r="Z456" s="8"/>
    </row>
    <row r="457" ht="14.25" customHeight="1">
      <c r="B457" s="1" t="s">
        <v>39</v>
      </c>
      <c r="C457" s="1">
        <v>4.6</v>
      </c>
      <c r="D457" s="1">
        <v>57.3</v>
      </c>
      <c r="E457" s="1">
        <v>0.3</v>
      </c>
      <c r="F457" s="1">
        <v>0.0</v>
      </c>
      <c r="G457" s="1">
        <v>0.0</v>
      </c>
      <c r="H457" s="1">
        <v>0.0</v>
      </c>
      <c r="I457" s="1">
        <v>0.1</v>
      </c>
      <c r="J457" s="1">
        <v>13.2</v>
      </c>
      <c r="K457" s="18">
        <f t="shared" si="1"/>
        <v>0</v>
      </c>
      <c r="L457" s="18">
        <f t="shared" si="2"/>
        <v>2.818251748</v>
      </c>
      <c r="M457" s="118"/>
      <c r="N457" s="118"/>
      <c r="O457" s="11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B458" s="1" t="s">
        <v>48</v>
      </c>
      <c r="C458" s="1">
        <v>4.6</v>
      </c>
      <c r="D458" s="1">
        <v>57.3</v>
      </c>
      <c r="E458" s="1">
        <v>0.3</v>
      </c>
      <c r="F458" s="1">
        <v>0.0</v>
      </c>
      <c r="G458" s="1">
        <v>0.0</v>
      </c>
      <c r="H458" s="1">
        <v>0.0</v>
      </c>
      <c r="I458" s="1">
        <v>0.1</v>
      </c>
      <c r="J458" s="1">
        <v>13.2</v>
      </c>
      <c r="K458" s="18">
        <f t="shared" si="1"/>
        <v>0</v>
      </c>
      <c r="L458" s="18">
        <f t="shared" si="2"/>
        <v>2.818251748</v>
      </c>
      <c r="M458" s="118"/>
      <c r="N458" s="118"/>
      <c r="O458" s="11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1" t="s">
        <v>1029</v>
      </c>
      <c r="B459" s="1" t="s">
        <v>199</v>
      </c>
      <c r="C459" s="1">
        <v>2.9</v>
      </c>
      <c r="D459" s="1">
        <v>37.4</v>
      </c>
      <c r="E459" s="1">
        <v>0.3</v>
      </c>
      <c r="F459" s="1">
        <v>4.5</v>
      </c>
      <c r="G459" s="1">
        <v>25.9</v>
      </c>
      <c r="H459" s="1">
        <v>0.1</v>
      </c>
      <c r="I459" s="1">
        <v>0.1</v>
      </c>
      <c r="J459" s="1">
        <v>11.5</v>
      </c>
      <c r="K459" s="18">
        <f t="shared" si="1"/>
        <v>1.605123367</v>
      </c>
      <c r="L459" s="18">
        <f t="shared" si="2"/>
        <v>1.839487179</v>
      </c>
      <c r="M459" s="112">
        <f>C461*Scoring!$B$34+D461/Scoring!$C$34+E461*Scoring!$D$34+WR!F461*Scoring!$E$34+WR!G461/Scoring!$F$34+WR!H461*Scoring!$G$34+WR!I461*Scoring!$H$34+K461*Scoring!$I$34+WR!L461*Scoring!$J$34+U459</f>
        <v>9.98</v>
      </c>
      <c r="N459" s="112">
        <f>C459*Scoring!$B$34+D459/Scoring!$C$34+E459*Scoring!$D$34+WR!F459*Scoring!$E$34+WR!G459/Scoring!$F$34+WR!H459*Scoring!$G$34+WR!I459*Scoring!$H$34+K459*Scoring!$I$34+WR!L459*Scoring!$J$34+U459</f>
        <v>9.98</v>
      </c>
      <c r="O459" s="112">
        <f>C460*Scoring!$B$34+D460/Scoring!$C$34+E460*Scoring!$D$34+WR!F460*Scoring!$E$34+WR!G460/Scoring!$F$34+WR!H460*Scoring!$G$34+WR!I460*Scoring!$H$34+K460*Scoring!$I$34+WR!L460*Scoring!$J$34+U459</f>
        <v>9.98</v>
      </c>
      <c r="P459" s="8">
        <f>IF(COUNTIF(Rookies!$A:$A,A459)&gt;0,1,0)</f>
        <v>0</v>
      </c>
      <c r="Q459" s="8"/>
      <c r="R459" s="8"/>
      <c r="S459" s="8">
        <f>V459/17</f>
        <v>0.5870588235</v>
      </c>
      <c r="T459" s="8">
        <f>IF(P459=1,MAX(0,0.28*(12-S459)),0)</f>
        <v>0</v>
      </c>
      <c r="U459" s="8">
        <f>T459*17</f>
        <v>0</v>
      </c>
      <c r="V459" s="8">
        <f>C459*Scoring!$B$34+D459/Scoring!$C$34+E459*Scoring!$D$34+WR!F459*Scoring!$E$34+WR!G459/Scoring!$F$34+WR!H459*Scoring!$G$34+WR!I459*Scoring!$H$34+K459*Scoring!$I$34+WR!L459*Scoring!$J$34</f>
        <v>9.98</v>
      </c>
      <c r="W459" s="8"/>
      <c r="X459" s="8"/>
      <c r="Y459" s="8"/>
      <c r="Z459" s="8"/>
    </row>
    <row r="460" ht="14.25" customHeight="1">
      <c r="B460" s="1" t="s">
        <v>39</v>
      </c>
      <c r="C460" s="1">
        <v>2.9</v>
      </c>
      <c r="D460" s="1">
        <v>37.4</v>
      </c>
      <c r="E460" s="1">
        <v>0.3</v>
      </c>
      <c r="F460" s="1">
        <v>4.5</v>
      </c>
      <c r="G460" s="1">
        <v>25.9</v>
      </c>
      <c r="H460" s="1">
        <v>0.1</v>
      </c>
      <c r="I460" s="1">
        <v>0.1</v>
      </c>
      <c r="J460" s="1">
        <v>11.7</v>
      </c>
      <c r="K460" s="18">
        <f t="shared" si="1"/>
        <v>1.605123367</v>
      </c>
      <c r="L460" s="18">
        <f t="shared" si="2"/>
        <v>1.839487179</v>
      </c>
      <c r="M460" s="118"/>
      <c r="N460" s="118"/>
      <c r="O460" s="11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B461" s="1" t="s">
        <v>48</v>
      </c>
      <c r="C461" s="1">
        <v>2.9</v>
      </c>
      <c r="D461" s="1">
        <v>37.4</v>
      </c>
      <c r="E461" s="1">
        <v>0.3</v>
      </c>
      <c r="F461" s="1">
        <v>4.5</v>
      </c>
      <c r="G461" s="1">
        <v>25.9</v>
      </c>
      <c r="H461" s="1">
        <v>0.1</v>
      </c>
      <c r="I461" s="1">
        <v>0.1</v>
      </c>
      <c r="J461" s="1">
        <v>11.7</v>
      </c>
      <c r="K461" s="18">
        <f t="shared" si="1"/>
        <v>1.605123367</v>
      </c>
      <c r="L461" s="18">
        <f t="shared" si="2"/>
        <v>1.839487179</v>
      </c>
      <c r="M461" s="118"/>
      <c r="N461" s="118"/>
      <c r="O461" s="11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1" t="s">
        <v>1030</v>
      </c>
      <c r="B462" s="1" t="s">
        <v>18</v>
      </c>
      <c r="C462" s="1">
        <v>4.0</v>
      </c>
      <c r="D462" s="1">
        <v>52.1</v>
      </c>
      <c r="E462" s="1">
        <v>0.3</v>
      </c>
      <c r="F462" s="1">
        <v>0.0</v>
      </c>
      <c r="G462" s="1">
        <v>0.0</v>
      </c>
      <c r="H462" s="1">
        <v>0.0</v>
      </c>
      <c r="I462" s="1">
        <v>0.0</v>
      </c>
      <c r="J462" s="1">
        <v>10.9</v>
      </c>
      <c r="K462" s="18">
        <f t="shared" si="1"/>
        <v>0</v>
      </c>
      <c r="L462" s="18">
        <f t="shared" si="2"/>
        <v>2.562494172</v>
      </c>
      <c r="M462" s="112">
        <f>C464*Scoring!$B$34+D464/Scoring!$C$34+E464*Scoring!$D$34+WR!F464*Scoring!$E$34+WR!G464/Scoring!$F$34+WR!H464*Scoring!$G$34+WR!I464*Scoring!$H$34+K464*Scoring!$I$34+WR!L464*Scoring!$J$34+U462</f>
        <v>9.01</v>
      </c>
      <c r="N462" s="112">
        <f>C462*Scoring!$B$34+D462/Scoring!$C$34+E462*Scoring!$D$34+WR!F462*Scoring!$E$34+WR!G462/Scoring!$F$34+WR!H462*Scoring!$G$34+WR!I462*Scoring!$H$34+K462*Scoring!$I$34+WR!L462*Scoring!$J$34+U462</f>
        <v>9.01</v>
      </c>
      <c r="O462" s="112">
        <f>C463*Scoring!$B$34+D463/Scoring!$C$34+E463*Scoring!$D$34+WR!F463*Scoring!$E$34+WR!G463/Scoring!$F$34+WR!H463*Scoring!$G$34+WR!I463*Scoring!$H$34+K463*Scoring!$I$34+WR!L463*Scoring!$J$34+U462</f>
        <v>9.01</v>
      </c>
      <c r="P462" s="8">
        <f>IF(COUNTIF(Rookies!$A:$A,A462)&gt;0,1,0)</f>
        <v>0</v>
      </c>
      <c r="Q462" s="8"/>
      <c r="R462" s="8"/>
      <c r="S462" s="8">
        <f>V462/17</f>
        <v>0.53</v>
      </c>
      <c r="T462" s="8">
        <f>IF(P462=1,MAX(0,0.28*(12-S462)),0)</f>
        <v>0</v>
      </c>
      <c r="U462" s="8">
        <f>T462*17</f>
        <v>0</v>
      </c>
      <c r="V462" s="8">
        <f>C462*Scoring!$B$34+D462/Scoring!$C$34+E462*Scoring!$D$34+WR!F462*Scoring!$E$34+WR!G462/Scoring!$F$34+WR!H462*Scoring!$G$34+WR!I462*Scoring!$H$34+K462*Scoring!$I$34+WR!L462*Scoring!$J$34</f>
        <v>9.01</v>
      </c>
      <c r="W462" s="8"/>
      <c r="X462" s="8"/>
      <c r="Y462" s="8"/>
      <c r="Z462" s="8"/>
    </row>
    <row r="463" ht="14.25" customHeight="1">
      <c r="B463" s="1" t="s">
        <v>39</v>
      </c>
      <c r="C463" s="1">
        <v>4.0</v>
      </c>
      <c r="D463" s="1">
        <v>52.1</v>
      </c>
      <c r="E463" s="1">
        <v>0.3</v>
      </c>
      <c r="F463" s="1">
        <v>0.0</v>
      </c>
      <c r="G463" s="1">
        <v>0.0</v>
      </c>
      <c r="H463" s="1">
        <v>0.0</v>
      </c>
      <c r="I463" s="1">
        <v>0.0</v>
      </c>
      <c r="J463" s="1">
        <v>11.0</v>
      </c>
      <c r="K463" s="18">
        <f t="shared" si="1"/>
        <v>0</v>
      </c>
      <c r="L463" s="18">
        <f t="shared" si="2"/>
        <v>2.562494172</v>
      </c>
      <c r="M463" s="118"/>
      <c r="N463" s="118"/>
      <c r="O463" s="11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B464" s="1" t="s">
        <v>48</v>
      </c>
      <c r="C464" s="1">
        <v>4.0</v>
      </c>
      <c r="D464" s="1">
        <v>52.1</v>
      </c>
      <c r="E464" s="1">
        <v>0.3</v>
      </c>
      <c r="F464" s="1">
        <v>0.0</v>
      </c>
      <c r="G464" s="1">
        <v>0.0</v>
      </c>
      <c r="H464" s="1">
        <v>0.0</v>
      </c>
      <c r="I464" s="1">
        <v>0.0</v>
      </c>
      <c r="J464" s="1">
        <v>11.0</v>
      </c>
      <c r="K464" s="18">
        <f t="shared" si="1"/>
        <v>0</v>
      </c>
      <c r="L464" s="18">
        <f t="shared" si="2"/>
        <v>2.562494172</v>
      </c>
      <c r="M464" s="118"/>
      <c r="N464" s="118"/>
      <c r="O464" s="11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1" t="s">
        <v>1031</v>
      </c>
      <c r="B465" s="1" t="s">
        <v>164</v>
      </c>
      <c r="C465" s="1">
        <v>3.5</v>
      </c>
      <c r="D465" s="1">
        <v>38.1</v>
      </c>
      <c r="E465" s="1">
        <v>0.3</v>
      </c>
      <c r="F465" s="1">
        <v>2.1</v>
      </c>
      <c r="G465" s="1">
        <v>11.0</v>
      </c>
      <c r="H465" s="1">
        <v>0.1</v>
      </c>
      <c r="I465" s="1">
        <v>0.1</v>
      </c>
      <c r="J465" s="1">
        <v>10.3</v>
      </c>
      <c r="K465" s="18">
        <f t="shared" si="1"/>
        <v>0.681712627</v>
      </c>
      <c r="L465" s="18">
        <f t="shared" si="2"/>
        <v>1.873916084</v>
      </c>
      <c r="M465" s="112">
        <f>C467*Scoring!$B$34+D467/Scoring!$C$34+E467*Scoring!$D$34+WR!F467*Scoring!$E$34+WR!G467/Scoring!$F$34+WR!H467*Scoring!$G$34+WR!I467*Scoring!$H$34+K467*Scoring!$I$34+WR!L467*Scoring!$J$34+U465</f>
        <v>8.86</v>
      </c>
      <c r="N465" s="112">
        <f>C465*Scoring!$B$34+D465/Scoring!$C$34+E465*Scoring!$D$34+WR!F465*Scoring!$E$34+WR!G465/Scoring!$F$34+WR!H465*Scoring!$G$34+WR!I465*Scoring!$H$34+K465*Scoring!$I$34+WR!L465*Scoring!$J$34+U465</f>
        <v>8.86</v>
      </c>
      <c r="O465" s="112">
        <f>C466*Scoring!$B$34+D466/Scoring!$C$34+E466*Scoring!$D$34+WR!F466*Scoring!$E$34+WR!G466/Scoring!$F$34+WR!H466*Scoring!$G$34+WR!I466*Scoring!$H$34+K466*Scoring!$I$34+WR!L466*Scoring!$J$34+U465</f>
        <v>8.86</v>
      </c>
      <c r="P465" s="8">
        <f>IF(COUNTIF(Rookies!$A:$A,A465)&gt;0,1,0)</f>
        <v>0</v>
      </c>
      <c r="Q465" s="8"/>
      <c r="R465" s="8"/>
      <c r="S465" s="8">
        <f>V465/17</f>
        <v>0.5211764706</v>
      </c>
      <c r="T465" s="8">
        <f>IF(P465=1,MAX(0,0.28*(12-S465)),0)</f>
        <v>0</v>
      </c>
      <c r="U465" s="8">
        <f>T465*17</f>
        <v>0</v>
      </c>
      <c r="V465" s="8">
        <f>C465*Scoring!$B$34+D465/Scoring!$C$34+E465*Scoring!$D$34+WR!F465*Scoring!$E$34+WR!G465/Scoring!$F$34+WR!H465*Scoring!$G$34+WR!I465*Scoring!$H$34+K465*Scoring!$I$34+WR!L465*Scoring!$J$34</f>
        <v>8.86</v>
      </c>
      <c r="W465" s="8"/>
      <c r="X465" s="8"/>
      <c r="Y465" s="8"/>
      <c r="Z465" s="8"/>
    </row>
    <row r="466" ht="14.25" customHeight="1">
      <c r="B466" s="1" t="s">
        <v>39</v>
      </c>
      <c r="C466" s="1">
        <v>3.5</v>
      </c>
      <c r="D466" s="1">
        <v>38.1</v>
      </c>
      <c r="E466" s="1">
        <v>0.3</v>
      </c>
      <c r="F466" s="1">
        <v>2.1</v>
      </c>
      <c r="G466" s="1">
        <v>11.0</v>
      </c>
      <c r="H466" s="1">
        <v>0.1</v>
      </c>
      <c r="I466" s="1">
        <v>0.1</v>
      </c>
      <c r="J466" s="1">
        <v>11.7</v>
      </c>
      <c r="K466" s="18">
        <f t="shared" si="1"/>
        <v>0.681712627</v>
      </c>
      <c r="L466" s="18">
        <f t="shared" si="2"/>
        <v>1.873916084</v>
      </c>
      <c r="M466" s="118"/>
      <c r="N466" s="118"/>
      <c r="O466" s="11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B467" s="1" t="s">
        <v>48</v>
      </c>
      <c r="C467" s="1">
        <v>3.5</v>
      </c>
      <c r="D467" s="1">
        <v>38.1</v>
      </c>
      <c r="E467" s="1">
        <v>0.3</v>
      </c>
      <c r="F467" s="1">
        <v>2.1</v>
      </c>
      <c r="G467" s="1">
        <v>11.0</v>
      </c>
      <c r="H467" s="1">
        <v>0.1</v>
      </c>
      <c r="I467" s="1">
        <v>0.1</v>
      </c>
      <c r="J467" s="1">
        <v>11.7</v>
      </c>
      <c r="K467" s="18">
        <f t="shared" si="1"/>
        <v>0.681712627</v>
      </c>
      <c r="L467" s="18">
        <f t="shared" si="2"/>
        <v>1.873916084</v>
      </c>
      <c r="M467" s="118"/>
      <c r="N467" s="118"/>
      <c r="O467" s="11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1" t="s">
        <v>1032</v>
      </c>
      <c r="B468" s="1" t="s">
        <v>176</v>
      </c>
      <c r="C468" s="1">
        <v>3.6</v>
      </c>
      <c r="D468" s="1">
        <v>44.4</v>
      </c>
      <c r="E468" s="1">
        <v>0.3</v>
      </c>
      <c r="F468" s="1">
        <v>0.0</v>
      </c>
      <c r="G468" s="1">
        <v>0.0</v>
      </c>
      <c r="H468" s="1">
        <v>0.0</v>
      </c>
      <c r="I468" s="1">
        <v>0.0</v>
      </c>
      <c r="J468" s="1">
        <v>9.9</v>
      </c>
      <c r="K468" s="18">
        <f t="shared" si="1"/>
        <v>0</v>
      </c>
      <c r="L468" s="18">
        <f t="shared" si="2"/>
        <v>2.183776224</v>
      </c>
      <c r="M468" s="112">
        <f>C470*Scoring!$B$34+D470/Scoring!$C$34+E470*Scoring!$D$34+WR!F470*Scoring!$E$34+WR!G470/Scoring!$F$34+WR!H470*Scoring!$G$34+WR!I470*Scoring!$H$34+K470*Scoring!$I$34+WR!L470*Scoring!$J$34+U468</f>
        <v>8.04</v>
      </c>
      <c r="N468" s="112">
        <f>C468*Scoring!$B$34+D468/Scoring!$C$34+E468*Scoring!$D$34+WR!F468*Scoring!$E$34+WR!G468/Scoring!$F$34+WR!H468*Scoring!$G$34+WR!I468*Scoring!$H$34+K468*Scoring!$I$34+WR!L468*Scoring!$J$34+U468</f>
        <v>8.04</v>
      </c>
      <c r="O468" s="112">
        <f>C469*Scoring!$B$34+D469/Scoring!$C$34+E469*Scoring!$D$34+WR!F469*Scoring!$E$34+WR!G469/Scoring!$F$34+WR!H469*Scoring!$G$34+WR!I469*Scoring!$H$34+K469*Scoring!$I$34+WR!L469*Scoring!$J$34+U468</f>
        <v>8.04</v>
      </c>
      <c r="P468" s="8">
        <f>IF(COUNTIF(Rookies!$A:$A,A468)&gt;0,1,0)</f>
        <v>0</v>
      </c>
      <c r="Q468" s="8"/>
      <c r="R468" s="8"/>
      <c r="S468" s="8">
        <f>V468/17</f>
        <v>0.4729411765</v>
      </c>
      <c r="T468" s="8">
        <f>IF(P468=1,MAX(0,0.28*(12-S468)),0)</f>
        <v>0</v>
      </c>
      <c r="U468" s="8">
        <f>T468*17</f>
        <v>0</v>
      </c>
      <c r="V468" s="8">
        <f>C468*Scoring!$B$34+D468/Scoring!$C$34+E468*Scoring!$D$34+WR!F468*Scoring!$E$34+WR!G468/Scoring!$F$34+WR!H468*Scoring!$G$34+WR!I468*Scoring!$H$34+K468*Scoring!$I$34+WR!L468*Scoring!$J$34</f>
        <v>8.04</v>
      </c>
      <c r="W468" s="8"/>
      <c r="X468" s="8"/>
      <c r="Y468" s="8"/>
      <c r="Z468" s="8"/>
    </row>
    <row r="469" ht="14.25" customHeight="1">
      <c r="B469" s="1" t="s">
        <v>39</v>
      </c>
      <c r="C469" s="1">
        <v>3.6</v>
      </c>
      <c r="D469" s="1">
        <v>44.4</v>
      </c>
      <c r="E469" s="1">
        <v>0.3</v>
      </c>
      <c r="F469" s="1">
        <v>0.0</v>
      </c>
      <c r="G469" s="1">
        <v>0.0</v>
      </c>
      <c r="H469" s="1">
        <v>0.0</v>
      </c>
      <c r="I469" s="1">
        <v>0.0</v>
      </c>
      <c r="J469" s="1">
        <v>11.6</v>
      </c>
      <c r="K469" s="18">
        <f t="shared" si="1"/>
        <v>0</v>
      </c>
      <c r="L469" s="18">
        <f t="shared" si="2"/>
        <v>2.183776224</v>
      </c>
      <c r="M469" s="118"/>
      <c r="N469" s="118"/>
      <c r="O469" s="11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B470" s="1" t="s">
        <v>48</v>
      </c>
      <c r="C470" s="1">
        <v>3.6</v>
      </c>
      <c r="D470" s="1">
        <v>44.4</v>
      </c>
      <c r="E470" s="1">
        <v>0.3</v>
      </c>
      <c r="F470" s="1">
        <v>0.0</v>
      </c>
      <c r="G470" s="1">
        <v>0.0</v>
      </c>
      <c r="H470" s="1">
        <v>0.0</v>
      </c>
      <c r="I470" s="1">
        <v>0.0</v>
      </c>
      <c r="J470" s="1">
        <v>11.6</v>
      </c>
      <c r="K470" s="18">
        <f t="shared" si="1"/>
        <v>0</v>
      </c>
      <c r="L470" s="18">
        <f t="shared" si="2"/>
        <v>2.183776224</v>
      </c>
      <c r="M470" s="118"/>
      <c r="N470" s="118"/>
      <c r="O470" s="11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1" t="s">
        <v>1033</v>
      </c>
      <c r="B471" s="1" t="s">
        <v>127</v>
      </c>
      <c r="C471" s="1">
        <v>3.3</v>
      </c>
      <c r="D471" s="1">
        <v>41.8</v>
      </c>
      <c r="E471" s="1">
        <v>0.4</v>
      </c>
      <c r="F471" s="1">
        <v>0.0</v>
      </c>
      <c r="G471" s="1">
        <v>0.0</v>
      </c>
      <c r="H471" s="1">
        <v>0.0</v>
      </c>
      <c r="I471" s="1">
        <v>0.0</v>
      </c>
      <c r="J471" s="1">
        <v>9.7</v>
      </c>
      <c r="K471" s="18">
        <f t="shared" si="1"/>
        <v>0</v>
      </c>
      <c r="L471" s="18">
        <f t="shared" si="2"/>
        <v>2.055897436</v>
      </c>
      <c r="M471" s="112">
        <f>C473*Scoring!$B$34+D473/Scoring!$C$34+E473*Scoring!$D$34+WR!F473*Scoring!$E$34+WR!G473/Scoring!$F$34+WR!H473*Scoring!$G$34+WR!I473*Scoring!$H$34+K473*Scoring!$I$34+WR!L473*Scoring!$J$34+U471</f>
        <v>8.23</v>
      </c>
      <c r="N471" s="112">
        <f>C471*Scoring!$B$34+D471/Scoring!$C$34+E471*Scoring!$D$34+WR!F471*Scoring!$E$34+WR!G471/Scoring!$F$34+WR!H471*Scoring!$G$34+WR!I471*Scoring!$H$34+K471*Scoring!$I$34+WR!L471*Scoring!$J$34+U471</f>
        <v>8.23</v>
      </c>
      <c r="O471" s="112">
        <f>C472*Scoring!$B$34+D472/Scoring!$C$34+E472*Scoring!$D$34+WR!F472*Scoring!$E$34+WR!G472/Scoring!$F$34+WR!H472*Scoring!$G$34+WR!I472*Scoring!$H$34+K472*Scoring!$I$34+WR!L472*Scoring!$J$34+U471</f>
        <v>8.23</v>
      </c>
      <c r="P471" s="8">
        <f>IF(COUNTIF(Rookies!$A:$A,A471)&gt;0,1,0)</f>
        <v>0</v>
      </c>
      <c r="Q471" s="8"/>
      <c r="R471" s="8"/>
      <c r="S471" s="8">
        <f>V471/17</f>
        <v>0.4841176471</v>
      </c>
      <c r="T471" s="8">
        <f>IF(P471=1,MAX(0,0.28*(12-S471)),0)</f>
        <v>0</v>
      </c>
      <c r="U471" s="8">
        <f>T471*17</f>
        <v>0</v>
      </c>
      <c r="V471" s="8">
        <f>C471*Scoring!$B$34+D471/Scoring!$C$34+E471*Scoring!$D$34+WR!F471*Scoring!$E$34+WR!G471/Scoring!$F$34+WR!H471*Scoring!$G$34+WR!I471*Scoring!$H$34+K471*Scoring!$I$34+WR!L471*Scoring!$J$34</f>
        <v>8.23</v>
      </c>
      <c r="W471" s="8"/>
      <c r="X471" s="8"/>
      <c r="Y471" s="8"/>
      <c r="Z471" s="8"/>
    </row>
    <row r="472" ht="14.25" customHeight="1">
      <c r="B472" s="1" t="s">
        <v>39</v>
      </c>
      <c r="C472" s="1">
        <v>3.3</v>
      </c>
      <c r="D472" s="1">
        <v>41.8</v>
      </c>
      <c r="E472" s="1">
        <v>0.4</v>
      </c>
      <c r="F472" s="1">
        <v>0.0</v>
      </c>
      <c r="G472" s="1">
        <v>0.0</v>
      </c>
      <c r="H472" s="1">
        <v>0.0</v>
      </c>
      <c r="I472" s="1">
        <v>0.0</v>
      </c>
      <c r="J472" s="1">
        <v>9.8</v>
      </c>
      <c r="K472" s="18">
        <f t="shared" si="1"/>
        <v>0</v>
      </c>
      <c r="L472" s="18">
        <f t="shared" si="2"/>
        <v>2.055897436</v>
      </c>
      <c r="M472" s="118"/>
      <c r="N472" s="118"/>
      <c r="O472" s="11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B473" s="1" t="s">
        <v>48</v>
      </c>
      <c r="C473" s="1">
        <v>3.3</v>
      </c>
      <c r="D473" s="1">
        <v>41.8</v>
      </c>
      <c r="E473" s="1">
        <v>0.4</v>
      </c>
      <c r="F473" s="1">
        <v>0.0</v>
      </c>
      <c r="G473" s="1">
        <v>0.0</v>
      </c>
      <c r="H473" s="1">
        <v>0.0</v>
      </c>
      <c r="I473" s="1">
        <v>0.0</v>
      </c>
      <c r="J473" s="1">
        <v>9.8</v>
      </c>
      <c r="K473" s="18">
        <f t="shared" si="1"/>
        <v>0</v>
      </c>
      <c r="L473" s="18">
        <f t="shared" si="2"/>
        <v>2.055897436</v>
      </c>
      <c r="M473" s="118"/>
      <c r="N473" s="118"/>
      <c r="O473" s="11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1" t="s">
        <v>1034</v>
      </c>
      <c r="B474" s="1" t="s">
        <v>176</v>
      </c>
      <c r="C474" s="1">
        <v>3.4</v>
      </c>
      <c r="D474" s="1">
        <v>42.8</v>
      </c>
      <c r="E474" s="1">
        <v>0.3</v>
      </c>
      <c r="F474" s="1">
        <v>0.0</v>
      </c>
      <c r="G474" s="1">
        <v>0.0</v>
      </c>
      <c r="H474" s="1">
        <v>0.0</v>
      </c>
      <c r="I474" s="1">
        <v>0.0</v>
      </c>
      <c r="J474" s="1">
        <v>9.6</v>
      </c>
      <c r="K474" s="18">
        <f t="shared" si="1"/>
        <v>0</v>
      </c>
      <c r="L474" s="18">
        <f t="shared" si="2"/>
        <v>2.105081585</v>
      </c>
      <c r="M474" s="112">
        <f>C476*Scoring!$B$34+D476/Scoring!$C$34+E476*Scoring!$D$34+WR!F476*Scoring!$E$34+WR!G476/Scoring!$F$34+WR!H476*Scoring!$G$34+WR!I476*Scoring!$H$34+K476*Scoring!$I$34+WR!L476*Scoring!$J$34+U474</f>
        <v>62.7216</v>
      </c>
      <c r="N474" s="112">
        <f>C474*Scoring!$B$34+D474/Scoring!$C$34+E474*Scoring!$D$34+WR!F474*Scoring!$E$34+WR!G474/Scoring!$F$34+WR!H474*Scoring!$G$34+WR!I474*Scoring!$H$34+K474*Scoring!$I$34+WR!L474*Scoring!$J$34+U474</f>
        <v>62.7216</v>
      </c>
      <c r="O474" s="112">
        <f>C475*Scoring!$B$34+D475/Scoring!$C$34+E475*Scoring!$D$34+WR!F475*Scoring!$E$34+WR!G475/Scoring!$F$34+WR!H475*Scoring!$G$34+WR!I475*Scoring!$H$34+K475*Scoring!$I$34+WR!L475*Scoring!$J$34+U474</f>
        <v>62.7216</v>
      </c>
      <c r="P474" s="8">
        <f>IF(COUNTIF(Rookies!$A:$A,A474)&gt;0,1,0)</f>
        <v>1</v>
      </c>
      <c r="Q474" s="8"/>
      <c r="R474" s="8"/>
      <c r="S474" s="8">
        <f>V474/17</f>
        <v>0.4576470588</v>
      </c>
      <c r="T474" s="8">
        <f>IF(P474=1,MAX(0,0.28*(12-S474)),0)</f>
        <v>3.231858824</v>
      </c>
      <c r="U474" s="8">
        <f>T474*17</f>
        <v>54.9416</v>
      </c>
      <c r="V474" s="8">
        <f>C474*Scoring!$B$34+D474/Scoring!$C$34+E474*Scoring!$D$34+WR!F474*Scoring!$E$34+WR!G474/Scoring!$F$34+WR!H474*Scoring!$G$34+WR!I474*Scoring!$H$34+K474*Scoring!$I$34+WR!L474*Scoring!$J$34</f>
        <v>7.78</v>
      </c>
      <c r="W474" s="8"/>
      <c r="X474" s="8"/>
      <c r="Y474" s="8"/>
      <c r="Z474" s="8"/>
    </row>
    <row r="475" ht="14.25" customHeight="1">
      <c r="B475" s="1" t="s">
        <v>39</v>
      </c>
      <c r="C475" s="1">
        <v>3.4</v>
      </c>
      <c r="D475" s="1">
        <v>42.8</v>
      </c>
      <c r="E475" s="1">
        <v>0.3</v>
      </c>
      <c r="F475" s="1">
        <v>0.0</v>
      </c>
      <c r="G475" s="1">
        <v>0.0</v>
      </c>
      <c r="H475" s="1">
        <v>0.0</v>
      </c>
      <c r="I475" s="1">
        <v>0.0</v>
      </c>
      <c r="J475" s="1">
        <v>9.6</v>
      </c>
      <c r="K475" s="18">
        <f t="shared" si="1"/>
        <v>0</v>
      </c>
      <c r="L475" s="18">
        <f t="shared" si="2"/>
        <v>2.105081585</v>
      </c>
      <c r="M475" s="118"/>
      <c r="N475" s="118"/>
      <c r="O475" s="11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B476" s="1" t="s">
        <v>48</v>
      </c>
      <c r="C476" s="1">
        <v>3.4</v>
      </c>
      <c r="D476" s="1">
        <v>42.8</v>
      </c>
      <c r="E476" s="1">
        <v>0.3</v>
      </c>
      <c r="F476" s="1">
        <v>0.0</v>
      </c>
      <c r="G476" s="1">
        <v>0.0</v>
      </c>
      <c r="H476" s="1">
        <v>0.0</v>
      </c>
      <c r="I476" s="1">
        <v>0.0</v>
      </c>
      <c r="J476" s="1">
        <v>9.6</v>
      </c>
      <c r="K476" s="18">
        <f t="shared" si="1"/>
        <v>0</v>
      </c>
      <c r="L476" s="18">
        <f t="shared" si="2"/>
        <v>2.105081585</v>
      </c>
      <c r="M476" s="118"/>
      <c r="N476" s="118"/>
      <c r="O476" s="11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1" t="s">
        <v>1035</v>
      </c>
      <c r="B477" s="1" t="s">
        <v>226</v>
      </c>
      <c r="C477" s="1">
        <v>1.7</v>
      </c>
      <c r="D477" s="1">
        <v>16.5</v>
      </c>
      <c r="E477" s="1">
        <v>0.1</v>
      </c>
      <c r="F477" s="1">
        <v>6.4</v>
      </c>
      <c r="G477" s="1">
        <v>44.0</v>
      </c>
      <c r="H477" s="1">
        <v>0.2</v>
      </c>
      <c r="I477" s="1">
        <v>0.1</v>
      </c>
      <c r="J477" s="1">
        <v>9.1</v>
      </c>
      <c r="K477" s="18">
        <f t="shared" si="1"/>
        <v>2.726850508</v>
      </c>
      <c r="L477" s="18">
        <f t="shared" si="2"/>
        <v>0.8115384615</v>
      </c>
      <c r="M477" s="112">
        <f>C479*Scoring!$B$34+D479/Scoring!$C$34+E479*Scoring!$D$34+WR!F479*Scoring!$E$34+WR!G479/Scoring!$F$34+WR!H479*Scoring!$G$34+WR!I479*Scoring!$H$34+K479*Scoring!$I$34+WR!L479*Scoring!$J$34+U477</f>
        <v>8.5</v>
      </c>
      <c r="N477" s="112">
        <f>C477*Scoring!$B$34+D477/Scoring!$C$34+E477*Scoring!$D$34+WR!F477*Scoring!$E$34+WR!G477/Scoring!$F$34+WR!H477*Scoring!$G$34+WR!I477*Scoring!$H$34+K477*Scoring!$I$34+WR!L477*Scoring!$J$34+U477</f>
        <v>8.5</v>
      </c>
      <c r="O477" s="112">
        <f>C478*Scoring!$B$34+D478/Scoring!$C$34+E478*Scoring!$D$34+WR!F478*Scoring!$E$34+WR!G478/Scoring!$F$34+WR!H478*Scoring!$G$34+WR!I478*Scoring!$H$34+K478*Scoring!$I$34+WR!L478*Scoring!$J$34+U477</f>
        <v>8.5</v>
      </c>
      <c r="P477" s="8">
        <f>IF(COUNTIF(Rookies!$A:$A,A477)&gt;0,1,0)</f>
        <v>0</v>
      </c>
      <c r="Q477" s="8"/>
      <c r="R477" s="8"/>
      <c r="S477" s="8">
        <f>V477/17</f>
        <v>0.5</v>
      </c>
      <c r="T477" s="8">
        <f>IF(P477=1,MAX(0,0.28*(12-S477)),0)</f>
        <v>0</v>
      </c>
      <c r="U477" s="8">
        <f>T477*17</f>
        <v>0</v>
      </c>
      <c r="V477" s="8">
        <f>C477*Scoring!$B$34+D477/Scoring!$C$34+E477*Scoring!$D$34+WR!F477*Scoring!$E$34+WR!G477/Scoring!$F$34+WR!H477*Scoring!$G$34+WR!I477*Scoring!$H$34+K477*Scoring!$I$34+WR!L477*Scoring!$J$34</f>
        <v>8.5</v>
      </c>
      <c r="W477" s="8"/>
      <c r="X477" s="8"/>
      <c r="Y477" s="8"/>
      <c r="Z477" s="8"/>
    </row>
    <row r="478" ht="14.25" customHeight="1">
      <c r="B478" s="1" t="s">
        <v>39</v>
      </c>
      <c r="C478" s="1">
        <v>1.7</v>
      </c>
      <c r="D478" s="1">
        <v>16.5</v>
      </c>
      <c r="E478" s="1">
        <v>0.1</v>
      </c>
      <c r="F478" s="1">
        <v>6.4</v>
      </c>
      <c r="G478" s="1">
        <v>44.0</v>
      </c>
      <c r="H478" s="1">
        <v>0.2</v>
      </c>
      <c r="I478" s="1">
        <v>0.1</v>
      </c>
      <c r="J478" s="1">
        <v>9.5</v>
      </c>
      <c r="K478" s="18">
        <f t="shared" si="1"/>
        <v>2.726850508</v>
      </c>
      <c r="L478" s="18">
        <f t="shared" si="2"/>
        <v>0.8115384615</v>
      </c>
      <c r="M478" s="118"/>
      <c r="N478" s="118"/>
      <c r="O478" s="11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B479" s="1" t="s">
        <v>48</v>
      </c>
      <c r="C479" s="1">
        <v>1.7</v>
      </c>
      <c r="D479" s="1">
        <v>16.5</v>
      </c>
      <c r="E479" s="1">
        <v>0.1</v>
      </c>
      <c r="F479" s="1">
        <v>6.4</v>
      </c>
      <c r="G479" s="1">
        <v>44.0</v>
      </c>
      <c r="H479" s="1">
        <v>0.2</v>
      </c>
      <c r="I479" s="1">
        <v>0.1</v>
      </c>
      <c r="J479" s="1">
        <v>9.5</v>
      </c>
      <c r="K479" s="18">
        <f t="shared" si="1"/>
        <v>2.726850508</v>
      </c>
      <c r="L479" s="18">
        <f t="shared" si="2"/>
        <v>0.8115384615</v>
      </c>
      <c r="M479" s="118"/>
      <c r="N479" s="118"/>
      <c r="O479" s="11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1" t="s">
        <v>1036</v>
      </c>
      <c r="B480" s="1" t="s">
        <v>189</v>
      </c>
      <c r="C480" s="1">
        <v>3.7</v>
      </c>
      <c r="D480" s="1">
        <v>37.1</v>
      </c>
      <c r="E480" s="1">
        <v>0.2</v>
      </c>
      <c r="F480" s="1">
        <v>0.0</v>
      </c>
      <c r="G480" s="1">
        <v>0.0</v>
      </c>
      <c r="H480" s="1">
        <v>0.0</v>
      </c>
      <c r="I480" s="1">
        <v>0.0</v>
      </c>
      <c r="J480" s="1">
        <v>8.8</v>
      </c>
      <c r="K480" s="18">
        <f t="shared" si="1"/>
        <v>0</v>
      </c>
      <c r="L480" s="18">
        <f t="shared" si="2"/>
        <v>1.824731935</v>
      </c>
      <c r="M480" s="112">
        <f>C482*Scoring!$B$34+D482/Scoring!$C$34+E482*Scoring!$D$34+WR!F482*Scoring!$E$34+WR!G482/Scoring!$F$34+WR!H482*Scoring!$G$34+WR!I482*Scoring!$H$34+K482*Scoring!$I$34+WR!L482*Scoring!$J$34+U480</f>
        <v>6.76</v>
      </c>
      <c r="N480" s="112">
        <f>C480*Scoring!$B$34+D480/Scoring!$C$34+E480*Scoring!$D$34+WR!F480*Scoring!$E$34+WR!G480/Scoring!$F$34+WR!H480*Scoring!$G$34+WR!I480*Scoring!$H$34+K480*Scoring!$I$34+WR!L480*Scoring!$J$34+U480</f>
        <v>6.76</v>
      </c>
      <c r="O480" s="112">
        <f>C481*Scoring!$B$34+D481/Scoring!$C$34+E481*Scoring!$D$34+WR!F481*Scoring!$E$34+WR!G481/Scoring!$F$34+WR!H481*Scoring!$G$34+WR!I481*Scoring!$H$34+K481*Scoring!$I$34+WR!L481*Scoring!$J$34+U480</f>
        <v>6.76</v>
      </c>
      <c r="P480" s="8">
        <f>IF(COUNTIF(Rookies!$A:$A,A480)&gt;0,1,0)</f>
        <v>0</v>
      </c>
      <c r="Q480" s="8"/>
      <c r="R480" s="8"/>
      <c r="S480" s="8">
        <f>V480/17</f>
        <v>0.3976470588</v>
      </c>
      <c r="T480" s="8">
        <f>IF(P480=1,MAX(0,0.28*(12-S480)),0)</f>
        <v>0</v>
      </c>
      <c r="U480" s="8">
        <f>T480*17</f>
        <v>0</v>
      </c>
      <c r="V480" s="8">
        <f>C480*Scoring!$B$34+D480/Scoring!$C$34+E480*Scoring!$D$34+WR!F480*Scoring!$E$34+WR!G480/Scoring!$F$34+WR!H480*Scoring!$G$34+WR!I480*Scoring!$H$34+K480*Scoring!$I$34+WR!L480*Scoring!$J$34</f>
        <v>6.76</v>
      </c>
      <c r="W480" s="8"/>
      <c r="X480" s="8"/>
      <c r="Y480" s="8"/>
      <c r="Z480" s="8"/>
    </row>
    <row r="481" ht="14.25" customHeight="1">
      <c r="B481" s="1" t="s">
        <v>39</v>
      </c>
      <c r="C481" s="1">
        <v>3.7</v>
      </c>
      <c r="D481" s="1">
        <v>37.1</v>
      </c>
      <c r="E481" s="1">
        <v>0.2</v>
      </c>
      <c r="F481" s="1">
        <v>0.0</v>
      </c>
      <c r="G481" s="1">
        <v>0.0</v>
      </c>
      <c r="H481" s="1">
        <v>0.0</v>
      </c>
      <c r="I481" s="1">
        <v>0.0</v>
      </c>
      <c r="J481" s="1">
        <v>9.0</v>
      </c>
      <c r="K481" s="18">
        <f t="shared" si="1"/>
        <v>0</v>
      </c>
      <c r="L481" s="18">
        <f t="shared" si="2"/>
        <v>1.824731935</v>
      </c>
      <c r="M481" s="118"/>
      <c r="N481" s="118"/>
      <c r="O481" s="11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B482" s="1" t="s">
        <v>48</v>
      </c>
      <c r="C482" s="1">
        <v>3.7</v>
      </c>
      <c r="D482" s="1">
        <v>37.1</v>
      </c>
      <c r="E482" s="1">
        <v>0.2</v>
      </c>
      <c r="F482" s="1">
        <v>0.0</v>
      </c>
      <c r="G482" s="1">
        <v>0.0</v>
      </c>
      <c r="H482" s="1">
        <v>0.0</v>
      </c>
      <c r="I482" s="1">
        <v>0.0</v>
      </c>
      <c r="J482" s="1">
        <v>9.0</v>
      </c>
      <c r="K482" s="18">
        <f t="shared" si="1"/>
        <v>0</v>
      </c>
      <c r="L482" s="18">
        <f t="shared" si="2"/>
        <v>1.824731935</v>
      </c>
      <c r="M482" s="118"/>
      <c r="N482" s="118"/>
      <c r="O482" s="11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1" t="s">
        <v>1037</v>
      </c>
      <c r="B483" s="1" t="s">
        <v>117</v>
      </c>
      <c r="C483" s="1">
        <v>3.3</v>
      </c>
      <c r="D483" s="1">
        <v>37.7</v>
      </c>
      <c r="E483" s="1">
        <v>0.3</v>
      </c>
      <c r="F483" s="1">
        <v>0.0</v>
      </c>
      <c r="G483" s="1">
        <v>0.0</v>
      </c>
      <c r="H483" s="1">
        <v>0.0</v>
      </c>
      <c r="I483" s="1">
        <v>0.0</v>
      </c>
      <c r="J483" s="1">
        <v>8.5</v>
      </c>
      <c r="K483" s="18">
        <f t="shared" si="1"/>
        <v>0</v>
      </c>
      <c r="L483" s="18">
        <f t="shared" si="2"/>
        <v>1.854242424</v>
      </c>
      <c r="M483" s="112">
        <f>C485*Scoring!$B$34+D485/Scoring!$C$34+E485*Scoring!$D$34+WR!F485*Scoring!$E$34+WR!G485/Scoring!$F$34+WR!H485*Scoring!$G$34+WR!I485*Scoring!$H$34+K485*Scoring!$I$34+WR!L485*Scoring!$J$34+U483</f>
        <v>7.22</v>
      </c>
      <c r="N483" s="112">
        <f>C483*Scoring!$B$34+D483/Scoring!$C$34+E483*Scoring!$D$34+WR!F483*Scoring!$E$34+WR!G483/Scoring!$F$34+WR!H483*Scoring!$G$34+WR!I483*Scoring!$H$34+K483*Scoring!$I$34+WR!L483*Scoring!$J$34+U483</f>
        <v>7.22</v>
      </c>
      <c r="O483" s="112">
        <f>C484*Scoring!$B$34+D484/Scoring!$C$34+E484*Scoring!$D$34+WR!F484*Scoring!$E$34+WR!G484/Scoring!$F$34+WR!H484*Scoring!$G$34+WR!I484*Scoring!$H$34+K484*Scoring!$I$34+WR!L484*Scoring!$J$34+U483</f>
        <v>7.22</v>
      </c>
      <c r="P483" s="8">
        <f>IF(COUNTIF(Rookies!$A:$A,A483)&gt;0,1,0)</f>
        <v>0</v>
      </c>
      <c r="Q483" s="8"/>
      <c r="R483" s="8"/>
      <c r="S483" s="8">
        <f>V483/17</f>
        <v>0.4247058824</v>
      </c>
      <c r="T483" s="8">
        <f>IF(P483=1,MAX(0,0.28*(12-S483)),0)</f>
        <v>0</v>
      </c>
      <c r="U483" s="8">
        <f>T483*17</f>
        <v>0</v>
      </c>
      <c r="V483" s="8">
        <f>C483*Scoring!$B$34+D483/Scoring!$C$34+E483*Scoring!$D$34+WR!F483*Scoring!$E$34+WR!G483/Scoring!$F$34+WR!H483*Scoring!$G$34+WR!I483*Scoring!$H$34+K483*Scoring!$I$34+WR!L483*Scoring!$J$34</f>
        <v>7.22</v>
      </c>
      <c r="W483" s="8"/>
      <c r="X483" s="8"/>
      <c r="Y483" s="8"/>
      <c r="Z483" s="8"/>
    </row>
    <row r="484" ht="14.25" customHeight="1">
      <c r="B484" s="1" t="s">
        <v>39</v>
      </c>
      <c r="C484" s="1">
        <v>3.3</v>
      </c>
      <c r="D484" s="1">
        <v>37.7</v>
      </c>
      <c r="E484" s="1">
        <v>0.3</v>
      </c>
      <c r="F484" s="1">
        <v>0.0</v>
      </c>
      <c r="G484" s="1">
        <v>0.0</v>
      </c>
      <c r="H484" s="1">
        <v>0.0</v>
      </c>
      <c r="I484" s="1">
        <v>0.0</v>
      </c>
      <c r="J484" s="1">
        <v>8.5</v>
      </c>
      <c r="K484" s="18">
        <f t="shared" si="1"/>
        <v>0</v>
      </c>
      <c r="L484" s="18">
        <f t="shared" si="2"/>
        <v>1.854242424</v>
      </c>
      <c r="M484" s="118"/>
      <c r="N484" s="118"/>
      <c r="O484" s="11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B485" s="1" t="s">
        <v>48</v>
      </c>
      <c r="C485" s="1">
        <v>3.3</v>
      </c>
      <c r="D485" s="1">
        <v>37.7</v>
      </c>
      <c r="E485" s="1">
        <v>0.3</v>
      </c>
      <c r="F485" s="1">
        <v>0.0</v>
      </c>
      <c r="G485" s="1">
        <v>0.0</v>
      </c>
      <c r="H485" s="1">
        <v>0.0</v>
      </c>
      <c r="I485" s="1">
        <v>0.0</v>
      </c>
      <c r="J485" s="1">
        <v>8.5</v>
      </c>
      <c r="K485" s="18">
        <f t="shared" si="1"/>
        <v>0</v>
      </c>
      <c r="L485" s="18">
        <f t="shared" si="2"/>
        <v>1.854242424</v>
      </c>
      <c r="M485" s="118"/>
      <c r="N485" s="118"/>
      <c r="O485" s="11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1" t="s">
        <v>1040</v>
      </c>
      <c r="B486" s="1" t="s">
        <v>150</v>
      </c>
      <c r="C486" s="1">
        <v>2.9</v>
      </c>
      <c r="D486" s="1">
        <v>40.6</v>
      </c>
      <c r="E486" s="1">
        <v>0.3</v>
      </c>
      <c r="F486" s="1">
        <v>0.0</v>
      </c>
      <c r="G486" s="1">
        <v>0.0</v>
      </c>
      <c r="H486" s="1">
        <v>0.0</v>
      </c>
      <c r="I486" s="1">
        <v>0.0</v>
      </c>
      <c r="J486" s="1">
        <v>8.4</v>
      </c>
      <c r="K486" s="18">
        <f t="shared" si="1"/>
        <v>0</v>
      </c>
      <c r="L486" s="18">
        <f t="shared" si="2"/>
        <v>1.996876457</v>
      </c>
      <c r="M486" s="112">
        <f>C488*Scoring!$B$34+D488/Scoring!$C$34+E488*Scoring!$D$34+WR!F488*Scoring!$E$34+WR!G488/Scoring!$F$34+WR!H488*Scoring!$G$34+WR!I488*Scoring!$H$34+K488*Scoring!$I$34+WR!L488*Scoring!$J$34+U486</f>
        <v>7.31</v>
      </c>
      <c r="N486" s="112">
        <f>C486*Scoring!$B$34+D486/Scoring!$C$34+E486*Scoring!$D$34+WR!F486*Scoring!$E$34+WR!G486/Scoring!$F$34+WR!H486*Scoring!$G$34+WR!I486*Scoring!$H$34+K486*Scoring!$I$34+WR!L486*Scoring!$J$34+U486</f>
        <v>7.31</v>
      </c>
      <c r="O486" s="112">
        <f>C487*Scoring!$B$34+D487/Scoring!$C$34+E487*Scoring!$D$34+WR!F487*Scoring!$E$34+WR!G487/Scoring!$F$34+WR!H487*Scoring!$G$34+WR!I487*Scoring!$H$34+K487*Scoring!$I$34+WR!L487*Scoring!$J$34+U486</f>
        <v>7.31</v>
      </c>
      <c r="P486" s="8">
        <f>IF(COUNTIF(Rookies!$A:$A,A486)&gt;0,1,0)</f>
        <v>0</v>
      </c>
      <c r="Q486" s="8"/>
      <c r="R486" s="8"/>
      <c r="S486" s="8">
        <f>V486/17</f>
        <v>0.43</v>
      </c>
      <c r="T486" s="8">
        <f>IF(P486=1,MAX(0,0.28*(12-S486)),0)</f>
        <v>0</v>
      </c>
      <c r="U486" s="8">
        <f>T486*17</f>
        <v>0</v>
      </c>
      <c r="V486" s="8">
        <f>C486*Scoring!$B$34+D486/Scoring!$C$34+E486*Scoring!$D$34+WR!F486*Scoring!$E$34+WR!G486/Scoring!$F$34+WR!H486*Scoring!$G$34+WR!I486*Scoring!$H$34+K486*Scoring!$I$34+WR!L486*Scoring!$J$34</f>
        <v>7.31</v>
      </c>
      <c r="W486" s="8"/>
      <c r="X486" s="8"/>
      <c r="Y486" s="8"/>
      <c r="Z486" s="8"/>
    </row>
    <row r="487" ht="14.25" customHeight="1">
      <c r="B487" s="1" t="s">
        <v>39</v>
      </c>
      <c r="C487" s="1">
        <v>2.9</v>
      </c>
      <c r="D487" s="1">
        <v>40.6</v>
      </c>
      <c r="E487" s="1">
        <v>0.3</v>
      </c>
      <c r="F487" s="1">
        <v>0.0</v>
      </c>
      <c r="G487" s="1">
        <v>0.0</v>
      </c>
      <c r="H487" s="1">
        <v>0.0</v>
      </c>
      <c r="I487" s="1">
        <v>0.0</v>
      </c>
      <c r="J487" s="1">
        <v>8.4</v>
      </c>
      <c r="K487" s="18">
        <f t="shared" si="1"/>
        <v>0</v>
      </c>
      <c r="L487" s="18">
        <f t="shared" si="2"/>
        <v>1.996876457</v>
      </c>
      <c r="M487" s="118"/>
      <c r="N487" s="118"/>
      <c r="O487" s="11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B488" s="1" t="s">
        <v>48</v>
      </c>
      <c r="C488" s="1">
        <v>2.9</v>
      </c>
      <c r="D488" s="1">
        <v>40.6</v>
      </c>
      <c r="E488" s="1">
        <v>0.3</v>
      </c>
      <c r="F488" s="1">
        <v>0.0</v>
      </c>
      <c r="G488" s="1">
        <v>0.0</v>
      </c>
      <c r="H488" s="1">
        <v>0.0</v>
      </c>
      <c r="I488" s="1">
        <v>0.0</v>
      </c>
      <c r="J488" s="1">
        <v>8.4</v>
      </c>
      <c r="K488" s="18">
        <f t="shared" si="1"/>
        <v>0</v>
      </c>
      <c r="L488" s="18">
        <f t="shared" si="2"/>
        <v>1.996876457</v>
      </c>
      <c r="M488" s="118"/>
      <c r="N488" s="118"/>
      <c r="O488" s="11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1" t="s">
        <v>1045</v>
      </c>
      <c r="B489" s="1" t="s">
        <v>205</v>
      </c>
      <c r="C489" s="1">
        <v>3.3</v>
      </c>
      <c r="D489" s="1">
        <v>39.7</v>
      </c>
      <c r="E489" s="1">
        <v>0.2</v>
      </c>
      <c r="F489" s="1">
        <v>0.0</v>
      </c>
      <c r="G489" s="1">
        <v>0.0</v>
      </c>
      <c r="H489" s="1">
        <v>0.0</v>
      </c>
      <c r="I489" s="1">
        <v>0.0</v>
      </c>
      <c r="J489" s="1">
        <v>8.3</v>
      </c>
      <c r="K489" s="18">
        <f t="shared" si="1"/>
        <v>0</v>
      </c>
      <c r="L489" s="18">
        <f t="shared" si="2"/>
        <v>1.952610723</v>
      </c>
      <c r="M489" s="112">
        <f>C491*Scoring!$B$34+D491/Scoring!$C$34+E491*Scoring!$D$34+WR!F491*Scoring!$E$34+WR!G491/Scoring!$F$34+WR!H491*Scoring!$G$34+WR!I491*Scoring!$H$34+K491*Scoring!$I$34+WR!L491*Scoring!$J$34+U489</f>
        <v>62.0304</v>
      </c>
      <c r="N489" s="112">
        <f>C489*Scoring!$B$34+D489/Scoring!$C$34+E489*Scoring!$D$34+WR!F489*Scoring!$E$34+WR!G489/Scoring!$F$34+WR!H489*Scoring!$G$34+WR!I489*Scoring!$H$34+K489*Scoring!$I$34+WR!L489*Scoring!$J$34+U489</f>
        <v>62.0304</v>
      </c>
      <c r="O489" s="112">
        <f>C490*Scoring!$B$34+D490/Scoring!$C$34+E490*Scoring!$D$34+WR!F490*Scoring!$E$34+WR!G490/Scoring!$F$34+WR!H490*Scoring!$G$34+WR!I490*Scoring!$H$34+K490*Scoring!$I$34+WR!L490*Scoring!$J$34+U489</f>
        <v>62.0304</v>
      </c>
      <c r="P489" s="8">
        <f>IF(COUNTIF(Rookies!$A:$A,A489)&gt;0,1,0)</f>
        <v>1</v>
      </c>
      <c r="Q489" s="8"/>
      <c r="R489" s="8"/>
      <c r="S489" s="8">
        <f>V489/17</f>
        <v>0.4011764706</v>
      </c>
      <c r="T489" s="8">
        <f>IF(P489=1,MAX(0,0.28*(12-S489)),0)</f>
        <v>3.247670588</v>
      </c>
      <c r="U489" s="8">
        <f>T489*17</f>
        <v>55.2104</v>
      </c>
      <c r="V489" s="8">
        <f>C489*Scoring!$B$34+D489/Scoring!$C$34+E489*Scoring!$D$34+WR!F489*Scoring!$E$34+WR!G489/Scoring!$F$34+WR!H489*Scoring!$G$34+WR!I489*Scoring!$H$34+K489*Scoring!$I$34+WR!L489*Scoring!$J$34</f>
        <v>6.82</v>
      </c>
      <c r="W489" s="8"/>
      <c r="X489" s="8"/>
      <c r="Y489" s="8"/>
      <c r="Z489" s="8"/>
    </row>
    <row r="490" ht="14.25" customHeight="1">
      <c r="B490" s="1" t="s">
        <v>39</v>
      </c>
      <c r="C490" s="1">
        <v>3.3</v>
      </c>
      <c r="D490" s="1">
        <v>39.7</v>
      </c>
      <c r="E490" s="1">
        <v>0.2</v>
      </c>
      <c r="F490" s="1">
        <v>0.0</v>
      </c>
      <c r="G490" s="1">
        <v>0.0</v>
      </c>
      <c r="H490" s="1">
        <v>0.0</v>
      </c>
      <c r="I490" s="1">
        <v>0.0</v>
      </c>
      <c r="J490" s="1">
        <v>8.3</v>
      </c>
      <c r="K490" s="18">
        <f t="shared" si="1"/>
        <v>0</v>
      </c>
      <c r="L490" s="18">
        <f t="shared" si="2"/>
        <v>1.952610723</v>
      </c>
      <c r="M490" s="118"/>
      <c r="N490" s="118"/>
      <c r="O490" s="11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B491" s="1" t="s">
        <v>48</v>
      </c>
      <c r="C491" s="1">
        <v>3.3</v>
      </c>
      <c r="D491" s="1">
        <v>39.7</v>
      </c>
      <c r="E491" s="1">
        <v>0.2</v>
      </c>
      <c r="F491" s="1">
        <v>0.0</v>
      </c>
      <c r="G491" s="1">
        <v>0.0</v>
      </c>
      <c r="H491" s="1">
        <v>0.0</v>
      </c>
      <c r="I491" s="1">
        <v>0.0</v>
      </c>
      <c r="J491" s="1">
        <v>8.3</v>
      </c>
      <c r="K491" s="18">
        <f t="shared" si="1"/>
        <v>0</v>
      </c>
      <c r="L491" s="18">
        <f t="shared" si="2"/>
        <v>1.952610723</v>
      </c>
      <c r="M491" s="118"/>
      <c r="N491" s="118"/>
      <c r="O491" s="11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1" t="s">
        <v>1052</v>
      </c>
      <c r="B492" s="1" t="s">
        <v>217</v>
      </c>
      <c r="C492" s="1">
        <v>3.4</v>
      </c>
      <c r="D492" s="1">
        <v>39.3</v>
      </c>
      <c r="E492" s="1">
        <v>0.1</v>
      </c>
      <c r="F492" s="1">
        <v>0.0</v>
      </c>
      <c r="G492" s="1">
        <v>0.0</v>
      </c>
      <c r="H492" s="1">
        <v>0.0</v>
      </c>
      <c r="I492" s="1">
        <v>0.0</v>
      </c>
      <c r="J492" s="1">
        <v>8.1</v>
      </c>
      <c r="K492" s="18">
        <f t="shared" si="1"/>
        <v>0</v>
      </c>
      <c r="L492" s="18">
        <f t="shared" si="2"/>
        <v>1.932937063</v>
      </c>
      <c r="M492" s="112">
        <f>C494*Scoring!$B$34+D494/Scoring!$C$34+E494*Scoring!$D$34+WR!F494*Scoring!$E$34+WR!G494/Scoring!$F$34+WR!H494*Scoring!$G$34+WR!I494*Scoring!$H$34+K494*Scoring!$I$34+WR!L494*Scoring!$J$34+U492</f>
        <v>61.6056</v>
      </c>
      <c r="N492" s="112">
        <f>C492*Scoring!$B$34+D492/Scoring!$C$34+E492*Scoring!$D$34+WR!F492*Scoring!$E$34+WR!G492/Scoring!$F$34+WR!H492*Scoring!$G$34+WR!I492*Scoring!$H$34+K492*Scoring!$I$34+WR!L492*Scoring!$J$34+U492</f>
        <v>61.6056</v>
      </c>
      <c r="O492" s="112">
        <f>C493*Scoring!$B$34+D493/Scoring!$C$34+E493*Scoring!$D$34+WR!F493*Scoring!$E$34+WR!G493/Scoring!$F$34+WR!H493*Scoring!$G$34+WR!I493*Scoring!$H$34+K493*Scoring!$I$34+WR!L493*Scoring!$J$34+U492</f>
        <v>61.6056</v>
      </c>
      <c r="P492" s="8">
        <f>IF(COUNTIF(Rookies!$A:$A,A492)&gt;0,1,0)</f>
        <v>1</v>
      </c>
      <c r="Q492" s="8"/>
      <c r="R492" s="8"/>
      <c r="S492" s="8">
        <f>V492/17</f>
        <v>0.3664705882</v>
      </c>
      <c r="T492" s="8">
        <f>IF(P492=1,MAX(0,0.28*(12-S492)),0)</f>
        <v>3.257388235</v>
      </c>
      <c r="U492" s="8">
        <f>T492*17</f>
        <v>55.3756</v>
      </c>
      <c r="V492" s="8">
        <f>C492*Scoring!$B$34+D492/Scoring!$C$34+E492*Scoring!$D$34+WR!F492*Scoring!$E$34+WR!G492/Scoring!$F$34+WR!H492*Scoring!$G$34+WR!I492*Scoring!$H$34+K492*Scoring!$I$34+WR!L492*Scoring!$J$34</f>
        <v>6.23</v>
      </c>
      <c r="W492" s="8"/>
      <c r="X492" s="8"/>
      <c r="Y492" s="8"/>
      <c r="Z492" s="8"/>
    </row>
    <row r="493" ht="14.25" customHeight="1">
      <c r="B493" s="1" t="s">
        <v>39</v>
      </c>
      <c r="C493" s="1">
        <v>3.4</v>
      </c>
      <c r="D493" s="1">
        <v>39.3</v>
      </c>
      <c r="E493" s="1">
        <v>0.1</v>
      </c>
      <c r="F493" s="1">
        <v>0.0</v>
      </c>
      <c r="G493" s="1">
        <v>0.0</v>
      </c>
      <c r="H493" s="1">
        <v>0.0</v>
      </c>
      <c r="I493" s="1">
        <v>0.0</v>
      </c>
      <c r="J493" s="1">
        <v>8.1</v>
      </c>
      <c r="K493" s="18">
        <f t="shared" si="1"/>
        <v>0</v>
      </c>
      <c r="L493" s="18">
        <f t="shared" si="2"/>
        <v>1.932937063</v>
      </c>
      <c r="M493" s="118"/>
      <c r="N493" s="118"/>
      <c r="O493" s="11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B494" s="1" t="s">
        <v>48</v>
      </c>
      <c r="C494" s="1">
        <v>3.4</v>
      </c>
      <c r="D494" s="1">
        <v>39.3</v>
      </c>
      <c r="E494" s="1">
        <v>0.1</v>
      </c>
      <c r="F494" s="1">
        <v>0.0</v>
      </c>
      <c r="G494" s="1">
        <v>0.0</v>
      </c>
      <c r="H494" s="1">
        <v>0.0</v>
      </c>
      <c r="I494" s="1">
        <v>0.0</v>
      </c>
      <c r="J494" s="1">
        <v>8.1</v>
      </c>
      <c r="K494" s="18">
        <f t="shared" si="1"/>
        <v>0</v>
      </c>
      <c r="L494" s="18">
        <f t="shared" si="2"/>
        <v>1.932937063</v>
      </c>
      <c r="M494" s="118"/>
      <c r="N494" s="118"/>
      <c r="O494" s="11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1" t="s">
        <v>1063</v>
      </c>
      <c r="B495" s="1" t="s">
        <v>208</v>
      </c>
      <c r="C495" s="1">
        <v>3.3</v>
      </c>
      <c r="D495" s="1">
        <v>36.1</v>
      </c>
      <c r="E495" s="1">
        <v>0.2</v>
      </c>
      <c r="F495" s="1">
        <v>0.0</v>
      </c>
      <c r="G495" s="1">
        <v>0.0</v>
      </c>
      <c r="H495" s="1">
        <v>0.0</v>
      </c>
      <c r="I495" s="1">
        <v>0.0</v>
      </c>
      <c r="J495" s="1">
        <v>7.8</v>
      </c>
      <c r="K495" s="18">
        <f t="shared" si="1"/>
        <v>0</v>
      </c>
      <c r="L495" s="18">
        <f t="shared" si="2"/>
        <v>1.775547786</v>
      </c>
      <c r="M495" s="112">
        <f>C497*Scoring!$B$34+D497/Scoring!$C$34+E497*Scoring!$D$34+WR!F497*Scoring!$E$34+WR!G497/Scoring!$F$34+WR!H497*Scoring!$G$34+WR!I497*Scoring!$H$34+K497*Scoring!$I$34+WR!L497*Scoring!$J$34+U495</f>
        <v>6.46</v>
      </c>
      <c r="N495" s="112">
        <f>C495*Scoring!$B$34+D495/Scoring!$C$34+E495*Scoring!$D$34+WR!F495*Scoring!$E$34+WR!G495/Scoring!$F$34+WR!H495*Scoring!$G$34+WR!I495*Scoring!$H$34+K495*Scoring!$I$34+WR!L495*Scoring!$J$34+U495</f>
        <v>6.46</v>
      </c>
      <c r="O495" s="112">
        <f>C496*Scoring!$B$34+D496/Scoring!$C$34+E496*Scoring!$D$34+WR!F496*Scoring!$E$34+WR!G496/Scoring!$F$34+WR!H496*Scoring!$G$34+WR!I496*Scoring!$H$34+K496*Scoring!$I$34+WR!L496*Scoring!$J$34+U495</f>
        <v>6.46</v>
      </c>
      <c r="P495" s="8">
        <f>IF(COUNTIF(Rookies!$A:$A,A495)&gt;0,1,0)</f>
        <v>0</v>
      </c>
      <c r="Q495" s="8"/>
      <c r="R495" s="8"/>
      <c r="S495" s="8">
        <f>V495/17</f>
        <v>0.38</v>
      </c>
      <c r="T495" s="8">
        <f>IF(P495=1,MAX(0,0.28*(12-S495)),0)</f>
        <v>0</v>
      </c>
      <c r="U495" s="8">
        <f>T495*17</f>
        <v>0</v>
      </c>
      <c r="V495" s="8">
        <f>C495*Scoring!$B$34+D495/Scoring!$C$34+E495*Scoring!$D$34+WR!F495*Scoring!$E$34+WR!G495/Scoring!$F$34+WR!H495*Scoring!$G$34+WR!I495*Scoring!$H$34+K495*Scoring!$I$34+WR!L495*Scoring!$J$34</f>
        <v>6.46</v>
      </c>
      <c r="W495" s="8"/>
      <c r="X495" s="8"/>
      <c r="Y495" s="8"/>
      <c r="Z495" s="8"/>
    </row>
    <row r="496" ht="14.25" customHeight="1">
      <c r="B496" s="1" t="s">
        <v>39</v>
      </c>
      <c r="C496" s="1">
        <v>3.3</v>
      </c>
      <c r="D496" s="1">
        <v>36.1</v>
      </c>
      <c r="E496" s="1">
        <v>0.2</v>
      </c>
      <c r="F496" s="1">
        <v>0.0</v>
      </c>
      <c r="G496" s="1">
        <v>0.0</v>
      </c>
      <c r="H496" s="1">
        <v>0.0</v>
      </c>
      <c r="I496" s="1">
        <v>0.0</v>
      </c>
      <c r="J496" s="1">
        <v>8.0</v>
      </c>
      <c r="K496" s="18">
        <f t="shared" si="1"/>
        <v>0</v>
      </c>
      <c r="L496" s="18">
        <f t="shared" si="2"/>
        <v>1.775547786</v>
      </c>
      <c r="M496" s="118"/>
      <c r="N496" s="118"/>
      <c r="O496" s="11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B497" s="1" t="s">
        <v>48</v>
      </c>
      <c r="C497" s="1">
        <v>3.3</v>
      </c>
      <c r="D497" s="1">
        <v>36.1</v>
      </c>
      <c r="E497" s="1">
        <v>0.2</v>
      </c>
      <c r="F497" s="1">
        <v>0.0</v>
      </c>
      <c r="G497" s="1">
        <v>0.0</v>
      </c>
      <c r="H497" s="1">
        <v>0.0</v>
      </c>
      <c r="I497" s="1">
        <v>0.0</v>
      </c>
      <c r="J497" s="1">
        <v>8.0</v>
      </c>
      <c r="K497" s="18">
        <f t="shared" si="1"/>
        <v>0</v>
      </c>
      <c r="L497" s="18">
        <f t="shared" si="2"/>
        <v>1.775547786</v>
      </c>
      <c r="M497" s="118"/>
      <c r="N497" s="118"/>
      <c r="O497" s="11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1" t="s">
        <v>1093</v>
      </c>
      <c r="B498" s="1" t="s">
        <v>220</v>
      </c>
      <c r="C498" s="1">
        <v>1.8</v>
      </c>
      <c r="D498" s="1">
        <v>17.0</v>
      </c>
      <c r="E498" s="1">
        <v>0.1</v>
      </c>
      <c r="F498" s="1">
        <v>0.0</v>
      </c>
      <c r="G498" s="1">
        <v>0.0</v>
      </c>
      <c r="H498" s="1">
        <v>0.0</v>
      </c>
      <c r="I498" s="1">
        <v>0.0</v>
      </c>
      <c r="J498" s="1">
        <v>3.9</v>
      </c>
      <c r="K498" s="18">
        <f t="shared" si="1"/>
        <v>0</v>
      </c>
      <c r="L498" s="18">
        <f t="shared" si="2"/>
        <v>0.8361305361</v>
      </c>
      <c r="M498" s="112">
        <f>C500*Scoring!$B$34+D500/Scoring!$C$34+E500*Scoring!$D$34+WR!F500*Scoring!$E$34+WR!G500/Scoring!$F$34+WR!H500*Scoring!$G$34+WR!I500*Scoring!$H$34+K500*Scoring!$I$34+WR!L500*Scoring!$J$34+U498</f>
        <v>3.2</v>
      </c>
      <c r="N498" s="112">
        <f>C498*Scoring!$B$34+D498/Scoring!$C$34+E498*Scoring!$D$34+WR!F498*Scoring!$E$34+WR!G498/Scoring!$F$34+WR!H498*Scoring!$G$34+WR!I498*Scoring!$H$34+K498*Scoring!$I$34+WR!L498*Scoring!$J$34+U498</f>
        <v>3.2</v>
      </c>
      <c r="O498" s="112">
        <f>C499*Scoring!$B$34+D499/Scoring!$C$34+E499*Scoring!$D$34+WR!F499*Scoring!$E$34+WR!G499/Scoring!$F$34+WR!H499*Scoring!$G$34+WR!I499*Scoring!$H$34+K499*Scoring!$I$34+WR!L499*Scoring!$J$34+U498</f>
        <v>3.2</v>
      </c>
      <c r="P498" s="8">
        <f>IF(COUNTIF(Rookies!$A:$A,A498)&gt;0,1,0)</f>
        <v>0</v>
      </c>
      <c r="Q498" s="8"/>
      <c r="R498" s="8"/>
      <c r="S498" s="8">
        <f>V498/17</f>
        <v>0.1882352941</v>
      </c>
      <c r="T498" s="8">
        <f>IF(P498=1,MAX(0,0.28*(12-S498)),0)</f>
        <v>0</v>
      </c>
      <c r="U498" s="8">
        <f>T498*17</f>
        <v>0</v>
      </c>
      <c r="V498" s="8">
        <f>C498*Scoring!$B$34+D498/Scoring!$C$34+E498*Scoring!$D$34+WR!F498*Scoring!$E$34+WR!G498/Scoring!$F$34+WR!H498*Scoring!$G$34+WR!I498*Scoring!$H$34+K498*Scoring!$I$34+WR!L498*Scoring!$J$34</f>
        <v>3.2</v>
      </c>
      <c r="W498" s="8"/>
      <c r="X498" s="8"/>
      <c r="Y498" s="8"/>
      <c r="Z498" s="8"/>
    </row>
    <row r="499" ht="14.25" customHeight="1">
      <c r="B499" s="1" t="s">
        <v>39</v>
      </c>
      <c r="C499" s="1">
        <v>1.8</v>
      </c>
      <c r="D499" s="1">
        <v>17.0</v>
      </c>
      <c r="E499" s="1">
        <v>0.1</v>
      </c>
      <c r="F499" s="1">
        <v>0.0</v>
      </c>
      <c r="G499" s="1">
        <v>0.0</v>
      </c>
      <c r="H499" s="1">
        <v>0.0</v>
      </c>
      <c r="I499" s="1">
        <v>0.0</v>
      </c>
      <c r="J499" s="1">
        <v>3.9</v>
      </c>
      <c r="K499" s="18">
        <f t="shared" si="1"/>
        <v>0</v>
      </c>
      <c r="L499" s="18">
        <f t="shared" si="2"/>
        <v>0.8361305361</v>
      </c>
      <c r="M499" s="118"/>
      <c r="N499" s="118"/>
      <c r="O499" s="11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B500" s="1" t="s">
        <v>48</v>
      </c>
      <c r="C500" s="1">
        <v>1.8</v>
      </c>
      <c r="D500" s="1">
        <v>17.0</v>
      </c>
      <c r="E500" s="1">
        <v>0.1</v>
      </c>
      <c r="F500" s="1">
        <v>0.0</v>
      </c>
      <c r="G500" s="1">
        <v>0.0</v>
      </c>
      <c r="H500" s="1">
        <v>0.0</v>
      </c>
      <c r="I500" s="1">
        <v>0.0</v>
      </c>
      <c r="J500" s="1">
        <v>3.9</v>
      </c>
      <c r="K500" s="18">
        <f t="shared" si="1"/>
        <v>0</v>
      </c>
      <c r="L500" s="18">
        <f t="shared" si="2"/>
        <v>0.8361305361</v>
      </c>
      <c r="M500" s="118"/>
      <c r="N500" s="118"/>
      <c r="O500" s="11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1" t="s">
        <v>1098</v>
      </c>
      <c r="B501" s="1" t="s">
        <v>210</v>
      </c>
      <c r="C501" s="1">
        <v>0.0</v>
      </c>
      <c r="D501" s="1">
        <v>0.0</v>
      </c>
      <c r="E501" s="1">
        <v>0.0</v>
      </c>
      <c r="F501" s="1">
        <v>4.4</v>
      </c>
      <c r="G501" s="1">
        <v>23.7</v>
      </c>
      <c r="H501" s="1">
        <v>0.2</v>
      </c>
      <c r="I501" s="1">
        <v>0.0</v>
      </c>
      <c r="J501" s="1">
        <v>3.5</v>
      </c>
      <c r="K501" s="18">
        <f t="shared" si="1"/>
        <v>1.468780842</v>
      </c>
      <c r="L501" s="18">
        <f t="shared" si="2"/>
        <v>0</v>
      </c>
      <c r="M501" s="112">
        <f>C503*Scoring!$B$34+D503/Scoring!$C$34+E503*Scoring!$D$34+WR!F503*Scoring!$E$34+WR!G503/Scoring!$F$34+WR!H503*Scoring!$G$34+WR!I503*Scoring!$H$34+K503*Scoring!$I$34+WR!L503*Scoring!$J$34+U501</f>
        <v>3.57</v>
      </c>
      <c r="N501" s="112">
        <f>C501*Scoring!$B$34+D501/Scoring!$C$34+E501*Scoring!$D$34+WR!F501*Scoring!$E$34+WR!G501/Scoring!$F$34+WR!H501*Scoring!$G$34+WR!I501*Scoring!$H$34+K501*Scoring!$I$34+WR!L501*Scoring!$J$34+U501</f>
        <v>3.57</v>
      </c>
      <c r="O501" s="112">
        <f>C502*Scoring!$B$34+D502/Scoring!$C$34+E502*Scoring!$D$34+WR!F502*Scoring!$E$34+WR!G502/Scoring!$F$34+WR!H502*Scoring!$G$34+WR!I502*Scoring!$H$34+K502*Scoring!$I$34+WR!L502*Scoring!$J$34+U501</f>
        <v>3.57</v>
      </c>
      <c r="P501" s="8">
        <f>IF(COUNTIF(Rookies!$A:$A,A501)&gt;0,1,0)</f>
        <v>0</v>
      </c>
      <c r="Q501" s="8"/>
      <c r="R501" s="8"/>
      <c r="S501" s="8">
        <f>V501/17</f>
        <v>0.21</v>
      </c>
      <c r="T501" s="8">
        <f>IF(P501=1,MAX(0,0.28*(12-S501)),0)</f>
        <v>0</v>
      </c>
      <c r="U501" s="8">
        <f>T501*17</f>
        <v>0</v>
      </c>
      <c r="V501" s="8">
        <f>C501*Scoring!$B$34+D501/Scoring!$C$34+E501*Scoring!$D$34+WR!F501*Scoring!$E$34+WR!G501/Scoring!$F$34+WR!H501*Scoring!$G$34+WR!I501*Scoring!$H$34+K501*Scoring!$I$34+WR!L501*Scoring!$J$34</f>
        <v>3.57</v>
      </c>
      <c r="W501" s="8"/>
      <c r="X501" s="8"/>
      <c r="Y501" s="8"/>
      <c r="Z501" s="8"/>
    </row>
    <row r="502" ht="14.25" customHeight="1">
      <c r="B502" s="1" t="s">
        <v>39</v>
      </c>
      <c r="C502" s="1">
        <v>0.0</v>
      </c>
      <c r="D502" s="1">
        <v>0.0</v>
      </c>
      <c r="E502" s="1">
        <v>0.0</v>
      </c>
      <c r="F502" s="1">
        <v>4.4</v>
      </c>
      <c r="G502" s="1">
        <v>23.7</v>
      </c>
      <c r="H502" s="1">
        <v>0.2</v>
      </c>
      <c r="I502" s="1">
        <v>0.0</v>
      </c>
      <c r="J502" s="1">
        <v>3.5</v>
      </c>
      <c r="K502" s="18">
        <f t="shared" si="1"/>
        <v>1.468780842</v>
      </c>
      <c r="L502" s="18">
        <f t="shared" si="2"/>
        <v>0</v>
      </c>
      <c r="M502" s="118"/>
      <c r="N502" s="118"/>
      <c r="O502" s="11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B503" s="1" t="s">
        <v>48</v>
      </c>
      <c r="C503" s="1">
        <v>0.0</v>
      </c>
      <c r="D503" s="1">
        <v>0.0</v>
      </c>
      <c r="E503" s="1">
        <v>0.0</v>
      </c>
      <c r="F503" s="1">
        <v>4.4</v>
      </c>
      <c r="G503" s="1">
        <v>23.7</v>
      </c>
      <c r="H503" s="1">
        <v>0.2</v>
      </c>
      <c r="I503" s="1">
        <v>0.0</v>
      </c>
      <c r="J503" s="1">
        <v>3.5</v>
      </c>
      <c r="K503" s="18">
        <f t="shared" si="1"/>
        <v>1.468780842</v>
      </c>
      <c r="L503" s="18">
        <f t="shared" si="2"/>
        <v>0</v>
      </c>
      <c r="M503" s="118"/>
      <c r="N503" s="118"/>
      <c r="O503" s="11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1" t="s">
        <v>1116</v>
      </c>
      <c r="B504" s="1" t="s">
        <v>196</v>
      </c>
      <c r="C504" s="1">
        <v>1.4</v>
      </c>
      <c r="D504" s="1">
        <v>17.7</v>
      </c>
      <c r="E504" s="1">
        <v>0.1</v>
      </c>
      <c r="F504" s="1">
        <v>0.0</v>
      </c>
      <c r="G504" s="1">
        <v>0.0</v>
      </c>
      <c r="H504" s="1">
        <v>0.0</v>
      </c>
      <c r="I504" s="1">
        <v>0.0</v>
      </c>
      <c r="J504" s="1">
        <v>3.4</v>
      </c>
      <c r="K504" s="18">
        <f t="shared" si="1"/>
        <v>0</v>
      </c>
      <c r="L504" s="18">
        <f t="shared" si="2"/>
        <v>0.8705594406</v>
      </c>
      <c r="M504" s="112">
        <f>C506*Scoring!$B$34+D506/Scoring!$C$34+E506*Scoring!$D$34+WR!F506*Scoring!$E$34+WR!G506/Scoring!$F$34+WR!H506*Scoring!$G$34+WR!I506*Scoring!$H$34+K506*Scoring!$I$34+WR!L506*Scoring!$J$34+U504</f>
        <v>3.07</v>
      </c>
      <c r="N504" s="112">
        <f>C504*Scoring!$B$34+D504/Scoring!$C$34+E504*Scoring!$D$34+WR!F504*Scoring!$E$34+WR!G504/Scoring!$F$34+WR!H504*Scoring!$G$34+WR!I504*Scoring!$H$34+K504*Scoring!$I$34+WR!L504*Scoring!$J$34+U504</f>
        <v>3.07</v>
      </c>
      <c r="O504" s="112">
        <f>C505*Scoring!$B$34+D505/Scoring!$C$34+E505*Scoring!$D$34+WR!F505*Scoring!$E$34+WR!G505/Scoring!$F$34+WR!H505*Scoring!$G$34+WR!I505*Scoring!$H$34+K505*Scoring!$I$34+WR!L505*Scoring!$J$34+U504</f>
        <v>3.07</v>
      </c>
      <c r="P504" s="8">
        <f>IF(COUNTIF(Rookies!$A:$A,A504)&gt;0,1,0)</f>
        <v>0</v>
      </c>
      <c r="Q504" s="8"/>
      <c r="R504" s="8"/>
      <c r="S504" s="8">
        <f>V504/17</f>
        <v>0.1805882353</v>
      </c>
      <c r="T504" s="8">
        <f>IF(P504=1,MAX(0,0.28*(12-S504)),0)</f>
        <v>0</v>
      </c>
      <c r="U504" s="8">
        <f>T504*17</f>
        <v>0</v>
      </c>
      <c r="V504" s="8">
        <f>C504*Scoring!$B$34+D504/Scoring!$C$34+E504*Scoring!$D$34+WR!F504*Scoring!$E$34+WR!G504/Scoring!$F$34+WR!H504*Scoring!$G$34+WR!I504*Scoring!$H$34+K504*Scoring!$I$34+WR!L504*Scoring!$J$34</f>
        <v>3.07</v>
      </c>
      <c r="W504" s="8"/>
      <c r="X504" s="8"/>
      <c r="Y504" s="8"/>
      <c r="Z504" s="8"/>
    </row>
    <row r="505" ht="14.25" customHeight="1">
      <c r="B505" s="1" t="s">
        <v>39</v>
      </c>
      <c r="C505" s="1">
        <v>1.4</v>
      </c>
      <c r="D505" s="1">
        <v>17.7</v>
      </c>
      <c r="E505" s="1">
        <v>0.1</v>
      </c>
      <c r="F505" s="1">
        <v>0.0</v>
      </c>
      <c r="G505" s="1">
        <v>0.0</v>
      </c>
      <c r="H505" s="1">
        <v>0.0</v>
      </c>
      <c r="I505" s="1">
        <v>0.0</v>
      </c>
      <c r="J505" s="1">
        <v>3.4</v>
      </c>
      <c r="K505" s="18">
        <f t="shared" si="1"/>
        <v>0</v>
      </c>
      <c r="L505" s="18">
        <f t="shared" si="2"/>
        <v>0.8705594406</v>
      </c>
      <c r="M505" s="118"/>
      <c r="N505" s="118"/>
      <c r="O505" s="11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B506" s="1" t="s">
        <v>48</v>
      </c>
      <c r="C506" s="1">
        <v>1.4</v>
      </c>
      <c r="D506" s="1">
        <v>17.7</v>
      </c>
      <c r="E506" s="1">
        <v>0.1</v>
      </c>
      <c r="F506" s="1">
        <v>0.0</v>
      </c>
      <c r="G506" s="1">
        <v>0.0</v>
      </c>
      <c r="H506" s="1">
        <v>0.0</v>
      </c>
      <c r="I506" s="1">
        <v>0.0</v>
      </c>
      <c r="J506" s="1">
        <v>3.4</v>
      </c>
      <c r="K506" s="18">
        <f t="shared" si="1"/>
        <v>0</v>
      </c>
      <c r="L506" s="18">
        <f t="shared" si="2"/>
        <v>0.8705594406</v>
      </c>
      <c r="M506" s="118"/>
      <c r="N506" s="118"/>
      <c r="O506" s="11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1" t="s">
        <v>1167</v>
      </c>
      <c r="B507" s="1" t="s">
        <v>186</v>
      </c>
      <c r="C507" s="1">
        <v>0.0</v>
      </c>
      <c r="D507" s="1">
        <v>0.0</v>
      </c>
      <c r="E507" s="1">
        <v>0.0</v>
      </c>
      <c r="F507" s="1">
        <v>2.2</v>
      </c>
      <c r="G507" s="1">
        <v>12.1</v>
      </c>
      <c r="H507" s="1">
        <v>0.1</v>
      </c>
      <c r="I507" s="1">
        <v>0.0</v>
      </c>
      <c r="J507" s="1">
        <v>1.8</v>
      </c>
      <c r="K507" s="18">
        <f t="shared" si="1"/>
        <v>0.7498838897</v>
      </c>
      <c r="L507" s="18">
        <f t="shared" si="2"/>
        <v>0</v>
      </c>
      <c r="M507" s="112">
        <f>C509*Scoring!$B$34+D509/Scoring!$C$34+E509*Scoring!$D$34+WR!F509*Scoring!$E$34+WR!G509/Scoring!$F$34+WR!H509*Scoring!$G$34+WR!I509*Scoring!$H$34+K509*Scoring!$I$34+WR!L509*Scoring!$J$34+U507</f>
        <v>1.81</v>
      </c>
      <c r="N507" s="112">
        <f>C507*Scoring!$B$34+D507/Scoring!$C$34+E507*Scoring!$D$34+WR!F507*Scoring!$E$34+WR!G507/Scoring!$F$34+WR!H507*Scoring!$G$34+WR!I507*Scoring!$H$34+K507*Scoring!$I$34+WR!L507*Scoring!$J$34+U507</f>
        <v>1.81</v>
      </c>
      <c r="O507" s="112">
        <f>C508*Scoring!$B$34+D508/Scoring!$C$34+E508*Scoring!$D$34+WR!F508*Scoring!$E$34+WR!G508/Scoring!$F$34+WR!H508*Scoring!$G$34+WR!I508*Scoring!$H$34+K508*Scoring!$I$34+WR!L508*Scoring!$J$34+U507</f>
        <v>1.81</v>
      </c>
      <c r="P507" s="8">
        <f>IF(COUNTIF(Rookies!$A:$A,A507)&gt;0,1,0)</f>
        <v>0</v>
      </c>
      <c r="Q507" s="8"/>
      <c r="R507" s="8"/>
      <c r="S507" s="8">
        <f>V507/17</f>
        <v>0.1064705882</v>
      </c>
      <c r="T507" s="8">
        <f>IF(P507=1,MAX(0,0.28*(12-S507)),0)</f>
        <v>0</v>
      </c>
      <c r="U507" s="8">
        <f>T507*17</f>
        <v>0</v>
      </c>
      <c r="V507" s="8">
        <f>C507*Scoring!$B$34+D507/Scoring!$C$34+E507*Scoring!$D$34+WR!F507*Scoring!$E$34+WR!G507/Scoring!$F$34+WR!H507*Scoring!$G$34+WR!I507*Scoring!$H$34+K507*Scoring!$I$34+WR!L507*Scoring!$J$34</f>
        <v>1.81</v>
      </c>
      <c r="W507" s="8"/>
      <c r="X507" s="8"/>
      <c r="Y507" s="8"/>
      <c r="Z507" s="8"/>
    </row>
    <row r="508" ht="14.25" customHeight="1">
      <c r="B508" s="1" t="s">
        <v>39</v>
      </c>
      <c r="C508" s="1">
        <v>0.0</v>
      </c>
      <c r="D508" s="1">
        <v>0.0</v>
      </c>
      <c r="E508" s="1">
        <v>0.0</v>
      </c>
      <c r="F508" s="1">
        <v>2.2</v>
      </c>
      <c r="G508" s="1">
        <v>12.1</v>
      </c>
      <c r="H508" s="1">
        <v>0.1</v>
      </c>
      <c r="I508" s="1">
        <v>0.0</v>
      </c>
      <c r="J508" s="1">
        <v>3.6</v>
      </c>
      <c r="K508" s="18">
        <f t="shared" si="1"/>
        <v>0.7498838897</v>
      </c>
      <c r="L508" s="18">
        <f t="shared" si="2"/>
        <v>0</v>
      </c>
      <c r="M508" s="118"/>
      <c r="N508" s="118"/>
      <c r="O508" s="11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B509" s="1" t="s">
        <v>48</v>
      </c>
      <c r="C509" s="1">
        <v>0.0</v>
      </c>
      <c r="D509" s="1">
        <v>0.0</v>
      </c>
      <c r="E509" s="1">
        <v>0.0</v>
      </c>
      <c r="F509" s="1">
        <v>2.2</v>
      </c>
      <c r="G509" s="1">
        <v>12.1</v>
      </c>
      <c r="H509" s="1">
        <v>0.1</v>
      </c>
      <c r="I509" s="1">
        <v>0.0</v>
      </c>
      <c r="J509" s="1">
        <v>3.6</v>
      </c>
      <c r="K509" s="18">
        <f t="shared" si="1"/>
        <v>0.7498838897</v>
      </c>
      <c r="L509" s="18">
        <f t="shared" si="2"/>
        <v>0</v>
      </c>
      <c r="M509" s="118"/>
      <c r="N509" s="118"/>
      <c r="O509" s="11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1" t="s">
        <v>1221</v>
      </c>
      <c r="B510" s="1" t="s">
        <v>220</v>
      </c>
      <c r="C510" s="1">
        <v>0.0</v>
      </c>
      <c r="D510" s="1">
        <v>0.0</v>
      </c>
      <c r="E510" s="1">
        <v>0.0</v>
      </c>
      <c r="F510" s="1">
        <v>2.2</v>
      </c>
      <c r="G510" s="1">
        <v>11.7</v>
      </c>
      <c r="H510" s="1">
        <v>0.1</v>
      </c>
      <c r="I510" s="1">
        <v>0.0</v>
      </c>
      <c r="J510" s="1">
        <v>1.6</v>
      </c>
      <c r="K510" s="18">
        <f t="shared" si="1"/>
        <v>0.7250943396</v>
      </c>
      <c r="L510" s="18">
        <f t="shared" si="2"/>
        <v>0</v>
      </c>
      <c r="M510" s="112">
        <f>C512*Scoring!$B$34+D512/Scoring!$C$34+E512*Scoring!$D$34+WR!F512*Scoring!$E$34+WR!G512/Scoring!$F$34+WR!H512*Scoring!$G$34+WR!I512*Scoring!$H$34+K512*Scoring!$I$34+WR!L512*Scoring!$J$34+U510</f>
        <v>58.3944</v>
      </c>
      <c r="N510" s="112">
        <f>C510*Scoring!$B$34+D510/Scoring!$C$34+E510*Scoring!$D$34+WR!F510*Scoring!$E$34+WR!G510/Scoring!$F$34+WR!H510*Scoring!$G$34+WR!I510*Scoring!$H$34+K510*Scoring!$I$34+WR!L510*Scoring!$J$34+U510</f>
        <v>58.3944</v>
      </c>
      <c r="O510" s="112">
        <f>C511*Scoring!$B$34+D511/Scoring!$C$34+E511*Scoring!$D$34+WR!F511*Scoring!$E$34+WR!G511/Scoring!$F$34+WR!H511*Scoring!$G$34+WR!I511*Scoring!$H$34+K511*Scoring!$I$34+WR!L511*Scoring!$J$34+U510</f>
        <v>58.3944</v>
      </c>
      <c r="P510" s="8">
        <f>IF(COUNTIF(Rookies!$A:$A,A510)&gt;0,1,0)</f>
        <v>1</v>
      </c>
      <c r="Q510" s="8"/>
      <c r="R510" s="8"/>
      <c r="S510" s="8">
        <f>V510/17</f>
        <v>0.1041176471</v>
      </c>
      <c r="T510" s="8">
        <f>IF(P510=1,MAX(0,0.28*(12-S510)),0)</f>
        <v>3.330847059</v>
      </c>
      <c r="U510" s="8">
        <f>T510*17</f>
        <v>56.6244</v>
      </c>
      <c r="V510" s="8">
        <f>C510*Scoring!$B$34+D510/Scoring!$C$34+E510*Scoring!$D$34+WR!F510*Scoring!$E$34+WR!G510/Scoring!$F$34+WR!H510*Scoring!$G$34+WR!I510*Scoring!$H$34+K510*Scoring!$I$34+WR!L510*Scoring!$J$34</f>
        <v>1.77</v>
      </c>
      <c r="W510" s="8"/>
      <c r="X510" s="8"/>
      <c r="Y510" s="8"/>
      <c r="Z510" s="8"/>
    </row>
    <row r="511" ht="14.25" customHeight="1">
      <c r="B511" s="1" t="s">
        <v>39</v>
      </c>
      <c r="C511" s="1">
        <v>0.0</v>
      </c>
      <c r="D511" s="1">
        <v>0.0</v>
      </c>
      <c r="E511" s="1">
        <v>0.0</v>
      </c>
      <c r="F511" s="1">
        <v>2.2</v>
      </c>
      <c r="G511" s="1">
        <v>11.7</v>
      </c>
      <c r="H511" s="1">
        <v>0.1</v>
      </c>
      <c r="I511" s="1">
        <v>0.0</v>
      </c>
      <c r="J511" s="1">
        <v>4.1</v>
      </c>
      <c r="K511" s="18">
        <f t="shared" si="1"/>
        <v>0.7250943396</v>
      </c>
      <c r="L511" s="18">
        <f t="shared" si="2"/>
        <v>0</v>
      </c>
      <c r="M511" s="118"/>
      <c r="N511" s="118"/>
      <c r="O511" s="11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B512" s="1" t="s">
        <v>48</v>
      </c>
      <c r="C512" s="1">
        <v>0.0</v>
      </c>
      <c r="D512" s="1">
        <v>0.0</v>
      </c>
      <c r="E512" s="1">
        <v>0.0</v>
      </c>
      <c r="F512" s="1">
        <v>2.2</v>
      </c>
      <c r="G512" s="1">
        <v>11.7</v>
      </c>
      <c r="H512" s="1">
        <v>0.1</v>
      </c>
      <c r="I512" s="1">
        <v>0.0</v>
      </c>
      <c r="J512" s="1">
        <v>4.1</v>
      </c>
      <c r="K512" s="18">
        <f t="shared" si="1"/>
        <v>0.7250943396</v>
      </c>
      <c r="L512" s="18">
        <f t="shared" si="2"/>
        <v>0</v>
      </c>
      <c r="M512" s="118"/>
      <c r="N512" s="118"/>
      <c r="O512" s="11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1" t="s">
        <v>1224</v>
      </c>
      <c r="B513" s="1" t="s">
        <v>193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8">
        <f t="shared" si="1"/>
        <v>0</v>
      </c>
      <c r="L513" s="18">
        <f t="shared" si="2"/>
        <v>0</v>
      </c>
      <c r="M513" s="112">
        <f>C515*Scoring!$B$34+D515/Scoring!$C$34+E515*Scoring!$D$34+WR!F515*Scoring!$E$34+WR!G515/Scoring!$F$34+WR!H515*Scoring!$G$34+WR!I515*Scoring!$H$34+K515*Scoring!$I$34+WR!L515*Scoring!$J$34+U513</f>
        <v>0</v>
      </c>
      <c r="N513" s="112">
        <f>C513*Scoring!$B$34+D513/Scoring!$C$34+E513*Scoring!$D$34+WR!F513*Scoring!$E$34+WR!G513/Scoring!$F$34+WR!H513*Scoring!$G$34+WR!I513*Scoring!$H$34+K513*Scoring!$I$34+WR!L513*Scoring!$J$34+U513</f>
        <v>0</v>
      </c>
      <c r="O513" s="112">
        <f>C514*Scoring!$B$34+D514/Scoring!$C$34+E514*Scoring!$D$34+WR!F514*Scoring!$E$34+WR!G514/Scoring!$F$34+WR!H514*Scoring!$G$34+WR!I514*Scoring!$H$34+K514*Scoring!$I$34+WR!L514*Scoring!$J$34+U513</f>
        <v>0</v>
      </c>
      <c r="P513" s="8">
        <f>IF(COUNTIF(Rookies!$A:$A,A513)&gt;0,1,0)</f>
        <v>0</v>
      </c>
      <c r="Q513" s="8"/>
      <c r="R513" s="8"/>
      <c r="S513" s="8">
        <f>V513/17</f>
        <v>0</v>
      </c>
      <c r="T513" s="8">
        <f>IF(P513=1,MAX(0,0.28*(12-S513)),0)</f>
        <v>0</v>
      </c>
      <c r="U513" s="8">
        <f>T513*17</f>
        <v>0</v>
      </c>
      <c r="V513" s="8">
        <f>C513*Scoring!$B$34+D513/Scoring!$C$34+E513*Scoring!$D$34+WR!F513*Scoring!$E$34+WR!G513/Scoring!$F$34+WR!H513*Scoring!$G$34+WR!I513*Scoring!$H$34+K513*Scoring!$I$34+WR!L513*Scoring!$J$34</f>
        <v>0</v>
      </c>
      <c r="W513" s="8"/>
      <c r="X513" s="8"/>
      <c r="Y513" s="8"/>
      <c r="Z513" s="8"/>
    </row>
    <row r="514" ht="14.25" customHeight="1">
      <c r="B514" s="1" t="s">
        <v>39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8">
        <f t="shared" si="1"/>
        <v>0</v>
      </c>
      <c r="L514" s="18">
        <f t="shared" si="2"/>
        <v>0</v>
      </c>
      <c r="M514" s="118"/>
      <c r="N514" s="118"/>
      <c r="O514" s="11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B515" s="1" t="s">
        <v>48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8">
        <f t="shared" si="1"/>
        <v>0</v>
      </c>
      <c r="L515" s="18">
        <f t="shared" si="2"/>
        <v>0</v>
      </c>
      <c r="M515" s="118"/>
      <c r="N515" s="118"/>
      <c r="O515" s="11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1" t="s">
        <v>1262</v>
      </c>
      <c r="B516" s="1" t="s">
        <v>208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8">
        <f t="shared" si="1"/>
        <v>0</v>
      </c>
      <c r="L516" s="18">
        <f t="shared" si="2"/>
        <v>0</v>
      </c>
      <c r="M516" s="112">
        <f>C518*Scoring!$B$34+D518/Scoring!$C$34+E518*Scoring!$D$34+WR!F518*Scoring!$E$34+WR!G518/Scoring!$F$34+WR!H518*Scoring!$G$34+WR!I518*Scoring!$H$34+K518*Scoring!$I$34+WR!L518*Scoring!$J$34+U516</f>
        <v>0</v>
      </c>
      <c r="N516" s="112">
        <f>C516*Scoring!$B$34+D516/Scoring!$C$34+E516*Scoring!$D$34+WR!F516*Scoring!$E$34+WR!G516/Scoring!$F$34+WR!H516*Scoring!$G$34+WR!I516*Scoring!$H$34+K516*Scoring!$I$34+WR!L516*Scoring!$J$34+U516</f>
        <v>0</v>
      </c>
      <c r="O516" s="112">
        <f>C517*Scoring!$B$34+D517/Scoring!$C$34+E517*Scoring!$D$34+WR!F517*Scoring!$E$34+WR!G517/Scoring!$F$34+WR!H517*Scoring!$G$34+WR!I517*Scoring!$H$34+K517*Scoring!$I$34+WR!L517*Scoring!$J$34+U516</f>
        <v>0</v>
      </c>
      <c r="P516" s="8">
        <f>IF(COUNTIF(Rookies!$A:$A,A516)&gt;0,1,0)</f>
        <v>0</v>
      </c>
      <c r="Q516" s="8"/>
      <c r="R516" s="8"/>
      <c r="S516" s="8">
        <f>V516/17</f>
        <v>0</v>
      </c>
      <c r="T516" s="8">
        <f>IF(P516=1,MAX(0,0.28*(12-S516)),0)</f>
        <v>0</v>
      </c>
      <c r="U516" s="8">
        <f>T516*17</f>
        <v>0</v>
      </c>
      <c r="V516" s="8">
        <f>C516*Scoring!$B$34+D516/Scoring!$C$34+E516*Scoring!$D$34+WR!F516*Scoring!$E$34+WR!G516/Scoring!$F$34+WR!H516*Scoring!$G$34+WR!I516*Scoring!$H$34+K516*Scoring!$I$34+WR!L516*Scoring!$J$34</f>
        <v>0</v>
      </c>
      <c r="W516" s="8"/>
      <c r="X516" s="8"/>
      <c r="Y516" s="8"/>
      <c r="Z516" s="8"/>
    </row>
    <row r="517" ht="14.25" customHeight="1">
      <c r="B517" s="1" t="s">
        <v>39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8">
        <f t="shared" si="1"/>
        <v>0</v>
      </c>
      <c r="L517" s="18">
        <f t="shared" si="2"/>
        <v>0</v>
      </c>
      <c r="M517" s="118"/>
      <c r="N517" s="118"/>
      <c r="O517" s="11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B518" s="1" t="s">
        <v>48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8">
        <f t="shared" si="1"/>
        <v>0</v>
      </c>
      <c r="L518" s="18">
        <f t="shared" si="2"/>
        <v>0</v>
      </c>
      <c r="M518" s="118"/>
      <c r="N518" s="118"/>
      <c r="O518" s="11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1" t="s">
        <v>1313</v>
      </c>
      <c r="B519" s="1" t="s">
        <v>134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8">
        <f t="shared" si="1"/>
        <v>0</v>
      </c>
      <c r="L519" s="18">
        <f t="shared" si="2"/>
        <v>0</v>
      </c>
      <c r="M519" s="112">
        <f>C521*Scoring!$B$34+D521/Scoring!$C$34+E521*Scoring!$D$34+WR!F521*Scoring!$E$34+WR!G521/Scoring!$F$34+WR!H521*Scoring!$G$34+WR!I521*Scoring!$H$34+K521*Scoring!$I$34+WR!L521*Scoring!$J$34+U519</f>
        <v>0</v>
      </c>
      <c r="N519" s="112">
        <f>C519*Scoring!$B$34+D519/Scoring!$C$34+E519*Scoring!$D$34+WR!F519*Scoring!$E$34+WR!G519/Scoring!$F$34+WR!H519*Scoring!$G$34+WR!I519*Scoring!$H$34+K519*Scoring!$I$34+WR!L519*Scoring!$J$34+U519</f>
        <v>0</v>
      </c>
      <c r="O519" s="112">
        <f>C520*Scoring!$B$34+D520/Scoring!$C$34+E520*Scoring!$D$34+WR!F520*Scoring!$E$34+WR!G520/Scoring!$F$34+WR!H520*Scoring!$G$34+WR!I520*Scoring!$H$34+K520*Scoring!$I$34+WR!L520*Scoring!$J$34+U519</f>
        <v>0</v>
      </c>
      <c r="P519" s="8">
        <f>IF(COUNTIF(Rookies!$A:$A,A519)&gt;0,1,0)</f>
        <v>0</v>
      </c>
      <c r="Q519" s="8"/>
      <c r="R519" s="8"/>
      <c r="S519" s="8">
        <f>V519/17</f>
        <v>0</v>
      </c>
      <c r="T519" s="8">
        <f>IF(P519=1,MAX(0,0.28*(12-S519)),0)</f>
        <v>0</v>
      </c>
      <c r="U519" s="8">
        <f>T519*17</f>
        <v>0</v>
      </c>
      <c r="V519" s="8">
        <f>C519*Scoring!$B$34+D519/Scoring!$C$34+E519*Scoring!$D$34+WR!F519*Scoring!$E$34+WR!G519/Scoring!$F$34+WR!H519*Scoring!$G$34+WR!I519*Scoring!$H$34+K519*Scoring!$I$34+WR!L519*Scoring!$J$34</f>
        <v>0</v>
      </c>
      <c r="W519" s="8"/>
      <c r="X519" s="8"/>
      <c r="Y519" s="8"/>
      <c r="Z519" s="8"/>
    </row>
    <row r="520" ht="14.25" customHeight="1">
      <c r="B520" s="1" t="s">
        <v>39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2.5</v>
      </c>
      <c r="K520" s="18">
        <f t="shared" si="1"/>
        <v>0</v>
      </c>
      <c r="L520" s="18">
        <f t="shared" si="2"/>
        <v>0</v>
      </c>
      <c r="M520" s="118"/>
      <c r="N520" s="118"/>
      <c r="O520" s="11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B521" s="1" t="s">
        <v>48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2.5</v>
      </c>
      <c r="K521" s="18">
        <f t="shared" si="1"/>
        <v>0</v>
      </c>
      <c r="L521" s="18">
        <f t="shared" si="2"/>
        <v>0</v>
      </c>
      <c r="M521" s="118"/>
      <c r="N521" s="118"/>
      <c r="O521" s="11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1" t="s">
        <v>1327</v>
      </c>
      <c r="B522" s="1" t="s">
        <v>217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8">
        <f t="shared" si="1"/>
        <v>0</v>
      </c>
      <c r="L522" s="18">
        <f t="shared" si="2"/>
        <v>0</v>
      </c>
      <c r="M522" s="112">
        <f>C524*Scoring!$B$34+D524/Scoring!$C$34+E524*Scoring!$D$34+WR!F524*Scoring!$E$34+WR!G524/Scoring!$F$34+WR!H524*Scoring!$G$34+WR!I524*Scoring!$H$34+K524*Scoring!$I$34+WR!L524*Scoring!$J$34+U522</f>
        <v>0</v>
      </c>
      <c r="N522" s="112">
        <f>C522*Scoring!$B$34+D522/Scoring!$C$34+E522*Scoring!$D$34+WR!F522*Scoring!$E$34+WR!G522/Scoring!$F$34+WR!H522*Scoring!$G$34+WR!I522*Scoring!$H$34+K522*Scoring!$I$34+WR!L522*Scoring!$J$34+U522</f>
        <v>0</v>
      </c>
      <c r="O522" s="112">
        <f>C523*Scoring!$B$34+D523/Scoring!$C$34+E523*Scoring!$D$34+WR!F523*Scoring!$E$34+WR!G523/Scoring!$F$34+WR!H523*Scoring!$G$34+WR!I523*Scoring!$H$34+K523*Scoring!$I$34+WR!L523*Scoring!$J$34+U522</f>
        <v>0</v>
      </c>
      <c r="P522" s="8">
        <f>IF(COUNTIF(Rookies!$A:$A,A522)&gt;0,1,0)</f>
        <v>0</v>
      </c>
      <c r="Q522" s="8"/>
      <c r="R522" s="8"/>
      <c r="S522" s="8">
        <f>V522/17</f>
        <v>0</v>
      </c>
      <c r="T522" s="8">
        <f>IF(P522=1,MAX(0,0.28*(12-S522)),0)</f>
        <v>0</v>
      </c>
      <c r="U522" s="8">
        <f>T522*17</f>
        <v>0</v>
      </c>
      <c r="V522" s="8">
        <f>C522*Scoring!$B$34+D522/Scoring!$C$34+E522*Scoring!$D$34+WR!F522*Scoring!$E$34+WR!G522/Scoring!$F$34+WR!H522*Scoring!$G$34+WR!I522*Scoring!$H$34+K522*Scoring!$I$34+WR!L522*Scoring!$J$34</f>
        <v>0</v>
      </c>
      <c r="W522" s="8"/>
      <c r="X522" s="8"/>
      <c r="Y522" s="8"/>
      <c r="Z522" s="8"/>
    </row>
    <row r="523" ht="14.25" customHeight="1">
      <c r="B523" s="1" t="s">
        <v>39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0.8</v>
      </c>
      <c r="K523" s="18">
        <f t="shared" si="1"/>
        <v>0</v>
      </c>
      <c r="L523" s="18">
        <f t="shared" si="2"/>
        <v>0</v>
      </c>
      <c r="M523" s="118"/>
      <c r="N523" s="118"/>
      <c r="O523" s="11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B524" s="1" t="s">
        <v>48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0.8</v>
      </c>
      <c r="K524" s="18">
        <f t="shared" si="1"/>
        <v>0</v>
      </c>
      <c r="L524" s="18">
        <f t="shared" si="2"/>
        <v>0</v>
      </c>
      <c r="M524" s="118"/>
      <c r="N524" s="118"/>
      <c r="O524" s="11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1" t="s">
        <v>1332</v>
      </c>
      <c r="B525" s="1" t="s">
        <v>214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8">
        <f t="shared" si="1"/>
        <v>0</v>
      </c>
      <c r="L525" s="18">
        <f t="shared" si="2"/>
        <v>0</v>
      </c>
      <c r="M525" s="112">
        <f>C527*Scoring!$B$34+D527/Scoring!$C$34+E527*Scoring!$D$34+WR!F527*Scoring!$E$34+WR!G527/Scoring!$F$34+WR!H527*Scoring!$G$34+WR!I527*Scoring!$H$34+K527*Scoring!$I$34+WR!L527*Scoring!$J$34+U525</f>
        <v>0</v>
      </c>
      <c r="N525" s="112">
        <f>C525*Scoring!$B$34+D525/Scoring!$C$34+E525*Scoring!$D$34+WR!F525*Scoring!$E$34+WR!G525/Scoring!$F$34+WR!H525*Scoring!$G$34+WR!I525*Scoring!$H$34+K525*Scoring!$I$34+WR!L525*Scoring!$J$34+U525</f>
        <v>0</v>
      </c>
      <c r="O525" s="112">
        <f>C526*Scoring!$B$34+D526/Scoring!$C$34+E526*Scoring!$D$34+WR!F526*Scoring!$E$34+WR!G526/Scoring!$F$34+WR!H526*Scoring!$G$34+WR!I526*Scoring!$H$34+K526*Scoring!$I$34+WR!L526*Scoring!$J$34+U525</f>
        <v>0</v>
      </c>
      <c r="P525" s="8">
        <f>IF(COUNTIF(Rookies!$A:$A,A525)&gt;0,1,0)</f>
        <v>0</v>
      </c>
      <c r="Q525" s="8"/>
      <c r="R525" s="8"/>
      <c r="S525" s="8">
        <f>V525/17</f>
        <v>0</v>
      </c>
      <c r="T525" s="8">
        <f>IF(P525=1,MAX(0,0.28*(12-S525)),0)</f>
        <v>0</v>
      </c>
      <c r="U525" s="8">
        <f>T525*17</f>
        <v>0</v>
      </c>
      <c r="V525" s="8">
        <f>C525*Scoring!$B$34+D525/Scoring!$C$34+E525*Scoring!$D$34+WR!F525*Scoring!$E$34+WR!G525/Scoring!$F$34+WR!H525*Scoring!$G$34+WR!I525*Scoring!$H$34+K525*Scoring!$I$34+WR!L525*Scoring!$J$34</f>
        <v>0</v>
      </c>
      <c r="W525" s="8"/>
      <c r="X525" s="8"/>
      <c r="Y525" s="8"/>
      <c r="Z525" s="8"/>
    </row>
    <row r="526" ht="14.25" customHeight="1">
      <c r="B526" s="1" t="s">
        <v>39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0.1</v>
      </c>
      <c r="K526" s="18">
        <f t="shared" si="1"/>
        <v>0</v>
      </c>
      <c r="L526" s="18">
        <f t="shared" si="2"/>
        <v>0</v>
      </c>
      <c r="M526" s="118"/>
      <c r="N526" s="118"/>
      <c r="O526" s="11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B527" s="1" t="s">
        <v>48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0.1</v>
      </c>
      <c r="K527" s="18">
        <f t="shared" si="1"/>
        <v>0</v>
      </c>
      <c r="L527" s="18">
        <f t="shared" si="2"/>
        <v>0</v>
      </c>
      <c r="M527" s="118"/>
      <c r="N527" s="118"/>
      <c r="O527" s="11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1" t="s">
        <v>1343</v>
      </c>
      <c r="B528" s="1" t="s">
        <v>170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8">
        <f t="shared" si="1"/>
        <v>0</v>
      </c>
      <c r="L528" s="18">
        <f t="shared" si="2"/>
        <v>0</v>
      </c>
      <c r="M528" s="112">
        <f>C530*Scoring!$B$34+D530/Scoring!$C$34+E530*Scoring!$D$34+WR!F530*Scoring!$E$34+WR!G530/Scoring!$F$34+WR!H530*Scoring!$G$34+WR!I530*Scoring!$H$34+K530*Scoring!$I$34+WR!L530*Scoring!$J$34+U528</f>
        <v>0</v>
      </c>
      <c r="N528" s="112">
        <f>C528*Scoring!$B$34+D528/Scoring!$C$34+E528*Scoring!$D$34+WR!F528*Scoring!$E$34+WR!G528/Scoring!$F$34+WR!H528*Scoring!$G$34+WR!I528*Scoring!$H$34+K528*Scoring!$I$34+WR!L528*Scoring!$J$34+U528</f>
        <v>0</v>
      </c>
      <c r="O528" s="112">
        <f>C529*Scoring!$B$34+D529/Scoring!$C$34+E529*Scoring!$D$34+WR!F529*Scoring!$E$34+WR!G529/Scoring!$F$34+WR!H529*Scoring!$G$34+WR!I529*Scoring!$H$34+K529*Scoring!$I$34+WR!L529*Scoring!$J$34+U528</f>
        <v>0</v>
      </c>
      <c r="P528" s="8">
        <f>IF(COUNTIF(Rookies!$A:$A,A528)&gt;0,1,0)</f>
        <v>0</v>
      </c>
      <c r="Q528" s="8"/>
      <c r="R528" s="8"/>
      <c r="S528" s="8">
        <f>V528/17</f>
        <v>0</v>
      </c>
      <c r="T528" s="8">
        <f>IF(P528=1,MAX(0,0.28*(12-S528)),0)</f>
        <v>0</v>
      </c>
      <c r="U528" s="8">
        <f>T528*17</f>
        <v>0</v>
      </c>
      <c r="V528" s="8">
        <f>C528*Scoring!$B$34+D528/Scoring!$C$34+E528*Scoring!$D$34+WR!F528*Scoring!$E$34+WR!G528/Scoring!$F$34+WR!H528*Scoring!$G$34+WR!I528*Scoring!$H$34+K528*Scoring!$I$34+WR!L528*Scoring!$J$34</f>
        <v>0</v>
      </c>
      <c r="W528" s="8"/>
      <c r="X528" s="8"/>
      <c r="Y528" s="8"/>
      <c r="Z528" s="8"/>
    </row>
    <row r="529" ht="14.25" customHeight="1">
      <c r="B529" s="1" t="s">
        <v>39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0.2</v>
      </c>
      <c r="K529" s="18">
        <f t="shared" si="1"/>
        <v>0</v>
      </c>
      <c r="L529" s="18">
        <f t="shared" si="2"/>
        <v>0</v>
      </c>
      <c r="M529" s="118"/>
      <c r="N529" s="118"/>
      <c r="O529" s="11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B530" s="1" t="s">
        <v>48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0.2</v>
      </c>
      <c r="K530" s="18">
        <f t="shared" si="1"/>
        <v>0</v>
      </c>
      <c r="L530" s="18">
        <f t="shared" si="2"/>
        <v>0</v>
      </c>
      <c r="M530" s="118"/>
      <c r="N530" s="118"/>
      <c r="O530" s="11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1" t="s">
        <v>1382</v>
      </c>
      <c r="B531" s="1" t="s">
        <v>199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8">
        <f t="shared" si="1"/>
        <v>0</v>
      </c>
      <c r="L531" s="18">
        <f t="shared" si="2"/>
        <v>0</v>
      </c>
      <c r="M531" s="112">
        <f>C533*Scoring!$B$34+D533/Scoring!$C$34+E533*Scoring!$D$34+WR!F533*Scoring!$E$34+WR!G533/Scoring!$F$34+WR!H533*Scoring!$G$34+WR!I533*Scoring!$H$34+K533*Scoring!$I$34+WR!L533*Scoring!$J$34+U531</f>
        <v>0</v>
      </c>
      <c r="N531" s="112">
        <f>C531*Scoring!$B$34+D531/Scoring!$C$34+E531*Scoring!$D$34+WR!F531*Scoring!$E$34+WR!G531/Scoring!$F$34+WR!H531*Scoring!$G$34+WR!I531*Scoring!$H$34+K531*Scoring!$I$34+WR!L531*Scoring!$J$34+U531</f>
        <v>0</v>
      </c>
      <c r="O531" s="112">
        <f>C532*Scoring!$B$34+D532/Scoring!$C$34+E532*Scoring!$D$34+WR!F532*Scoring!$E$34+WR!G532/Scoring!$F$34+WR!H532*Scoring!$G$34+WR!I532*Scoring!$H$34+K532*Scoring!$I$34+WR!L532*Scoring!$J$34+U531</f>
        <v>0</v>
      </c>
      <c r="P531" s="8">
        <f>IF(COUNTIF(Rookies!$A:$A,A531)&gt;0,1,0)</f>
        <v>0</v>
      </c>
      <c r="Q531" s="8"/>
      <c r="R531" s="8"/>
      <c r="S531" s="8">
        <f>V531/17</f>
        <v>0</v>
      </c>
      <c r="T531" s="8">
        <f>IF(P531=1,MAX(0,0.28*(12-S531)),0)</f>
        <v>0</v>
      </c>
      <c r="U531" s="8">
        <f>T531*17</f>
        <v>0</v>
      </c>
      <c r="V531" s="8">
        <f>C531*Scoring!$B$34+D531/Scoring!$C$34+E531*Scoring!$D$34+WR!F531*Scoring!$E$34+WR!G531/Scoring!$F$34+WR!H531*Scoring!$G$34+WR!I531*Scoring!$H$34+K531*Scoring!$I$34+WR!L531*Scoring!$J$34</f>
        <v>0</v>
      </c>
      <c r="W531" s="8"/>
      <c r="X531" s="8"/>
      <c r="Y531" s="8"/>
      <c r="Z531" s="8"/>
    </row>
    <row r="532" ht="14.25" customHeight="1">
      <c r="B532" s="1" t="s">
        <v>39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0.4</v>
      </c>
      <c r="K532" s="18">
        <f t="shared" si="1"/>
        <v>0</v>
      </c>
      <c r="L532" s="18">
        <f t="shared" si="2"/>
        <v>0</v>
      </c>
      <c r="M532" s="118"/>
      <c r="N532" s="118"/>
      <c r="O532" s="11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B533" s="1" t="s">
        <v>48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0.4</v>
      </c>
      <c r="K533" s="18">
        <f t="shared" si="1"/>
        <v>0</v>
      </c>
      <c r="L533" s="18">
        <f t="shared" si="2"/>
        <v>0</v>
      </c>
      <c r="M533" s="118"/>
      <c r="N533" s="118"/>
      <c r="O533" s="11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1" t="s">
        <v>1388</v>
      </c>
      <c r="B534" s="1" t="s">
        <v>117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8">
        <f t="shared" si="1"/>
        <v>0</v>
      </c>
      <c r="L534" s="18">
        <f t="shared" si="2"/>
        <v>0</v>
      </c>
      <c r="M534" s="112">
        <f>C536*Scoring!$B$34+D536/Scoring!$C$34+E536*Scoring!$D$34+WR!F536*Scoring!$E$34+WR!G536/Scoring!$F$34+WR!H536*Scoring!$G$34+WR!I536*Scoring!$H$34+K536*Scoring!$I$34+WR!L536*Scoring!$J$34+U534</f>
        <v>0</v>
      </c>
      <c r="N534" s="112">
        <f>C534*Scoring!$B$34+D534/Scoring!$C$34+E534*Scoring!$D$34+WR!F534*Scoring!$E$34+WR!G534/Scoring!$F$34+WR!H534*Scoring!$G$34+WR!I534*Scoring!$H$34+K534*Scoring!$I$34+WR!L534*Scoring!$J$34+U534</f>
        <v>0</v>
      </c>
      <c r="O534" s="112">
        <f>C535*Scoring!$B$34+D535/Scoring!$C$34+E535*Scoring!$D$34+WR!F535*Scoring!$E$34+WR!G535/Scoring!$F$34+WR!H535*Scoring!$G$34+WR!I535*Scoring!$H$34+K535*Scoring!$I$34+WR!L535*Scoring!$J$34+U534</f>
        <v>0</v>
      </c>
      <c r="P534" s="8">
        <f>IF(COUNTIF(Rookies!$A:$A,A534)&gt;0,1,0)</f>
        <v>0</v>
      </c>
      <c r="Q534" s="8"/>
      <c r="R534" s="8"/>
      <c r="S534" s="8">
        <f>V534/17</f>
        <v>0</v>
      </c>
      <c r="T534" s="8">
        <f>IF(P534=1,MAX(0,0.28*(12-S534)),0)</f>
        <v>0</v>
      </c>
      <c r="U534" s="8">
        <f>T534*17</f>
        <v>0</v>
      </c>
      <c r="V534" s="8">
        <f>C534*Scoring!$B$34+D534/Scoring!$C$34+E534*Scoring!$D$34+WR!F534*Scoring!$E$34+WR!G534/Scoring!$F$34+WR!H534*Scoring!$G$34+WR!I534*Scoring!$H$34+K534*Scoring!$I$34+WR!L534*Scoring!$J$34</f>
        <v>0</v>
      </c>
      <c r="W534" s="8"/>
      <c r="X534" s="8"/>
      <c r="Y534" s="8"/>
      <c r="Z534" s="8"/>
    </row>
    <row r="535" ht="14.25" customHeight="1">
      <c r="B535" s="1" t="s">
        <v>39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1.7</v>
      </c>
      <c r="K535" s="18">
        <f t="shared" si="1"/>
        <v>0</v>
      </c>
      <c r="L535" s="18">
        <f t="shared" si="2"/>
        <v>0</v>
      </c>
      <c r="M535" s="118"/>
      <c r="N535" s="118"/>
      <c r="O535" s="11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B536" s="1" t="s">
        <v>48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1.7</v>
      </c>
      <c r="K536" s="18">
        <f t="shared" si="1"/>
        <v>0</v>
      </c>
      <c r="L536" s="18">
        <f t="shared" si="2"/>
        <v>0</v>
      </c>
      <c r="M536" s="118"/>
      <c r="N536" s="118"/>
      <c r="O536" s="11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1" t="s">
        <v>1391</v>
      </c>
      <c r="B537" s="1" t="s">
        <v>222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8">
        <f t="shared" si="1"/>
        <v>0</v>
      </c>
      <c r="L537" s="18">
        <f t="shared" si="2"/>
        <v>0</v>
      </c>
      <c r="M537" s="112">
        <f>C539*Scoring!$B$34+D539/Scoring!$C$34+E539*Scoring!$D$34+WR!F539*Scoring!$E$34+WR!G539/Scoring!$F$34+WR!H539*Scoring!$G$34+WR!I539*Scoring!$H$34+K539*Scoring!$I$34+WR!L539*Scoring!$J$34+U537</f>
        <v>0</v>
      </c>
      <c r="N537" s="112">
        <f>C537*Scoring!$B$34+D537/Scoring!$C$34+E537*Scoring!$D$34+WR!F537*Scoring!$E$34+WR!G537/Scoring!$F$34+WR!H537*Scoring!$G$34+WR!I537*Scoring!$H$34+K537*Scoring!$I$34+WR!L537*Scoring!$J$34+U537</f>
        <v>0</v>
      </c>
      <c r="O537" s="112">
        <f>C538*Scoring!$B$34+D538/Scoring!$C$34+E538*Scoring!$D$34+WR!F538*Scoring!$E$34+WR!G538/Scoring!$F$34+WR!H538*Scoring!$G$34+WR!I538*Scoring!$H$34+K538*Scoring!$I$34+WR!L538*Scoring!$J$34+U537</f>
        <v>0</v>
      </c>
      <c r="P537" s="8">
        <f>IF(COUNTIF(Rookies!$A:$A,A537)&gt;0,1,0)</f>
        <v>0</v>
      </c>
      <c r="Q537" s="8"/>
      <c r="R537" s="8"/>
      <c r="S537" s="8">
        <f>V537/17</f>
        <v>0</v>
      </c>
      <c r="T537" s="8">
        <f>IF(P537=1,MAX(0,0.28*(12-S537)),0)</f>
        <v>0</v>
      </c>
      <c r="U537" s="8">
        <f>T537*17</f>
        <v>0</v>
      </c>
      <c r="V537" s="8">
        <f>C537*Scoring!$B$34+D537/Scoring!$C$34+E537*Scoring!$D$34+WR!F537*Scoring!$E$34+WR!G537/Scoring!$F$34+WR!H537*Scoring!$G$34+WR!I537*Scoring!$H$34+K537*Scoring!$I$34+WR!L537*Scoring!$J$34</f>
        <v>0</v>
      </c>
      <c r="W537" s="8"/>
      <c r="X537" s="8"/>
      <c r="Y537" s="8"/>
      <c r="Z537" s="8"/>
    </row>
    <row r="538" ht="14.25" customHeight="1">
      <c r="B538" s="1" t="s">
        <v>39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0.4</v>
      </c>
      <c r="K538" s="18">
        <f t="shared" si="1"/>
        <v>0</v>
      </c>
      <c r="L538" s="18">
        <f t="shared" si="2"/>
        <v>0</v>
      </c>
      <c r="M538" s="118"/>
      <c r="N538" s="118"/>
      <c r="O538" s="11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B539" s="1" t="s">
        <v>48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0.4</v>
      </c>
      <c r="K539" s="18">
        <f t="shared" si="1"/>
        <v>0</v>
      </c>
      <c r="L539" s="18">
        <f t="shared" si="2"/>
        <v>0</v>
      </c>
      <c r="M539" s="118"/>
      <c r="N539" s="118"/>
      <c r="O539" s="11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1" t="s">
        <v>1398</v>
      </c>
      <c r="B540" s="1" t="s">
        <v>140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8">
        <f t="shared" si="1"/>
        <v>0</v>
      </c>
      <c r="L540" s="18">
        <f t="shared" si="2"/>
        <v>0</v>
      </c>
      <c r="M540" s="112">
        <f>C542*Scoring!$B$34+D542/Scoring!$C$34+E542*Scoring!$D$34+WR!F542*Scoring!$E$34+WR!G542/Scoring!$F$34+WR!H542*Scoring!$G$34+WR!I542*Scoring!$H$34+K542*Scoring!$I$34+WR!L542*Scoring!$J$34+U540</f>
        <v>0</v>
      </c>
      <c r="N540" s="112">
        <f>C540*Scoring!$B$34+D540/Scoring!$C$34+E540*Scoring!$D$34+WR!F540*Scoring!$E$34+WR!G540/Scoring!$F$34+WR!H540*Scoring!$G$34+WR!I540*Scoring!$H$34+K540*Scoring!$I$34+WR!L540*Scoring!$J$34+U540</f>
        <v>0</v>
      </c>
      <c r="O540" s="112">
        <f>C541*Scoring!$B$34+D541/Scoring!$C$34+E541*Scoring!$D$34+WR!F541*Scoring!$E$34+WR!G541/Scoring!$F$34+WR!H541*Scoring!$G$34+WR!I541*Scoring!$H$34+K541*Scoring!$I$34+WR!L541*Scoring!$J$34+U540</f>
        <v>0</v>
      </c>
      <c r="P540" s="8">
        <f>IF(COUNTIF(Rookies!$A:$A,A540)&gt;0,1,0)</f>
        <v>0</v>
      </c>
      <c r="Q540" s="8"/>
      <c r="R540" s="8"/>
      <c r="S540" s="8">
        <f>V540/17</f>
        <v>0</v>
      </c>
      <c r="T540" s="8">
        <f>IF(P540=1,MAX(0,0.28*(12-S540)),0)</f>
        <v>0</v>
      </c>
      <c r="U540" s="8">
        <f>T540*17</f>
        <v>0</v>
      </c>
      <c r="V540" s="8">
        <f>C540*Scoring!$B$34+D540/Scoring!$C$34+E540*Scoring!$D$34+WR!F540*Scoring!$E$34+WR!G540/Scoring!$F$34+WR!H540*Scoring!$G$34+WR!I540*Scoring!$H$34+K540*Scoring!$I$34+WR!L540*Scoring!$J$34</f>
        <v>0</v>
      </c>
      <c r="W540" s="8"/>
      <c r="X540" s="8"/>
      <c r="Y540" s="8"/>
      <c r="Z540" s="8"/>
    </row>
    <row r="541" ht="14.25" customHeight="1">
      <c r="B541" s="1" t="s">
        <v>39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1.1</v>
      </c>
      <c r="K541" s="18">
        <f t="shared" si="1"/>
        <v>0</v>
      </c>
      <c r="L541" s="18">
        <f t="shared" si="2"/>
        <v>0</v>
      </c>
      <c r="M541" s="118"/>
      <c r="N541" s="118"/>
      <c r="O541" s="11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B542" s="1" t="s">
        <v>48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1.1</v>
      </c>
      <c r="K542" s="18">
        <f t="shared" si="1"/>
        <v>0</v>
      </c>
      <c r="L542" s="18">
        <f t="shared" si="2"/>
        <v>0</v>
      </c>
      <c r="M542" s="118"/>
      <c r="N542" s="118"/>
      <c r="O542" s="11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1" t="s">
        <v>1404</v>
      </c>
      <c r="B543" s="1" t="s">
        <v>127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8">
        <f t="shared" si="1"/>
        <v>0</v>
      </c>
      <c r="L543" s="18">
        <f t="shared" si="2"/>
        <v>0</v>
      </c>
      <c r="M543" s="112">
        <f>C545*Scoring!$B$34+D545/Scoring!$C$34+E545*Scoring!$D$34+WR!F545*Scoring!$E$34+WR!G545/Scoring!$F$34+WR!H545*Scoring!$G$34+WR!I545*Scoring!$H$34+K545*Scoring!$I$34+WR!L545*Scoring!$J$34+U543</f>
        <v>0</v>
      </c>
      <c r="N543" s="112">
        <f>C543*Scoring!$B$34+D543/Scoring!$C$34+E543*Scoring!$D$34+WR!F543*Scoring!$E$34+WR!G543/Scoring!$F$34+WR!H543*Scoring!$G$34+WR!I543*Scoring!$H$34+K543*Scoring!$I$34+WR!L543*Scoring!$J$34+U543</f>
        <v>0</v>
      </c>
      <c r="O543" s="112">
        <f>C544*Scoring!$B$34+D544/Scoring!$C$34+E544*Scoring!$D$34+WR!F544*Scoring!$E$34+WR!G544/Scoring!$F$34+WR!H544*Scoring!$G$34+WR!I544*Scoring!$H$34+K544*Scoring!$I$34+WR!L544*Scoring!$J$34+U543</f>
        <v>0</v>
      </c>
      <c r="P543" s="8">
        <f>IF(COUNTIF(Rookies!$A:$A,A543)&gt;0,1,0)</f>
        <v>0</v>
      </c>
      <c r="Q543" s="8"/>
      <c r="R543" s="8"/>
      <c r="S543" s="8">
        <f>V543/17</f>
        <v>0</v>
      </c>
      <c r="T543" s="8">
        <f>IF(P543=1,MAX(0,0.28*(12-S543)),0)</f>
        <v>0</v>
      </c>
      <c r="U543" s="8">
        <f>T543*17</f>
        <v>0</v>
      </c>
      <c r="V543" s="8">
        <f>C543*Scoring!$B$34+D543/Scoring!$C$34+E543*Scoring!$D$34+WR!F543*Scoring!$E$34+WR!G543/Scoring!$F$34+WR!H543*Scoring!$G$34+WR!I543*Scoring!$H$34+K543*Scoring!$I$34+WR!L543*Scoring!$J$34</f>
        <v>0</v>
      </c>
      <c r="W543" s="8"/>
      <c r="X543" s="8"/>
      <c r="Y543" s="8"/>
      <c r="Z543" s="8"/>
    </row>
    <row r="544" ht="14.25" customHeight="1">
      <c r="B544" s="1" t="s">
        <v>39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2.5</v>
      </c>
      <c r="K544" s="18">
        <f t="shared" si="1"/>
        <v>0</v>
      </c>
      <c r="L544" s="18">
        <f t="shared" si="2"/>
        <v>0</v>
      </c>
      <c r="M544" s="118"/>
      <c r="N544" s="118"/>
      <c r="O544" s="11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B545" s="1" t="s">
        <v>48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2.5</v>
      </c>
      <c r="K545" s="18">
        <f t="shared" si="1"/>
        <v>0</v>
      </c>
      <c r="L545" s="18">
        <f t="shared" si="2"/>
        <v>0</v>
      </c>
      <c r="M545" s="118"/>
      <c r="N545" s="118"/>
      <c r="O545" s="11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1" t="s">
        <v>1406</v>
      </c>
      <c r="B546" s="1" t="s">
        <v>217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8">
        <f t="shared" si="1"/>
        <v>0</v>
      </c>
      <c r="L546" s="18">
        <f t="shared" si="2"/>
        <v>0</v>
      </c>
      <c r="M546" s="112">
        <f>C548*Scoring!$B$34+D548/Scoring!$C$34+E548*Scoring!$D$34+WR!F548*Scoring!$E$34+WR!G548/Scoring!$F$34+WR!H548*Scoring!$G$34+WR!I548*Scoring!$H$34+K548*Scoring!$I$34+WR!L548*Scoring!$J$34+U546</f>
        <v>0</v>
      </c>
      <c r="N546" s="112">
        <f>C546*Scoring!$B$34+D546/Scoring!$C$34+E546*Scoring!$D$34+WR!F546*Scoring!$E$34+WR!G546/Scoring!$F$34+WR!H546*Scoring!$G$34+WR!I546*Scoring!$H$34+K546*Scoring!$I$34+WR!L546*Scoring!$J$34+U546</f>
        <v>0</v>
      </c>
      <c r="O546" s="112">
        <f>C547*Scoring!$B$34+D547/Scoring!$C$34+E547*Scoring!$D$34+WR!F547*Scoring!$E$34+WR!G547/Scoring!$F$34+WR!H547*Scoring!$G$34+WR!I547*Scoring!$H$34+K547*Scoring!$I$34+WR!L547*Scoring!$J$34+U546</f>
        <v>0</v>
      </c>
      <c r="P546" s="8">
        <f>IF(COUNTIF(Rookies!$A:$A,A546)&gt;0,1,0)</f>
        <v>0</v>
      </c>
      <c r="Q546" s="8"/>
      <c r="R546" s="8"/>
      <c r="S546" s="8">
        <f>V546/17</f>
        <v>0</v>
      </c>
      <c r="T546" s="8">
        <f>IF(P546=1,MAX(0,0.28*(12-S546)),0)</f>
        <v>0</v>
      </c>
      <c r="U546" s="8">
        <f>T546*17</f>
        <v>0</v>
      </c>
      <c r="V546" s="8">
        <f>C546*Scoring!$B$34+D546/Scoring!$C$34+E546*Scoring!$D$34+WR!F546*Scoring!$E$34+WR!G546/Scoring!$F$34+WR!H546*Scoring!$G$34+WR!I546*Scoring!$H$34+K546*Scoring!$I$34+WR!L546*Scoring!$J$34</f>
        <v>0</v>
      </c>
      <c r="W546" s="8"/>
      <c r="X546" s="8"/>
      <c r="Y546" s="8"/>
      <c r="Z546" s="8"/>
    </row>
    <row r="547" ht="14.25" customHeight="1">
      <c r="B547" s="1" t="s">
        <v>39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0.3</v>
      </c>
      <c r="K547" s="18">
        <f t="shared" si="1"/>
        <v>0</v>
      </c>
      <c r="L547" s="18">
        <f t="shared" si="2"/>
        <v>0</v>
      </c>
      <c r="M547" s="118"/>
      <c r="N547" s="118"/>
      <c r="O547" s="11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B548" s="1" t="s">
        <v>48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0.3</v>
      </c>
      <c r="K548" s="18">
        <f t="shared" si="1"/>
        <v>0</v>
      </c>
      <c r="L548" s="18">
        <f t="shared" si="2"/>
        <v>0</v>
      </c>
      <c r="M548" s="118"/>
      <c r="N548" s="118"/>
      <c r="O548" s="11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1" t="s">
        <v>1410</v>
      </c>
      <c r="B549" s="1" t="s">
        <v>155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8">
        <f t="shared" si="1"/>
        <v>0</v>
      </c>
      <c r="L549" s="18">
        <f t="shared" si="2"/>
        <v>0</v>
      </c>
      <c r="M549" s="112">
        <f>C551*Scoring!$B$34+D551/Scoring!$C$34+E551*Scoring!$D$34+WR!F551*Scoring!$E$34+WR!G551/Scoring!$F$34+WR!H551*Scoring!$G$34+WR!I551*Scoring!$H$34+K551*Scoring!$I$34+WR!L551*Scoring!$J$34+U549</f>
        <v>0</v>
      </c>
      <c r="N549" s="112">
        <f>C549*Scoring!$B$34+D549/Scoring!$C$34+E549*Scoring!$D$34+WR!F549*Scoring!$E$34+WR!G549/Scoring!$F$34+WR!H549*Scoring!$G$34+WR!I549*Scoring!$H$34+K549*Scoring!$I$34+WR!L549*Scoring!$J$34+U549</f>
        <v>0</v>
      </c>
      <c r="O549" s="112">
        <f>C550*Scoring!$B$34+D550/Scoring!$C$34+E550*Scoring!$D$34+WR!F550*Scoring!$E$34+WR!G550/Scoring!$F$34+WR!H550*Scoring!$G$34+WR!I550*Scoring!$H$34+K550*Scoring!$I$34+WR!L550*Scoring!$J$34+U549</f>
        <v>0</v>
      </c>
      <c r="P549" s="8">
        <f>IF(COUNTIF(Rookies!$A:$A,A549)&gt;0,1,0)</f>
        <v>0</v>
      </c>
      <c r="Q549" s="8"/>
      <c r="R549" s="8"/>
      <c r="S549" s="8">
        <f>V549/17</f>
        <v>0</v>
      </c>
      <c r="T549" s="8">
        <f>IF(P549=1,MAX(0,0.28*(12-S549)),0)</f>
        <v>0</v>
      </c>
      <c r="U549" s="8">
        <f>T549*17</f>
        <v>0</v>
      </c>
      <c r="V549" s="8">
        <f>C549*Scoring!$B$34+D549/Scoring!$C$34+E549*Scoring!$D$34+WR!F549*Scoring!$E$34+WR!G549/Scoring!$F$34+WR!H549*Scoring!$G$34+WR!I549*Scoring!$H$34+K549*Scoring!$I$34+WR!L549*Scoring!$J$34</f>
        <v>0</v>
      </c>
      <c r="W549" s="8"/>
      <c r="X549" s="8"/>
      <c r="Y549" s="8"/>
      <c r="Z549" s="8"/>
    </row>
    <row r="550" ht="14.25" customHeight="1">
      <c r="B550" s="1" t="s">
        <v>39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1.4</v>
      </c>
      <c r="K550" s="18">
        <f t="shared" si="1"/>
        <v>0</v>
      </c>
      <c r="L550" s="18">
        <f t="shared" si="2"/>
        <v>0</v>
      </c>
      <c r="M550" s="118"/>
      <c r="N550" s="118"/>
      <c r="O550" s="11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B551" s="1" t="s">
        <v>48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1.4</v>
      </c>
      <c r="K551" s="18">
        <f t="shared" si="1"/>
        <v>0</v>
      </c>
      <c r="L551" s="18">
        <f t="shared" si="2"/>
        <v>0</v>
      </c>
      <c r="M551" s="118"/>
      <c r="N551" s="118"/>
      <c r="O551" s="11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1" t="s">
        <v>1411</v>
      </c>
      <c r="B552" s="1" t="s">
        <v>193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8">
        <f t="shared" si="1"/>
        <v>0</v>
      </c>
      <c r="L552" s="18">
        <f t="shared" si="2"/>
        <v>0</v>
      </c>
      <c r="M552" s="112">
        <f>C554*Scoring!$B$34+D554/Scoring!$C$34+E554*Scoring!$D$34+WR!F554*Scoring!$E$34+WR!G554/Scoring!$F$34+WR!H554*Scoring!$G$34+WR!I554*Scoring!$H$34+K554*Scoring!$I$34+WR!L554*Scoring!$J$34+U552</f>
        <v>0</v>
      </c>
      <c r="N552" s="112">
        <f>C552*Scoring!$B$34+D552/Scoring!$C$34+E552*Scoring!$D$34+WR!F552*Scoring!$E$34+WR!G552/Scoring!$F$34+WR!H552*Scoring!$G$34+WR!I552*Scoring!$H$34+K552*Scoring!$I$34+WR!L552*Scoring!$J$34+U552</f>
        <v>0</v>
      </c>
      <c r="O552" s="112">
        <f>C553*Scoring!$B$34+D553/Scoring!$C$34+E553*Scoring!$D$34+WR!F553*Scoring!$E$34+WR!G553/Scoring!$F$34+WR!H553*Scoring!$G$34+WR!I553*Scoring!$H$34+K553*Scoring!$I$34+WR!L553*Scoring!$J$34+U552</f>
        <v>0</v>
      </c>
      <c r="P552" s="8">
        <f>IF(COUNTIF(Rookies!$A:$A,A552)&gt;0,1,0)</f>
        <v>0</v>
      </c>
      <c r="Q552" s="8"/>
      <c r="R552" s="8"/>
      <c r="S552" s="8">
        <f>V552/17</f>
        <v>0</v>
      </c>
      <c r="T552" s="8">
        <f>IF(P552=1,MAX(0,0.28*(12-S552)),0)</f>
        <v>0</v>
      </c>
      <c r="U552" s="8">
        <f>T552*17</f>
        <v>0</v>
      </c>
      <c r="V552" s="8">
        <f>C552*Scoring!$B$34+D552/Scoring!$C$34+E552*Scoring!$D$34+WR!F552*Scoring!$E$34+WR!G552/Scoring!$F$34+WR!H552*Scoring!$G$34+WR!I552*Scoring!$H$34+K552*Scoring!$I$34+WR!L552*Scoring!$J$34</f>
        <v>0</v>
      </c>
      <c r="W552" s="8"/>
      <c r="X552" s="8"/>
      <c r="Y552" s="8"/>
      <c r="Z552" s="8"/>
    </row>
    <row r="553" ht="14.25" customHeight="1">
      <c r="B553" s="1" t="s">
        <v>39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1.4</v>
      </c>
      <c r="K553" s="18">
        <f t="shared" si="1"/>
        <v>0</v>
      </c>
      <c r="L553" s="18">
        <f t="shared" si="2"/>
        <v>0</v>
      </c>
      <c r="M553" s="118"/>
      <c r="N553" s="118"/>
      <c r="O553" s="11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B554" s="1" t="s">
        <v>48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1.4</v>
      </c>
      <c r="K554" s="18">
        <f t="shared" si="1"/>
        <v>0</v>
      </c>
      <c r="L554" s="18">
        <f t="shared" si="2"/>
        <v>0</v>
      </c>
      <c r="M554" s="118"/>
      <c r="N554" s="118"/>
      <c r="O554" s="11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1" t="s">
        <v>1412</v>
      </c>
      <c r="B555" s="1" t="s">
        <v>189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8">
        <f t="shared" si="1"/>
        <v>0</v>
      </c>
      <c r="L555" s="18">
        <f t="shared" si="2"/>
        <v>0</v>
      </c>
      <c r="M555" s="112">
        <f>C557*Scoring!$B$34+D557/Scoring!$C$34+E557*Scoring!$D$34+WR!F557*Scoring!$E$34+WR!G557/Scoring!$F$34+WR!H557*Scoring!$G$34+WR!I557*Scoring!$H$34+K557*Scoring!$I$34+WR!L557*Scoring!$J$34+U555</f>
        <v>0</v>
      </c>
      <c r="N555" s="112">
        <f>C555*Scoring!$B$34+D555/Scoring!$C$34+E555*Scoring!$D$34+WR!F555*Scoring!$E$34+WR!G555/Scoring!$F$34+WR!H555*Scoring!$G$34+WR!I555*Scoring!$H$34+K555*Scoring!$I$34+WR!L555*Scoring!$J$34+U555</f>
        <v>0</v>
      </c>
      <c r="O555" s="112">
        <f>C556*Scoring!$B$34+D556/Scoring!$C$34+E556*Scoring!$D$34+WR!F556*Scoring!$E$34+WR!G556/Scoring!$F$34+WR!H556*Scoring!$G$34+WR!I556*Scoring!$H$34+K556*Scoring!$I$34+WR!L556*Scoring!$J$34+U555</f>
        <v>0</v>
      </c>
      <c r="P555" s="8">
        <f>IF(COUNTIF(Rookies!$A:$A,A555)&gt;0,1,0)</f>
        <v>0</v>
      </c>
      <c r="Q555" s="8"/>
      <c r="R555" s="8"/>
      <c r="S555" s="8">
        <f>V555/17</f>
        <v>0</v>
      </c>
      <c r="T555" s="8">
        <f>IF(P555=1,MAX(0,0.28*(12-S555)),0)</f>
        <v>0</v>
      </c>
      <c r="U555" s="8">
        <f>T555*17</f>
        <v>0</v>
      </c>
      <c r="V555" s="8">
        <f>C555*Scoring!$B$34+D555/Scoring!$C$34+E555*Scoring!$D$34+WR!F555*Scoring!$E$34+WR!G555/Scoring!$F$34+WR!H555*Scoring!$G$34+WR!I555*Scoring!$H$34+K555*Scoring!$I$34+WR!L555*Scoring!$J$34</f>
        <v>0</v>
      </c>
      <c r="W555" s="8"/>
      <c r="X555" s="8"/>
      <c r="Y555" s="8"/>
      <c r="Z555" s="8"/>
    </row>
    <row r="556" ht="14.25" customHeight="1">
      <c r="B556" s="1" t="s">
        <v>39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0.1</v>
      </c>
      <c r="K556" s="18">
        <f t="shared" si="1"/>
        <v>0</v>
      </c>
      <c r="L556" s="18">
        <f t="shared" si="2"/>
        <v>0</v>
      </c>
      <c r="M556" s="118"/>
      <c r="N556" s="118"/>
      <c r="O556" s="11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B557" s="1" t="s">
        <v>48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0.1</v>
      </c>
      <c r="K557" s="18">
        <f t="shared" si="1"/>
        <v>0</v>
      </c>
      <c r="L557" s="18">
        <f t="shared" si="2"/>
        <v>0</v>
      </c>
      <c r="M557" s="118"/>
      <c r="N557" s="118"/>
      <c r="O557" s="11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1" t="s">
        <v>1416</v>
      </c>
      <c r="B558" s="1" t="s">
        <v>94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8">
        <f t="shared" si="1"/>
        <v>0</v>
      </c>
      <c r="L558" s="18">
        <f t="shared" si="2"/>
        <v>0</v>
      </c>
      <c r="M558" s="112">
        <f>C560*Scoring!$B$34+D560/Scoring!$C$34+E560*Scoring!$D$34+WR!F560*Scoring!$E$34+WR!G560/Scoring!$F$34+WR!H560*Scoring!$G$34+WR!I560*Scoring!$H$34+K560*Scoring!$I$34+WR!L560*Scoring!$J$34+U558</f>
        <v>0</v>
      </c>
      <c r="N558" s="112">
        <f>C558*Scoring!$B$34+D558/Scoring!$C$34+E558*Scoring!$D$34+WR!F558*Scoring!$E$34+WR!G558/Scoring!$F$34+WR!H558*Scoring!$G$34+WR!I558*Scoring!$H$34+K558*Scoring!$I$34+WR!L558*Scoring!$J$34+U558</f>
        <v>0</v>
      </c>
      <c r="O558" s="112">
        <f>C559*Scoring!$B$34+D559/Scoring!$C$34+E559*Scoring!$D$34+WR!F559*Scoring!$E$34+WR!G559/Scoring!$F$34+WR!H559*Scoring!$G$34+WR!I559*Scoring!$H$34+K559*Scoring!$I$34+WR!L559*Scoring!$J$34+U558</f>
        <v>0</v>
      </c>
      <c r="P558" s="8">
        <f>IF(COUNTIF(Rookies!$A:$A,A558)&gt;0,1,0)</f>
        <v>0</v>
      </c>
      <c r="Q558" s="8"/>
      <c r="R558" s="8"/>
      <c r="S558" s="8">
        <f>V558/17</f>
        <v>0</v>
      </c>
      <c r="T558" s="8">
        <f>IF(P558=1,MAX(0,0.28*(12-S558)),0)</f>
        <v>0</v>
      </c>
      <c r="U558" s="8">
        <f>T558*17</f>
        <v>0</v>
      </c>
      <c r="V558" s="8">
        <f>C558*Scoring!$B$34+D558/Scoring!$C$34+E558*Scoring!$D$34+WR!F558*Scoring!$E$34+WR!G558/Scoring!$F$34+WR!H558*Scoring!$G$34+WR!I558*Scoring!$H$34+K558*Scoring!$I$34+WR!L558*Scoring!$J$34</f>
        <v>0</v>
      </c>
      <c r="W558" s="8"/>
      <c r="X558" s="8"/>
      <c r="Y558" s="8"/>
      <c r="Z558" s="8"/>
    </row>
    <row r="559" ht="14.25" customHeight="1">
      <c r="B559" s="1" t="s">
        <v>39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0.5</v>
      </c>
      <c r="K559" s="18">
        <f t="shared" si="1"/>
        <v>0</v>
      </c>
      <c r="L559" s="18">
        <f t="shared" si="2"/>
        <v>0</v>
      </c>
      <c r="M559" s="118"/>
      <c r="N559" s="118"/>
      <c r="O559" s="11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B560" s="1" t="s">
        <v>48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0.5</v>
      </c>
      <c r="K560" s="18">
        <f t="shared" si="1"/>
        <v>0</v>
      </c>
      <c r="L560" s="18">
        <f t="shared" si="2"/>
        <v>0</v>
      </c>
      <c r="M560" s="118"/>
      <c r="N560" s="118"/>
      <c r="O560" s="11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1" t="s">
        <v>1421</v>
      </c>
      <c r="B561" s="1" t="s">
        <v>61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8">
        <f t="shared" si="1"/>
        <v>0</v>
      </c>
      <c r="L561" s="18">
        <f t="shared" si="2"/>
        <v>0</v>
      </c>
      <c r="M561" s="112">
        <f>C563*Scoring!$B$34+D563/Scoring!$C$34+E563*Scoring!$D$34+WR!F563*Scoring!$E$34+WR!G563/Scoring!$F$34+WR!H563*Scoring!$G$34+WR!I563*Scoring!$H$34+K563*Scoring!$I$34+WR!L563*Scoring!$J$34+U561</f>
        <v>0</v>
      </c>
      <c r="N561" s="112">
        <f>C561*Scoring!$B$34+D561/Scoring!$C$34+E561*Scoring!$D$34+WR!F561*Scoring!$E$34+WR!G561/Scoring!$F$34+WR!H561*Scoring!$G$34+WR!I561*Scoring!$H$34+K561*Scoring!$I$34+WR!L561*Scoring!$J$34+U561</f>
        <v>0</v>
      </c>
      <c r="O561" s="112">
        <f>C562*Scoring!$B$34+D562/Scoring!$C$34+E562*Scoring!$D$34+WR!F562*Scoring!$E$34+WR!G562/Scoring!$F$34+WR!H562*Scoring!$G$34+WR!I562*Scoring!$H$34+K562*Scoring!$I$34+WR!L562*Scoring!$J$34+U561</f>
        <v>0</v>
      </c>
      <c r="P561" s="8">
        <f>IF(COUNTIF(Rookies!$A:$A,A561)&gt;0,1,0)</f>
        <v>0</v>
      </c>
      <c r="Q561" s="8"/>
      <c r="R561" s="8"/>
      <c r="S561" s="8">
        <f>V561/17</f>
        <v>0</v>
      </c>
      <c r="T561" s="8">
        <f>IF(P561=1,MAX(0,0.28*(12-S561)),0)</f>
        <v>0</v>
      </c>
      <c r="U561" s="8">
        <f>T561*17</f>
        <v>0</v>
      </c>
      <c r="V561" s="8">
        <f>C561*Scoring!$B$34+D561/Scoring!$C$34+E561*Scoring!$D$34+WR!F561*Scoring!$E$34+WR!G561/Scoring!$F$34+WR!H561*Scoring!$G$34+WR!I561*Scoring!$H$34+K561*Scoring!$I$34+WR!L561*Scoring!$J$34</f>
        <v>0</v>
      </c>
      <c r="W561" s="8"/>
      <c r="X561" s="8"/>
      <c r="Y561" s="8"/>
      <c r="Z561" s="8"/>
    </row>
    <row r="562" ht="14.25" customHeight="1">
      <c r="B562" s="1" t="s">
        <v>39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1.9</v>
      </c>
      <c r="K562" s="18">
        <f t="shared" si="1"/>
        <v>0</v>
      </c>
      <c r="L562" s="18">
        <f t="shared" si="2"/>
        <v>0</v>
      </c>
      <c r="M562" s="118"/>
      <c r="N562" s="118"/>
      <c r="O562" s="11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B563" s="1" t="s">
        <v>48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1.9</v>
      </c>
      <c r="K563" s="18">
        <f t="shared" si="1"/>
        <v>0</v>
      </c>
      <c r="L563" s="18">
        <f t="shared" si="2"/>
        <v>0</v>
      </c>
      <c r="M563" s="118"/>
      <c r="N563" s="118"/>
      <c r="O563" s="11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1" t="s">
        <v>1428</v>
      </c>
      <c r="B564" s="1" t="s">
        <v>127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8">
        <f t="shared" si="1"/>
        <v>0</v>
      </c>
      <c r="L564" s="18">
        <f t="shared" si="2"/>
        <v>0</v>
      </c>
      <c r="M564" s="112">
        <f>C566*Scoring!$B$34+D566/Scoring!$C$34+E566*Scoring!$D$34+WR!F566*Scoring!$E$34+WR!G566/Scoring!$F$34+WR!H566*Scoring!$G$34+WR!I566*Scoring!$H$34+K566*Scoring!$I$34+WR!L566*Scoring!$J$34+U564</f>
        <v>0</v>
      </c>
      <c r="N564" s="112">
        <f>C564*Scoring!$B$34+D564/Scoring!$C$34+E564*Scoring!$D$34+WR!F564*Scoring!$E$34+WR!G564/Scoring!$F$34+WR!H564*Scoring!$G$34+WR!I564*Scoring!$H$34+K564*Scoring!$I$34+WR!L564*Scoring!$J$34+U564</f>
        <v>0</v>
      </c>
      <c r="O564" s="112">
        <f>C565*Scoring!$B$34+D565/Scoring!$C$34+E565*Scoring!$D$34+WR!F565*Scoring!$E$34+WR!G565/Scoring!$F$34+WR!H565*Scoring!$G$34+WR!I565*Scoring!$H$34+K565*Scoring!$I$34+WR!L565*Scoring!$J$34+U564</f>
        <v>0</v>
      </c>
      <c r="P564" s="8">
        <f>IF(COUNTIF(Rookies!$A:$A,A564)&gt;0,1,0)</f>
        <v>0</v>
      </c>
      <c r="Q564" s="8"/>
      <c r="R564" s="8"/>
      <c r="S564" s="8">
        <f>V564/17</f>
        <v>0</v>
      </c>
      <c r="T564" s="8">
        <f>IF(P564=1,MAX(0,0.28*(12-S564)),0)</f>
        <v>0</v>
      </c>
      <c r="U564" s="8">
        <f>T564*17</f>
        <v>0</v>
      </c>
      <c r="V564" s="8">
        <f>C564*Scoring!$B$34+D564/Scoring!$C$34+E564*Scoring!$D$34+WR!F564*Scoring!$E$34+WR!G564/Scoring!$F$34+WR!H564*Scoring!$G$34+WR!I564*Scoring!$H$34+K564*Scoring!$I$34+WR!L564*Scoring!$J$34</f>
        <v>0</v>
      </c>
      <c r="W564" s="8"/>
      <c r="X564" s="8"/>
      <c r="Y564" s="8"/>
      <c r="Z564" s="8"/>
    </row>
    <row r="565" ht="14.25" customHeight="1">
      <c r="B565" s="1" t="s">
        <v>39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1.0</v>
      </c>
      <c r="K565" s="18">
        <f t="shared" si="1"/>
        <v>0</v>
      </c>
      <c r="L565" s="18">
        <f t="shared" si="2"/>
        <v>0</v>
      </c>
      <c r="M565" s="118"/>
      <c r="N565" s="118"/>
      <c r="O565" s="11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B566" s="1" t="s">
        <v>48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1.0</v>
      </c>
      <c r="K566" s="18">
        <f t="shared" si="1"/>
        <v>0</v>
      </c>
      <c r="L566" s="18">
        <f t="shared" si="2"/>
        <v>0</v>
      </c>
      <c r="M566" s="118"/>
      <c r="N566" s="118"/>
      <c r="O566" s="11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1" t="s">
        <v>1433</v>
      </c>
      <c r="B567" s="1" t="s">
        <v>189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8">
        <f t="shared" si="1"/>
        <v>0</v>
      </c>
      <c r="L567" s="18">
        <f t="shared" si="2"/>
        <v>0</v>
      </c>
      <c r="M567" s="112">
        <f>C569*Scoring!$B$34+D569/Scoring!$C$34+E569*Scoring!$D$34+WR!F569*Scoring!$E$34+WR!G569/Scoring!$F$34+WR!H569*Scoring!$G$34+WR!I569*Scoring!$H$34+K569*Scoring!$I$34+WR!L569*Scoring!$J$34+U567</f>
        <v>0</v>
      </c>
      <c r="N567" s="112">
        <f>C567*Scoring!$B$34+D567/Scoring!$C$34+E567*Scoring!$D$34+WR!F567*Scoring!$E$34+WR!G567/Scoring!$F$34+WR!H567*Scoring!$G$34+WR!I567*Scoring!$H$34+K567*Scoring!$I$34+WR!L567*Scoring!$J$34+U567</f>
        <v>0</v>
      </c>
      <c r="O567" s="112">
        <f>C568*Scoring!$B$34+D568/Scoring!$C$34+E568*Scoring!$D$34+WR!F568*Scoring!$E$34+WR!G568/Scoring!$F$34+WR!H568*Scoring!$G$34+WR!I568*Scoring!$H$34+K568*Scoring!$I$34+WR!L568*Scoring!$J$34+U567</f>
        <v>0</v>
      </c>
      <c r="P567" s="8">
        <f>IF(COUNTIF(Rookies!$A:$A,A567)&gt;0,1,0)</f>
        <v>0</v>
      </c>
      <c r="Q567" s="8"/>
      <c r="R567" s="8"/>
      <c r="S567" s="8">
        <f>V567/17</f>
        <v>0</v>
      </c>
      <c r="T567" s="8">
        <f>IF(P567=1,MAX(0,0.28*(12-S567)),0)</f>
        <v>0</v>
      </c>
      <c r="U567" s="8">
        <f>T567*17</f>
        <v>0</v>
      </c>
      <c r="V567" s="8">
        <f>C567*Scoring!$B$34+D567/Scoring!$C$34+E567*Scoring!$D$34+WR!F567*Scoring!$E$34+WR!G567/Scoring!$F$34+WR!H567*Scoring!$G$34+WR!I567*Scoring!$H$34+K567*Scoring!$I$34+WR!L567*Scoring!$J$34</f>
        <v>0</v>
      </c>
      <c r="W567" s="8"/>
      <c r="X567" s="8"/>
      <c r="Y567" s="8"/>
      <c r="Z567" s="8"/>
    </row>
    <row r="568" ht="14.25" customHeight="1">
      <c r="B568" s="1" t="s">
        <v>39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2.0</v>
      </c>
      <c r="K568" s="18">
        <f t="shared" si="1"/>
        <v>0</v>
      </c>
      <c r="L568" s="18">
        <f t="shared" si="2"/>
        <v>0</v>
      </c>
      <c r="M568" s="118"/>
      <c r="N568" s="118"/>
      <c r="O568" s="11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B569" s="1" t="s">
        <v>48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2.0</v>
      </c>
      <c r="K569" s="18">
        <f t="shared" si="1"/>
        <v>0</v>
      </c>
      <c r="L569" s="18">
        <f t="shared" si="2"/>
        <v>0</v>
      </c>
      <c r="M569" s="118"/>
      <c r="N569" s="118"/>
      <c r="O569" s="11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1" t="s">
        <v>1438</v>
      </c>
      <c r="B570" s="1" t="s">
        <v>226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8">
        <f t="shared" si="1"/>
        <v>0</v>
      </c>
      <c r="L570" s="18">
        <f t="shared" si="2"/>
        <v>0</v>
      </c>
      <c r="M570" s="112">
        <f>C572*Scoring!$B$34+D572/Scoring!$C$34+E572*Scoring!$D$34+WR!F572*Scoring!$E$34+WR!G572/Scoring!$F$34+WR!H572*Scoring!$G$34+WR!I572*Scoring!$H$34+K572*Scoring!$I$34+WR!L572*Scoring!$J$34+U570</f>
        <v>0</v>
      </c>
      <c r="N570" s="112">
        <f>C570*Scoring!$B$34+D570/Scoring!$C$34+E570*Scoring!$D$34+WR!F570*Scoring!$E$34+WR!G570/Scoring!$F$34+WR!H570*Scoring!$G$34+WR!I570*Scoring!$H$34+K570*Scoring!$I$34+WR!L570*Scoring!$J$34+U570</f>
        <v>0</v>
      </c>
      <c r="O570" s="112">
        <f>C571*Scoring!$B$34+D571/Scoring!$C$34+E571*Scoring!$D$34+WR!F571*Scoring!$E$34+WR!G571/Scoring!$F$34+WR!H571*Scoring!$G$34+WR!I571*Scoring!$H$34+K571*Scoring!$I$34+WR!L571*Scoring!$J$34+U570</f>
        <v>0</v>
      </c>
      <c r="P570" s="8">
        <f>IF(COUNTIF(Rookies!$A:$A,A570)&gt;0,1,0)</f>
        <v>0</v>
      </c>
      <c r="Q570" s="8"/>
      <c r="R570" s="8"/>
      <c r="S570" s="8">
        <f>V570/17</f>
        <v>0</v>
      </c>
      <c r="T570" s="8">
        <f>IF(P570=1,MAX(0,0.28*(12-S570)),0)</f>
        <v>0</v>
      </c>
      <c r="U570" s="8">
        <f>T570*17</f>
        <v>0</v>
      </c>
      <c r="V570" s="8">
        <f>C570*Scoring!$B$34+D570/Scoring!$C$34+E570*Scoring!$D$34+WR!F570*Scoring!$E$34+WR!G570/Scoring!$F$34+WR!H570*Scoring!$G$34+WR!I570*Scoring!$H$34+K570*Scoring!$I$34+WR!L570*Scoring!$J$34</f>
        <v>0</v>
      </c>
      <c r="W570" s="8"/>
      <c r="X570" s="8"/>
      <c r="Y570" s="8"/>
      <c r="Z570" s="8"/>
    </row>
    <row r="571" ht="14.25" customHeight="1">
      <c r="B571" s="1" t="s">
        <v>39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0.7</v>
      </c>
      <c r="K571" s="18">
        <f t="shared" si="1"/>
        <v>0</v>
      </c>
      <c r="L571" s="18">
        <f t="shared" si="2"/>
        <v>0</v>
      </c>
      <c r="M571" s="118"/>
      <c r="N571" s="118"/>
      <c r="O571" s="11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B572" s="1" t="s">
        <v>48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0.7</v>
      </c>
      <c r="K572" s="18">
        <f t="shared" si="1"/>
        <v>0</v>
      </c>
      <c r="L572" s="18">
        <f t="shared" si="2"/>
        <v>0</v>
      </c>
      <c r="M572" s="118"/>
      <c r="N572" s="118"/>
      <c r="O572" s="11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1" t="s">
        <v>1346</v>
      </c>
      <c r="B573" s="1" t="s">
        <v>145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8">
        <f t="shared" si="1"/>
        <v>0</v>
      </c>
      <c r="L573" s="18">
        <f t="shared" si="2"/>
        <v>0</v>
      </c>
      <c r="M573" s="112">
        <f>C575*Scoring!$B$34+D575/Scoring!$C$34+E575*Scoring!$D$34+WR!F575*Scoring!$E$34+WR!G575/Scoring!$F$34+WR!H575*Scoring!$G$34+WR!I575*Scoring!$H$34+K575*Scoring!$I$34+WR!L575*Scoring!$J$34+U573</f>
        <v>57.12</v>
      </c>
      <c r="N573" s="112">
        <f>C573*Scoring!$B$34+D573/Scoring!$C$34+E573*Scoring!$D$34+WR!F573*Scoring!$E$34+WR!G573/Scoring!$F$34+WR!H573*Scoring!$G$34+WR!I573*Scoring!$H$34+K573*Scoring!$I$34+WR!L573*Scoring!$J$34+U573</f>
        <v>57.12</v>
      </c>
      <c r="O573" s="112">
        <f>C574*Scoring!$B$34+D574/Scoring!$C$34+E574*Scoring!$D$34+WR!F574*Scoring!$E$34+WR!G574/Scoring!$F$34+WR!H574*Scoring!$G$34+WR!I574*Scoring!$H$34+K574*Scoring!$I$34+WR!L574*Scoring!$J$34+U573</f>
        <v>57.12</v>
      </c>
      <c r="P573" s="8">
        <f>IF(COUNTIF(Rookies!$A:$A,A573)&gt;0,1,0)</f>
        <v>1</v>
      </c>
      <c r="Q573" s="8"/>
      <c r="R573" s="8"/>
      <c r="S573" s="8">
        <f>V573/17</f>
        <v>0</v>
      </c>
      <c r="T573" s="8">
        <f>IF(P573=1,MAX(0,0.28*(12-S573)),0)</f>
        <v>3.36</v>
      </c>
      <c r="U573" s="8">
        <f>T573*17</f>
        <v>57.12</v>
      </c>
      <c r="V573" s="8">
        <f>C573*Scoring!$B$34+D573/Scoring!$C$34+E573*Scoring!$D$34+WR!F573*Scoring!$E$34+WR!G573/Scoring!$F$34+WR!H573*Scoring!$G$34+WR!I573*Scoring!$H$34+K573*Scoring!$I$34+WR!L573*Scoring!$J$34</f>
        <v>0</v>
      </c>
      <c r="W573" s="8"/>
      <c r="X573" s="8"/>
      <c r="Y573" s="8"/>
      <c r="Z573" s="8"/>
    </row>
    <row r="574" ht="14.25" customHeight="1">
      <c r="B574" s="1" t="s">
        <v>39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0.3</v>
      </c>
      <c r="K574" s="18">
        <f t="shared" si="1"/>
        <v>0</v>
      </c>
      <c r="L574" s="18">
        <f t="shared" si="2"/>
        <v>0</v>
      </c>
      <c r="M574" s="118"/>
      <c r="N574" s="118"/>
      <c r="O574" s="11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B575" s="1" t="s">
        <v>48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0.3</v>
      </c>
      <c r="K575" s="18">
        <f t="shared" si="1"/>
        <v>0</v>
      </c>
      <c r="L575" s="18">
        <f t="shared" si="2"/>
        <v>0</v>
      </c>
      <c r="M575" s="118"/>
      <c r="N575" s="118"/>
      <c r="O575" s="11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K576" s="18">
        <f t="shared" si="1"/>
        <v>0</v>
      </c>
      <c r="L576" s="18">
        <f t="shared" si="2"/>
        <v>0</v>
      </c>
      <c r="M576" s="112">
        <f>C578*Scoring!$B$34+D578/Scoring!$C$34+E578*Scoring!$D$34+WR!F578*Scoring!$E$34+WR!G578/Scoring!$F$34+WR!H578*Scoring!$G$34+WR!I578*Scoring!$H$34+K578*Scoring!$I$34+WR!L578*Scoring!$J$34+U576</f>
        <v>0</v>
      </c>
      <c r="N576" s="112">
        <f>C576*Scoring!$B$34+D576/Scoring!$C$34+E576*Scoring!$D$34+WR!F576*Scoring!$E$34+WR!G576/Scoring!$F$34+WR!H576*Scoring!$G$34+WR!I576*Scoring!$H$34+K576*Scoring!$I$34+WR!L576*Scoring!$J$34+U576</f>
        <v>0</v>
      </c>
      <c r="O576" s="112">
        <f>C577*Scoring!$B$34+D577/Scoring!$C$34+E577*Scoring!$D$34+WR!F577*Scoring!$E$34+WR!G577/Scoring!$F$34+WR!H577*Scoring!$G$34+WR!I577*Scoring!$H$34+K577*Scoring!$I$34+WR!L577*Scoring!$J$34+U576</f>
        <v>0</v>
      </c>
      <c r="P576" s="8">
        <f>IF(COUNTIF(Rookies!$A:$A,A576)&gt;0,1,0)</f>
        <v>0</v>
      </c>
      <c r="Q576" s="8"/>
      <c r="R576" s="8"/>
      <c r="S576" s="8">
        <f>V576/17</f>
        <v>0</v>
      </c>
      <c r="T576" s="8">
        <f>IF(P576=1,MAX(0,0.28*(12-S576)),0)</f>
        <v>0</v>
      </c>
      <c r="U576" s="8">
        <f>T576*17</f>
        <v>0</v>
      </c>
      <c r="V576" s="8">
        <f>C576*Scoring!$B$34+D576/Scoring!$C$34+E576*Scoring!$D$34+WR!F576*Scoring!$E$34+WR!G576/Scoring!$F$34+WR!H576*Scoring!$G$34+WR!I576*Scoring!$H$34+K576*Scoring!$I$34+WR!L576*Scoring!$J$34</f>
        <v>0</v>
      </c>
      <c r="W576" s="8"/>
      <c r="X576" s="8"/>
      <c r="Y576" s="8"/>
      <c r="Z576" s="8"/>
    </row>
    <row r="577" ht="14.25" customHeight="1">
      <c r="K577" s="18">
        <f t="shared" si="1"/>
        <v>0</v>
      </c>
      <c r="L577" s="18">
        <f t="shared" si="2"/>
        <v>0</v>
      </c>
      <c r="M577" s="118"/>
      <c r="N577" s="118"/>
      <c r="O577" s="11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K578" s="18">
        <f t="shared" si="1"/>
        <v>0</v>
      </c>
      <c r="L578" s="18">
        <f t="shared" si="2"/>
        <v>0</v>
      </c>
      <c r="M578" s="118"/>
      <c r="N578" s="118"/>
      <c r="O578" s="11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K579" s="18">
        <f t="shared" si="1"/>
        <v>0</v>
      </c>
      <c r="L579" s="18">
        <f t="shared" si="2"/>
        <v>0</v>
      </c>
      <c r="M579" s="112">
        <f>C581*Scoring!$B$34+D581/Scoring!$C$34+E581*Scoring!$D$34+WR!F581*Scoring!$E$34+WR!G581/Scoring!$F$34+WR!H581*Scoring!$G$34+WR!I581*Scoring!$H$34+K581*Scoring!$I$34+WR!L581*Scoring!$J$34+U579</f>
        <v>0</v>
      </c>
      <c r="N579" s="112">
        <f>C579*Scoring!$B$34+D579/Scoring!$C$34+E579*Scoring!$D$34+WR!F579*Scoring!$E$34+WR!G579/Scoring!$F$34+WR!H579*Scoring!$G$34+WR!I579*Scoring!$H$34+K579*Scoring!$I$34+WR!L579*Scoring!$J$34+U579</f>
        <v>0</v>
      </c>
      <c r="O579" s="112">
        <f>C580*Scoring!$B$34+D580/Scoring!$C$34+E580*Scoring!$D$34+WR!F580*Scoring!$E$34+WR!G580/Scoring!$F$34+WR!H580*Scoring!$G$34+WR!I580*Scoring!$H$34+K580*Scoring!$I$34+WR!L580*Scoring!$J$34+U579</f>
        <v>0</v>
      </c>
      <c r="P579" s="8">
        <f>IF(COUNTIF(Rookies!$A:$A,A579)&gt;0,1,0)</f>
        <v>0</v>
      </c>
      <c r="Q579" s="8"/>
      <c r="R579" s="8"/>
      <c r="S579" s="8">
        <f>V579/17</f>
        <v>0</v>
      </c>
      <c r="T579" s="8">
        <f>IF(P579=1,MAX(0,0.28*(12-S579)),0)</f>
        <v>0</v>
      </c>
      <c r="U579" s="8">
        <f>T579*17</f>
        <v>0</v>
      </c>
      <c r="V579" s="8">
        <f>C579*Scoring!$B$34+D579/Scoring!$C$34+E579*Scoring!$D$34+WR!F579*Scoring!$E$34+WR!G579/Scoring!$F$34+WR!H579*Scoring!$G$34+WR!I579*Scoring!$H$34+K579*Scoring!$I$34+WR!L579*Scoring!$J$34</f>
        <v>0</v>
      </c>
      <c r="W579" s="8"/>
      <c r="X579" s="8"/>
      <c r="Y579" s="8"/>
      <c r="Z579" s="8"/>
    </row>
    <row r="580" ht="14.25" customHeight="1">
      <c r="K580" s="18">
        <f t="shared" si="1"/>
        <v>0</v>
      </c>
      <c r="L580" s="18">
        <f t="shared" si="2"/>
        <v>0</v>
      </c>
      <c r="M580" s="118"/>
      <c r="N580" s="118"/>
      <c r="O580" s="11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K581" s="18">
        <f t="shared" si="1"/>
        <v>0</v>
      </c>
      <c r="L581" s="18">
        <f t="shared" si="2"/>
        <v>0</v>
      </c>
      <c r="M581" s="118"/>
      <c r="N581" s="118"/>
      <c r="O581" s="11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K582" s="18">
        <f t="shared" si="1"/>
        <v>0</v>
      </c>
      <c r="L582" s="18">
        <f t="shared" si="2"/>
        <v>0</v>
      </c>
      <c r="M582" s="112">
        <f>C584*Scoring!$B$34+D584/Scoring!$C$34+E584*Scoring!$D$34+WR!F584*Scoring!$E$34+WR!G584/Scoring!$F$34+WR!H584*Scoring!$G$34+WR!I584*Scoring!$H$34+K584*Scoring!$I$34+WR!L584*Scoring!$J$34+U582</f>
        <v>0</v>
      </c>
      <c r="N582" s="112">
        <f>C582*Scoring!$B$34+D582/Scoring!$C$34+E582*Scoring!$D$34+WR!F582*Scoring!$E$34+WR!G582/Scoring!$F$34+WR!H582*Scoring!$G$34+WR!I582*Scoring!$H$34+K582*Scoring!$I$34+WR!L582*Scoring!$J$34+U582</f>
        <v>0</v>
      </c>
      <c r="O582" s="112">
        <f>C583*Scoring!$B$34+D583/Scoring!$C$34+E583*Scoring!$D$34+WR!F583*Scoring!$E$34+WR!G583/Scoring!$F$34+WR!H583*Scoring!$G$34+WR!I583*Scoring!$H$34+K583*Scoring!$I$34+WR!L583*Scoring!$J$34+U582</f>
        <v>0</v>
      </c>
      <c r="P582" s="8">
        <f>IF(COUNTIF(Rookies!$A:$A,A582)&gt;0,1,0)</f>
        <v>0</v>
      </c>
      <c r="Q582" s="8"/>
      <c r="R582" s="8"/>
      <c r="S582" s="8">
        <f>V582/17</f>
        <v>0</v>
      </c>
      <c r="T582" s="8">
        <f>IF(P582=1,MAX(0,0.28*(12-S582)),0)</f>
        <v>0</v>
      </c>
      <c r="U582" s="8">
        <f>T582*17</f>
        <v>0</v>
      </c>
      <c r="V582" s="8">
        <f>C582*Scoring!$B$34+D582/Scoring!$C$34+E582*Scoring!$D$34+WR!F582*Scoring!$E$34+WR!G582/Scoring!$F$34+WR!H582*Scoring!$G$34+WR!I582*Scoring!$H$34+K582*Scoring!$I$34+WR!L582*Scoring!$J$34</f>
        <v>0</v>
      </c>
      <c r="W582" s="8"/>
      <c r="X582" s="8"/>
      <c r="Y582" s="8"/>
      <c r="Z582" s="8"/>
    </row>
    <row r="583" ht="14.25" customHeight="1">
      <c r="K583" s="18">
        <f t="shared" si="1"/>
        <v>0</v>
      </c>
      <c r="L583" s="18">
        <f t="shared" si="2"/>
        <v>0</v>
      </c>
      <c r="M583" s="118"/>
      <c r="N583" s="118"/>
      <c r="O583" s="11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K584" s="18">
        <f t="shared" si="1"/>
        <v>0</v>
      </c>
      <c r="L584" s="18">
        <f t="shared" si="2"/>
        <v>0</v>
      </c>
      <c r="M584" s="118"/>
      <c r="N584" s="118"/>
      <c r="O584" s="11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K585" s="18">
        <f t="shared" si="1"/>
        <v>0</v>
      </c>
      <c r="L585" s="18">
        <f t="shared" si="2"/>
        <v>0</v>
      </c>
      <c r="M585" s="112">
        <f>C587*Scoring!$B$34+D587/Scoring!$C$34+E587*Scoring!$D$34+WR!F587*Scoring!$E$34+WR!G587/Scoring!$F$34+WR!H587*Scoring!$G$34+WR!I587*Scoring!$H$34+K587*Scoring!$I$34+WR!L587*Scoring!$J$34+U585</f>
        <v>0</v>
      </c>
      <c r="N585" s="112">
        <f>C585*Scoring!$B$34+D585/Scoring!$C$34+E585*Scoring!$D$34+WR!F585*Scoring!$E$34+WR!G585/Scoring!$F$34+WR!H585*Scoring!$G$34+WR!I585*Scoring!$H$34+K585*Scoring!$I$34+WR!L585*Scoring!$J$34+U585</f>
        <v>0</v>
      </c>
      <c r="O585" s="112">
        <f>C586*Scoring!$B$34+D586/Scoring!$C$34+E586*Scoring!$D$34+WR!F586*Scoring!$E$34+WR!G586/Scoring!$F$34+WR!H586*Scoring!$G$34+WR!I586*Scoring!$H$34+K586*Scoring!$I$34+WR!L586*Scoring!$J$34+U585</f>
        <v>0</v>
      </c>
      <c r="P585" s="8">
        <f>IF(COUNTIF(Rookies!$A:$A,A585)&gt;0,1,0)</f>
        <v>0</v>
      </c>
      <c r="Q585" s="8"/>
      <c r="R585" s="8"/>
      <c r="S585" s="8">
        <f>V585/17</f>
        <v>0</v>
      </c>
      <c r="T585" s="8">
        <f>IF(P585=1,MAX(0,0.28*(12-S585)),0)</f>
        <v>0</v>
      </c>
      <c r="U585" s="8">
        <f>T585*17</f>
        <v>0</v>
      </c>
      <c r="V585" s="8">
        <f>C585*Scoring!$B$34+D585/Scoring!$C$34+E585*Scoring!$D$34+WR!F585*Scoring!$E$34+WR!G585/Scoring!$F$34+WR!H585*Scoring!$G$34+WR!I585*Scoring!$H$34+K585*Scoring!$I$34+WR!L585*Scoring!$J$34</f>
        <v>0</v>
      </c>
      <c r="W585" s="8"/>
      <c r="X585" s="8"/>
      <c r="Y585" s="8"/>
      <c r="Z585" s="8"/>
    </row>
    <row r="586" ht="14.25" customHeight="1">
      <c r="K586" s="18">
        <f t="shared" si="1"/>
        <v>0</v>
      </c>
      <c r="L586" s="18">
        <f t="shared" si="2"/>
        <v>0</v>
      </c>
      <c r="M586" s="118"/>
      <c r="N586" s="118"/>
      <c r="O586" s="11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K587" s="18">
        <f t="shared" si="1"/>
        <v>0</v>
      </c>
      <c r="L587" s="18">
        <f t="shared" si="2"/>
        <v>0</v>
      </c>
      <c r="M587" s="118"/>
      <c r="N587" s="118"/>
      <c r="O587" s="11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K588" s="18">
        <f t="shared" si="1"/>
        <v>0</v>
      </c>
      <c r="L588" s="18">
        <f t="shared" si="2"/>
        <v>0</v>
      </c>
      <c r="M588" s="112">
        <f>C590*Scoring!$B$34+D590/Scoring!$C$34+E590*Scoring!$D$34+WR!F590*Scoring!$E$34+WR!G590/Scoring!$F$34+WR!H590*Scoring!$G$34+WR!I590*Scoring!$H$34+K590*Scoring!$I$34+WR!L590*Scoring!$J$34+U588</f>
        <v>0</v>
      </c>
      <c r="N588" s="112">
        <f>C588*Scoring!$B$34+D588/Scoring!$C$34+E588*Scoring!$D$34+WR!F588*Scoring!$E$34+WR!G588/Scoring!$F$34+WR!H588*Scoring!$G$34+WR!I588*Scoring!$H$34+K588*Scoring!$I$34+WR!L588*Scoring!$J$34+U588</f>
        <v>0</v>
      </c>
      <c r="O588" s="112">
        <f>C589*Scoring!$B$34+D589/Scoring!$C$34+E589*Scoring!$D$34+WR!F589*Scoring!$E$34+WR!G589/Scoring!$F$34+WR!H589*Scoring!$G$34+WR!I589*Scoring!$H$34+K589*Scoring!$I$34+WR!L589*Scoring!$J$34+U588</f>
        <v>0</v>
      </c>
      <c r="P588" s="8">
        <f>IF(COUNTIF(Rookies!$A:$A,A588)&gt;0,1,0)</f>
        <v>0</v>
      </c>
      <c r="Q588" s="8"/>
      <c r="R588" s="8"/>
      <c r="S588" s="8">
        <f>V588/17</f>
        <v>0</v>
      </c>
      <c r="T588" s="8">
        <f>IF(P588=1,MAX(0,0.28*(12-S588)),0)</f>
        <v>0</v>
      </c>
      <c r="U588" s="8">
        <f>T588*17</f>
        <v>0</v>
      </c>
      <c r="V588" s="8">
        <f>C588*Scoring!$B$34+D588/Scoring!$C$34+E588*Scoring!$D$34+WR!F588*Scoring!$E$34+WR!G588/Scoring!$F$34+WR!H588*Scoring!$G$34+WR!I588*Scoring!$H$34+K588*Scoring!$I$34+WR!L588*Scoring!$J$34</f>
        <v>0</v>
      </c>
      <c r="W588" s="8"/>
      <c r="X588" s="8"/>
      <c r="Y588" s="8"/>
      <c r="Z588" s="8"/>
    </row>
    <row r="589" ht="14.25" customHeight="1">
      <c r="K589" s="18">
        <f t="shared" si="1"/>
        <v>0</v>
      </c>
      <c r="L589" s="18">
        <f t="shared" si="2"/>
        <v>0</v>
      </c>
      <c r="M589" s="118"/>
      <c r="N589" s="118"/>
      <c r="O589" s="11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K590" s="18">
        <f t="shared" si="1"/>
        <v>0</v>
      </c>
      <c r="L590" s="18">
        <f t="shared" si="2"/>
        <v>0</v>
      </c>
      <c r="M590" s="118"/>
      <c r="N590" s="118"/>
      <c r="O590" s="11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K591" s="18">
        <f t="shared" si="1"/>
        <v>0</v>
      </c>
      <c r="L591" s="18">
        <f t="shared" si="2"/>
        <v>0</v>
      </c>
      <c r="M591" s="112">
        <f>C593*Scoring!$B$34+D593/Scoring!$C$34+E593*Scoring!$D$34+WR!F593*Scoring!$E$34+WR!G593/Scoring!$F$34+WR!H593*Scoring!$G$34+WR!I593*Scoring!$H$34+K593*Scoring!$I$34+WR!L593*Scoring!$J$34+U591</f>
        <v>0</v>
      </c>
      <c r="N591" s="112">
        <f>C591*Scoring!$B$34+D591/Scoring!$C$34+E591*Scoring!$D$34+WR!F591*Scoring!$E$34+WR!G591/Scoring!$F$34+WR!H591*Scoring!$G$34+WR!I591*Scoring!$H$34+K591*Scoring!$I$34+WR!L591*Scoring!$J$34+U591</f>
        <v>0</v>
      </c>
      <c r="O591" s="112">
        <f>C592*Scoring!$B$34+D592/Scoring!$C$34+E592*Scoring!$D$34+WR!F592*Scoring!$E$34+WR!G592/Scoring!$F$34+WR!H592*Scoring!$G$34+WR!I592*Scoring!$H$34+K592*Scoring!$I$34+WR!L592*Scoring!$J$34+U591</f>
        <v>0</v>
      </c>
      <c r="P591" s="8">
        <f>IF(COUNTIF(Rookies!$A:$A,A591)&gt;0,1,0)</f>
        <v>0</v>
      </c>
      <c r="Q591" s="8"/>
      <c r="R591" s="8"/>
      <c r="S591" s="8">
        <f>V591/17</f>
        <v>0</v>
      </c>
      <c r="T591" s="8">
        <f>IF(P591=1,MAX(0,0.28*(12-S591)),0)</f>
        <v>0</v>
      </c>
      <c r="U591" s="8">
        <f>T591*17</f>
        <v>0</v>
      </c>
      <c r="V591" s="8">
        <f>C591*Scoring!$B$34+D591/Scoring!$C$34+E591*Scoring!$D$34+WR!F591*Scoring!$E$34+WR!G591/Scoring!$F$34+WR!H591*Scoring!$G$34+WR!I591*Scoring!$H$34+K591*Scoring!$I$34+WR!L591*Scoring!$J$34</f>
        <v>0</v>
      </c>
      <c r="W591" s="8"/>
      <c r="X591" s="8"/>
      <c r="Y591" s="8"/>
      <c r="Z591" s="8"/>
    </row>
    <row r="592" ht="14.25" customHeight="1">
      <c r="K592" s="18">
        <f t="shared" si="1"/>
        <v>0</v>
      </c>
      <c r="L592" s="18">
        <f t="shared" si="2"/>
        <v>0</v>
      </c>
      <c r="M592" s="118"/>
      <c r="N592" s="118"/>
      <c r="O592" s="11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K593" s="18">
        <f t="shared" si="1"/>
        <v>0</v>
      </c>
      <c r="L593" s="18">
        <f t="shared" si="2"/>
        <v>0</v>
      </c>
      <c r="M593" s="118"/>
      <c r="N593" s="118"/>
      <c r="O593" s="11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K594" s="18">
        <f t="shared" si="1"/>
        <v>0</v>
      </c>
      <c r="L594" s="18">
        <f t="shared" si="2"/>
        <v>0</v>
      </c>
      <c r="M594" s="112">
        <f>C596*Scoring!$B$34+D596/Scoring!$C$34+E596*Scoring!$D$34+WR!F596*Scoring!$E$34+WR!G596/Scoring!$F$34+WR!H596*Scoring!$G$34+WR!I596*Scoring!$H$34+K596*Scoring!$I$34+WR!L596*Scoring!$J$34+U594</f>
        <v>0</v>
      </c>
      <c r="N594" s="112">
        <f>C594*Scoring!$B$34+D594/Scoring!$C$34+E594*Scoring!$D$34+WR!F594*Scoring!$E$34+WR!G594/Scoring!$F$34+WR!H594*Scoring!$G$34+WR!I594*Scoring!$H$34+K594*Scoring!$I$34+WR!L594*Scoring!$J$34+U594</f>
        <v>0</v>
      </c>
      <c r="O594" s="112">
        <f>C595*Scoring!$B$34+D595/Scoring!$C$34+E595*Scoring!$D$34+WR!F595*Scoring!$E$34+WR!G595/Scoring!$F$34+WR!H595*Scoring!$G$34+WR!I595*Scoring!$H$34+K595*Scoring!$I$34+WR!L595*Scoring!$J$34+U594</f>
        <v>0</v>
      </c>
      <c r="P594" s="8">
        <f>IF(COUNTIF(Rookies!$A:$A,A594)&gt;0,1,0)</f>
        <v>0</v>
      </c>
      <c r="Q594" s="8"/>
      <c r="R594" s="8"/>
      <c r="S594" s="8">
        <f>V594/17</f>
        <v>0</v>
      </c>
      <c r="T594" s="8">
        <f>IF(P594=1,MAX(0,0.28*(12-S594)),0)</f>
        <v>0</v>
      </c>
      <c r="U594" s="8">
        <f>T594*17</f>
        <v>0</v>
      </c>
      <c r="V594" s="8">
        <f>C594*Scoring!$B$34+D594/Scoring!$C$34+E594*Scoring!$D$34+WR!F594*Scoring!$E$34+WR!G594/Scoring!$F$34+WR!H594*Scoring!$G$34+WR!I594*Scoring!$H$34+K594*Scoring!$I$34+WR!L594*Scoring!$J$34</f>
        <v>0</v>
      </c>
      <c r="W594" s="8"/>
      <c r="X594" s="8"/>
      <c r="Y594" s="8"/>
      <c r="Z594" s="8"/>
    </row>
    <row r="595" ht="14.25" customHeight="1">
      <c r="K595" s="18">
        <f t="shared" si="1"/>
        <v>0</v>
      </c>
      <c r="L595" s="18">
        <f t="shared" si="2"/>
        <v>0</v>
      </c>
      <c r="M595" s="118"/>
      <c r="N595" s="118"/>
      <c r="O595" s="11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K596" s="18">
        <f t="shared" si="1"/>
        <v>0</v>
      </c>
      <c r="L596" s="18">
        <f t="shared" si="2"/>
        <v>0</v>
      </c>
      <c r="M596" s="118"/>
      <c r="N596" s="118"/>
      <c r="O596" s="11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K597" s="18">
        <f t="shared" si="1"/>
        <v>0</v>
      </c>
      <c r="L597" s="18">
        <f t="shared" si="2"/>
        <v>0</v>
      </c>
      <c r="M597" s="112">
        <f>C599*Scoring!$B$34+D599/Scoring!$C$34+E599*Scoring!$D$34+WR!F599*Scoring!$E$34+WR!G599/Scoring!$F$34+WR!H599*Scoring!$G$34+WR!I599*Scoring!$H$34+K599*Scoring!$I$34+WR!L599*Scoring!$J$34+U597</f>
        <v>0</v>
      </c>
      <c r="N597" s="112">
        <f>C597*Scoring!$B$34+D597/Scoring!$C$34+E597*Scoring!$D$34+WR!F597*Scoring!$E$34+WR!G597/Scoring!$F$34+WR!H597*Scoring!$G$34+WR!I597*Scoring!$H$34+K597*Scoring!$I$34+WR!L597*Scoring!$J$34+U597</f>
        <v>0</v>
      </c>
      <c r="O597" s="112">
        <f>C598*Scoring!$B$34+D598/Scoring!$C$34+E598*Scoring!$D$34+WR!F598*Scoring!$E$34+WR!G598/Scoring!$F$34+WR!H598*Scoring!$G$34+WR!I598*Scoring!$H$34+K598*Scoring!$I$34+WR!L598*Scoring!$J$34+U597</f>
        <v>0</v>
      </c>
      <c r="P597" s="8">
        <f>IF(COUNTIF(Rookies!$A:$A,A597)&gt;0,1,0)</f>
        <v>0</v>
      </c>
      <c r="Q597" s="8"/>
      <c r="R597" s="8"/>
      <c r="S597" s="8">
        <f>V597/17</f>
        <v>0</v>
      </c>
      <c r="T597" s="8">
        <f>IF(P597=1,MAX(0,0.28*(12-S597)),0)</f>
        <v>0</v>
      </c>
      <c r="U597" s="8">
        <f>T597*17</f>
        <v>0</v>
      </c>
      <c r="V597" s="8">
        <f>C597*Scoring!$B$34+D597/Scoring!$C$34+E597*Scoring!$D$34+WR!F597*Scoring!$E$34+WR!G597/Scoring!$F$34+WR!H597*Scoring!$G$34+WR!I597*Scoring!$H$34+K597*Scoring!$I$34+WR!L597*Scoring!$J$34</f>
        <v>0</v>
      </c>
      <c r="W597" s="8"/>
      <c r="X597" s="8"/>
      <c r="Y597" s="8"/>
      <c r="Z597" s="8"/>
    </row>
    <row r="598" ht="14.25" customHeight="1">
      <c r="K598" s="18">
        <f t="shared" si="1"/>
        <v>0</v>
      </c>
      <c r="L598" s="18">
        <f t="shared" si="2"/>
        <v>0</v>
      </c>
      <c r="M598" s="118"/>
      <c r="N598" s="118"/>
      <c r="O598" s="11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K599" s="18">
        <f t="shared" si="1"/>
        <v>0</v>
      </c>
      <c r="L599" s="18">
        <f t="shared" si="2"/>
        <v>0</v>
      </c>
      <c r="M599" s="118"/>
      <c r="N599" s="118"/>
      <c r="O599" s="11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K600" s="18">
        <f t="shared" si="1"/>
        <v>0</v>
      </c>
      <c r="L600" s="18">
        <f t="shared" si="2"/>
        <v>0</v>
      </c>
      <c r="M600" s="112">
        <f>C602*Scoring!$B$34+D602/Scoring!$C$34+E602*Scoring!$D$34+WR!F602*Scoring!$E$34+WR!G602/Scoring!$F$34+WR!H602*Scoring!$G$34+WR!I602*Scoring!$H$34+K602*Scoring!$I$34+WR!L602*Scoring!$J$34+U600</f>
        <v>0</v>
      </c>
      <c r="N600" s="112">
        <f>C600*Scoring!$B$34+D600/Scoring!$C$34+E600*Scoring!$D$34+WR!F600*Scoring!$E$34+WR!G600/Scoring!$F$34+WR!H600*Scoring!$G$34+WR!I600*Scoring!$H$34+K600*Scoring!$I$34+WR!L600*Scoring!$J$34+U600</f>
        <v>0</v>
      </c>
      <c r="O600" s="112">
        <f>C601*Scoring!$B$34+D601/Scoring!$C$34+E601*Scoring!$D$34+WR!F601*Scoring!$E$34+WR!G601/Scoring!$F$34+WR!H601*Scoring!$G$34+WR!I601*Scoring!$H$34+K601*Scoring!$I$34+WR!L601*Scoring!$J$34+U600</f>
        <v>0</v>
      </c>
      <c r="P600" s="8">
        <f>IF(COUNTIF(Rookies!$A:$A,A600)&gt;0,1,0)</f>
        <v>0</v>
      </c>
      <c r="Q600" s="8"/>
      <c r="R600" s="8"/>
      <c r="S600" s="8">
        <f>V600/17</f>
        <v>0</v>
      </c>
      <c r="T600" s="8">
        <f>IF(P600=1,MAX(0,0.28*(12-S600)),0)</f>
        <v>0</v>
      </c>
      <c r="U600" s="8">
        <f>T600*17</f>
        <v>0</v>
      </c>
      <c r="V600" s="8">
        <f>C600*Scoring!$B$34+D600/Scoring!$C$34+E600*Scoring!$D$34+WR!F600*Scoring!$E$34+WR!G600/Scoring!$F$34+WR!H600*Scoring!$G$34+WR!I600*Scoring!$H$34+K600*Scoring!$I$34+WR!L600*Scoring!$J$34</f>
        <v>0</v>
      </c>
      <c r="W600" s="8"/>
      <c r="X600" s="8"/>
      <c r="Y600" s="8"/>
      <c r="Z600" s="8"/>
    </row>
    <row r="601" ht="14.25" customHeight="1">
      <c r="K601" s="18">
        <f t="shared" si="1"/>
        <v>0</v>
      </c>
      <c r="L601" s="18">
        <f t="shared" si="2"/>
        <v>0</v>
      </c>
      <c r="M601" s="118"/>
      <c r="N601" s="118"/>
      <c r="O601" s="11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K602" s="18">
        <f t="shared" si="1"/>
        <v>0</v>
      </c>
      <c r="L602" s="18">
        <f t="shared" si="2"/>
        <v>0</v>
      </c>
      <c r="M602" s="118"/>
      <c r="N602" s="118"/>
      <c r="O602" s="11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K603" s="18">
        <f t="shared" si="1"/>
        <v>0</v>
      </c>
      <c r="L603" s="18">
        <f t="shared" si="2"/>
        <v>0</v>
      </c>
      <c r="M603" s="112">
        <f>C605*Scoring!$B$34+D605/Scoring!$C$34+E605*Scoring!$D$34+WR!F605*Scoring!$E$34+WR!G605/Scoring!$F$34+WR!H605*Scoring!$G$34+WR!I605*Scoring!$H$34+K605*Scoring!$I$34+WR!L605*Scoring!$J$34+U603</f>
        <v>0</v>
      </c>
      <c r="N603" s="112">
        <f>C603*Scoring!$B$34+D603/Scoring!$C$34+E603*Scoring!$D$34+WR!F603*Scoring!$E$34+WR!G603/Scoring!$F$34+WR!H603*Scoring!$G$34+WR!I603*Scoring!$H$34+K603*Scoring!$I$34+WR!L603*Scoring!$J$34+U603</f>
        <v>0</v>
      </c>
      <c r="O603" s="112">
        <f>C604*Scoring!$B$34+D604/Scoring!$C$34+E604*Scoring!$D$34+WR!F604*Scoring!$E$34+WR!G604/Scoring!$F$34+WR!H604*Scoring!$G$34+WR!I604*Scoring!$H$34+K604*Scoring!$I$34+WR!L604*Scoring!$J$34+U603</f>
        <v>0</v>
      </c>
      <c r="P603" s="8">
        <f>IF(COUNTIF(Rookies!$A:$A,A603)&gt;0,1,0)</f>
        <v>0</v>
      </c>
      <c r="Q603" s="8"/>
      <c r="R603" s="8"/>
      <c r="S603" s="8">
        <f>V603/17</f>
        <v>0</v>
      </c>
      <c r="T603" s="8">
        <f>IF(P603=1,MAX(0,0.28*(12-S603)),0)</f>
        <v>0</v>
      </c>
      <c r="U603" s="8">
        <f>T603*17</f>
        <v>0</v>
      </c>
      <c r="V603" s="8">
        <f>C603*Scoring!$B$34+D603/Scoring!$C$34+E603*Scoring!$D$34+WR!F603*Scoring!$E$34+WR!G603/Scoring!$F$34+WR!H603*Scoring!$G$34+WR!I603*Scoring!$H$34+K603*Scoring!$I$34+WR!L603*Scoring!$J$34</f>
        <v>0</v>
      </c>
      <c r="W603" s="8"/>
      <c r="X603" s="8"/>
      <c r="Y603" s="8"/>
      <c r="Z603" s="8"/>
    </row>
    <row r="604" ht="14.25" customHeight="1">
      <c r="K604" s="18">
        <f t="shared" si="1"/>
        <v>0</v>
      </c>
      <c r="L604" s="18">
        <f t="shared" si="2"/>
        <v>0</v>
      </c>
      <c r="M604" s="118"/>
      <c r="N604" s="118"/>
      <c r="O604" s="11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K605" s="18">
        <f t="shared" si="1"/>
        <v>0</v>
      </c>
      <c r="L605" s="18">
        <f t="shared" si="2"/>
        <v>0</v>
      </c>
      <c r="M605" s="118"/>
      <c r="N605" s="118"/>
      <c r="O605" s="11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K606" s="18">
        <f t="shared" si="1"/>
        <v>0</v>
      </c>
      <c r="L606" s="18">
        <f t="shared" si="2"/>
        <v>0</v>
      </c>
      <c r="M606" s="112">
        <f>C608*Scoring!$B$34+D608/Scoring!$C$34+E608*Scoring!$D$34+WR!F608*Scoring!$E$34+WR!G608/Scoring!$F$34+WR!H608*Scoring!$G$34+WR!I608*Scoring!$H$34+K608*Scoring!$I$34+WR!L608*Scoring!$J$34+U606</f>
        <v>0</v>
      </c>
      <c r="N606" s="112">
        <f>C606*Scoring!$B$34+D606/Scoring!$C$34+E606*Scoring!$D$34+WR!F606*Scoring!$E$34+WR!G606/Scoring!$F$34+WR!H606*Scoring!$G$34+WR!I606*Scoring!$H$34+K606*Scoring!$I$34+WR!L606*Scoring!$J$34+U606</f>
        <v>0</v>
      </c>
      <c r="O606" s="112">
        <f>C607*Scoring!$B$34+D607/Scoring!$C$34+E607*Scoring!$D$34+WR!F607*Scoring!$E$34+WR!G607/Scoring!$F$34+WR!H607*Scoring!$G$34+WR!I607*Scoring!$H$34+K607*Scoring!$I$34+WR!L607*Scoring!$J$34+U606</f>
        <v>0</v>
      </c>
      <c r="P606" s="8">
        <f>IF(COUNTIF(Rookies!$A:$A,A606)&gt;0,1,0)</f>
        <v>0</v>
      </c>
      <c r="Q606" s="8"/>
      <c r="R606" s="8"/>
      <c r="S606" s="8">
        <f>V606/17</f>
        <v>0</v>
      </c>
      <c r="T606" s="8">
        <f>IF(P606=1,MAX(0,0.28*(12-S606)),0)</f>
        <v>0</v>
      </c>
      <c r="U606" s="8">
        <f>T606*17</f>
        <v>0</v>
      </c>
      <c r="V606" s="8">
        <f>C606*Scoring!$B$34+D606/Scoring!$C$34+E606*Scoring!$D$34+WR!F606*Scoring!$E$34+WR!G606/Scoring!$F$34+WR!H606*Scoring!$G$34+WR!I606*Scoring!$H$34+K606*Scoring!$I$34+WR!L606*Scoring!$J$34</f>
        <v>0</v>
      </c>
      <c r="W606" s="8"/>
      <c r="X606" s="8"/>
      <c r="Y606" s="8"/>
      <c r="Z606" s="8"/>
    </row>
    <row r="607" ht="14.25" customHeight="1">
      <c r="K607" s="18">
        <f t="shared" si="1"/>
        <v>0</v>
      </c>
      <c r="L607" s="18">
        <f t="shared" si="2"/>
        <v>0</v>
      </c>
      <c r="M607" s="118"/>
      <c r="N607" s="118"/>
      <c r="O607" s="11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K608" s="18">
        <f t="shared" si="1"/>
        <v>0</v>
      </c>
      <c r="L608" s="18">
        <f t="shared" si="2"/>
        <v>0</v>
      </c>
      <c r="M608" s="118"/>
      <c r="N608" s="118"/>
      <c r="O608" s="11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K609" s="18">
        <f t="shared" si="1"/>
        <v>0</v>
      </c>
      <c r="L609" s="18">
        <f t="shared" si="2"/>
        <v>0</v>
      </c>
      <c r="M609" s="112">
        <f>C611*Scoring!$B$34+D611/Scoring!$C$34+E611*Scoring!$D$34+WR!F611*Scoring!$E$34+WR!G611/Scoring!$F$34+WR!H611*Scoring!$G$34+WR!I611*Scoring!$H$34+K611*Scoring!$I$34+WR!L611*Scoring!$J$34+U609</f>
        <v>0</v>
      </c>
      <c r="N609" s="112">
        <f>C609*Scoring!$B$34+D609/Scoring!$C$34+E609*Scoring!$D$34+WR!F609*Scoring!$E$34+WR!G609/Scoring!$F$34+WR!H609*Scoring!$G$34+WR!I609*Scoring!$H$34+K609*Scoring!$I$34+WR!L609*Scoring!$J$34+U609</f>
        <v>0</v>
      </c>
      <c r="O609" s="112">
        <f>C610*Scoring!$B$34+D610/Scoring!$C$34+E610*Scoring!$D$34+WR!F610*Scoring!$E$34+WR!G610/Scoring!$F$34+WR!H610*Scoring!$G$34+WR!I610*Scoring!$H$34+K610*Scoring!$I$34+WR!L610*Scoring!$J$34+U609</f>
        <v>0</v>
      </c>
      <c r="P609" s="8">
        <f>IF(COUNTIF(Rookies!$A:$A,A609)&gt;0,1,0)</f>
        <v>0</v>
      </c>
      <c r="Q609" s="8"/>
      <c r="R609" s="8"/>
      <c r="S609" s="8">
        <f>V609/17</f>
        <v>0</v>
      </c>
      <c r="T609" s="8">
        <f>IF(P609=1,MAX(0,0.28*(12-S609)),0)</f>
        <v>0</v>
      </c>
      <c r="U609" s="8">
        <f>T609*17</f>
        <v>0</v>
      </c>
      <c r="V609" s="8">
        <f>C609*Scoring!$B$34+D609/Scoring!$C$34+E609*Scoring!$D$34+WR!F609*Scoring!$E$34+WR!G609/Scoring!$F$34+WR!H609*Scoring!$G$34+WR!I609*Scoring!$H$34+K609*Scoring!$I$34+WR!L609*Scoring!$J$34</f>
        <v>0</v>
      </c>
      <c r="W609" s="8"/>
      <c r="X609" s="8"/>
      <c r="Y609" s="8"/>
      <c r="Z609" s="8"/>
    </row>
    <row r="610" ht="14.25" customHeight="1">
      <c r="K610" s="18">
        <f t="shared" si="1"/>
        <v>0</v>
      </c>
      <c r="L610" s="18">
        <f t="shared" si="2"/>
        <v>0</v>
      </c>
      <c r="M610" s="118"/>
      <c r="N610" s="118"/>
      <c r="O610" s="11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K611" s="18">
        <f t="shared" si="1"/>
        <v>0</v>
      </c>
      <c r="L611" s="18">
        <f t="shared" si="2"/>
        <v>0</v>
      </c>
      <c r="M611" s="118"/>
      <c r="N611" s="118"/>
      <c r="O611" s="11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K612" s="18">
        <f t="shared" si="1"/>
        <v>0</v>
      </c>
      <c r="L612" s="18">
        <f t="shared" si="2"/>
        <v>0</v>
      </c>
      <c r="M612" s="112">
        <f>C614*Scoring!$B$34+D614/Scoring!$C$34+E614*Scoring!$D$34+WR!F614*Scoring!$E$34+WR!G614/Scoring!$F$34+WR!H614*Scoring!$G$34+WR!I614*Scoring!$H$34+K614*Scoring!$I$34+WR!L614*Scoring!$J$34+U612</f>
        <v>0</v>
      </c>
      <c r="N612" s="112">
        <f>C612*Scoring!$B$34+D612/Scoring!$C$34+E612*Scoring!$D$34+WR!F612*Scoring!$E$34+WR!G612/Scoring!$F$34+WR!H612*Scoring!$G$34+WR!I612*Scoring!$H$34+K612*Scoring!$I$34+WR!L612*Scoring!$J$34+U612</f>
        <v>0</v>
      </c>
      <c r="O612" s="112">
        <f>C613*Scoring!$B$34+D613/Scoring!$C$34+E613*Scoring!$D$34+WR!F613*Scoring!$E$34+WR!G613/Scoring!$F$34+WR!H613*Scoring!$G$34+WR!I613*Scoring!$H$34+K613*Scoring!$I$34+WR!L613*Scoring!$J$34+U612</f>
        <v>0</v>
      </c>
      <c r="P612" s="8">
        <f>IF(COUNTIF(Rookies!$A:$A,A612)&gt;0,1,0)</f>
        <v>0</v>
      </c>
      <c r="Q612" s="8"/>
      <c r="R612" s="8"/>
      <c r="S612" s="8">
        <f>V612/17</f>
        <v>0</v>
      </c>
      <c r="T612" s="8">
        <f>IF(P612=1,MAX(0,0.28*(12-S612)),0)</f>
        <v>0</v>
      </c>
      <c r="U612" s="8">
        <f>T612*17</f>
        <v>0</v>
      </c>
      <c r="V612" s="8">
        <f>C612*Scoring!$B$34+D612/Scoring!$C$34+E612*Scoring!$D$34+WR!F612*Scoring!$E$34+WR!G612/Scoring!$F$34+WR!H612*Scoring!$G$34+WR!I612*Scoring!$H$34+K612*Scoring!$I$34+WR!L612*Scoring!$J$34</f>
        <v>0</v>
      </c>
      <c r="W612" s="8"/>
      <c r="X612" s="8"/>
      <c r="Y612" s="8"/>
      <c r="Z612" s="8"/>
    </row>
    <row r="613" ht="14.25" customHeight="1">
      <c r="K613" s="18">
        <f t="shared" si="1"/>
        <v>0</v>
      </c>
      <c r="L613" s="18">
        <f t="shared" si="2"/>
        <v>0</v>
      </c>
      <c r="M613" s="118"/>
      <c r="N613" s="118"/>
      <c r="O613" s="11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K614" s="18">
        <f t="shared" si="1"/>
        <v>0</v>
      </c>
      <c r="L614" s="18">
        <f t="shared" si="2"/>
        <v>0</v>
      </c>
      <c r="M614" s="118"/>
      <c r="N614" s="118"/>
      <c r="O614" s="11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K615" s="18">
        <f t="shared" si="1"/>
        <v>0</v>
      </c>
      <c r="L615" s="18">
        <f t="shared" si="2"/>
        <v>0</v>
      </c>
      <c r="M615" s="112">
        <f>C617*Scoring!$B$34+D617/Scoring!$C$34+E617*Scoring!$D$34+WR!F617*Scoring!$E$34+WR!G617/Scoring!$F$34+WR!H617*Scoring!$G$34+WR!I617*Scoring!$H$34+K617*Scoring!$I$34+WR!L617*Scoring!$J$34+U615</f>
        <v>0</v>
      </c>
      <c r="N615" s="112">
        <f>C615*Scoring!$B$34+D615/Scoring!$C$34+E615*Scoring!$D$34+WR!F615*Scoring!$E$34+WR!G615/Scoring!$F$34+WR!H615*Scoring!$G$34+WR!I615*Scoring!$H$34+K615*Scoring!$I$34+WR!L615*Scoring!$J$34+U615</f>
        <v>0</v>
      </c>
      <c r="O615" s="112">
        <f>C616*Scoring!$B$34+D616/Scoring!$C$34+E616*Scoring!$D$34+WR!F616*Scoring!$E$34+WR!G616/Scoring!$F$34+WR!H616*Scoring!$G$34+WR!I616*Scoring!$H$34+K616*Scoring!$I$34+WR!L616*Scoring!$J$34+U615</f>
        <v>0</v>
      </c>
      <c r="P615" s="8">
        <f>IF(COUNTIF(Rookies!$A:$A,A615)&gt;0,1,0)</f>
        <v>0</v>
      </c>
      <c r="Q615" s="8"/>
      <c r="R615" s="8"/>
      <c r="S615" s="8">
        <f>V615/17</f>
        <v>0</v>
      </c>
      <c r="T615" s="8">
        <f>IF(P615=1,MAX(0,0.28*(12-S615)),0)</f>
        <v>0</v>
      </c>
      <c r="U615" s="8">
        <f>T615*17</f>
        <v>0</v>
      </c>
      <c r="V615" s="8">
        <f>C615*Scoring!$B$34+D615/Scoring!$C$34+E615*Scoring!$D$34+WR!F615*Scoring!$E$34+WR!G615/Scoring!$F$34+WR!H615*Scoring!$G$34+WR!I615*Scoring!$H$34+K615*Scoring!$I$34+WR!L615*Scoring!$J$34</f>
        <v>0</v>
      </c>
      <c r="W615" s="8"/>
      <c r="X615" s="8"/>
      <c r="Y615" s="8"/>
      <c r="Z615" s="8"/>
    </row>
    <row r="616" ht="14.25" customHeight="1">
      <c r="K616" s="18">
        <f t="shared" si="1"/>
        <v>0</v>
      </c>
      <c r="L616" s="18">
        <f t="shared" si="2"/>
        <v>0</v>
      </c>
      <c r="M616" s="118"/>
      <c r="N616" s="118"/>
      <c r="O616" s="11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K617" s="18">
        <f t="shared" si="1"/>
        <v>0</v>
      </c>
      <c r="L617" s="18">
        <f t="shared" si="2"/>
        <v>0</v>
      </c>
      <c r="M617" s="118"/>
      <c r="N617" s="118"/>
      <c r="O617" s="11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K618" s="18">
        <f t="shared" si="1"/>
        <v>0</v>
      </c>
      <c r="L618" s="18">
        <f t="shared" si="2"/>
        <v>0</v>
      </c>
      <c r="M618" s="112">
        <f>C620*Scoring!$B$34+D620/Scoring!$C$34+E620*Scoring!$D$34+WR!F620*Scoring!$E$34+WR!G620/Scoring!$F$34+WR!H620*Scoring!$G$34+WR!I620*Scoring!$H$34+K620*Scoring!$I$34+WR!L620*Scoring!$J$34+U618</f>
        <v>0</v>
      </c>
      <c r="N618" s="112">
        <f>C618*Scoring!$B$34+D618/Scoring!$C$34+E618*Scoring!$D$34+WR!F618*Scoring!$E$34+WR!G618/Scoring!$F$34+WR!H618*Scoring!$G$34+WR!I618*Scoring!$H$34+K618*Scoring!$I$34+WR!L618*Scoring!$J$34+U618</f>
        <v>0</v>
      </c>
      <c r="O618" s="112">
        <f>C619*Scoring!$B$34+D619/Scoring!$C$34+E619*Scoring!$D$34+WR!F619*Scoring!$E$34+WR!G619/Scoring!$F$34+WR!H619*Scoring!$G$34+WR!I619*Scoring!$H$34+K619*Scoring!$I$34+WR!L619*Scoring!$J$34+U618</f>
        <v>0</v>
      </c>
      <c r="P618" s="8">
        <f>IF(COUNTIF(Rookies!$A:$A,A618)&gt;0,1,0)</f>
        <v>0</v>
      </c>
      <c r="Q618" s="8"/>
      <c r="R618" s="8"/>
      <c r="S618" s="8">
        <f>V618/17</f>
        <v>0</v>
      </c>
      <c r="T618" s="8">
        <f>IF(P618=1,MAX(0,0.28*(12-S618)),0)</f>
        <v>0</v>
      </c>
      <c r="U618" s="8">
        <f>T618*17</f>
        <v>0</v>
      </c>
      <c r="V618" s="8">
        <f>C618*Scoring!$B$34+D618/Scoring!$C$34+E618*Scoring!$D$34+WR!F618*Scoring!$E$34+WR!G618/Scoring!$F$34+WR!H618*Scoring!$G$34+WR!I618*Scoring!$H$34+K618*Scoring!$I$34+WR!L618*Scoring!$J$34</f>
        <v>0</v>
      </c>
      <c r="W618" s="8"/>
      <c r="X618" s="8"/>
      <c r="Y618" s="8"/>
      <c r="Z618" s="8"/>
    </row>
    <row r="619" ht="14.25" customHeight="1">
      <c r="K619" s="18">
        <f t="shared" si="1"/>
        <v>0</v>
      </c>
      <c r="L619" s="18">
        <f t="shared" si="2"/>
        <v>0</v>
      </c>
      <c r="M619" s="118"/>
      <c r="N619" s="118"/>
      <c r="O619" s="11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K620" s="18">
        <f t="shared" si="1"/>
        <v>0</v>
      </c>
      <c r="L620" s="18">
        <f t="shared" si="2"/>
        <v>0</v>
      </c>
      <c r="M620" s="118"/>
      <c r="N620" s="118"/>
      <c r="O620" s="11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K621" s="18">
        <f t="shared" si="1"/>
        <v>0</v>
      </c>
      <c r="L621" s="18">
        <f t="shared" si="2"/>
        <v>0</v>
      </c>
      <c r="M621" s="112">
        <f>C623*Scoring!$B$34+D623/Scoring!$C$34+E623*Scoring!$D$34+WR!F623*Scoring!$E$34+WR!G623/Scoring!$F$34+WR!H623*Scoring!$G$34+WR!I623*Scoring!$H$34+K623*Scoring!$I$34+WR!L623*Scoring!$J$34+U621</f>
        <v>0</v>
      </c>
      <c r="N621" s="112">
        <f>C621*Scoring!$B$34+D621/Scoring!$C$34+E621*Scoring!$D$34+WR!F621*Scoring!$E$34+WR!G621/Scoring!$F$34+WR!H621*Scoring!$G$34+WR!I621*Scoring!$H$34+K621*Scoring!$I$34+WR!L621*Scoring!$J$34+U621</f>
        <v>0</v>
      </c>
      <c r="O621" s="112">
        <f>C622*Scoring!$B$34+D622/Scoring!$C$34+E622*Scoring!$D$34+WR!F622*Scoring!$E$34+WR!G622/Scoring!$F$34+WR!H622*Scoring!$G$34+WR!I622*Scoring!$H$34+K622*Scoring!$I$34+WR!L622*Scoring!$J$34+U621</f>
        <v>0</v>
      </c>
      <c r="P621" s="8">
        <f>IF(COUNTIF(Rookies!$A:$A,A621)&gt;0,1,0)</f>
        <v>0</v>
      </c>
      <c r="Q621" s="8"/>
      <c r="R621" s="8"/>
      <c r="S621" s="8">
        <f>V621/17</f>
        <v>0</v>
      </c>
      <c r="T621" s="8">
        <f>IF(P621=1,MAX(0,0.28*(12-S621)),0)</f>
        <v>0</v>
      </c>
      <c r="U621" s="8">
        <f>T621*17</f>
        <v>0</v>
      </c>
      <c r="V621" s="8">
        <f>C621*Scoring!$B$34+D621/Scoring!$C$34+E621*Scoring!$D$34+WR!F621*Scoring!$E$34+WR!G621/Scoring!$F$34+WR!H621*Scoring!$G$34+WR!I621*Scoring!$H$34+K621*Scoring!$I$34+WR!L621*Scoring!$J$34</f>
        <v>0</v>
      </c>
      <c r="W621" s="8"/>
      <c r="X621" s="8"/>
      <c r="Y621" s="8"/>
      <c r="Z621" s="8"/>
    </row>
    <row r="622" ht="14.25" customHeight="1">
      <c r="K622" s="18">
        <f t="shared" si="1"/>
        <v>0</v>
      </c>
      <c r="L622" s="18">
        <f t="shared" si="2"/>
        <v>0</v>
      </c>
      <c r="M622" s="118"/>
      <c r="N622" s="118"/>
      <c r="O622" s="11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K623" s="18">
        <f t="shared" si="1"/>
        <v>0</v>
      </c>
      <c r="L623" s="18">
        <f t="shared" si="2"/>
        <v>0</v>
      </c>
      <c r="M623" s="118"/>
      <c r="N623" s="118"/>
      <c r="O623" s="11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K624" s="18">
        <f t="shared" si="1"/>
        <v>0</v>
      </c>
      <c r="L624" s="18">
        <f t="shared" si="2"/>
        <v>0</v>
      </c>
      <c r="M624" s="112">
        <f>C626*Scoring!$B$34+D626/Scoring!$C$34+E626*Scoring!$D$34+WR!F626*Scoring!$E$34+WR!G626/Scoring!$F$34+WR!H626*Scoring!$G$34+WR!I626*Scoring!$H$34+K626*Scoring!$I$34+WR!L626*Scoring!$J$34+U624</f>
        <v>0</v>
      </c>
      <c r="N624" s="112">
        <f>C624*Scoring!$B$34+D624/Scoring!$C$34+E624*Scoring!$D$34+WR!F624*Scoring!$E$34+WR!G624/Scoring!$F$34+WR!H624*Scoring!$G$34+WR!I624*Scoring!$H$34+K624*Scoring!$I$34+WR!L624*Scoring!$J$34+U624</f>
        <v>0</v>
      </c>
      <c r="O624" s="112">
        <f>C625*Scoring!$B$34+D625/Scoring!$C$34+E625*Scoring!$D$34+WR!F625*Scoring!$E$34+WR!G625/Scoring!$F$34+WR!H625*Scoring!$G$34+WR!I625*Scoring!$H$34+K625*Scoring!$I$34+WR!L625*Scoring!$J$34+U624</f>
        <v>0</v>
      </c>
      <c r="P624" s="8">
        <f>IF(COUNTIF(Rookies!$A:$A,A624)&gt;0,1,0)</f>
        <v>0</v>
      </c>
      <c r="Q624" s="8"/>
      <c r="R624" s="8"/>
      <c r="S624" s="8">
        <f>V624/17</f>
        <v>0</v>
      </c>
      <c r="T624" s="8">
        <f>IF(P624=1,MAX(0,0.28*(12-S624)),0)</f>
        <v>0</v>
      </c>
      <c r="U624" s="8">
        <f>T624*17</f>
        <v>0</v>
      </c>
      <c r="V624" s="8">
        <f>C624*Scoring!$B$34+D624/Scoring!$C$34+E624*Scoring!$D$34+WR!F624*Scoring!$E$34+WR!G624/Scoring!$F$34+WR!H624*Scoring!$G$34+WR!I624*Scoring!$H$34+K624*Scoring!$I$34+WR!L624*Scoring!$J$34</f>
        <v>0</v>
      </c>
      <c r="W624" s="8"/>
      <c r="X624" s="8"/>
      <c r="Y624" s="8"/>
      <c r="Z624" s="8"/>
    </row>
    <row r="625" ht="14.25" customHeight="1">
      <c r="K625" s="18">
        <f t="shared" si="1"/>
        <v>0</v>
      </c>
      <c r="L625" s="18">
        <f t="shared" si="2"/>
        <v>0</v>
      </c>
      <c r="M625" s="118"/>
      <c r="N625" s="118"/>
      <c r="O625" s="11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K626" s="18">
        <f t="shared" si="1"/>
        <v>0</v>
      </c>
      <c r="L626" s="18">
        <f t="shared" si="2"/>
        <v>0</v>
      </c>
      <c r="M626" s="118"/>
      <c r="N626" s="118"/>
      <c r="O626" s="11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K627" s="18">
        <f t="shared" si="1"/>
        <v>0</v>
      </c>
      <c r="L627" s="18">
        <f t="shared" si="2"/>
        <v>0</v>
      </c>
      <c r="M627" s="112">
        <f>C629*Scoring!$B$34+D629/Scoring!$C$34+E629*Scoring!$D$34+WR!F629*Scoring!$E$34+WR!G629/Scoring!$F$34+WR!H629*Scoring!$G$34+WR!I629*Scoring!$H$34+K629*Scoring!$I$34+WR!L629*Scoring!$J$34+U627</f>
        <v>0</v>
      </c>
      <c r="N627" s="112">
        <f>C627*Scoring!$B$34+D627/Scoring!$C$34+E627*Scoring!$D$34+WR!F627*Scoring!$E$34+WR!G627/Scoring!$F$34+WR!H627*Scoring!$G$34+WR!I627*Scoring!$H$34+K627*Scoring!$I$34+WR!L627*Scoring!$J$34+U627</f>
        <v>0</v>
      </c>
      <c r="O627" s="112">
        <f>C628*Scoring!$B$34+D628/Scoring!$C$34+E628*Scoring!$D$34+WR!F628*Scoring!$E$34+WR!G628/Scoring!$F$34+WR!H628*Scoring!$G$34+WR!I628*Scoring!$H$34+K628*Scoring!$I$34+WR!L628*Scoring!$J$34+U627</f>
        <v>0</v>
      </c>
      <c r="P627" s="8">
        <f>IF(COUNTIF(Rookies!$A:$A,A627)&gt;0,1,0)</f>
        <v>0</v>
      </c>
      <c r="Q627" s="8"/>
      <c r="R627" s="8"/>
      <c r="S627" s="8">
        <f>V627/17</f>
        <v>0</v>
      </c>
      <c r="T627" s="8">
        <f>IF(P627=1,MAX(0,0.28*(12-S627)),0)</f>
        <v>0</v>
      </c>
      <c r="U627" s="8">
        <f>T627*17</f>
        <v>0</v>
      </c>
      <c r="V627" s="8">
        <f>C627*Scoring!$B$34+D627/Scoring!$C$34+E627*Scoring!$D$34+WR!F627*Scoring!$E$34+WR!G627/Scoring!$F$34+WR!H627*Scoring!$G$34+WR!I627*Scoring!$H$34+K627*Scoring!$I$34+WR!L627*Scoring!$J$34</f>
        <v>0</v>
      </c>
      <c r="W627" s="8"/>
      <c r="X627" s="8"/>
      <c r="Y627" s="8"/>
      <c r="Z627" s="8"/>
    </row>
    <row r="628" ht="14.25" customHeight="1">
      <c r="K628" s="18">
        <f t="shared" si="1"/>
        <v>0</v>
      </c>
      <c r="L628" s="18">
        <f t="shared" si="2"/>
        <v>0</v>
      </c>
      <c r="M628" s="118"/>
      <c r="N628" s="118"/>
      <c r="O628" s="11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K629" s="18">
        <f t="shared" si="1"/>
        <v>0</v>
      </c>
      <c r="L629" s="18">
        <f t="shared" si="2"/>
        <v>0</v>
      </c>
      <c r="M629" s="118"/>
      <c r="N629" s="118"/>
      <c r="O629" s="11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K630" s="18">
        <f t="shared" si="1"/>
        <v>0</v>
      </c>
      <c r="L630" s="18">
        <f t="shared" si="2"/>
        <v>0</v>
      </c>
      <c r="M630" s="112">
        <f>C632*Scoring!$B$34+D632/Scoring!$C$34+E632*Scoring!$D$34+WR!F632*Scoring!$E$34+WR!G632/Scoring!$F$34+WR!H632*Scoring!$G$34+WR!I632*Scoring!$H$34+K632*Scoring!$I$34+WR!L632*Scoring!$J$34+U630</f>
        <v>0</v>
      </c>
      <c r="N630" s="112">
        <f>C630*Scoring!$B$34+D630/Scoring!$C$34+E630*Scoring!$D$34+WR!F630*Scoring!$E$34+WR!G630/Scoring!$F$34+WR!H630*Scoring!$G$34+WR!I630*Scoring!$H$34+K630*Scoring!$I$34+WR!L630*Scoring!$J$34+U630</f>
        <v>0</v>
      </c>
      <c r="O630" s="112">
        <f>C631*Scoring!$B$34+D631/Scoring!$C$34+E631*Scoring!$D$34+WR!F631*Scoring!$E$34+WR!G631/Scoring!$F$34+WR!H631*Scoring!$G$34+WR!I631*Scoring!$H$34+K631*Scoring!$I$34+WR!L631*Scoring!$J$34+U630</f>
        <v>0</v>
      </c>
      <c r="P630" s="8">
        <f>IF(COUNTIF(Rookies!$A:$A,A630)&gt;0,1,0)</f>
        <v>0</v>
      </c>
      <c r="Q630" s="8"/>
      <c r="R630" s="8"/>
      <c r="S630" s="8">
        <f>V630/17</f>
        <v>0</v>
      </c>
      <c r="T630" s="8">
        <f>IF(P630=1,MAX(0,0.28*(12-S630)),0)</f>
        <v>0</v>
      </c>
      <c r="U630" s="8">
        <f>T630*17</f>
        <v>0</v>
      </c>
      <c r="V630" s="8">
        <f>C630*Scoring!$B$34+D630/Scoring!$C$34+E630*Scoring!$D$34+WR!F630*Scoring!$E$34+WR!G630/Scoring!$F$34+WR!H630*Scoring!$G$34+WR!I630*Scoring!$H$34+K630*Scoring!$I$34+WR!L630*Scoring!$J$34</f>
        <v>0</v>
      </c>
      <c r="W630" s="8"/>
      <c r="X630" s="8"/>
      <c r="Y630" s="8"/>
      <c r="Z630" s="8"/>
    </row>
    <row r="631" ht="14.25" customHeight="1">
      <c r="K631" s="18">
        <f t="shared" si="1"/>
        <v>0</v>
      </c>
      <c r="L631" s="18">
        <f t="shared" si="2"/>
        <v>0</v>
      </c>
      <c r="M631" s="118"/>
      <c r="N631" s="118"/>
      <c r="O631" s="11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K632" s="18">
        <f t="shared" si="1"/>
        <v>0</v>
      </c>
      <c r="L632" s="18">
        <f t="shared" si="2"/>
        <v>0</v>
      </c>
      <c r="M632" s="118"/>
      <c r="N632" s="118"/>
      <c r="O632" s="11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K633" s="18">
        <f t="shared" si="1"/>
        <v>0</v>
      </c>
      <c r="L633" s="18">
        <f t="shared" si="2"/>
        <v>0</v>
      </c>
      <c r="M633" s="112">
        <f>C635*Scoring!$B$34+D635/Scoring!$C$34+E635*Scoring!$D$34+WR!F635*Scoring!$E$34+WR!G635/Scoring!$F$34+WR!H635*Scoring!$G$34+WR!I635*Scoring!$H$34+K635*Scoring!$I$34+WR!L635*Scoring!$J$34+U633</f>
        <v>0</v>
      </c>
      <c r="N633" s="112">
        <f>C633*Scoring!$B$34+D633/Scoring!$C$34+E633*Scoring!$D$34+WR!F633*Scoring!$E$34+WR!G633/Scoring!$F$34+WR!H633*Scoring!$G$34+WR!I633*Scoring!$H$34+K633*Scoring!$I$34+WR!L633*Scoring!$J$34+U633</f>
        <v>0</v>
      </c>
      <c r="O633" s="112">
        <f>C634*Scoring!$B$34+D634/Scoring!$C$34+E634*Scoring!$D$34+WR!F634*Scoring!$E$34+WR!G634/Scoring!$F$34+WR!H634*Scoring!$G$34+WR!I634*Scoring!$H$34+K634*Scoring!$I$34+WR!L634*Scoring!$J$34+U633</f>
        <v>0</v>
      </c>
      <c r="P633" s="8">
        <f>IF(COUNTIF(Rookies!$A:$A,A633)&gt;0,1,0)</f>
        <v>0</v>
      </c>
      <c r="Q633" s="8"/>
      <c r="R633" s="8"/>
      <c r="S633" s="8">
        <f>V633/17</f>
        <v>0</v>
      </c>
      <c r="T633" s="8">
        <f>IF(P633=1,MAX(0,0.28*(12-S633)),0)</f>
        <v>0</v>
      </c>
      <c r="U633" s="8">
        <f>T633*17</f>
        <v>0</v>
      </c>
      <c r="V633" s="8">
        <f>C633*Scoring!$B$34+D633/Scoring!$C$34+E633*Scoring!$D$34+WR!F633*Scoring!$E$34+WR!G633/Scoring!$F$34+WR!H633*Scoring!$G$34+WR!I633*Scoring!$H$34+K633*Scoring!$I$34+WR!L633*Scoring!$J$34</f>
        <v>0</v>
      </c>
      <c r="W633" s="8"/>
      <c r="X633" s="8"/>
      <c r="Y633" s="8"/>
      <c r="Z633" s="8"/>
    </row>
    <row r="634" ht="14.25" customHeight="1">
      <c r="K634" s="18">
        <f t="shared" si="1"/>
        <v>0</v>
      </c>
      <c r="L634" s="18">
        <f t="shared" si="2"/>
        <v>0</v>
      </c>
      <c r="M634" s="118"/>
      <c r="N634" s="118"/>
      <c r="O634" s="11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K635" s="18">
        <f t="shared" si="1"/>
        <v>0</v>
      </c>
      <c r="L635" s="18">
        <f t="shared" si="2"/>
        <v>0</v>
      </c>
      <c r="M635" s="118"/>
      <c r="N635" s="118"/>
      <c r="O635" s="11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K636" s="18">
        <f t="shared" si="1"/>
        <v>0</v>
      </c>
      <c r="L636" s="18">
        <f t="shared" si="2"/>
        <v>0</v>
      </c>
      <c r="M636" s="112">
        <f>C638*Scoring!$B$34+D638/Scoring!$C$34+E638*Scoring!$D$34+WR!F638*Scoring!$E$34+WR!G638/Scoring!$F$34+WR!H638*Scoring!$G$34+WR!I638*Scoring!$H$34+K638*Scoring!$I$34+WR!L638*Scoring!$J$34+U636</f>
        <v>0</v>
      </c>
      <c r="N636" s="112">
        <f>C636*Scoring!$B$34+D636/Scoring!$C$34+E636*Scoring!$D$34+WR!F636*Scoring!$E$34+WR!G636/Scoring!$F$34+WR!H636*Scoring!$G$34+WR!I636*Scoring!$H$34+K636*Scoring!$I$34+WR!L636*Scoring!$J$34+U636</f>
        <v>0</v>
      </c>
      <c r="O636" s="112">
        <f>C637*Scoring!$B$34+D637/Scoring!$C$34+E637*Scoring!$D$34+WR!F637*Scoring!$E$34+WR!G637/Scoring!$F$34+WR!H637*Scoring!$G$34+WR!I637*Scoring!$H$34+K637*Scoring!$I$34+WR!L637*Scoring!$J$34+U636</f>
        <v>0</v>
      </c>
      <c r="P636" s="8">
        <f>IF(COUNTIF(Rookies!$A:$A,A636)&gt;0,1,0)</f>
        <v>0</v>
      </c>
      <c r="Q636" s="8"/>
      <c r="R636" s="8"/>
      <c r="S636" s="8">
        <f>V636/17</f>
        <v>0</v>
      </c>
      <c r="T636" s="8">
        <f>IF(P636=1,MAX(0,0.28*(12-S636)),0)</f>
        <v>0</v>
      </c>
      <c r="U636" s="8">
        <f>T636*17</f>
        <v>0</v>
      </c>
      <c r="V636" s="8">
        <f>C636*Scoring!$B$34+D636/Scoring!$C$34+E636*Scoring!$D$34+WR!F636*Scoring!$E$34+WR!G636/Scoring!$F$34+WR!H636*Scoring!$G$34+WR!I636*Scoring!$H$34+K636*Scoring!$I$34+WR!L636*Scoring!$J$34</f>
        <v>0</v>
      </c>
      <c r="W636" s="8"/>
      <c r="X636" s="8"/>
      <c r="Y636" s="8"/>
      <c r="Z636" s="8"/>
    </row>
    <row r="637" ht="14.25" customHeight="1">
      <c r="K637" s="18">
        <f t="shared" si="1"/>
        <v>0</v>
      </c>
      <c r="L637" s="18">
        <f t="shared" si="2"/>
        <v>0</v>
      </c>
      <c r="M637" s="118"/>
      <c r="N637" s="118"/>
      <c r="O637" s="11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K638" s="18">
        <f t="shared" si="1"/>
        <v>0</v>
      </c>
      <c r="L638" s="18">
        <f t="shared" si="2"/>
        <v>0</v>
      </c>
      <c r="M638" s="118"/>
      <c r="N638" s="118"/>
      <c r="O638" s="11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K639" s="18">
        <f t="shared" si="1"/>
        <v>0</v>
      </c>
      <c r="L639" s="18">
        <f t="shared" si="2"/>
        <v>0</v>
      </c>
      <c r="M639" s="112">
        <f>C641*Scoring!$B$34+D641/Scoring!$C$34+E641*Scoring!$D$34+WR!F641*Scoring!$E$34+WR!G641/Scoring!$F$34+WR!H641*Scoring!$G$34+WR!I641*Scoring!$H$34+K641*Scoring!$I$34+WR!L641*Scoring!$J$34+U639</f>
        <v>0</v>
      </c>
      <c r="N639" s="112">
        <f>C639*Scoring!$B$34+D639/Scoring!$C$34+E639*Scoring!$D$34+WR!F639*Scoring!$E$34+WR!G639/Scoring!$F$34+WR!H639*Scoring!$G$34+WR!I639*Scoring!$H$34+K639*Scoring!$I$34+WR!L639*Scoring!$J$34+U639</f>
        <v>0</v>
      </c>
      <c r="O639" s="112">
        <f>C640*Scoring!$B$34+D640/Scoring!$C$34+E640*Scoring!$D$34+WR!F640*Scoring!$E$34+WR!G640/Scoring!$F$34+WR!H640*Scoring!$G$34+WR!I640*Scoring!$H$34+K640*Scoring!$I$34+WR!L640*Scoring!$J$34+U639</f>
        <v>0</v>
      </c>
      <c r="P639" s="8">
        <f>IF(COUNTIF(Rookies!$A:$A,A639)&gt;0,1,0)</f>
        <v>0</v>
      </c>
      <c r="Q639" s="8"/>
      <c r="R639" s="8"/>
      <c r="S639" s="8">
        <f>V639/17</f>
        <v>0</v>
      </c>
      <c r="T639" s="8">
        <f>IF(P639=1,MAX(0,0.28*(12-S639)),0)</f>
        <v>0</v>
      </c>
      <c r="U639" s="8">
        <f>T639*17</f>
        <v>0</v>
      </c>
      <c r="V639" s="8">
        <f>C639*Scoring!$B$34+D639/Scoring!$C$34+E639*Scoring!$D$34+WR!F639*Scoring!$E$34+WR!G639/Scoring!$F$34+WR!H639*Scoring!$G$34+WR!I639*Scoring!$H$34+K639*Scoring!$I$34+WR!L639*Scoring!$J$34</f>
        <v>0</v>
      </c>
      <c r="W639" s="8"/>
      <c r="X639" s="8"/>
      <c r="Y639" s="8"/>
      <c r="Z639" s="8"/>
    </row>
    <row r="640" ht="14.25" customHeight="1">
      <c r="K640" s="18">
        <f t="shared" si="1"/>
        <v>0</v>
      </c>
      <c r="L640" s="18">
        <f t="shared" si="2"/>
        <v>0</v>
      </c>
      <c r="M640" s="118"/>
      <c r="N640" s="118"/>
      <c r="O640" s="11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K641" s="18">
        <f t="shared" si="1"/>
        <v>0</v>
      </c>
      <c r="L641" s="18">
        <f t="shared" si="2"/>
        <v>0</v>
      </c>
      <c r="M641" s="118"/>
      <c r="N641" s="118"/>
      <c r="O641" s="11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K642" s="18">
        <f t="shared" si="1"/>
        <v>0</v>
      </c>
      <c r="L642" s="18">
        <f t="shared" si="2"/>
        <v>0</v>
      </c>
      <c r="M642" s="112">
        <f>C644*Scoring!$B$34+D644/Scoring!$C$34+E644*Scoring!$D$34+WR!F644*Scoring!$E$34+WR!G644/Scoring!$F$34+WR!H644*Scoring!$G$34+WR!I644*Scoring!$H$34+K644*Scoring!$I$34+WR!L644*Scoring!$J$34</f>
        <v>0</v>
      </c>
      <c r="N642" s="112">
        <f>C642*Scoring!$B$34+D642/Scoring!$C$34+E642*Scoring!$D$34+WR!F642*Scoring!$E$34+WR!G642/Scoring!$F$34+WR!H642*Scoring!$G$34+WR!I642*Scoring!$H$34+K642*Scoring!$I$34+WR!L642*Scoring!$J$34</f>
        <v>0</v>
      </c>
      <c r="O642" s="112">
        <f>C643*Scoring!$B$34+D643/Scoring!$C$34+E643*Scoring!$D$34+WR!F643*Scoring!$E$34+WR!G643/Scoring!$F$34+WR!H643*Scoring!$G$34+WR!I643*Scoring!$H$34+K643*Scoring!$I$34+WR!L643*Scoring!$J$34</f>
        <v>0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K643" s="18">
        <f t="shared" si="1"/>
        <v>0</v>
      </c>
      <c r="L643" s="18">
        <f t="shared" si="2"/>
        <v>0</v>
      </c>
      <c r="M643" s="118"/>
      <c r="N643" s="118"/>
      <c r="O643" s="11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K644" s="18">
        <f t="shared" si="1"/>
        <v>0</v>
      </c>
      <c r="L644" s="18">
        <f t="shared" si="2"/>
        <v>0</v>
      </c>
      <c r="M644" s="118"/>
      <c r="N644" s="118"/>
      <c r="O644" s="11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K645" s="18">
        <f t="shared" si="1"/>
        <v>0</v>
      </c>
      <c r="L645" s="18">
        <f t="shared" si="2"/>
        <v>0</v>
      </c>
      <c r="M645" s="112">
        <f>C647*Scoring!$B$34+D647/Scoring!$C$34+E647*Scoring!$D$34+WR!F647*Scoring!$E$34+WR!G647/Scoring!$F$34+WR!H647*Scoring!$G$34+WR!I647*Scoring!$H$34+K647*Scoring!$I$34+WR!L647*Scoring!$J$34</f>
        <v>0</v>
      </c>
      <c r="N645" s="112">
        <f>C645*Scoring!$B$34+D645/Scoring!$C$34+E645*Scoring!$D$34+WR!F645*Scoring!$E$34+WR!G645/Scoring!$F$34+WR!H645*Scoring!$G$34+WR!I645*Scoring!$H$34+K645*Scoring!$I$34+WR!L645*Scoring!$J$34</f>
        <v>0</v>
      </c>
      <c r="O645" s="112">
        <f>C646*Scoring!$B$34+D646/Scoring!$C$34+E646*Scoring!$D$34+WR!F646*Scoring!$E$34+WR!G646/Scoring!$F$34+WR!H646*Scoring!$G$34+WR!I646*Scoring!$H$34+K646*Scoring!$I$34+WR!L646*Scoring!$J$34</f>
        <v>0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K646" s="18">
        <f t="shared" si="1"/>
        <v>0</v>
      </c>
      <c r="L646" s="18">
        <f t="shared" si="2"/>
        <v>0</v>
      </c>
      <c r="M646" s="118"/>
      <c r="N646" s="118"/>
      <c r="O646" s="11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K647" s="18">
        <f t="shared" si="1"/>
        <v>0</v>
      </c>
      <c r="L647" s="18">
        <f t="shared" si="2"/>
        <v>0</v>
      </c>
      <c r="M647" s="118"/>
      <c r="N647" s="118"/>
      <c r="O647" s="11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K648" s="18">
        <f t="shared" si="1"/>
        <v>0</v>
      </c>
      <c r="L648" s="18">
        <f t="shared" si="2"/>
        <v>0</v>
      </c>
      <c r="M648" s="112">
        <f>C650*Scoring!$B$34+D650/Scoring!$C$34+E650*Scoring!$D$34+WR!F650*Scoring!$E$34+WR!G650/Scoring!$F$34+WR!H650*Scoring!$G$34+WR!I650*Scoring!$H$34+K650*Scoring!$I$34+WR!L650*Scoring!$J$34</f>
        <v>0</v>
      </c>
      <c r="N648" s="112">
        <f>C648*Scoring!$B$34+D648/Scoring!$C$34+E648*Scoring!$D$34+WR!F648*Scoring!$E$34+WR!G648/Scoring!$F$34+WR!H648*Scoring!$G$34+WR!I648*Scoring!$H$34+K648*Scoring!$I$34+WR!L648*Scoring!$J$34</f>
        <v>0</v>
      </c>
      <c r="O648" s="112">
        <f>C649*Scoring!$B$34+D649/Scoring!$C$34+E649*Scoring!$D$34+WR!F649*Scoring!$E$34+WR!G649/Scoring!$F$34+WR!H649*Scoring!$G$34+WR!I649*Scoring!$H$34+K649*Scoring!$I$34+WR!L649*Scoring!$J$34</f>
        <v>0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K649" s="18">
        <f t="shared" si="1"/>
        <v>0</v>
      </c>
      <c r="L649" s="18">
        <f t="shared" si="2"/>
        <v>0</v>
      </c>
      <c r="M649" s="118"/>
      <c r="N649" s="118"/>
      <c r="O649" s="11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K650" s="18">
        <f t="shared" si="1"/>
        <v>0</v>
      </c>
      <c r="L650" s="18">
        <f t="shared" si="2"/>
        <v>0</v>
      </c>
      <c r="M650" s="118"/>
      <c r="N650" s="118"/>
      <c r="O650" s="11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K651" s="18">
        <f t="shared" si="1"/>
        <v>0</v>
      </c>
      <c r="L651" s="18">
        <f t="shared" si="2"/>
        <v>0</v>
      </c>
      <c r="M651" s="112">
        <f>C653*Scoring!$B$34+D653/Scoring!$C$34+E653*Scoring!$D$34+WR!F653*Scoring!$E$34+WR!G653/Scoring!$F$34+WR!H653*Scoring!$G$34+WR!I653*Scoring!$H$34+K653*Scoring!$I$34+WR!L653*Scoring!$J$34</f>
        <v>0</v>
      </c>
      <c r="N651" s="112">
        <f>C651*Scoring!$B$34+D651/Scoring!$C$34+E651*Scoring!$D$34+WR!F651*Scoring!$E$34+WR!G651/Scoring!$F$34+WR!H651*Scoring!$G$34+WR!I651*Scoring!$H$34+K651*Scoring!$I$34+WR!L651*Scoring!$J$34</f>
        <v>0</v>
      </c>
      <c r="O651" s="112">
        <f>C652*Scoring!$B$34+D652/Scoring!$C$34+E652*Scoring!$D$34+WR!F652*Scoring!$E$34+WR!G652/Scoring!$F$34+WR!H652*Scoring!$G$34+WR!I652*Scoring!$H$34+K652*Scoring!$I$34+WR!L652*Scoring!$J$34</f>
        <v>0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K652" s="18">
        <f t="shared" si="1"/>
        <v>0</v>
      </c>
      <c r="L652" s="18">
        <f t="shared" si="2"/>
        <v>0</v>
      </c>
      <c r="M652" s="118"/>
      <c r="N652" s="118"/>
      <c r="O652" s="11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K653" s="18">
        <f t="shared" si="1"/>
        <v>0</v>
      </c>
      <c r="L653" s="18">
        <f t="shared" si="2"/>
        <v>0</v>
      </c>
      <c r="M653" s="118"/>
      <c r="N653" s="118"/>
      <c r="O653" s="11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K654" s="18">
        <f t="shared" si="1"/>
        <v>0</v>
      </c>
      <c r="L654" s="18">
        <f t="shared" si="2"/>
        <v>0</v>
      </c>
      <c r="M654" s="112">
        <f>C656*Scoring!$B$34+D656/Scoring!$C$34+E656*Scoring!$D$34+WR!F656*Scoring!$E$34+WR!G656/Scoring!$F$34+WR!H656*Scoring!$G$34+WR!I656*Scoring!$H$34+K656*Scoring!$I$34+WR!L656*Scoring!$J$34</f>
        <v>0</v>
      </c>
      <c r="N654" s="112">
        <f>C654*Scoring!$B$34+D654/Scoring!$C$34+E654*Scoring!$D$34+WR!F654*Scoring!$E$34+WR!G654/Scoring!$F$34+WR!H654*Scoring!$G$34+WR!I654*Scoring!$H$34+K654*Scoring!$I$34+WR!L654*Scoring!$J$34</f>
        <v>0</v>
      </c>
      <c r="O654" s="112">
        <f>C655*Scoring!$B$34+D655/Scoring!$C$34+E655*Scoring!$D$34+WR!F655*Scoring!$E$34+WR!G655/Scoring!$F$34+WR!H655*Scoring!$G$34+WR!I655*Scoring!$H$34+K655*Scoring!$I$34+WR!L655*Scoring!$J$34</f>
        <v>0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K655" s="18">
        <f t="shared" si="1"/>
        <v>0</v>
      </c>
      <c r="L655" s="18">
        <f t="shared" si="2"/>
        <v>0</v>
      </c>
      <c r="M655" s="118"/>
      <c r="N655" s="118"/>
      <c r="O655" s="11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K656" s="18">
        <f t="shared" si="1"/>
        <v>0</v>
      </c>
      <c r="L656" s="18">
        <f t="shared" si="2"/>
        <v>0</v>
      </c>
      <c r="M656" s="118"/>
      <c r="N656" s="118"/>
      <c r="O656" s="11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K657" s="18">
        <f t="shared" si="1"/>
        <v>0</v>
      </c>
      <c r="L657" s="18">
        <f t="shared" si="2"/>
        <v>0</v>
      </c>
      <c r="M657" s="112">
        <f>C659*Scoring!$B$34+D659/Scoring!$C$34+E659*Scoring!$D$34+WR!F659*Scoring!$E$34+WR!G659/Scoring!$F$34+WR!H659*Scoring!$G$34+WR!I659*Scoring!$H$34+K659*Scoring!$I$34+WR!L659*Scoring!$J$34</f>
        <v>0</v>
      </c>
      <c r="N657" s="112">
        <f>C657*Scoring!$B$34+D657/Scoring!$C$34+E657*Scoring!$D$34+WR!F657*Scoring!$E$34+WR!G657/Scoring!$F$34+WR!H657*Scoring!$G$34+WR!I657*Scoring!$H$34+K657*Scoring!$I$34+WR!L657*Scoring!$J$34</f>
        <v>0</v>
      </c>
      <c r="O657" s="112">
        <f>C658*Scoring!$B$34+D658/Scoring!$C$34+E658*Scoring!$D$34+WR!F658*Scoring!$E$34+WR!G658/Scoring!$F$34+WR!H658*Scoring!$G$34+WR!I658*Scoring!$H$34+K658*Scoring!$I$34+WR!L658*Scoring!$J$34</f>
        <v>0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K658" s="18">
        <f t="shared" si="1"/>
        <v>0</v>
      </c>
      <c r="L658" s="18">
        <f t="shared" si="2"/>
        <v>0</v>
      </c>
      <c r="M658" s="118"/>
      <c r="N658" s="118"/>
      <c r="O658" s="11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K659" s="18">
        <f t="shared" si="1"/>
        <v>0</v>
      </c>
      <c r="L659" s="18">
        <f t="shared" si="2"/>
        <v>0</v>
      </c>
      <c r="M659" s="118"/>
      <c r="N659" s="118"/>
      <c r="O659" s="11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K660" s="18">
        <f t="shared" si="1"/>
        <v>0</v>
      </c>
      <c r="L660" s="18">
        <f t="shared" si="2"/>
        <v>0</v>
      </c>
      <c r="M660" s="112">
        <f>C662*Scoring!$B$34+D662/Scoring!$C$34+E662*Scoring!$D$34+WR!F662*Scoring!$E$34+WR!G662/Scoring!$F$34+WR!H662*Scoring!$G$34+WR!I662*Scoring!$H$34+K662*Scoring!$I$34+WR!L662*Scoring!$J$34</f>
        <v>0</v>
      </c>
      <c r="N660" s="112">
        <f>C660*Scoring!$B$34+D660/Scoring!$C$34+E660*Scoring!$D$34+WR!F660*Scoring!$E$34+WR!G660/Scoring!$F$34+WR!H660*Scoring!$G$34+WR!I660*Scoring!$H$34+K660*Scoring!$I$34+WR!L660*Scoring!$J$34</f>
        <v>0</v>
      </c>
      <c r="O660" s="112">
        <f>C661*Scoring!$B$34+D661/Scoring!$C$34+E661*Scoring!$D$34+WR!F661*Scoring!$E$34+WR!G661/Scoring!$F$34+WR!H661*Scoring!$G$34+WR!I661*Scoring!$H$34+K661*Scoring!$I$34+WR!L661*Scoring!$J$34</f>
        <v>0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K661" s="18">
        <f t="shared" si="1"/>
        <v>0</v>
      </c>
      <c r="L661" s="18">
        <f t="shared" si="2"/>
        <v>0</v>
      </c>
      <c r="M661" s="118"/>
      <c r="N661" s="118"/>
      <c r="O661" s="11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K662" s="18">
        <f t="shared" si="1"/>
        <v>0</v>
      </c>
      <c r="L662" s="18">
        <f t="shared" si="2"/>
        <v>0</v>
      </c>
      <c r="M662" s="118"/>
      <c r="N662" s="118"/>
      <c r="O662" s="11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K663" s="18">
        <f t="shared" si="1"/>
        <v>0</v>
      </c>
      <c r="L663" s="18">
        <f t="shared" si="2"/>
        <v>0</v>
      </c>
      <c r="M663" s="112">
        <f>C665*Scoring!$B$34+D665/Scoring!$C$34+E665*Scoring!$D$34+WR!F665*Scoring!$E$34+WR!G665/Scoring!$F$34+WR!H665*Scoring!$G$34+WR!I665*Scoring!$H$34+K665*Scoring!$I$34+WR!L665*Scoring!$J$34</f>
        <v>0</v>
      </c>
      <c r="N663" s="112">
        <f>C663*Scoring!$B$34+D663/Scoring!$C$34+E663*Scoring!$D$34+WR!F663*Scoring!$E$34+WR!G663/Scoring!$F$34+WR!H663*Scoring!$G$34+WR!I663*Scoring!$H$34+K663*Scoring!$I$34+WR!L663*Scoring!$J$34</f>
        <v>0</v>
      </c>
      <c r="O663" s="112">
        <f>C664*Scoring!$B$34+D664/Scoring!$C$34+E664*Scoring!$D$34+WR!F664*Scoring!$E$34+WR!G664/Scoring!$F$34+WR!H664*Scoring!$G$34+WR!I664*Scoring!$H$34+K664*Scoring!$I$34+WR!L664*Scoring!$J$34</f>
        <v>0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K664" s="18">
        <f t="shared" si="1"/>
        <v>0</v>
      </c>
      <c r="L664" s="18">
        <f t="shared" si="2"/>
        <v>0</v>
      </c>
      <c r="M664" s="118"/>
      <c r="N664" s="118"/>
      <c r="O664" s="11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K665" s="18">
        <f t="shared" si="1"/>
        <v>0</v>
      </c>
      <c r="L665" s="18">
        <f t="shared" si="2"/>
        <v>0</v>
      </c>
      <c r="M665" s="118"/>
      <c r="N665" s="118"/>
      <c r="O665" s="11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K666" s="18">
        <f t="shared" si="1"/>
        <v>0</v>
      </c>
      <c r="L666" s="18">
        <f t="shared" si="2"/>
        <v>0</v>
      </c>
      <c r="M666" s="112">
        <f>C668*Scoring!$B$34+D668/Scoring!$C$34+E668*Scoring!$D$34+WR!F668*Scoring!$E$34+WR!G668/Scoring!$F$34+WR!H668*Scoring!$G$34+WR!I668*Scoring!$H$34+K668*Scoring!$I$34+WR!L668*Scoring!$J$34</f>
        <v>0</v>
      </c>
      <c r="N666" s="112">
        <f>C666*Scoring!$B$34+D666/Scoring!$C$34+E666*Scoring!$D$34+WR!F666*Scoring!$E$34+WR!G666/Scoring!$F$34+WR!H666*Scoring!$G$34+WR!I666*Scoring!$H$34+K666*Scoring!$I$34+WR!L666*Scoring!$J$34</f>
        <v>0</v>
      </c>
      <c r="O666" s="112">
        <f>C667*Scoring!$B$34+D667/Scoring!$C$34+E667*Scoring!$D$34+WR!F667*Scoring!$E$34+WR!G667/Scoring!$F$34+WR!H667*Scoring!$G$34+WR!I667*Scoring!$H$34+K667*Scoring!$I$34+WR!L667*Scoring!$J$34</f>
        <v>0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K667" s="18">
        <f t="shared" si="1"/>
        <v>0</v>
      </c>
      <c r="L667" s="18">
        <f t="shared" si="2"/>
        <v>0</v>
      </c>
      <c r="M667" s="118"/>
      <c r="N667" s="118"/>
      <c r="O667" s="11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K668" s="18">
        <f t="shared" si="1"/>
        <v>0</v>
      </c>
      <c r="L668" s="18">
        <f t="shared" si="2"/>
        <v>0</v>
      </c>
      <c r="M668" s="118"/>
      <c r="N668" s="118"/>
      <c r="O668" s="11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K669" s="18">
        <f t="shared" si="1"/>
        <v>0</v>
      </c>
      <c r="L669" s="18">
        <f t="shared" si="2"/>
        <v>0</v>
      </c>
      <c r="M669" s="112">
        <f>C671*Scoring!$B$34+D671/Scoring!$C$34+E671*Scoring!$D$34+WR!F671*Scoring!$E$34+WR!G671/Scoring!$F$34+WR!H671*Scoring!$G$34+WR!I671*Scoring!$H$34+K671*Scoring!$I$34+WR!L671*Scoring!$J$34</f>
        <v>0</v>
      </c>
      <c r="N669" s="112">
        <f>C669*Scoring!$B$34+D669/Scoring!$C$34+E669*Scoring!$D$34+WR!F669*Scoring!$E$34+WR!G669/Scoring!$F$34+WR!H669*Scoring!$G$34+WR!I669*Scoring!$H$34+K669*Scoring!$I$34+WR!L669*Scoring!$J$34</f>
        <v>0</v>
      </c>
      <c r="O669" s="112">
        <f>C670*Scoring!$B$34+D670/Scoring!$C$34+E670*Scoring!$D$34+WR!F670*Scoring!$E$34+WR!G670/Scoring!$F$34+WR!H670*Scoring!$G$34+WR!I670*Scoring!$H$34+K670*Scoring!$I$34+WR!L670*Scoring!$J$34</f>
        <v>0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K670" s="18">
        <f t="shared" si="1"/>
        <v>0</v>
      </c>
      <c r="L670" s="18">
        <f t="shared" si="2"/>
        <v>0</v>
      </c>
      <c r="M670" s="118"/>
      <c r="N670" s="118"/>
      <c r="O670" s="11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K671" s="18">
        <f t="shared" si="1"/>
        <v>0</v>
      </c>
      <c r="L671" s="18">
        <f t="shared" si="2"/>
        <v>0</v>
      </c>
      <c r="M671" s="118"/>
      <c r="N671" s="118"/>
      <c r="O671" s="11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K672" s="18">
        <f t="shared" si="1"/>
        <v>0</v>
      </c>
      <c r="L672" s="18">
        <f t="shared" si="2"/>
        <v>0</v>
      </c>
      <c r="M672" s="112">
        <f>C674*Scoring!$B$34+D674/Scoring!$C$34+E674*Scoring!$D$34+WR!F674*Scoring!$E$34+WR!G674/Scoring!$F$34+WR!H674*Scoring!$G$34+WR!I674*Scoring!$H$34+K674*Scoring!$I$34+WR!L674*Scoring!$J$34</f>
        <v>0</v>
      </c>
      <c r="N672" s="112">
        <f>C672*Scoring!$B$34+D672/Scoring!$C$34+E672*Scoring!$D$34+WR!F672*Scoring!$E$34+WR!G672/Scoring!$F$34+WR!H672*Scoring!$G$34+WR!I672*Scoring!$H$34+K672*Scoring!$I$34+WR!L672*Scoring!$J$34</f>
        <v>0</v>
      </c>
      <c r="O672" s="112">
        <f>C673*Scoring!$B$34+D673/Scoring!$C$34+E673*Scoring!$D$34+WR!F673*Scoring!$E$34+WR!G673/Scoring!$F$34+WR!H673*Scoring!$G$34+WR!I673*Scoring!$H$34+K673*Scoring!$I$34+WR!L673*Scoring!$J$34</f>
        <v>0</v>
      </c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K673" s="18">
        <f t="shared" si="1"/>
        <v>0</v>
      </c>
      <c r="L673" s="18">
        <f t="shared" si="2"/>
        <v>0</v>
      </c>
      <c r="M673" s="118"/>
      <c r="N673" s="118"/>
      <c r="O673" s="11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K674" s="18">
        <f t="shared" si="1"/>
        <v>0</v>
      </c>
      <c r="L674" s="18">
        <f t="shared" si="2"/>
        <v>0</v>
      </c>
      <c r="M674" s="118"/>
      <c r="N674" s="118"/>
      <c r="O674" s="11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K675" s="18">
        <f t="shared" si="1"/>
        <v>0</v>
      </c>
      <c r="L675" s="18">
        <f t="shared" si="2"/>
        <v>0</v>
      </c>
      <c r="M675" s="112">
        <f>C677*Scoring!$B$34+D677/Scoring!$C$34+E677*Scoring!$D$34+WR!F677*Scoring!$E$34+WR!G677/Scoring!$F$34+WR!H677*Scoring!$G$34+WR!I677*Scoring!$H$34+K677*Scoring!$I$34+WR!L677*Scoring!$J$34</f>
        <v>0</v>
      </c>
      <c r="N675" s="112">
        <f>C675*Scoring!$B$34+D675/Scoring!$C$34+E675*Scoring!$D$34+WR!F675*Scoring!$E$34+WR!G675/Scoring!$F$34+WR!H675*Scoring!$G$34+WR!I675*Scoring!$H$34+K675*Scoring!$I$34+WR!L675*Scoring!$J$34</f>
        <v>0</v>
      </c>
      <c r="O675" s="112">
        <f>C676*Scoring!$B$34+D676/Scoring!$C$34+E676*Scoring!$D$34+WR!F676*Scoring!$E$34+WR!G676/Scoring!$F$34+WR!H676*Scoring!$G$34+WR!I676*Scoring!$H$34+K676*Scoring!$I$34+WR!L676*Scoring!$J$34</f>
        <v>0</v>
      </c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K676" s="18">
        <f t="shared" si="1"/>
        <v>0</v>
      </c>
      <c r="L676" s="18">
        <f t="shared" si="2"/>
        <v>0</v>
      </c>
      <c r="M676" s="118"/>
      <c r="N676" s="118"/>
      <c r="O676" s="11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K677" s="18">
        <f t="shared" si="1"/>
        <v>0</v>
      </c>
      <c r="L677" s="18">
        <f t="shared" si="2"/>
        <v>0</v>
      </c>
      <c r="M677" s="118"/>
      <c r="N677" s="118"/>
      <c r="O677" s="11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K678" s="18">
        <f t="shared" si="1"/>
        <v>0</v>
      </c>
      <c r="L678" s="18">
        <f t="shared" si="2"/>
        <v>0</v>
      </c>
      <c r="M678" s="112">
        <f>C680*Scoring!$B$34+D680/Scoring!$C$34+E680*Scoring!$D$34+WR!F680*Scoring!$E$34+WR!G680/Scoring!$F$34+WR!H680*Scoring!$G$34+WR!I680*Scoring!$H$34+K680*Scoring!$I$34+WR!L680*Scoring!$J$34</f>
        <v>0</v>
      </c>
      <c r="N678" s="112">
        <f>C678*Scoring!$B$34+D678/Scoring!$C$34+E678*Scoring!$D$34+WR!F678*Scoring!$E$34+WR!G678/Scoring!$F$34+WR!H678*Scoring!$G$34+WR!I678*Scoring!$H$34+K678*Scoring!$I$34+WR!L678*Scoring!$J$34</f>
        <v>0</v>
      </c>
      <c r="O678" s="112">
        <f>C679*Scoring!$B$34+D679/Scoring!$C$34+E679*Scoring!$D$34+WR!F679*Scoring!$E$34+WR!G679/Scoring!$F$34+WR!H679*Scoring!$G$34+WR!I679*Scoring!$H$34+K679*Scoring!$I$34+WR!L679*Scoring!$J$34</f>
        <v>0</v>
      </c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K679" s="18">
        <f t="shared" si="1"/>
        <v>0</v>
      </c>
      <c r="L679" s="18">
        <f t="shared" si="2"/>
        <v>0</v>
      </c>
      <c r="M679" s="118"/>
      <c r="N679" s="118"/>
      <c r="O679" s="11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K680" s="18">
        <f t="shared" si="1"/>
        <v>0</v>
      </c>
      <c r="L680" s="18">
        <f t="shared" si="2"/>
        <v>0</v>
      </c>
      <c r="M680" s="118"/>
      <c r="N680" s="118"/>
      <c r="O680" s="11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K681" s="18">
        <f t="shared" si="1"/>
        <v>0</v>
      </c>
      <c r="L681" s="18">
        <f t="shared" si="2"/>
        <v>0</v>
      </c>
      <c r="M681" s="112">
        <f>C683*Scoring!$B$34+D683/Scoring!$C$34+E683*Scoring!$D$34+WR!F683*Scoring!$E$34+WR!G683/Scoring!$F$34+WR!H683*Scoring!$G$34+WR!I683*Scoring!$H$34+K683*Scoring!$I$34+WR!L683*Scoring!$J$34</f>
        <v>0</v>
      </c>
      <c r="N681" s="112">
        <f>C681*Scoring!$B$34+D681/Scoring!$C$34+E681*Scoring!$D$34+WR!F681*Scoring!$E$34+WR!G681/Scoring!$F$34+WR!H681*Scoring!$G$34+WR!I681*Scoring!$H$34+K681*Scoring!$I$34+WR!L681*Scoring!$J$34</f>
        <v>0</v>
      </c>
      <c r="O681" s="112">
        <f>C682*Scoring!$B$34+D682/Scoring!$C$34+E682*Scoring!$D$34+WR!F682*Scoring!$E$34+WR!G682/Scoring!$F$34+WR!H682*Scoring!$G$34+WR!I682*Scoring!$H$34+K682*Scoring!$I$34+WR!L682*Scoring!$J$34</f>
        <v>0</v>
      </c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K682" s="18">
        <f t="shared" si="1"/>
        <v>0</v>
      </c>
      <c r="L682" s="18">
        <f t="shared" si="2"/>
        <v>0</v>
      </c>
      <c r="M682" s="118"/>
      <c r="N682" s="118"/>
      <c r="O682" s="11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K683" s="18">
        <f t="shared" si="1"/>
        <v>0</v>
      </c>
      <c r="L683" s="18">
        <f t="shared" si="2"/>
        <v>0</v>
      </c>
      <c r="M683" s="118"/>
      <c r="N683" s="118"/>
      <c r="O683" s="11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K684" s="18">
        <f t="shared" si="1"/>
        <v>0</v>
      </c>
      <c r="L684" s="18">
        <f t="shared" si="2"/>
        <v>0</v>
      </c>
      <c r="M684" s="112">
        <f>C686*Scoring!$B$34+D686/Scoring!$C$34+E686*Scoring!$D$34+WR!F686*Scoring!$E$34+WR!G686/Scoring!$F$34+WR!H686*Scoring!$G$34+WR!I686*Scoring!$H$34+K686*Scoring!$I$34+WR!L686*Scoring!$J$34</f>
        <v>0</v>
      </c>
      <c r="N684" s="112">
        <f>C684*Scoring!$B$34+D684/Scoring!$C$34+E684*Scoring!$D$34+WR!F684*Scoring!$E$34+WR!G684/Scoring!$F$34+WR!H684*Scoring!$G$34+WR!I684*Scoring!$H$34+K684*Scoring!$I$34+WR!L684*Scoring!$J$34</f>
        <v>0</v>
      </c>
      <c r="O684" s="112">
        <f>C685*Scoring!$B$34+D685/Scoring!$C$34+E685*Scoring!$D$34+WR!F685*Scoring!$E$34+WR!G685/Scoring!$F$34+WR!H685*Scoring!$G$34+WR!I685*Scoring!$H$34+K685*Scoring!$I$34+WR!L685*Scoring!$J$34</f>
        <v>0</v>
      </c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K685" s="18">
        <f t="shared" si="1"/>
        <v>0</v>
      </c>
      <c r="L685" s="18">
        <f t="shared" si="2"/>
        <v>0</v>
      </c>
      <c r="M685" s="118"/>
      <c r="N685" s="118"/>
      <c r="O685" s="11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K686" s="18">
        <f t="shared" si="1"/>
        <v>0</v>
      </c>
      <c r="L686" s="18">
        <f t="shared" si="2"/>
        <v>0</v>
      </c>
      <c r="M686" s="118"/>
      <c r="N686" s="118"/>
      <c r="O686" s="11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K687" s="18">
        <f t="shared" si="1"/>
        <v>0</v>
      </c>
      <c r="L687" s="18">
        <f t="shared" si="2"/>
        <v>0</v>
      </c>
      <c r="M687" s="112">
        <f>C689*Scoring!$B$34+D689/Scoring!$C$34+E689*Scoring!$D$34+WR!F689*Scoring!$E$34+WR!G689/Scoring!$F$34+WR!H689*Scoring!$G$34+WR!I689*Scoring!$H$34+K689*Scoring!$I$34+WR!L689*Scoring!$J$34</f>
        <v>0</v>
      </c>
      <c r="N687" s="112">
        <f>C687*Scoring!$B$34+D687/Scoring!$C$34+E687*Scoring!$D$34+WR!F687*Scoring!$E$34+WR!G687/Scoring!$F$34+WR!H687*Scoring!$G$34+WR!I687*Scoring!$H$34+K687*Scoring!$I$34+WR!L687*Scoring!$J$34</f>
        <v>0</v>
      </c>
      <c r="O687" s="112">
        <f>C688*Scoring!$B$34+D688/Scoring!$C$34+E688*Scoring!$D$34+WR!F688*Scoring!$E$34+WR!G688/Scoring!$F$34+WR!H688*Scoring!$G$34+WR!I688*Scoring!$H$34+K688*Scoring!$I$34+WR!L688*Scoring!$J$34</f>
        <v>0</v>
      </c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K688" s="18">
        <f t="shared" si="1"/>
        <v>0</v>
      </c>
      <c r="L688" s="18">
        <f t="shared" si="2"/>
        <v>0</v>
      </c>
      <c r="M688" s="118"/>
      <c r="N688" s="118"/>
      <c r="O688" s="11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K689" s="18">
        <f t="shared" si="1"/>
        <v>0</v>
      </c>
      <c r="L689" s="18">
        <f t="shared" si="2"/>
        <v>0</v>
      </c>
      <c r="M689" s="118"/>
      <c r="N689" s="118"/>
      <c r="O689" s="11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K690" s="18">
        <f t="shared" si="1"/>
        <v>0</v>
      </c>
      <c r="L690" s="18">
        <f t="shared" si="2"/>
        <v>0</v>
      </c>
      <c r="M690" s="112">
        <f>C692*Scoring!$B$34+D692/Scoring!$C$34+E692*Scoring!$D$34+WR!F692*Scoring!$E$34+WR!G692/Scoring!$F$34+WR!H692*Scoring!$G$34+WR!I692*Scoring!$H$34+K692*Scoring!$I$34+WR!L692*Scoring!$J$34</f>
        <v>0</v>
      </c>
      <c r="N690" s="112">
        <f>C690*Scoring!$B$34+D690/Scoring!$C$34+E690*Scoring!$D$34+WR!F690*Scoring!$E$34+WR!G690/Scoring!$F$34+WR!H690*Scoring!$G$34+WR!I690*Scoring!$H$34+K690*Scoring!$I$34+WR!L690*Scoring!$J$34</f>
        <v>0</v>
      </c>
      <c r="O690" s="112">
        <f>C691*Scoring!$B$34+D691/Scoring!$C$34+E691*Scoring!$D$34+WR!F691*Scoring!$E$34+WR!G691/Scoring!$F$34+WR!H691*Scoring!$G$34+WR!I691*Scoring!$H$34+K691*Scoring!$I$34+WR!L691*Scoring!$J$34</f>
        <v>0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K691" s="18">
        <f t="shared" si="1"/>
        <v>0</v>
      </c>
      <c r="L691" s="18">
        <f t="shared" si="2"/>
        <v>0</v>
      </c>
      <c r="M691" s="118"/>
      <c r="N691" s="118"/>
      <c r="O691" s="11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K692" s="18">
        <f t="shared" si="1"/>
        <v>0</v>
      </c>
      <c r="L692" s="18">
        <f t="shared" si="2"/>
        <v>0</v>
      </c>
      <c r="M692" s="118"/>
      <c r="N692" s="118"/>
      <c r="O692" s="11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K693" s="18">
        <f t="shared" si="1"/>
        <v>0</v>
      </c>
      <c r="L693" s="18">
        <f t="shared" si="2"/>
        <v>0</v>
      </c>
      <c r="M693" s="112">
        <f>C695*Scoring!$B$34+D695/Scoring!$C$34+E695*Scoring!$D$34+WR!F695*Scoring!$E$34+WR!G695/Scoring!$F$34+WR!H695*Scoring!$G$34+WR!I695*Scoring!$H$34+K695*Scoring!$I$34+WR!L695*Scoring!$J$34</f>
        <v>0</v>
      </c>
      <c r="N693" s="112">
        <f>C693*Scoring!$B$34+D693/Scoring!$C$34+E693*Scoring!$D$34+WR!F693*Scoring!$E$34+WR!G693/Scoring!$F$34+WR!H693*Scoring!$G$34+WR!I693*Scoring!$H$34+K693*Scoring!$I$34+WR!L693*Scoring!$J$34</f>
        <v>0</v>
      </c>
      <c r="O693" s="112">
        <f>C694*Scoring!$B$34+D694/Scoring!$C$34+E694*Scoring!$D$34+WR!F694*Scoring!$E$34+WR!G694/Scoring!$F$34+WR!H694*Scoring!$G$34+WR!I694*Scoring!$H$34+K694*Scoring!$I$34+WR!L694*Scoring!$J$34</f>
        <v>0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K694" s="18">
        <f t="shared" si="1"/>
        <v>0</v>
      </c>
      <c r="L694" s="18">
        <f t="shared" si="2"/>
        <v>0</v>
      </c>
      <c r="M694" s="118"/>
      <c r="N694" s="118"/>
      <c r="O694" s="11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K695" s="18">
        <f t="shared" si="1"/>
        <v>0</v>
      </c>
      <c r="L695" s="18">
        <f t="shared" si="2"/>
        <v>0</v>
      </c>
      <c r="M695" s="118"/>
      <c r="N695" s="118"/>
      <c r="O695" s="11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K696" s="18">
        <f t="shared" si="1"/>
        <v>0</v>
      </c>
      <c r="L696" s="18">
        <f t="shared" si="2"/>
        <v>0</v>
      </c>
      <c r="M696" s="112">
        <f>C698*Scoring!$B$34+D698/Scoring!$C$34+E698*Scoring!$D$34+WR!F698*Scoring!$E$34+WR!G698/Scoring!$F$34+WR!H698*Scoring!$G$34+WR!I698*Scoring!$H$34+K698*Scoring!$I$34+WR!L698*Scoring!$J$34</f>
        <v>0</v>
      </c>
      <c r="N696" s="112">
        <f>C696*Scoring!$B$34+D696/Scoring!$C$34+E696*Scoring!$D$34+WR!F696*Scoring!$E$34+WR!G696/Scoring!$F$34+WR!H696*Scoring!$G$34+WR!I696*Scoring!$H$34+K696*Scoring!$I$34+WR!L696*Scoring!$J$34</f>
        <v>0</v>
      </c>
      <c r="O696" s="112">
        <f>C697*Scoring!$B$34+D697/Scoring!$C$34+E697*Scoring!$D$34+WR!F697*Scoring!$E$34+WR!G697/Scoring!$F$34+WR!H697*Scoring!$G$34+WR!I697*Scoring!$H$34+K697*Scoring!$I$34+WR!L697*Scoring!$J$34</f>
        <v>0</v>
      </c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K697" s="18">
        <f t="shared" si="1"/>
        <v>0</v>
      </c>
      <c r="L697" s="18">
        <f t="shared" si="2"/>
        <v>0</v>
      </c>
      <c r="M697" s="118"/>
      <c r="N697" s="118"/>
      <c r="O697" s="11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K698" s="18">
        <f t="shared" si="1"/>
        <v>0</v>
      </c>
      <c r="L698" s="18">
        <f t="shared" si="2"/>
        <v>0</v>
      </c>
      <c r="M698" s="118"/>
      <c r="N698" s="118"/>
      <c r="O698" s="11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K699" s="4"/>
      <c r="L699" s="4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K700" s="4"/>
      <c r="L700" s="4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K701" s="4"/>
      <c r="L701" s="4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K702" s="4"/>
      <c r="L702" s="4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K703" s="4"/>
      <c r="L703" s="4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K704" s="4"/>
      <c r="L704" s="4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K705" s="4"/>
      <c r="L705" s="4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K706" s="4"/>
      <c r="L706" s="4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K707" s="4"/>
      <c r="L707" s="4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K708" s="4"/>
      <c r="L708" s="4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K709" s="4"/>
      <c r="L709" s="4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K710" s="4"/>
      <c r="L710" s="4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K711" s="4"/>
      <c r="L711" s="4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K712" s="4"/>
      <c r="L712" s="4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K713" s="4"/>
      <c r="L713" s="4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K714" s="4"/>
      <c r="L714" s="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K715" s="4"/>
      <c r="L715" s="4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K716" s="4"/>
      <c r="L716" s="4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K717" s="4"/>
      <c r="L717" s="4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K718" s="4"/>
      <c r="L718" s="4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K719" s="4"/>
      <c r="L719" s="4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K720" s="4"/>
      <c r="L720" s="4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K721" s="4"/>
      <c r="L721" s="4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K722" s="4"/>
      <c r="L722" s="4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K723" s="4"/>
      <c r="L723" s="4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K724" s="4"/>
      <c r="L724" s="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K725" s="4"/>
      <c r="L725" s="4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K726" s="4"/>
      <c r="L726" s="4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K727" s="4"/>
      <c r="L727" s="4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K728" s="4"/>
      <c r="L728" s="4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K729" s="4"/>
      <c r="L729" s="4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K730" s="4"/>
      <c r="L730" s="4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K731" s="4"/>
      <c r="L731" s="4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K732" s="4"/>
      <c r="L732" s="4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K733" s="4"/>
      <c r="L733" s="4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K734" s="4"/>
      <c r="L734" s="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K735" s="4"/>
      <c r="L735" s="4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K736" s="4"/>
      <c r="L736" s="4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K737" s="4"/>
      <c r="L737" s="4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K738" s="4"/>
      <c r="L738" s="4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K739" s="4"/>
      <c r="L739" s="4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K740" s="4"/>
      <c r="L740" s="4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K741" s="4"/>
      <c r="L741" s="4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K742" s="4"/>
      <c r="L742" s="4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K743" s="4"/>
      <c r="L743" s="4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K744" s="4"/>
      <c r="L744" s="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K745" s="4"/>
      <c r="L745" s="4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K746" s="4"/>
      <c r="L746" s="4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K747" s="4"/>
      <c r="L747" s="4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K748" s="4"/>
      <c r="L748" s="4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K749" s="4"/>
      <c r="L749" s="4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K750" s="4"/>
      <c r="L750" s="4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K751" s="4"/>
      <c r="L751" s="4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K752" s="4"/>
      <c r="L752" s="4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K753" s="4"/>
      <c r="L753" s="4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K754" s="4"/>
      <c r="L754" s="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K755" s="4"/>
      <c r="L755" s="4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K756" s="4"/>
      <c r="L756" s="4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K757" s="4"/>
      <c r="L757" s="4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K758" s="4"/>
      <c r="L758" s="4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K759" s="4"/>
      <c r="L759" s="4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K760" s="4"/>
      <c r="L760" s="4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K761" s="4"/>
      <c r="L761" s="4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K762" s="4"/>
      <c r="L762" s="4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K763" s="4"/>
      <c r="L763" s="4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K764" s="4"/>
      <c r="L764" s="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K765" s="4"/>
      <c r="L765" s="4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K766" s="4"/>
      <c r="L766" s="4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K767" s="4"/>
      <c r="L767" s="4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K768" s="4"/>
      <c r="L768" s="4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K769" s="4"/>
      <c r="L769" s="4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K770" s="4"/>
      <c r="L770" s="4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K771" s="4"/>
      <c r="L771" s="4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K772" s="4"/>
      <c r="L772" s="4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K773" s="4"/>
      <c r="L773" s="4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K774" s="4"/>
      <c r="L774" s="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K775" s="4"/>
      <c r="L775" s="4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K776" s="4"/>
      <c r="L776" s="4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K777" s="4"/>
      <c r="L777" s="4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K778" s="4"/>
      <c r="L778" s="4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K779" s="4"/>
      <c r="L779" s="4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K780" s="4"/>
      <c r="L780" s="4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K781" s="4"/>
      <c r="L781" s="4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K782" s="4"/>
      <c r="L782" s="4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K783" s="4"/>
      <c r="L783" s="4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K784" s="4"/>
      <c r="L784" s="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K785" s="4"/>
      <c r="L785" s="4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K786" s="4"/>
      <c r="L786" s="4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K787" s="4"/>
      <c r="L787" s="4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K788" s="4"/>
      <c r="L788" s="4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K789" s="4"/>
      <c r="L789" s="4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K790" s="4"/>
      <c r="L790" s="4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K791" s="4"/>
      <c r="L791" s="4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K792" s="4"/>
      <c r="L792" s="4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K793" s="4"/>
      <c r="L793" s="4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K794" s="4"/>
      <c r="L794" s="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K795" s="4"/>
      <c r="L795" s="4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K796" s="4"/>
      <c r="L796" s="4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K797" s="4"/>
      <c r="L797" s="4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K798" s="4"/>
      <c r="L798" s="4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K799" s="4"/>
      <c r="L799" s="4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K800" s="4"/>
      <c r="L800" s="4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K801" s="4"/>
      <c r="L801" s="4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K802" s="4"/>
      <c r="L802" s="4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K803" s="4"/>
      <c r="L803" s="4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K804" s="4"/>
      <c r="L804" s="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K805" s="4"/>
      <c r="L805" s="4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K806" s="4"/>
      <c r="L806" s="4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K807" s="4"/>
      <c r="L807" s="4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K808" s="4"/>
      <c r="L808" s="4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K809" s="4"/>
      <c r="L809" s="4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K810" s="4"/>
      <c r="L810" s="4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K811" s="4"/>
      <c r="L811" s="4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K812" s="4"/>
      <c r="L812" s="4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K813" s="4"/>
      <c r="L813" s="4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K814" s="4"/>
      <c r="L814" s="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K815" s="4"/>
      <c r="L815" s="4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K816" s="4"/>
      <c r="L816" s="4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K817" s="4"/>
      <c r="L817" s="4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K818" s="4"/>
      <c r="L818" s="4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K819" s="4"/>
      <c r="L819" s="4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K820" s="4"/>
      <c r="L820" s="4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K821" s="4"/>
      <c r="L821" s="4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K822" s="4"/>
      <c r="L822" s="4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K823" s="4"/>
      <c r="L823" s="4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K824" s="4"/>
      <c r="L824" s="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K825" s="4"/>
      <c r="L825" s="4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K826" s="4"/>
      <c r="L826" s="4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K827" s="4"/>
      <c r="L827" s="4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K828" s="4"/>
      <c r="L828" s="4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K829" s="4"/>
      <c r="L829" s="4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K830" s="4"/>
      <c r="L830" s="4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K831" s="4"/>
      <c r="L831" s="4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K832" s="4"/>
      <c r="L832" s="4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K833" s="4"/>
      <c r="L833" s="4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K834" s="4"/>
      <c r="L834" s="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K835" s="4"/>
      <c r="L835" s="4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K836" s="4"/>
      <c r="L836" s="4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K837" s="4"/>
      <c r="L837" s="4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K838" s="4"/>
      <c r="L838" s="4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K839" s="4"/>
      <c r="L839" s="4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K840" s="4"/>
      <c r="L840" s="4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K841" s="4"/>
      <c r="L841" s="4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K842" s="4"/>
      <c r="L842" s="4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K843" s="4"/>
      <c r="L843" s="4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K844" s="4"/>
      <c r="L844" s="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K845" s="4"/>
      <c r="L845" s="4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K846" s="4"/>
      <c r="L846" s="4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K847" s="4"/>
      <c r="L847" s="4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K848" s="4"/>
      <c r="L848" s="4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K849" s="4"/>
      <c r="L849" s="4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K850" s="4"/>
      <c r="L850" s="4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K851" s="4"/>
      <c r="L851" s="4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K852" s="4"/>
      <c r="L852" s="4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K853" s="4"/>
      <c r="L853" s="4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K854" s="4"/>
      <c r="L854" s="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K855" s="4"/>
      <c r="L855" s="4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K856" s="4"/>
      <c r="L856" s="4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K857" s="4"/>
      <c r="L857" s="4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K858" s="4"/>
      <c r="L858" s="4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K859" s="4"/>
      <c r="L859" s="4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K860" s="4"/>
      <c r="L860" s="4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K861" s="4"/>
      <c r="L861" s="4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K862" s="4"/>
      <c r="L862" s="4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K863" s="4"/>
      <c r="L863" s="4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K864" s="4"/>
      <c r="L864" s="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K865" s="4"/>
      <c r="L865" s="4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K866" s="4"/>
      <c r="L866" s="4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K867" s="4"/>
      <c r="L867" s="4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K868" s="4"/>
      <c r="L868" s="4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K869" s="4"/>
      <c r="L869" s="4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K870" s="4"/>
      <c r="L870" s="4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K871" s="4"/>
      <c r="L871" s="4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K872" s="4"/>
      <c r="L872" s="4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K873" s="4"/>
      <c r="L873" s="4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K874" s="4"/>
      <c r="L874" s="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K875" s="4"/>
      <c r="L875" s="4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K876" s="4"/>
      <c r="L876" s="4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K877" s="4"/>
      <c r="L877" s="4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K878" s="4"/>
      <c r="L878" s="4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K879" s="4"/>
      <c r="L879" s="4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K880" s="4"/>
      <c r="L880" s="4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K881" s="4"/>
      <c r="L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K882" s="4"/>
      <c r="L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K883" s="4"/>
      <c r="L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K884" s="4"/>
      <c r="L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K885" s="4"/>
      <c r="L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K886" s="4"/>
      <c r="L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K887" s="4"/>
      <c r="L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K888" s="4"/>
      <c r="L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K889" s="4"/>
      <c r="L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K890" s="4"/>
      <c r="L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K891" s="4"/>
      <c r="L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K892" s="4"/>
      <c r="L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K893" s="4"/>
      <c r="L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K894" s="4"/>
      <c r="L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K895" s="4"/>
      <c r="L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K896" s="4"/>
      <c r="L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K897" s="4"/>
      <c r="L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K898" s="4"/>
      <c r="L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K899" s="4"/>
      <c r="L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K900" s="4"/>
      <c r="L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K901" s="4"/>
      <c r="L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K902" s="4"/>
      <c r="L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K903" s="4"/>
      <c r="L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K904" s="4"/>
      <c r="L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K905" s="4"/>
      <c r="L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K906" s="4"/>
      <c r="L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K907" s="4"/>
      <c r="L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K908" s="4"/>
      <c r="L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K909" s="4"/>
      <c r="L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K910" s="4"/>
      <c r="L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K911" s="4"/>
      <c r="L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K912" s="4"/>
      <c r="L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K913" s="4"/>
      <c r="L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K914" s="4"/>
      <c r="L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K915" s="4"/>
      <c r="L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K916" s="4"/>
      <c r="L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K917" s="4"/>
      <c r="L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K918" s="4"/>
      <c r="L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K919" s="4"/>
      <c r="L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K920" s="4"/>
      <c r="L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K921" s="4"/>
      <c r="L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K922" s="4"/>
      <c r="L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K923" s="4"/>
      <c r="L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K924" s="4"/>
      <c r="L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K925" s="4"/>
      <c r="L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K926" s="4"/>
      <c r="L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K927" s="4"/>
      <c r="L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K928" s="4"/>
      <c r="L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K929" s="4"/>
      <c r="L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K930" s="4"/>
      <c r="L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K931" s="4"/>
      <c r="L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K932" s="4"/>
      <c r="L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K933" s="4"/>
      <c r="L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K934" s="4"/>
      <c r="L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K935" s="4"/>
      <c r="L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K936" s="4"/>
      <c r="L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K937" s="4"/>
      <c r="L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K938" s="4"/>
      <c r="L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K939" s="4"/>
      <c r="L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K940" s="4"/>
      <c r="L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K941" s="4"/>
      <c r="L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K942" s="4"/>
      <c r="L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K943" s="4"/>
      <c r="L943" s="4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K944" s="4"/>
      <c r="L944" s="4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K945" s="4"/>
      <c r="L945" s="4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K946" s="4"/>
      <c r="L946" s="4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K947" s="4"/>
      <c r="L947" s="4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K948" s="4"/>
      <c r="L948" s="4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K949" s="4"/>
      <c r="L949" s="4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K950" s="4"/>
      <c r="L950" s="4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K951" s="4"/>
      <c r="L951" s="4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K952" s="4"/>
      <c r="L952" s="4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K953" s="4"/>
      <c r="L953" s="4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K954" s="4"/>
      <c r="L954" s="4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K955" s="4"/>
      <c r="L955" s="4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K956" s="4"/>
      <c r="L956" s="4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K957" s="4"/>
      <c r="L957" s="4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K958" s="4"/>
      <c r="L958" s="4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K959" s="4"/>
      <c r="L959" s="4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K960" s="4"/>
      <c r="L960" s="4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K961" s="4"/>
      <c r="L961" s="4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K962" s="4"/>
      <c r="L962" s="4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K963" s="4"/>
      <c r="L963" s="4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K964" s="4"/>
      <c r="L964" s="4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K965" s="4"/>
      <c r="L965" s="4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K966" s="4"/>
      <c r="L966" s="4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K967" s="4"/>
      <c r="L967" s="4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K968" s="4"/>
      <c r="L968" s="4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K969" s="4"/>
      <c r="L969" s="4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K970" s="4"/>
      <c r="L970" s="4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K971" s="4"/>
      <c r="L971" s="4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K972" s="4"/>
      <c r="L972" s="4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K973" s="4"/>
      <c r="L973" s="4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K974" s="4"/>
      <c r="L974" s="4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K975" s="4"/>
      <c r="L975" s="4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K976" s="4"/>
      <c r="L976" s="4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K977" s="4"/>
      <c r="L977" s="4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K978" s="4"/>
      <c r="L978" s="4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K979" s="4"/>
      <c r="L979" s="4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K980" s="4"/>
      <c r="L980" s="4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K981" s="4"/>
      <c r="L981" s="4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K982" s="4"/>
      <c r="L982" s="4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K983" s="4"/>
      <c r="L983" s="4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K984" s="4"/>
      <c r="L984" s="4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K985" s="4"/>
      <c r="L985" s="4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K986" s="4"/>
      <c r="L986" s="4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K987" s="4"/>
      <c r="L987" s="4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K988" s="4"/>
      <c r="L988" s="4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K989" s="4"/>
      <c r="L989" s="4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K990" s="4"/>
      <c r="L990" s="4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K991" s="4"/>
      <c r="L991" s="4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K992" s="4"/>
      <c r="L992" s="4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K993" s="4"/>
      <c r="L993" s="4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K994" s="4"/>
      <c r="L994" s="4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K995" s="4"/>
      <c r="L995" s="4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K996" s="4"/>
      <c r="L996" s="4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K997" s="4"/>
      <c r="L997" s="4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K998" s="4"/>
      <c r="L998" s="4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K999" s="4"/>
      <c r="L999" s="4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K1000" s="4"/>
      <c r="L1000" s="4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5"/>
    <col customWidth="1" min="8" max="8" width="6.38"/>
    <col customWidth="1" min="9" max="11" width="5.5"/>
    <col customWidth="1" min="12" max="26" width="8.5"/>
  </cols>
  <sheetData>
    <row r="1" ht="14.25" customHeight="1">
      <c r="A1" s="1" t="s">
        <v>0</v>
      </c>
      <c r="B1" s="1" t="s">
        <v>2</v>
      </c>
      <c r="C1" s="1" t="s">
        <v>384</v>
      </c>
      <c r="D1" s="1" t="s">
        <v>5</v>
      </c>
      <c r="E1" s="1" t="s">
        <v>6</v>
      </c>
      <c r="F1" s="1" t="s">
        <v>8</v>
      </c>
      <c r="G1" s="1" t="s">
        <v>9</v>
      </c>
      <c r="H1" s="4" t="s">
        <v>131</v>
      </c>
      <c r="I1" s="52" t="s">
        <v>12</v>
      </c>
      <c r="J1" s="52" t="s">
        <v>13</v>
      </c>
      <c r="K1" s="52" t="s">
        <v>14</v>
      </c>
    </row>
    <row r="2" ht="14.25" customHeight="1">
      <c r="A2" s="1" t="s">
        <v>16</v>
      </c>
      <c r="H2" s="4"/>
      <c r="I2" s="52"/>
      <c r="J2" s="52"/>
      <c r="K2" s="52"/>
    </row>
    <row r="3" ht="14.25" customHeight="1">
      <c r="A3" s="1" t="s">
        <v>734</v>
      </c>
      <c r="B3" s="1" t="s">
        <v>217</v>
      </c>
      <c r="C3" s="1">
        <v>108.9</v>
      </c>
      <c r="D3" s="1">
        <v>1069.1</v>
      </c>
      <c r="E3" s="1">
        <v>6.8</v>
      </c>
      <c r="F3" s="1">
        <v>0.2</v>
      </c>
      <c r="G3" s="1">
        <v>256.1</v>
      </c>
      <c r="H3" s="18">
        <f t="shared" ref="H3:H470" si="1">IFERROR(D3/C3/11.1*0.585*C3,0)</f>
        <v>56.34445946</v>
      </c>
      <c r="I3" s="112">
        <f>C5*Scoring!$B$36+TE!D5/Scoring!$C$36+TE!E5*Scoring!$D$36+TE!F5*Scoring!$E$36+H5*Scoring!$F$36</f>
        <v>185.73</v>
      </c>
      <c r="J3" s="112">
        <f>C3*Scoring!$B$36+TE!D3/Scoring!$C$36+TE!E3*Scoring!$D$36+TE!F3*Scoring!$E$36+H3*Scoring!$F$36</f>
        <v>201.76</v>
      </c>
      <c r="K3" s="112">
        <f>C4*Scoring!$B$36+TE!D4/Scoring!$C$36+TE!E4*Scoring!$D$36+TE!F4*Scoring!$E$36+H4*Scoring!$F$36</f>
        <v>219</v>
      </c>
    </row>
    <row r="4" ht="14.25" customHeight="1">
      <c r="B4" s="1" t="s">
        <v>39</v>
      </c>
      <c r="C4" s="1">
        <v>115.0</v>
      </c>
      <c r="D4" s="1">
        <v>1135.0</v>
      </c>
      <c r="E4" s="1">
        <v>8.0</v>
      </c>
      <c r="F4" s="1">
        <v>0.0</v>
      </c>
      <c r="G4" s="1">
        <v>307.8</v>
      </c>
      <c r="H4" s="18">
        <f t="shared" si="1"/>
        <v>59.81756757</v>
      </c>
      <c r="I4" s="119"/>
      <c r="J4" s="119"/>
      <c r="K4" s="119"/>
    </row>
    <row r="5" ht="14.25" customHeight="1">
      <c r="B5" s="1" t="s">
        <v>48</v>
      </c>
      <c r="C5" s="1">
        <v>104.0</v>
      </c>
      <c r="D5" s="1">
        <v>1023.3</v>
      </c>
      <c r="E5" s="1">
        <v>5.4</v>
      </c>
      <c r="F5" s="1">
        <v>0.5</v>
      </c>
      <c r="G5" s="1">
        <v>243.0</v>
      </c>
      <c r="H5" s="18">
        <f t="shared" si="1"/>
        <v>53.93067568</v>
      </c>
      <c r="I5" s="119"/>
      <c r="J5" s="119"/>
      <c r="K5" s="119"/>
    </row>
    <row r="6" ht="14.25" customHeight="1">
      <c r="A6" s="1" t="s">
        <v>736</v>
      </c>
      <c r="B6" s="1" t="s">
        <v>222</v>
      </c>
      <c r="C6" s="1">
        <v>103.0</v>
      </c>
      <c r="D6" s="1">
        <v>1088.0</v>
      </c>
      <c r="E6" s="1">
        <v>7.5</v>
      </c>
      <c r="F6" s="1">
        <v>0.2</v>
      </c>
      <c r="G6" s="1">
        <v>243.7</v>
      </c>
      <c r="H6" s="18">
        <f t="shared" si="1"/>
        <v>57.34054054</v>
      </c>
      <c r="I6" s="112">
        <f>C8*Scoring!$B$36+TE!D8/Scoring!$C$36+TE!E8*Scoring!$D$36+TE!F8*Scoring!$E$36+H8*Scoring!$F$36</f>
        <v>181</v>
      </c>
      <c r="J6" s="112">
        <f>C6*Scoring!$B$36+TE!D6/Scoring!$C$36+TE!E6*Scoring!$D$36+TE!F6*Scoring!$E$36+H6*Scoring!$F$36</f>
        <v>204.9</v>
      </c>
      <c r="K6" s="112">
        <f>C7*Scoring!$B$36+TE!D7/Scoring!$C$36+TE!E7*Scoring!$D$36+TE!F7*Scoring!$E$36+H7*Scoring!$F$36</f>
        <v>220.7</v>
      </c>
    </row>
    <row r="7" ht="14.25" customHeight="1">
      <c r="B7" s="1" t="s">
        <v>39</v>
      </c>
      <c r="C7" s="1">
        <v>106.0</v>
      </c>
      <c r="D7" s="1">
        <v>1137.0</v>
      </c>
      <c r="E7" s="1">
        <v>9.0</v>
      </c>
      <c r="F7" s="1">
        <v>0.0</v>
      </c>
      <c r="G7" s="1">
        <v>298.9</v>
      </c>
      <c r="H7" s="18">
        <f t="shared" si="1"/>
        <v>59.92297297</v>
      </c>
      <c r="I7" s="119"/>
      <c r="J7" s="119"/>
      <c r="K7" s="119"/>
    </row>
    <row r="8" ht="14.25" customHeight="1">
      <c r="B8" s="1" t="s">
        <v>48</v>
      </c>
      <c r="C8" s="1">
        <v>88.0</v>
      </c>
      <c r="D8" s="1">
        <v>982.0</v>
      </c>
      <c r="E8" s="1">
        <v>6.6</v>
      </c>
      <c r="F8" s="1">
        <v>0.4</v>
      </c>
      <c r="G8" s="1">
        <v>238.7</v>
      </c>
      <c r="H8" s="18">
        <f t="shared" si="1"/>
        <v>51.75405405</v>
      </c>
      <c r="I8" s="119"/>
      <c r="J8" s="119"/>
      <c r="K8" s="119"/>
    </row>
    <row r="9" ht="14.25" customHeight="1">
      <c r="A9" s="1" t="s">
        <v>738</v>
      </c>
      <c r="B9" s="1" t="s">
        <v>159</v>
      </c>
      <c r="C9" s="1">
        <v>79.1</v>
      </c>
      <c r="D9" s="1">
        <v>927.1</v>
      </c>
      <c r="E9" s="1">
        <v>6.7</v>
      </c>
      <c r="F9" s="1">
        <v>0.2</v>
      </c>
      <c r="G9" s="1">
        <v>211.4</v>
      </c>
      <c r="H9" s="18">
        <f t="shared" si="1"/>
        <v>48.86067568</v>
      </c>
      <c r="I9" s="112">
        <f>C11*Scoring!$B$36+TE!D11/Scoring!$C$36+TE!E11*Scoring!$D$36+TE!F11*Scoring!$E$36+H11*Scoring!$F$36</f>
        <v>156.5</v>
      </c>
      <c r="J9" s="112">
        <f>C9*Scoring!$B$36+TE!D9/Scoring!$C$36+TE!E9*Scoring!$D$36+TE!F9*Scoring!$E$36+H9*Scoring!$F$36</f>
        <v>172.06</v>
      </c>
      <c r="K9" s="112">
        <f>C10*Scoring!$B$36+TE!D10/Scoring!$C$36+TE!E10*Scoring!$D$36+TE!F10*Scoring!$E$36+H10*Scoring!$F$36</f>
        <v>193.6</v>
      </c>
    </row>
    <row r="10" ht="14.25" customHeight="1">
      <c r="B10" s="1" t="s">
        <v>39</v>
      </c>
      <c r="C10" s="1">
        <v>84.0</v>
      </c>
      <c r="D10" s="1">
        <v>1036.0</v>
      </c>
      <c r="E10" s="1">
        <v>8.0</v>
      </c>
      <c r="F10" s="1">
        <v>0.0</v>
      </c>
      <c r="G10" s="1">
        <v>236.4</v>
      </c>
      <c r="H10" s="18">
        <f t="shared" si="1"/>
        <v>54.6</v>
      </c>
      <c r="I10" s="119"/>
      <c r="J10" s="119"/>
      <c r="K10" s="119"/>
    </row>
    <row r="11" ht="14.25" customHeight="1">
      <c r="B11" s="1" t="s">
        <v>48</v>
      </c>
      <c r="C11" s="1">
        <v>73.0</v>
      </c>
      <c r="D11" s="1">
        <v>848.0</v>
      </c>
      <c r="E11" s="1">
        <v>6.0</v>
      </c>
      <c r="F11" s="1">
        <v>0.4</v>
      </c>
      <c r="G11" s="1">
        <v>204.8</v>
      </c>
      <c r="H11" s="18">
        <f t="shared" si="1"/>
        <v>44.69189189</v>
      </c>
      <c r="I11" s="119"/>
      <c r="J11" s="119"/>
      <c r="K11" s="119"/>
    </row>
    <row r="12" ht="14.25" customHeight="1">
      <c r="A12" s="1" t="s">
        <v>740</v>
      </c>
      <c r="B12" s="1" t="s">
        <v>193</v>
      </c>
      <c r="C12" s="1">
        <v>79.0</v>
      </c>
      <c r="D12" s="1">
        <v>878.5</v>
      </c>
      <c r="E12" s="1">
        <v>5.5</v>
      </c>
      <c r="F12" s="1">
        <v>0.3</v>
      </c>
      <c r="G12" s="1">
        <v>199.2</v>
      </c>
      <c r="H12" s="18">
        <f t="shared" si="1"/>
        <v>46.29932432</v>
      </c>
      <c r="I12" s="112">
        <f>C14*Scoring!$B$36+TE!D14/Scoring!$C$36+TE!E14*Scoring!$D$36+TE!F14*Scoring!$E$36+H14*Scoring!$F$36</f>
        <v>149.4</v>
      </c>
      <c r="J12" s="112">
        <f>C12*Scoring!$B$36+TE!D12/Scoring!$C$36+TE!E12*Scoring!$D$36+TE!F12*Scoring!$E$36+H12*Scoring!$F$36</f>
        <v>159.75</v>
      </c>
      <c r="K12" s="112">
        <f>C13*Scoring!$B$36+TE!D13/Scoring!$C$36+TE!E13*Scoring!$D$36+TE!F13*Scoring!$E$36+H13*Scoring!$F$36</f>
        <v>169</v>
      </c>
    </row>
    <row r="13" ht="14.25" customHeight="1">
      <c r="B13" s="1" t="s">
        <v>39</v>
      </c>
      <c r="C13" s="1">
        <v>85.0</v>
      </c>
      <c r="D13" s="1">
        <v>905.0</v>
      </c>
      <c r="E13" s="1">
        <v>6.0</v>
      </c>
      <c r="F13" s="1">
        <v>0.0</v>
      </c>
      <c r="G13" s="1">
        <v>231.6</v>
      </c>
      <c r="H13" s="18">
        <f t="shared" si="1"/>
        <v>47.69594595</v>
      </c>
      <c r="I13" s="119"/>
      <c r="J13" s="119"/>
      <c r="K13" s="119"/>
    </row>
    <row r="14" ht="14.25" customHeight="1">
      <c r="B14" s="1" t="s">
        <v>48</v>
      </c>
      <c r="C14" s="1">
        <v>74.0</v>
      </c>
      <c r="D14" s="1">
        <v>836.0</v>
      </c>
      <c r="E14" s="1">
        <v>5.0</v>
      </c>
      <c r="F14" s="1">
        <v>0.6</v>
      </c>
      <c r="G14" s="1">
        <v>204.0</v>
      </c>
      <c r="H14" s="18">
        <f t="shared" si="1"/>
        <v>44.05945946</v>
      </c>
      <c r="I14" s="119"/>
      <c r="J14" s="119"/>
      <c r="K14" s="119"/>
    </row>
    <row r="15" ht="14.25" customHeight="1">
      <c r="A15" s="1" t="s">
        <v>742</v>
      </c>
      <c r="B15" s="1" t="s">
        <v>226</v>
      </c>
      <c r="C15" s="1">
        <v>79.7</v>
      </c>
      <c r="D15" s="1">
        <v>816.3</v>
      </c>
      <c r="E15" s="1">
        <v>5.4</v>
      </c>
      <c r="F15" s="1">
        <v>0.8</v>
      </c>
      <c r="G15" s="1">
        <v>192.1</v>
      </c>
      <c r="H15" s="18">
        <f t="shared" si="1"/>
        <v>43.02121622</v>
      </c>
      <c r="I15" s="112">
        <f>C17*Scoring!$B$36+TE!D17/Scoring!$C$36+TE!E17*Scoring!$D$36+TE!F17*Scoring!$E$36+H17*Scoring!$F$36</f>
        <v>135.8</v>
      </c>
      <c r="J15" s="112">
        <f>C15*Scoring!$B$36+TE!D15/Scoring!$C$36+TE!E15*Scoring!$D$36+TE!F15*Scoring!$E$36+H15*Scoring!$F$36</f>
        <v>152.28</v>
      </c>
      <c r="K15" s="112">
        <f>C16*Scoring!$B$36+TE!D16/Scoring!$C$36+TE!E16*Scoring!$D$36+TE!F16*Scoring!$E$36+H16*Scoring!$F$36</f>
        <v>171.2</v>
      </c>
    </row>
    <row r="16" ht="14.25" customHeight="1">
      <c r="B16" s="1" t="s">
        <v>39</v>
      </c>
      <c r="C16" s="1">
        <v>83.0</v>
      </c>
      <c r="D16" s="1">
        <v>829.0</v>
      </c>
      <c r="E16" s="1">
        <v>8.0</v>
      </c>
      <c r="F16" s="1">
        <v>0.6</v>
      </c>
      <c r="G16" s="1">
        <v>228.3</v>
      </c>
      <c r="H16" s="18">
        <f t="shared" si="1"/>
        <v>43.69054054</v>
      </c>
      <c r="I16" s="119"/>
      <c r="J16" s="119"/>
      <c r="K16" s="119"/>
    </row>
    <row r="17" ht="14.25" customHeight="1">
      <c r="B17" s="1" t="s">
        <v>48</v>
      </c>
      <c r="C17" s="1">
        <v>77.0</v>
      </c>
      <c r="D17" s="1">
        <v>801.0</v>
      </c>
      <c r="E17" s="1">
        <v>3.2</v>
      </c>
      <c r="F17" s="1">
        <v>1.0</v>
      </c>
      <c r="G17" s="1">
        <v>184.3</v>
      </c>
      <c r="H17" s="18">
        <f t="shared" si="1"/>
        <v>42.21486486</v>
      </c>
      <c r="I17" s="119"/>
      <c r="J17" s="119"/>
      <c r="K17" s="119"/>
    </row>
    <row r="18" ht="14.25" customHeight="1">
      <c r="A18" s="1" t="s">
        <v>744</v>
      </c>
      <c r="B18" s="1" t="s">
        <v>229</v>
      </c>
      <c r="C18" s="1">
        <v>77.2</v>
      </c>
      <c r="D18" s="1">
        <v>845.2</v>
      </c>
      <c r="E18" s="1">
        <v>4.4</v>
      </c>
      <c r="F18" s="1">
        <v>0.1</v>
      </c>
      <c r="G18" s="1">
        <v>187.8</v>
      </c>
      <c r="H18" s="18">
        <f t="shared" si="1"/>
        <v>44.54432432</v>
      </c>
      <c r="I18" s="112">
        <f>C20*Scoring!$B$36+TE!D20/Scoring!$C$36+TE!E20*Scoring!$D$36+TE!F20*Scoring!$E$36+H20*Scoring!$F$36</f>
        <v>138.3</v>
      </c>
      <c r="J18" s="112">
        <f>C18*Scoring!$B$36+TE!D18/Scoring!$C$36+TE!E18*Scoring!$D$36+TE!F18*Scoring!$E$36+H18*Scoring!$F$36</f>
        <v>149.32</v>
      </c>
      <c r="K18" s="112">
        <f>C19*Scoring!$B$36+TE!D19/Scoring!$C$36+TE!E19*Scoring!$D$36+TE!F19*Scoring!$E$36+H19*Scoring!$F$36</f>
        <v>162.01</v>
      </c>
    </row>
    <row r="19" ht="14.25" customHeight="1">
      <c r="B19" s="1" t="s">
        <v>39</v>
      </c>
      <c r="C19" s="1">
        <v>80.5</v>
      </c>
      <c r="D19" s="1">
        <v>857.6</v>
      </c>
      <c r="E19" s="1">
        <v>6.0</v>
      </c>
      <c r="F19" s="1">
        <v>0.0</v>
      </c>
      <c r="G19" s="1">
        <v>224.8</v>
      </c>
      <c r="H19" s="18">
        <f t="shared" si="1"/>
        <v>45.19783784</v>
      </c>
      <c r="I19" s="119"/>
      <c r="J19" s="119"/>
      <c r="K19" s="119"/>
    </row>
    <row r="20" ht="14.25" customHeight="1">
      <c r="B20" s="1" t="s">
        <v>48</v>
      </c>
      <c r="C20" s="1">
        <v>75.0</v>
      </c>
      <c r="D20" s="1">
        <v>822.0</v>
      </c>
      <c r="E20" s="1">
        <v>3.2</v>
      </c>
      <c r="F20" s="1">
        <v>0.3</v>
      </c>
      <c r="G20" s="1">
        <v>181.8</v>
      </c>
      <c r="H20" s="18">
        <f t="shared" si="1"/>
        <v>43.32162162</v>
      </c>
      <c r="I20" s="119"/>
      <c r="J20" s="119"/>
      <c r="K20" s="119"/>
    </row>
    <row r="21" ht="14.25" customHeight="1">
      <c r="A21" s="1" t="s">
        <v>747</v>
      </c>
      <c r="B21" s="1" t="s">
        <v>179</v>
      </c>
      <c r="C21" s="1">
        <v>70.4</v>
      </c>
      <c r="D21" s="1">
        <v>813.9</v>
      </c>
      <c r="E21" s="1">
        <v>5.5</v>
      </c>
      <c r="F21" s="1">
        <v>0.2</v>
      </c>
      <c r="G21" s="1">
        <v>184.1</v>
      </c>
      <c r="H21" s="18">
        <f t="shared" si="1"/>
        <v>42.89472973</v>
      </c>
      <c r="I21" s="112">
        <f>C23*Scoring!$B$36+TE!D23/Scoring!$C$36+TE!E23*Scoring!$D$36+TE!F23*Scoring!$E$36+H23*Scoring!$F$36</f>
        <v>134.2</v>
      </c>
      <c r="J21" s="112">
        <f>C21*Scoring!$B$36+TE!D21/Scoring!$C$36+TE!E21*Scoring!$D$36+TE!F21*Scoring!$E$36+H21*Scoring!$F$36</f>
        <v>149.19</v>
      </c>
      <c r="K21" s="112">
        <f>C22*Scoring!$B$36+TE!D22/Scoring!$C$36+TE!E22*Scoring!$D$36+TE!F22*Scoring!$E$36+H22*Scoring!$F$36</f>
        <v>166.15</v>
      </c>
    </row>
    <row r="22" ht="14.25" customHeight="1">
      <c r="B22" s="1" t="s">
        <v>39</v>
      </c>
      <c r="C22" s="1">
        <v>78.3</v>
      </c>
      <c r="D22" s="1">
        <v>910.0</v>
      </c>
      <c r="E22" s="1">
        <v>6.0</v>
      </c>
      <c r="F22" s="1">
        <v>0.0</v>
      </c>
      <c r="G22" s="1">
        <v>205.4</v>
      </c>
      <c r="H22" s="18">
        <f t="shared" si="1"/>
        <v>47.95945946</v>
      </c>
      <c r="I22" s="119"/>
      <c r="J22" s="119"/>
      <c r="K22" s="119"/>
    </row>
    <row r="23" ht="14.25" customHeight="1">
      <c r="B23" s="1" t="s">
        <v>48</v>
      </c>
      <c r="C23" s="1">
        <v>61.0</v>
      </c>
      <c r="D23" s="1">
        <v>745.0</v>
      </c>
      <c r="E23" s="1">
        <v>5.0</v>
      </c>
      <c r="F23" s="1">
        <v>0.4</v>
      </c>
      <c r="G23" s="1">
        <v>180.7</v>
      </c>
      <c r="H23" s="18">
        <f t="shared" si="1"/>
        <v>39.26351351</v>
      </c>
      <c r="I23" s="119"/>
      <c r="J23" s="119"/>
      <c r="K23" s="119"/>
    </row>
    <row r="24" ht="14.25" customHeight="1">
      <c r="A24" s="1" t="s">
        <v>748</v>
      </c>
      <c r="B24" s="1" t="s">
        <v>155</v>
      </c>
      <c r="C24" s="1">
        <v>75.3</v>
      </c>
      <c r="D24" s="1">
        <v>785.7</v>
      </c>
      <c r="E24" s="1">
        <v>4.8</v>
      </c>
      <c r="F24" s="1">
        <v>0.3</v>
      </c>
      <c r="G24" s="1">
        <v>182.4</v>
      </c>
      <c r="H24" s="18">
        <f t="shared" si="1"/>
        <v>41.40851351</v>
      </c>
      <c r="I24" s="112">
        <f>C26*Scoring!$B$36+TE!D26/Scoring!$C$36+TE!E26*Scoring!$D$36+TE!F26*Scoring!$E$36+H26*Scoring!$F$36</f>
        <v>136.6</v>
      </c>
      <c r="J24" s="112">
        <f>C24*Scoring!$B$36+TE!D24/Scoring!$C$36+TE!E24*Scoring!$D$36+TE!F24*Scoring!$E$36+H24*Scoring!$F$36</f>
        <v>144.42</v>
      </c>
      <c r="K24" s="112">
        <f>C25*Scoring!$B$36+TE!D25/Scoring!$C$36+TE!E25*Scoring!$D$36+TE!F25*Scoring!$E$36+H25*Scoring!$F$36</f>
        <v>157</v>
      </c>
    </row>
    <row r="25" ht="14.25" customHeight="1">
      <c r="B25" s="1" t="s">
        <v>39</v>
      </c>
      <c r="C25" s="1">
        <v>79.0</v>
      </c>
      <c r="D25" s="1">
        <v>815.0</v>
      </c>
      <c r="E25" s="1">
        <v>6.0</v>
      </c>
      <c r="F25" s="1">
        <v>0.0</v>
      </c>
      <c r="G25" s="1">
        <v>212.9</v>
      </c>
      <c r="H25" s="18">
        <f t="shared" si="1"/>
        <v>42.9527027</v>
      </c>
      <c r="I25" s="119"/>
      <c r="J25" s="119"/>
      <c r="K25" s="119"/>
    </row>
    <row r="26" ht="14.25" customHeight="1">
      <c r="B26" s="1" t="s">
        <v>48</v>
      </c>
      <c r="C26" s="1">
        <v>73.0</v>
      </c>
      <c r="D26" s="1">
        <v>771.0</v>
      </c>
      <c r="E26" s="1">
        <v>4.0</v>
      </c>
      <c r="F26" s="1">
        <v>0.5</v>
      </c>
      <c r="G26" s="1">
        <v>179.0</v>
      </c>
      <c r="H26" s="18">
        <f t="shared" si="1"/>
        <v>40.63378378</v>
      </c>
      <c r="I26" s="119"/>
      <c r="J26" s="119"/>
      <c r="K26" s="119"/>
    </row>
    <row r="27" ht="14.25" customHeight="1">
      <c r="A27" s="1" t="s">
        <v>751</v>
      </c>
      <c r="B27" s="1" t="s">
        <v>140</v>
      </c>
      <c r="C27" s="1">
        <v>67.9</v>
      </c>
      <c r="D27" s="1">
        <v>771.1</v>
      </c>
      <c r="E27" s="1">
        <v>6.1</v>
      </c>
      <c r="F27" s="1">
        <v>0.2</v>
      </c>
      <c r="G27" s="1">
        <v>181.1</v>
      </c>
      <c r="H27" s="18">
        <f t="shared" si="1"/>
        <v>40.63905405</v>
      </c>
      <c r="I27" s="112">
        <f>C29*Scoring!$B$36+TE!D29/Scoring!$C$36+TE!E29*Scoring!$D$36+TE!F29*Scoring!$E$36+H29*Scoring!$F$36</f>
        <v>123.4</v>
      </c>
      <c r="J27" s="112">
        <f>C27*Scoring!$B$36+TE!D27/Scoring!$C$36+TE!E27*Scoring!$D$36+TE!F27*Scoring!$E$36+H27*Scoring!$F$36</f>
        <v>147.26</v>
      </c>
      <c r="K27" s="112">
        <f>C28*Scoring!$B$36+TE!D28/Scoring!$C$36+TE!E28*Scoring!$D$36+TE!F28*Scoring!$E$36+H28*Scoring!$F$36</f>
        <v>176.3</v>
      </c>
    </row>
    <row r="28" ht="14.25" customHeight="1">
      <c r="B28" s="1" t="s">
        <v>39</v>
      </c>
      <c r="C28" s="1">
        <v>77.0</v>
      </c>
      <c r="D28" s="1">
        <v>898.0</v>
      </c>
      <c r="E28" s="1">
        <v>8.0</v>
      </c>
      <c r="F28" s="1">
        <v>0.0</v>
      </c>
      <c r="G28" s="1">
        <v>196.9</v>
      </c>
      <c r="H28" s="18">
        <f t="shared" si="1"/>
        <v>47.32702703</v>
      </c>
      <c r="I28" s="119"/>
      <c r="J28" s="119"/>
      <c r="K28" s="119"/>
    </row>
    <row r="29" ht="14.25" customHeight="1">
      <c r="B29" s="1" t="s">
        <v>48</v>
      </c>
      <c r="C29" s="1">
        <v>57.0</v>
      </c>
      <c r="D29" s="1">
        <v>655.0</v>
      </c>
      <c r="E29" s="1">
        <v>5.0</v>
      </c>
      <c r="F29" s="1">
        <v>0.3</v>
      </c>
      <c r="G29" s="1">
        <v>175.0</v>
      </c>
      <c r="H29" s="18">
        <f t="shared" si="1"/>
        <v>34.52027027</v>
      </c>
      <c r="I29" s="119"/>
      <c r="J29" s="119"/>
      <c r="K29" s="119"/>
    </row>
    <row r="30" ht="14.25" customHeight="1">
      <c r="A30" s="1" t="s">
        <v>752</v>
      </c>
      <c r="B30" s="1" t="s">
        <v>117</v>
      </c>
      <c r="C30" s="1">
        <v>65.5</v>
      </c>
      <c r="D30" s="1">
        <v>689.2</v>
      </c>
      <c r="E30" s="1">
        <v>7.6</v>
      </c>
      <c r="F30" s="1">
        <v>0.2</v>
      </c>
      <c r="G30" s="1">
        <v>179.5</v>
      </c>
      <c r="H30" s="18">
        <f t="shared" si="1"/>
        <v>36.3227027</v>
      </c>
      <c r="I30" s="112">
        <f>C32*Scoring!$B$36+TE!D32/Scoring!$C$36+TE!E32*Scoring!$D$36+TE!F32*Scoring!$E$36+H32*Scoring!$F$36</f>
        <v>124.9</v>
      </c>
      <c r="J30" s="112">
        <f>C30*Scoring!$B$36+TE!D30/Scoring!$C$36+TE!E30*Scoring!$D$36+TE!F30*Scoring!$E$36+H30*Scoring!$F$36</f>
        <v>146.87</v>
      </c>
      <c r="K30" s="112">
        <f>C31*Scoring!$B$36+TE!D31/Scoring!$C$36+TE!E31*Scoring!$D$36+TE!F31*Scoring!$E$36+H31*Scoring!$F$36</f>
        <v>173.87</v>
      </c>
    </row>
    <row r="31" ht="14.25" customHeight="1">
      <c r="B31" s="1" t="s">
        <v>39</v>
      </c>
      <c r="C31" s="1">
        <v>70.6</v>
      </c>
      <c r="D31" s="1">
        <v>725.7</v>
      </c>
      <c r="E31" s="1">
        <v>11.0</v>
      </c>
      <c r="F31" s="1">
        <v>0.0</v>
      </c>
      <c r="G31" s="1">
        <v>201.5</v>
      </c>
      <c r="H31" s="18">
        <f t="shared" si="1"/>
        <v>38.24635135</v>
      </c>
      <c r="I31" s="119"/>
      <c r="J31" s="119"/>
      <c r="K31" s="119"/>
    </row>
    <row r="32" ht="14.25" customHeight="1">
      <c r="B32" s="1" t="s">
        <v>48</v>
      </c>
      <c r="C32" s="1">
        <v>58.0</v>
      </c>
      <c r="D32" s="1">
        <v>625.0</v>
      </c>
      <c r="E32" s="1">
        <v>5.7</v>
      </c>
      <c r="F32" s="1">
        <v>0.4</v>
      </c>
      <c r="G32" s="1">
        <v>172.0</v>
      </c>
      <c r="H32" s="18">
        <f t="shared" si="1"/>
        <v>32.93918919</v>
      </c>
      <c r="I32" s="119"/>
      <c r="J32" s="119"/>
      <c r="K32" s="119"/>
    </row>
    <row r="33" ht="14.25" customHeight="1">
      <c r="A33" s="1" t="s">
        <v>755</v>
      </c>
      <c r="B33" s="1" t="s">
        <v>199</v>
      </c>
      <c r="C33" s="1">
        <v>61.5</v>
      </c>
      <c r="D33" s="1">
        <v>785.8</v>
      </c>
      <c r="E33" s="1">
        <v>6.5</v>
      </c>
      <c r="F33" s="1">
        <v>0.2</v>
      </c>
      <c r="G33" s="1">
        <v>178.4</v>
      </c>
      <c r="H33" s="18">
        <f t="shared" si="1"/>
        <v>41.41378378</v>
      </c>
      <c r="I33" s="112">
        <f>C35*Scoring!$B$36+TE!D35/Scoring!$C$36+TE!E35*Scoring!$D$36+TE!F35*Scoring!$E$36+H35*Scoring!$F$36</f>
        <v>125.8</v>
      </c>
      <c r="J33" s="112">
        <f>C33*Scoring!$B$36+TE!D33/Scoring!$C$36+TE!E33*Scoring!$D$36+TE!F33*Scoring!$E$36+H33*Scoring!$F$36</f>
        <v>147.93</v>
      </c>
      <c r="K33" s="112">
        <f>C34*Scoring!$B$36+TE!D34/Scoring!$C$36+TE!E34*Scoring!$D$36+TE!F34*Scoring!$E$36+H34*Scoring!$F$36</f>
        <v>177.54</v>
      </c>
    </row>
    <row r="34" ht="14.25" customHeight="1">
      <c r="B34" s="1" t="s">
        <v>39</v>
      </c>
      <c r="C34" s="1">
        <v>71.4</v>
      </c>
      <c r="D34" s="1">
        <v>818.4</v>
      </c>
      <c r="E34" s="1">
        <v>10.0</v>
      </c>
      <c r="F34" s="1">
        <v>0.0</v>
      </c>
      <c r="G34" s="1">
        <v>193.5</v>
      </c>
      <c r="H34" s="18">
        <f t="shared" si="1"/>
        <v>43.13189189</v>
      </c>
      <c r="I34" s="119"/>
      <c r="J34" s="119"/>
      <c r="K34" s="119"/>
    </row>
    <row r="35" ht="14.25" customHeight="1">
      <c r="B35" s="1" t="s">
        <v>48</v>
      </c>
      <c r="C35" s="1">
        <v>56.0</v>
      </c>
      <c r="D35" s="1">
        <v>724.0</v>
      </c>
      <c r="E35" s="1">
        <v>4.4</v>
      </c>
      <c r="F35" s="1">
        <v>0.5</v>
      </c>
      <c r="G35" s="1">
        <v>170.8</v>
      </c>
      <c r="H35" s="18">
        <f t="shared" si="1"/>
        <v>38.15675676</v>
      </c>
      <c r="I35" s="119"/>
      <c r="J35" s="119"/>
      <c r="K35" s="119"/>
    </row>
    <row r="36" ht="14.25" customHeight="1">
      <c r="A36" s="1" t="s">
        <v>757</v>
      </c>
      <c r="B36" s="1" t="s">
        <v>150</v>
      </c>
      <c r="C36" s="1">
        <v>73.9</v>
      </c>
      <c r="D36" s="1">
        <v>606.4</v>
      </c>
      <c r="E36" s="1">
        <v>5.9</v>
      </c>
      <c r="F36" s="1">
        <v>1.4</v>
      </c>
      <c r="G36" s="1">
        <v>167.4</v>
      </c>
      <c r="H36" s="18">
        <f t="shared" si="1"/>
        <v>31.95891892</v>
      </c>
      <c r="I36" s="112">
        <f>C38*Scoring!$B$36+TE!D38/Scoring!$C$36+TE!E38*Scoring!$D$36+TE!F38*Scoring!$E$36+H38*Scoring!$F$36</f>
        <v>120</v>
      </c>
      <c r="J36" s="112">
        <f>C36*Scoring!$B$36+TE!D36/Scoring!$C$36+TE!E36*Scoring!$D$36+TE!F36*Scoring!$E$36+H36*Scoring!$F$36</f>
        <v>130.19</v>
      </c>
      <c r="K36" s="112">
        <f>C37*Scoring!$B$36+TE!D37/Scoring!$C$36+TE!E37*Scoring!$D$36+TE!F37*Scoring!$E$36+H37*Scoring!$F$36</f>
        <v>143</v>
      </c>
    </row>
    <row r="37" ht="14.25" customHeight="1">
      <c r="B37" s="1" t="s">
        <v>39</v>
      </c>
      <c r="C37" s="1">
        <v>78.0</v>
      </c>
      <c r="D37" s="1">
        <v>636.0</v>
      </c>
      <c r="E37" s="1">
        <v>7.0</v>
      </c>
      <c r="F37" s="1">
        <v>0.8</v>
      </c>
      <c r="G37" s="1">
        <v>197.9</v>
      </c>
      <c r="H37" s="18">
        <f t="shared" si="1"/>
        <v>33.51891892</v>
      </c>
      <c r="I37" s="119"/>
      <c r="J37" s="119"/>
      <c r="K37" s="119"/>
    </row>
    <row r="38" ht="14.25" customHeight="1">
      <c r="B38" s="1" t="s">
        <v>48</v>
      </c>
      <c r="C38" s="1">
        <v>71.0</v>
      </c>
      <c r="D38" s="1">
        <v>585.0</v>
      </c>
      <c r="E38" s="1">
        <v>5.0</v>
      </c>
      <c r="F38" s="1">
        <v>2.0</v>
      </c>
      <c r="G38" s="1">
        <v>166.9</v>
      </c>
      <c r="H38" s="18">
        <f t="shared" si="1"/>
        <v>30.83108108</v>
      </c>
      <c r="I38" s="119"/>
      <c r="J38" s="119"/>
      <c r="K38" s="119"/>
    </row>
    <row r="39" ht="14.25" customHeight="1">
      <c r="A39" s="1" t="s">
        <v>759</v>
      </c>
      <c r="B39" s="1" t="s">
        <v>61</v>
      </c>
      <c r="C39" s="1">
        <v>59.7</v>
      </c>
      <c r="D39" s="1">
        <v>618.9</v>
      </c>
      <c r="E39" s="1">
        <v>7.7</v>
      </c>
      <c r="F39" s="1">
        <v>0.3</v>
      </c>
      <c r="G39" s="1">
        <v>167.2</v>
      </c>
      <c r="H39" s="18">
        <f t="shared" si="1"/>
        <v>32.6177027</v>
      </c>
      <c r="I39" s="112">
        <f>C41*Scoring!$B$36+TE!D41/Scoring!$C$36+TE!E41*Scoring!$D$36+TE!F41*Scoring!$E$36+H41*Scoring!$F$36</f>
        <v>123.4</v>
      </c>
      <c r="J39" s="112">
        <f>C39*Scoring!$B$36+TE!D39/Scoring!$C$36+TE!E39*Scoring!$D$36+TE!F39*Scoring!$E$36+H39*Scoring!$F$36</f>
        <v>137.34</v>
      </c>
      <c r="K39" s="112">
        <f>C40*Scoring!$B$36+TE!D40/Scoring!$C$36+TE!E40*Scoring!$D$36+TE!F40*Scoring!$E$36+H40*Scoring!$F$36</f>
        <v>155</v>
      </c>
    </row>
    <row r="40" ht="14.25" customHeight="1">
      <c r="B40" s="1" t="s">
        <v>39</v>
      </c>
      <c r="C40" s="1">
        <v>61.0</v>
      </c>
      <c r="D40" s="1">
        <v>645.0</v>
      </c>
      <c r="E40" s="1">
        <v>10.0</v>
      </c>
      <c r="F40" s="1">
        <v>0.0</v>
      </c>
      <c r="G40" s="1">
        <v>190.7</v>
      </c>
      <c r="H40" s="18">
        <f t="shared" si="1"/>
        <v>33.99324324</v>
      </c>
      <c r="I40" s="119"/>
      <c r="J40" s="119"/>
      <c r="K40" s="119"/>
    </row>
    <row r="41" ht="14.25" customHeight="1">
      <c r="B41" s="1" t="s">
        <v>48</v>
      </c>
      <c r="C41" s="1">
        <v>58.0</v>
      </c>
      <c r="D41" s="1">
        <v>594.0</v>
      </c>
      <c r="E41" s="1">
        <v>6.0</v>
      </c>
      <c r="F41" s="1">
        <v>0.5</v>
      </c>
      <c r="G41" s="1">
        <v>171.0</v>
      </c>
      <c r="H41" s="18">
        <f t="shared" si="1"/>
        <v>31.30540541</v>
      </c>
      <c r="I41" s="119"/>
      <c r="J41" s="119"/>
      <c r="K41" s="119"/>
    </row>
    <row r="42" ht="14.25" customHeight="1">
      <c r="A42" s="1" t="s">
        <v>761</v>
      </c>
      <c r="B42" s="1" t="s">
        <v>134</v>
      </c>
      <c r="C42" s="1">
        <v>62.4</v>
      </c>
      <c r="D42" s="1">
        <v>745.6</v>
      </c>
      <c r="E42" s="1">
        <v>5.0</v>
      </c>
      <c r="F42" s="1">
        <v>1.3</v>
      </c>
      <c r="G42" s="1">
        <v>164.7</v>
      </c>
      <c r="H42" s="18">
        <f t="shared" si="1"/>
        <v>39.29513514</v>
      </c>
      <c r="I42" s="112">
        <f>C44*Scoring!$B$36+TE!D44/Scoring!$C$36+TE!E44*Scoring!$D$36+TE!F44*Scoring!$E$36+H44*Scoring!$F$36</f>
        <v>113.6</v>
      </c>
      <c r="J42" s="112">
        <f>C42*Scoring!$B$36+TE!D42/Scoring!$C$36+TE!E42*Scoring!$D$36+TE!F42*Scoring!$E$36+H42*Scoring!$F$36</f>
        <v>133.16</v>
      </c>
      <c r="K42" s="112">
        <f>C43*Scoring!$B$36+TE!D43/Scoring!$C$36+TE!E43*Scoring!$D$36+TE!F43*Scoring!$E$36+H43*Scoring!$F$36</f>
        <v>164.7</v>
      </c>
    </row>
    <row r="43" ht="14.25" customHeight="1">
      <c r="B43" s="1" t="s">
        <v>39</v>
      </c>
      <c r="C43" s="1">
        <v>68.0</v>
      </c>
      <c r="D43" s="1">
        <v>897.0</v>
      </c>
      <c r="E43" s="1">
        <v>7.0</v>
      </c>
      <c r="F43" s="1">
        <v>0.5</v>
      </c>
      <c r="G43" s="1">
        <v>181.4</v>
      </c>
      <c r="H43" s="18">
        <f t="shared" si="1"/>
        <v>47.27432432</v>
      </c>
      <c r="I43" s="119"/>
      <c r="J43" s="119"/>
      <c r="K43" s="119"/>
    </row>
    <row r="44" ht="14.25" customHeight="1">
      <c r="B44" s="1" t="s">
        <v>48</v>
      </c>
      <c r="C44" s="1">
        <v>56.0</v>
      </c>
      <c r="D44" s="1">
        <v>656.0</v>
      </c>
      <c r="E44" s="1">
        <v>4.0</v>
      </c>
      <c r="F44" s="1">
        <v>2.0</v>
      </c>
      <c r="G44" s="1">
        <v>154.8</v>
      </c>
      <c r="H44" s="18">
        <f t="shared" si="1"/>
        <v>34.57297297</v>
      </c>
      <c r="I44" s="119"/>
      <c r="J44" s="119"/>
      <c r="K44" s="119"/>
    </row>
    <row r="45" ht="14.25" customHeight="1">
      <c r="A45" s="1" t="s">
        <v>763</v>
      </c>
      <c r="B45" s="1" t="s">
        <v>18</v>
      </c>
      <c r="C45" s="1">
        <v>57.1</v>
      </c>
      <c r="D45" s="1">
        <v>706.8</v>
      </c>
      <c r="E45" s="1">
        <v>5.5</v>
      </c>
      <c r="F45" s="1">
        <v>0.2</v>
      </c>
      <c r="G45" s="1">
        <v>160.2</v>
      </c>
      <c r="H45" s="18">
        <f t="shared" si="1"/>
        <v>37.25027027</v>
      </c>
      <c r="I45" s="112">
        <f>C47*Scoring!$B$36+TE!D47/Scoring!$C$36+TE!E47*Scoring!$D$36+TE!F47*Scoring!$E$36+H47*Scoring!$F$36</f>
        <v>115.9</v>
      </c>
      <c r="J45" s="112">
        <f>C45*Scoring!$B$36+TE!D45/Scoring!$C$36+TE!E45*Scoring!$D$36+TE!F45*Scoring!$E$36+H45*Scoring!$F$36</f>
        <v>131.83</v>
      </c>
      <c r="K45" s="112">
        <f>C46*Scoring!$B$36+TE!D46/Scoring!$C$36+TE!E46*Scoring!$D$36+TE!F46*Scoring!$E$36+H46*Scoring!$F$36</f>
        <v>149.8</v>
      </c>
    </row>
    <row r="46" ht="14.25" customHeight="1">
      <c r="B46" s="1" t="s">
        <v>39</v>
      </c>
      <c r="C46" s="1">
        <v>60.0</v>
      </c>
      <c r="D46" s="1">
        <v>778.0</v>
      </c>
      <c r="E46" s="1">
        <v>7.0</v>
      </c>
      <c r="F46" s="1">
        <v>0.0</v>
      </c>
      <c r="G46" s="1">
        <v>177.6</v>
      </c>
      <c r="H46" s="18">
        <f t="shared" si="1"/>
        <v>41.0027027</v>
      </c>
      <c r="I46" s="119"/>
      <c r="J46" s="119"/>
      <c r="K46" s="119"/>
    </row>
    <row r="47" ht="14.25" customHeight="1">
      <c r="B47" s="1" t="s">
        <v>48</v>
      </c>
      <c r="C47" s="1">
        <v>52.0</v>
      </c>
      <c r="D47" s="1">
        <v>645.0</v>
      </c>
      <c r="E47" s="1">
        <v>4.4</v>
      </c>
      <c r="F47" s="1">
        <v>0.5</v>
      </c>
      <c r="G47" s="1">
        <v>153.2</v>
      </c>
      <c r="H47" s="18">
        <f t="shared" si="1"/>
        <v>33.99324324</v>
      </c>
      <c r="I47" s="119"/>
      <c r="J47" s="119"/>
      <c r="K47" s="119"/>
    </row>
    <row r="48" ht="14.25" customHeight="1">
      <c r="A48" s="1" t="s">
        <v>765</v>
      </c>
      <c r="B48" s="1" t="s">
        <v>182</v>
      </c>
      <c r="C48" s="1">
        <v>64.7</v>
      </c>
      <c r="D48" s="1">
        <v>730.3</v>
      </c>
      <c r="E48" s="1">
        <v>3.3</v>
      </c>
      <c r="F48" s="1">
        <v>1.3</v>
      </c>
      <c r="G48" s="1">
        <v>154.7</v>
      </c>
      <c r="H48" s="18">
        <f t="shared" si="1"/>
        <v>38.48878378</v>
      </c>
      <c r="I48" s="112">
        <f>C50*Scoring!$B$36+TE!D50/Scoring!$C$36+TE!E50*Scoring!$D$36+TE!F50*Scoring!$E$36+H50*Scoring!$F$36</f>
        <v>107.28</v>
      </c>
      <c r="J48" s="112">
        <f>C48*Scoring!$B$36+TE!D48/Scoring!$C$36+TE!E48*Scoring!$D$36+TE!F48*Scoring!$E$36+H48*Scoring!$F$36</f>
        <v>122.58</v>
      </c>
      <c r="K48" s="112">
        <f>C49*Scoring!$B$36+TE!D49/Scoring!$C$36+TE!E49*Scoring!$D$36+TE!F49*Scoring!$E$36+H49*Scoring!$F$36</f>
        <v>145.3</v>
      </c>
    </row>
    <row r="49" ht="14.25" customHeight="1">
      <c r="B49" s="1" t="s">
        <v>39</v>
      </c>
      <c r="C49" s="1">
        <v>71.0</v>
      </c>
      <c r="D49" s="1">
        <v>870.0</v>
      </c>
      <c r="E49" s="1">
        <v>4.0</v>
      </c>
      <c r="F49" s="1">
        <v>0.6</v>
      </c>
      <c r="G49" s="1">
        <v>180.3</v>
      </c>
      <c r="H49" s="18">
        <f t="shared" si="1"/>
        <v>45.85135135</v>
      </c>
      <c r="I49" s="119"/>
      <c r="J49" s="119"/>
      <c r="K49" s="119"/>
    </row>
    <row r="50" ht="14.25" customHeight="1">
      <c r="B50" s="1" t="s">
        <v>48</v>
      </c>
      <c r="C50" s="1">
        <v>60.0</v>
      </c>
      <c r="D50" s="1">
        <v>644.8</v>
      </c>
      <c r="E50" s="1">
        <v>2.8</v>
      </c>
      <c r="F50" s="1">
        <v>2.0</v>
      </c>
      <c r="G50" s="1">
        <v>145.1</v>
      </c>
      <c r="H50" s="18">
        <f t="shared" si="1"/>
        <v>33.9827027</v>
      </c>
      <c r="I50" s="119"/>
      <c r="J50" s="119"/>
      <c r="K50" s="119"/>
    </row>
    <row r="51" ht="14.25" customHeight="1">
      <c r="A51" s="1" t="s">
        <v>768</v>
      </c>
      <c r="B51" s="1" t="s">
        <v>94</v>
      </c>
      <c r="C51" s="1">
        <v>55.6</v>
      </c>
      <c r="D51" s="1">
        <v>650.2</v>
      </c>
      <c r="E51" s="1">
        <v>5.4</v>
      </c>
      <c r="F51" s="1">
        <v>0.1</v>
      </c>
      <c r="G51" s="1">
        <v>152.9</v>
      </c>
      <c r="H51" s="18">
        <f t="shared" si="1"/>
        <v>34.2672973</v>
      </c>
      <c r="I51" s="112">
        <f>C53*Scoring!$B$36+TE!D53/Scoring!$C$36+TE!E53*Scoring!$D$36+TE!F53*Scoring!$E$36+H53*Scoring!$F$36</f>
        <v>119.5</v>
      </c>
      <c r="J51" s="112">
        <f>C51*Scoring!$B$36+TE!D51/Scoring!$C$36+TE!E51*Scoring!$D$36+TE!F51*Scoring!$E$36+H51*Scoring!$F$36</f>
        <v>125.02</v>
      </c>
      <c r="K51" s="112">
        <f>C52*Scoring!$B$36+TE!D52/Scoring!$C$36+TE!E52*Scoring!$D$36+TE!F52*Scoring!$E$36+H52*Scoring!$F$36</f>
        <v>133.9</v>
      </c>
    </row>
    <row r="52" ht="14.25" customHeight="1">
      <c r="B52" s="1" t="s">
        <v>39</v>
      </c>
      <c r="C52" s="1">
        <v>56.0</v>
      </c>
      <c r="D52" s="1">
        <v>699.0</v>
      </c>
      <c r="E52" s="1">
        <v>6.0</v>
      </c>
      <c r="F52" s="1">
        <v>0.0</v>
      </c>
      <c r="G52" s="1">
        <v>175.5</v>
      </c>
      <c r="H52" s="18">
        <f t="shared" si="1"/>
        <v>36.83918919</v>
      </c>
      <c r="I52" s="119"/>
      <c r="J52" s="119"/>
      <c r="K52" s="119"/>
    </row>
    <row r="53" ht="14.25" customHeight="1">
      <c r="B53" s="1" t="s">
        <v>48</v>
      </c>
      <c r="C53" s="1">
        <v>55.0</v>
      </c>
      <c r="D53" s="1">
        <v>624.0</v>
      </c>
      <c r="E53" s="1">
        <v>5.0</v>
      </c>
      <c r="F53" s="1">
        <v>0.2</v>
      </c>
      <c r="G53" s="1">
        <v>149.7</v>
      </c>
      <c r="H53" s="18">
        <f t="shared" si="1"/>
        <v>32.88648649</v>
      </c>
      <c r="I53" s="119"/>
      <c r="J53" s="119"/>
      <c r="K53" s="119"/>
    </row>
    <row r="54" ht="14.25" customHeight="1">
      <c r="A54" s="1" t="s">
        <v>769</v>
      </c>
      <c r="B54" s="1" t="s">
        <v>145</v>
      </c>
      <c r="C54" s="1">
        <v>60.0</v>
      </c>
      <c r="D54" s="1">
        <v>661.2</v>
      </c>
      <c r="E54" s="1">
        <v>4.3</v>
      </c>
      <c r="F54" s="1">
        <v>0.2</v>
      </c>
      <c r="G54" s="1">
        <v>151.8</v>
      </c>
      <c r="H54" s="18">
        <f t="shared" si="1"/>
        <v>34.84702703</v>
      </c>
      <c r="I54" s="112">
        <f>C56*Scoring!$B$36+TE!D56/Scoring!$C$36+TE!E56*Scoring!$D$36+TE!F56*Scoring!$E$36+H56*Scoring!$F$36</f>
        <v>105.8</v>
      </c>
      <c r="J54" s="112">
        <f>C54*Scoring!$B$36+TE!D54/Scoring!$C$36+TE!E54*Scoring!$D$36+TE!F54*Scoring!$E$36+H54*Scoring!$F$36</f>
        <v>121.52</v>
      </c>
      <c r="K54" s="112">
        <f>C55*Scoring!$B$36+TE!D55/Scoring!$C$36+TE!E55*Scoring!$D$36+TE!F55*Scoring!$E$36+H55*Scoring!$F$36</f>
        <v>146.4</v>
      </c>
    </row>
    <row r="55" ht="14.25" customHeight="1">
      <c r="B55" s="1" t="s">
        <v>39</v>
      </c>
      <c r="C55" s="1">
        <v>70.0</v>
      </c>
      <c r="D55" s="1">
        <v>814.0</v>
      </c>
      <c r="E55" s="1">
        <v>5.0</v>
      </c>
      <c r="F55" s="1">
        <v>0.0</v>
      </c>
      <c r="G55" s="1">
        <v>166.6</v>
      </c>
      <c r="H55" s="18">
        <f t="shared" si="1"/>
        <v>42.9</v>
      </c>
      <c r="I55" s="119"/>
      <c r="J55" s="119"/>
      <c r="K55" s="119"/>
    </row>
    <row r="56" ht="14.25" customHeight="1">
      <c r="B56" s="1" t="s">
        <v>48</v>
      </c>
      <c r="C56" s="1">
        <v>51.0</v>
      </c>
      <c r="D56" s="1">
        <v>571.0</v>
      </c>
      <c r="E56" s="1">
        <v>4.0</v>
      </c>
      <c r="F56" s="1">
        <v>0.4</v>
      </c>
      <c r="G56" s="1">
        <v>143.4</v>
      </c>
      <c r="H56" s="18">
        <f t="shared" si="1"/>
        <v>30.09324324</v>
      </c>
      <c r="I56" s="119"/>
      <c r="J56" s="119"/>
      <c r="K56" s="119"/>
    </row>
    <row r="57" ht="14.25" customHeight="1">
      <c r="A57" s="1" t="s">
        <v>772</v>
      </c>
      <c r="B57" s="1" t="s">
        <v>205</v>
      </c>
      <c r="C57" s="1">
        <v>65.9</v>
      </c>
      <c r="D57" s="1">
        <v>627.5</v>
      </c>
      <c r="E57" s="1">
        <v>3.4</v>
      </c>
      <c r="F57" s="1">
        <v>0.2</v>
      </c>
      <c r="G57" s="1">
        <v>148.5</v>
      </c>
      <c r="H57" s="18">
        <f t="shared" si="1"/>
        <v>33.07094595</v>
      </c>
      <c r="I57" s="112">
        <f>C59*Scoring!$B$36+TE!D59/Scoring!$C$36+TE!E59*Scoring!$D$36+TE!F59*Scoring!$E$36+H59*Scoring!$F$36</f>
        <v>102.35</v>
      </c>
      <c r="J57" s="112">
        <f>C57*Scoring!$B$36+TE!D57/Scoring!$C$36+TE!E57*Scoring!$D$36+TE!F57*Scoring!$E$36+H57*Scoring!$F$36</f>
        <v>115.7</v>
      </c>
      <c r="K57" s="112">
        <f>C58*Scoring!$B$36+TE!D58/Scoring!$C$36+TE!E58*Scoring!$D$36+TE!F58*Scoring!$E$36+H58*Scoring!$F$36</f>
        <v>127.8</v>
      </c>
    </row>
    <row r="58" ht="14.25" customHeight="1">
      <c r="B58" s="1" t="s">
        <v>39</v>
      </c>
      <c r="C58" s="1">
        <v>71.0</v>
      </c>
      <c r="D58" s="1">
        <v>683.0</v>
      </c>
      <c r="E58" s="1">
        <v>4.0</v>
      </c>
      <c r="F58" s="1">
        <v>0.0</v>
      </c>
      <c r="G58" s="1">
        <v>182.0</v>
      </c>
      <c r="H58" s="18">
        <f t="shared" si="1"/>
        <v>35.99594595</v>
      </c>
      <c r="I58" s="119"/>
      <c r="J58" s="119"/>
      <c r="K58" s="119"/>
    </row>
    <row r="59" ht="14.25" customHeight="1">
      <c r="B59" s="1" t="s">
        <v>48</v>
      </c>
      <c r="C59" s="1">
        <v>59.6</v>
      </c>
      <c r="D59" s="1">
        <v>553.5</v>
      </c>
      <c r="E59" s="1">
        <v>3.0</v>
      </c>
      <c r="F59" s="1">
        <v>0.4</v>
      </c>
      <c r="G59" s="1">
        <v>139.5</v>
      </c>
      <c r="H59" s="18">
        <f t="shared" si="1"/>
        <v>29.17094595</v>
      </c>
      <c r="I59" s="119"/>
      <c r="J59" s="119"/>
      <c r="K59" s="119"/>
    </row>
    <row r="60" ht="14.25" customHeight="1">
      <c r="A60" s="1" t="s">
        <v>773</v>
      </c>
      <c r="B60" s="1" t="s">
        <v>189</v>
      </c>
      <c r="C60" s="1">
        <v>63.9</v>
      </c>
      <c r="D60" s="1">
        <v>574.5</v>
      </c>
      <c r="E60" s="1">
        <v>3.3</v>
      </c>
      <c r="F60" s="1">
        <v>0.2</v>
      </c>
      <c r="G60" s="1">
        <v>140.6</v>
      </c>
      <c r="H60" s="18">
        <f t="shared" si="1"/>
        <v>30.2777027</v>
      </c>
      <c r="I60" s="112">
        <f>C62*Scoring!$B$36+TE!D62/Scoring!$C$36+TE!E62*Scoring!$D$36+TE!F62*Scoring!$E$36+H62*Scoring!$F$36</f>
        <v>95.3</v>
      </c>
      <c r="J60" s="112">
        <f>C60*Scoring!$B$36+TE!D60/Scoring!$C$36+TE!E60*Scoring!$D$36+TE!F60*Scoring!$E$36+H60*Scoring!$F$36</f>
        <v>108.8</v>
      </c>
      <c r="K60" s="112">
        <f>C61*Scoring!$B$36+TE!D61/Scoring!$C$36+TE!E61*Scoring!$D$36+TE!F61*Scoring!$E$36+H61*Scoring!$F$36</f>
        <v>126.79</v>
      </c>
    </row>
    <row r="61" ht="14.25" customHeight="1">
      <c r="B61" s="1" t="s">
        <v>39</v>
      </c>
      <c r="C61" s="1">
        <v>77.7</v>
      </c>
      <c r="D61" s="1">
        <v>639.4</v>
      </c>
      <c r="E61" s="1">
        <v>4.0</v>
      </c>
      <c r="F61" s="1">
        <v>0.0</v>
      </c>
      <c r="G61" s="1">
        <v>168.2</v>
      </c>
      <c r="H61" s="18">
        <f t="shared" si="1"/>
        <v>33.69810811</v>
      </c>
      <c r="I61" s="119"/>
      <c r="J61" s="119"/>
      <c r="K61" s="119"/>
    </row>
    <row r="62" ht="14.25" customHeight="1">
      <c r="B62" s="1" t="s">
        <v>48</v>
      </c>
      <c r="C62" s="1">
        <v>55.0</v>
      </c>
      <c r="D62" s="1">
        <v>516.0</v>
      </c>
      <c r="E62" s="1">
        <v>2.8</v>
      </c>
      <c r="F62" s="1">
        <v>0.3</v>
      </c>
      <c r="G62" s="1">
        <v>131.9</v>
      </c>
      <c r="H62" s="18">
        <f t="shared" si="1"/>
        <v>27.19459459</v>
      </c>
      <c r="I62" s="119"/>
      <c r="J62" s="119"/>
      <c r="K62" s="119"/>
    </row>
    <row r="63" ht="14.25" customHeight="1">
      <c r="A63" s="1" t="s">
        <v>776</v>
      </c>
      <c r="B63" s="1" t="s">
        <v>220</v>
      </c>
      <c r="C63" s="1">
        <v>53.0</v>
      </c>
      <c r="D63" s="1">
        <v>560.0</v>
      </c>
      <c r="E63" s="1">
        <v>4.3</v>
      </c>
      <c r="F63" s="1">
        <v>0.2</v>
      </c>
      <c r="G63" s="1">
        <v>134.1</v>
      </c>
      <c r="H63" s="18">
        <f t="shared" si="1"/>
        <v>29.51351351</v>
      </c>
      <c r="I63" s="112">
        <f>C65*Scoring!$B$36+TE!D65/Scoring!$C$36+TE!E65*Scoring!$D$36+TE!F65*Scoring!$E$36+H65*Scoring!$F$36</f>
        <v>89.9</v>
      </c>
      <c r="J63" s="112">
        <f>C63*Scoring!$B$36+TE!D63/Scoring!$C$36+TE!E63*Scoring!$D$36+TE!F63*Scoring!$E$36+H63*Scoring!$F$36</f>
        <v>107.9</v>
      </c>
      <c r="K63" s="112">
        <f>C64*Scoring!$B$36+TE!D64/Scoring!$C$36+TE!E64*Scoring!$D$36+TE!F64*Scoring!$E$36+H64*Scoring!$F$36</f>
        <v>120.25</v>
      </c>
    </row>
    <row r="64" ht="14.25" customHeight="1">
      <c r="B64" s="1" t="s">
        <v>39</v>
      </c>
      <c r="C64" s="1">
        <v>59.9</v>
      </c>
      <c r="D64" s="1">
        <v>603.0</v>
      </c>
      <c r="E64" s="1">
        <v>5.0</v>
      </c>
      <c r="F64" s="1">
        <v>0.0</v>
      </c>
      <c r="G64" s="1">
        <v>166.1</v>
      </c>
      <c r="H64" s="18">
        <f t="shared" si="1"/>
        <v>31.77972973</v>
      </c>
      <c r="I64" s="119"/>
      <c r="J64" s="119"/>
      <c r="K64" s="119"/>
    </row>
    <row r="65" ht="14.25" customHeight="1">
      <c r="B65" s="1" t="s">
        <v>48</v>
      </c>
      <c r="C65" s="1">
        <v>46.0</v>
      </c>
      <c r="D65" s="1">
        <v>511.0</v>
      </c>
      <c r="E65" s="1">
        <v>2.8</v>
      </c>
      <c r="F65" s="1">
        <v>0.5</v>
      </c>
      <c r="G65" s="1">
        <v>127.0</v>
      </c>
      <c r="H65" s="18">
        <f t="shared" si="1"/>
        <v>26.93108108</v>
      </c>
      <c r="I65" s="119"/>
      <c r="J65" s="119"/>
      <c r="K65" s="119"/>
    </row>
    <row r="66" ht="14.25" customHeight="1">
      <c r="A66" s="1" t="s">
        <v>778</v>
      </c>
      <c r="B66" s="1" t="s">
        <v>196</v>
      </c>
      <c r="C66" s="1">
        <v>54.6</v>
      </c>
      <c r="D66" s="1">
        <v>620.0</v>
      </c>
      <c r="E66" s="1">
        <v>3.2</v>
      </c>
      <c r="F66" s="1">
        <v>1.2</v>
      </c>
      <c r="G66" s="1">
        <v>133.5</v>
      </c>
      <c r="H66" s="18">
        <f t="shared" si="1"/>
        <v>32.67567568</v>
      </c>
      <c r="I66" s="112">
        <f>C68*Scoring!$B$36+TE!D68/Scoring!$C$36+TE!E68*Scoring!$D$36+TE!F68*Scoring!$E$36+H68*Scoring!$F$36</f>
        <v>90.05</v>
      </c>
      <c r="J66" s="112">
        <f>C66*Scoring!$B$36+TE!D66/Scoring!$C$36+TE!E66*Scoring!$D$36+TE!F66*Scoring!$E$36+H66*Scoring!$F$36</f>
        <v>106.1</v>
      </c>
      <c r="K66" s="112">
        <f>C67*Scoring!$B$36+TE!D67/Scoring!$C$36+TE!E67*Scoring!$D$36+TE!F67*Scoring!$E$36+H67*Scoring!$F$36</f>
        <v>119.6</v>
      </c>
    </row>
    <row r="67" ht="14.25" customHeight="1">
      <c r="B67" s="1" t="s">
        <v>39</v>
      </c>
      <c r="C67" s="1">
        <v>58.0</v>
      </c>
      <c r="D67" s="1">
        <v>674.0</v>
      </c>
      <c r="E67" s="1">
        <v>4.0</v>
      </c>
      <c r="F67" s="1">
        <v>0.4</v>
      </c>
      <c r="G67" s="1">
        <v>166.2</v>
      </c>
      <c r="H67" s="18">
        <f t="shared" si="1"/>
        <v>35.52162162</v>
      </c>
      <c r="I67" s="119"/>
      <c r="J67" s="119"/>
      <c r="K67" s="119"/>
    </row>
    <row r="68" ht="14.25" customHeight="1">
      <c r="B68" s="1" t="s">
        <v>48</v>
      </c>
      <c r="C68" s="1">
        <v>51.7</v>
      </c>
      <c r="D68" s="1">
        <v>580.0</v>
      </c>
      <c r="E68" s="1">
        <v>1.7</v>
      </c>
      <c r="F68" s="1">
        <v>2.0</v>
      </c>
      <c r="G68" s="1">
        <v>122.0</v>
      </c>
      <c r="H68" s="18">
        <f t="shared" si="1"/>
        <v>30.56756757</v>
      </c>
      <c r="I68" s="119"/>
      <c r="J68" s="119"/>
      <c r="K68" s="119"/>
    </row>
    <row r="69" ht="14.25" customHeight="1">
      <c r="A69" s="1" t="s">
        <v>779</v>
      </c>
      <c r="B69" s="1" t="s">
        <v>186</v>
      </c>
      <c r="C69" s="1">
        <v>54.8</v>
      </c>
      <c r="D69" s="1">
        <v>557.4</v>
      </c>
      <c r="E69" s="1">
        <v>3.1</v>
      </c>
      <c r="F69" s="1">
        <v>0.1</v>
      </c>
      <c r="G69" s="1">
        <v>128.9</v>
      </c>
      <c r="H69" s="18">
        <f t="shared" si="1"/>
        <v>29.37648649</v>
      </c>
      <c r="I69" s="112">
        <f>C71*Scoring!$B$36+TE!D71/Scoring!$C$36+TE!E71*Scoring!$D$36+TE!F71*Scoring!$E$36+H71*Scoring!$F$36</f>
        <v>79.47</v>
      </c>
      <c r="J69" s="112">
        <f>C69*Scoring!$B$36+TE!D69/Scoring!$C$36+TE!E69*Scoring!$D$36+TE!F69*Scoring!$E$36+H69*Scoring!$F$36</f>
        <v>101.54</v>
      </c>
      <c r="K69" s="112">
        <f>C70*Scoring!$B$36+TE!D70/Scoring!$C$36+TE!E70*Scoring!$D$36+TE!F70*Scoring!$E$36+H70*Scoring!$F$36</f>
        <v>128.2</v>
      </c>
    </row>
    <row r="70" ht="14.25" customHeight="1">
      <c r="B70" s="1" t="s">
        <v>39</v>
      </c>
      <c r="C70" s="1">
        <v>67.0</v>
      </c>
      <c r="D70" s="1">
        <v>707.0</v>
      </c>
      <c r="E70" s="1">
        <v>4.0</v>
      </c>
      <c r="F70" s="1">
        <v>0.0</v>
      </c>
      <c r="G70" s="1">
        <v>151.8</v>
      </c>
      <c r="H70" s="18">
        <f t="shared" si="1"/>
        <v>37.26081081</v>
      </c>
      <c r="I70" s="119"/>
      <c r="J70" s="119"/>
      <c r="K70" s="119"/>
    </row>
    <row r="71" ht="14.25" customHeight="1">
      <c r="B71" s="1" t="s">
        <v>48</v>
      </c>
      <c r="C71" s="1">
        <v>44.5</v>
      </c>
      <c r="D71" s="1">
        <v>440.2</v>
      </c>
      <c r="E71" s="1">
        <v>2.3</v>
      </c>
      <c r="F71" s="1">
        <v>0.3</v>
      </c>
      <c r="G71" s="1">
        <v>112.4</v>
      </c>
      <c r="H71" s="18">
        <f t="shared" si="1"/>
        <v>23.19972973</v>
      </c>
      <c r="I71" s="119"/>
      <c r="J71" s="119"/>
      <c r="K71" s="119"/>
    </row>
    <row r="72" ht="14.25" customHeight="1">
      <c r="A72" s="1" t="s">
        <v>782</v>
      </c>
      <c r="B72" s="1" t="s">
        <v>210</v>
      </c>
      <c r="C72" s="1">
        <v>49.7</v>
      </c>
      <c r="D72" s="1">
        <v>546.6</v>
      </c>
      <c r="E72" s="1">
        <v>4.1</v>
      </c>
      <c r="F72" s="1">
        <v>0.7</v>
      </c>
      <c r="G72" s="1">
        <v>127.3</v>
      </c>
      <c r="H72" s="18">
        <f t="shared" si="1"/>
        <v>28.8072973</v>
      </c>
      <c r="I72" s="112">
        <f>C74*Scoring!$B$36+TE!D74/Scoring!$C$36+TE!E74*Scoring!$D$36+TE!F74*Scoring!$E$36+H74*Scoring!$F$36</f>
        <v>75</v>
      </c>
      <c r="J72" s="112">
        <f>C72*Scoring!$B$36+TE!D72/Scoring!$C$36+TE!E72*Scoring!$D$36+TE!F72*Scoring!$E$36+H72*Scoring!$F$36</f>
        <v>102.71</v>
      </c>
      <c r="K72" s="112">
        <f>C73*Scoring!$B$36+TE!D73/Scoring!$C$36+TE!E73*Scoring!$D$36+TE!F73*Scoring!$E$36+H73*Scoring!$F$36</f>
        <v>132.48</v>
      </c>
    </row>
    <row r="73" ht="14.25" customHeight="1">
      <c r="B73" s="1" t="s">
        <v>39</v>
      </c>
      <c r="C73" s="1">
        <v>63.2</v>
      </c>
      <c r="D73" s="1">
        <v>656.8</v>
      </c>
      <c r="E73" s="1">
        <v>6.0</v>
      </c>
      <c r="F73" s="1">
        <v>0.4</v>
      </c>
      <c r="G73" s="1">
        <v>140.6</v>
      </c>
      <c r="H73" s="18">
        <f t="shared" si="1"/>
        <v>34.61513514</v>
      </c>
      <c r="I73" s="119"/>
      <c r="J73" s="119"/>
      <c r="K73" s="119"/>
    </row>
    <row r="74" ht="14.25" customHeight="1">
      <c r="B74" s="1" t="s">
        <v>48</v>
      </c>
      <c r="C74" s="1">
        <v>39.0</v>
      </c>
      <c r="D74" s="1">
        <v>455.0</v>
      </c>
      <c r="E74" s="1">
        <v>2.0</v>
      </c>
      <c r="F74" s="1">
        <v>1.0</v>
      </c>
      <c r="G74" s="1">
        <v>126.7</v>
      </c>
      <c r="H74" s="18">
        <f t="shared" si="1"/>
        <v>23.97972973</v>
      </c>
      <c r="I74" s="119"/>
      <c r="J74" s="119"/>
      <c r="K74" s="119"/>
    </row>
    <row r="75" ht="14.25" customHeight="1">
      <c r="A75" s="1" t="s">
        <v>783</v>
      </c>
      <c r="B75" s="1" t="s">
        <v>106</v>
      </c>
      <c r="C75" s="1">
        <v>52.8</v>
      </c>
      <c r="D75" s="1">
        <v>569.5</v>
      </c>
      <c r="E75" s="1">
        <v>2.8</v>
      </c>
      <c r="F75" s="1">
        <v>0.1</v>
      </c>
      <c r="G75" s="1">
        <v>126.2</v>
      </c>
      <c r="H75" s="18">
        <f t="shared" si="1"/>
        <v>30.01418919</v>
      </c>
      <c r="I75" s="112">
        <f>C77*Scoring!$B$36+TE!D77/Scoring!$C$36+TE!E77*Scoring!$D$36+TE!F77*Scoring!$E$36+H77*Scoring!$F$36</f>
        <v>91.35</v>
      </c>
      <c r="J75" s="112">
        <f>C75*Scoring!$B$36+TE!D75/Scoring!$C$36+TE!E75*Scoring!$D$36+TE!F75*Scoring!$E$36+H75*Scoring!$F$36</f>
        <v>99.95</v>
      </c>
      <c r="K75" s="112">
        <f>C76*Scoring!$B$36+TE!D76/Scoring!$C$36+TE!E76*Scoring!$D$36+TE!F76*Scoring!$E$36+H76*Scoring!$F$36</f>
        <v>107.9</v>
      </c>
    </row>
    <row r="76" ht="14.25" customHeight="1">
      <c r="B76" s="1" t="s">
        <v>39</v>
      </c>
      <c r="C76" s="1">
        <v>54.0</v>
      </c>
      <c r="D76" s="1">
        <v>629.0</v>
      </c>
      <c r="E76" s="1">
        <v>3.0</v>
      </c>
      <c r="F76" s="1">
        <v>0.0</v>
      </c>
      <c r="G76" s="1">
        <v>149.7</v>
      </c>
      <c r="H76" s="18">
        <f t="shared" si="1"/>
        <v>33.15</v>
      </c>
      <c r="I76" s="119"/>
      <c r="J76" s="119"/>
      <c r="K76" s="119"/>
    </row>
    <row r="77" ht="14.25" customHeight="1">
      <c r="B77" s="1" t="s">
        <v>48</v>
      </c>
      <c r="C77" s="1">
        <v>51.3</v>
      </c>
      <c r="D77" s="1">
        <v>519.0</v>
      </c>
      <c r="E77" s="1">
        <v>2.4</v>
      </c>
      <c r="F77" s="1">
        <v>0.3</v>
      </c>
      <c r="G77" s="1">
        <v>122.7</v>
      </c>
      <c r="H77" s="18">
        <f t="shared" si="1"/>
        <v>27.3527027</v>
      </c>
      <c r="I77" s="119"/>
      <c r="J77" s="119"/>
      <c r="K77" s="119"/>
    </row>
    <row r="78" ht="14.25" customHeight="1">
      <c r="A78" s="1" t="s">
        <v>786</v>
      </c>
      <c r="B78" s="1" t="s">
        <v>202</v>
      </c>
      <c r="C78" s="1">
        <v>48.6</v>
      </c>
      <c r="D78" s="1">
        <v>469.9</v>
      </c>
      <c r="E78" s="1">
        <v>4.9</v>
      </c>
      <c r="F78" s="1">
        <v>0.2</v>
      </c>
      <c r="G78" s="1">
        <v>124.4</v>
      </c>
      <c r="H78" s="18">
        <f t="shared" si="1"/>
        <v>24.765</v>
      </c>
      <c r="I78" s="112">
        <f>C80*Scoring!$B$36+TE!D80/Scoring!$C$36+TE!E80*Scoring!$D$36+TE!F80*Scoring!$E$36+H80*Scoring!$F$36</f>
        <v>86.22</v>
      </c>
      <c r="J78" s="112">
        <f>C78*Scoring!$B$36+TE!D78/Scoring!$C$36+TE!E78*Scoring!$D$36+TE!F78*Scoring!$E$36+H78*Scoring!$F$36</f>
        <v>100.29</v>
      </c>
      <c r="K78" s="112">
        <f>C79*Scoring!$B$36+TE!D79/Scoring!$C$36+TE!E79*Scoring!$D$36+TE!F79*Scoring!$E$36+H79*Scoring!$F$36</f>
        <v>119.4</v>
      </c>
    </row>
    <row r="79" ht="14.25" customHeight="1">
      <c r="B79" s="1" t="s">
        <v>39</v>
      </c>
      <c r="C79" s="1">
        <v>54.0</v>
      </c>
      <c r="D79" s="1">
        <v>504.0</v>
      </c>
      <c r="E79" s="1">
        <v>7.0</v>
      </c>
      <c r="F79" s="1">
        <v>0.0</v>
      </c>
      <c r="G79" s="1">
        <v>150.0</v>
      </c>
      <c r="H79" s="18">
        <f t="shared" si="1"/>
        <v>26.56216216</v>
      </c>
      <c r="I79" s="119"/>
      <c r="J79" s="119"/>
      <c r="K79" s="119"/>
    </row>
    <row r="80" ht="14.25" customHeight="1">
      <c r="B80" s="1" t="s">
        <v>48</v>
      </c>
      <c r="C80" s="1">
        <v>44.7</v>
      </c>
      <c r="D80" s="1">
        <v>432.7</v>
      </c>
      <c r="E80" s="1">
        <v>3.6</v>
      </c>
      <c r="F80" s="1">
        <v>0.5</v>
      </c>
      <c r="G80" s="1">
        <v>117.6</v>
      </c>
      <c r="H80" s="18">
        <f t="shared" si="1"/>
        <v>22.80445946</v>
      </c>
      <c r="I80" s="119"/>
      <c r="J80" s="119"/>
      <c r="K80" s="119"/>
    </row>
    <row r="81" ht="14.25" customHeight="1">
      <c r="A81" s="1" t="s">
        <v>787</v>
      </c>
      <c r="B81" s="1" t="s">
        <v>176</v>
      </c>
      <c r="C81" s="1">
        <v>38.3</v>
      </c>
      <c r="D81" s="1">
        <v>526.8</v>
      </c>
      <c r="E81" s="1">
        <v>5.1</v>
      </c>
      <c r="F81" s="1">
        <v>0.2</v>
      </c>
      <c r="G81" s="1">
        <v>121.4</v>
      </c>
      <c r="H81" s="18">
        <f t="shared" si="1"/>
        <v>27.76378378</v>
      </c>
      <c r="I81" s="112">
        <f>C83*Scoring!$B$36+TE!D83/Scoring!$C$36+TE!E83*Scoring!$D$36+TE!F83*Scoring!$E$36+H83*Scoring!$F$36</f>
        <v>90.9</v>
      </c>
      <c r="J81" s="112">
        <f>C81*Scoring!$B$36+TE!D81/Scoring!$C$36+TE!E81*Scoring!$D$36+TE!F81*Scoring!$E$36+H81*Scoring!$F$36</f>
        <v>102.03</v>
      </c>
      <c r="K81" s="112">
        <f>C82*Scoring!$B$36+TE!D82/Scoring!$C$36+TE!E82*Scoring!$D$36+TE!F82*Scoring!$E$36+H82*Scoring!$F$36</f>
        <v>113.38</v>
      </c>
    </row>
    <row r="82" ht="14.25" customHeight="1">
      <c r="B82" s="1" t="s">
        <v>39</v>
      </c>
      <c r="C82" s="1">
        <v>45.9</v>
      </c>
      <c r="D82" s="1">
        <v>580.3</v>
      </c>
      <c r="E82" s="1">
        <v>5.4</v>
      </c>
      <c r="F82" s="1">
        <v>0.0</v>
      </c>
      <c r="G82" s="1">
        <v>135.3</v>
      </c>
      <c r="H82" s="18">
        <f t="shared" si="1"/>
        <v>30.58337838</v>
      </c>
      <c r="I82" s="119"/>
      <c r="J82" s="119"/>
      <c r="K82" s="119"/>
    </row>
    <row r="83" ht="14.25" customHeight="1">
      <c r="B83" s="1" t="s">
        <v>48</v>
      </c>
      <c r="C83" s="1">
        <v>29.0</v>
      </c>
      <c r="D83" s="1">
        <v>470.0</v>
      </c>
      <c r="E83" s="1">
        <v>5.0</v>
      </c>
      <c r="F83" s="1">
        <v>0.3</v>
      </c>
      <c r="G83" s="1">
        <v>114.3</v>
      </c>
      <c r="H83" s="18">
        <f t="shared" si="1"/>
        <v>24.77027027</v>
      </c>
      <c r="I83" s="119"/>
      <c r="J83" s="119"/>
      <c r="K83" s="119"/>
    </row>
    <row r="84" ht="14.25" customHeight="1">
      <c r="A84" s="1" t="s">
        <v>790</v>
      </c>
      <c r="B84" s="1" t="s">
        <v>170</v>
      </c>
      <c r="C84" s="1">
        <v>53.4</v>
      </c>
      <c r="D84" s="1">
        <v>475.9</v>
      </c>
      <c r="E84" s="1">
        <v>2.7</v>
      </c>
      <c r="F84" s="1">
        <v>0.1</v>
      </c>
      <c r="G84" s="1">
        <v>117.1</v>
      </c>
      <c r="H84" s="18">
        <f t="shared" si="1"/>
        <v>25.08121622</v>
      </c>
      <c r="I84" s="112">
        <f>C86*Scoring!$B$36+TE!D86/Scoring!$C$36+TE!E86*Scoring!$D$36+TE!F86*Scoring!$E$36+H86*Scoring!$F$36</f>
        <v>82.73</v>
      </c>
      <c r="J84" s="112">
        <f>C84*Scoring!$B$36+TE!D84/Scoring!$C$36+TE!E84*Scoring!$D$36+TE!F84*Scoring!$E$36+H84*Scoring!$F$36</f>
        <v>90.29</v>
      </c>
      <c r="K84" s="112">
        <f>C85*Scoring!$B$36+TE!D85/Scoring!$C$36+TE!E85*Scoring!$D$36+TE!F85*Scoring!$E$36+H85*Scoring!$F$36</f>
        <v>94.9</v>
      </c>
    </row>
    <row r="85" ht="14.25" customHeight="1">
      <c r="B85" s="1" t="s">
        <v>39</v>
      </c>
      <c r="C85" s="1">
        <v>57.0</v>
      </c>
      <c r="D85" s="1">
        <v>484.0</v>
      </c>
      <c r="E85" s="1">
        <v>3.0</v>
      </c>
      <c r="F85" s="1">
        <v>0.0</v>
      </c>
      <c r="G85" s="1">
        <v>148.3</v>
      </c>
      <c r="H85" s="18">
        <f t="shared" si="1"/>
        <v>25.50810811</v>
      </c>
      <c r="I85" s="119"/>
      <c r="J85" s="119"/>
      <c r="K85" s="119"/>
    </row>
    <row r="86" ht="14.25" customHeight="1">
      <c r="B86" s="1" t="s">
        <v>48</v>
      </c>
      <c r="C86" s="1">
        <v>47.3</v>
      </c>
      <c r="D86" s="1">
        <v>464.8</v>
      </c>
      <c r="E86" s="1">
        <v>2.2</v>
      </c>
      <c r="F86" s="1">
        <v>0.3</v>
      </c>
      <c r="G86" s="1">
        <v>110.4</v>
      </c>
      <c r="H86" s="18">
        <f t="shared" si="1"/>
        <v>24.49621622</v>
      </c>
      <c r="I86" s="119"/>
      <c r="J86" s="119"/>
      <c r="K86" s="119"/>
    </row>
    <row r="87" ht="14.25" customHeight="1">
      <c r="A87" s="1" t="s">
        <v>792</v>
      </c>
      <c r="B87" s="1" t="s">
        <v>208</v>
      </c>
      <c r="C87" s="1">
        <v>41.4</v>
      </c>
      <c r="D87" s="1">
        <v>426.5</v>
      </c>
      <c r="E87" s="1">
        <v>4.7</v>
      </c>
      <c r="F87" s="1">
        <v>0.1</v>
      </c>
      <c r="G87" s="1">
        <v>111.8</v>
      </c>
      <c r="H87" s="18">
        <f t="shared" si="1"/>
        <v>22.4777027</v>
      </c>
      <c r="I87" s="112">
        <f>C89*Scoring!$B$36+TE!D89/Scoring!$C$36+TE!E89*Scoring!$D$36+TE!F89*Scoring!$E$36+H89*Scoring!$F$36</f>
        <v>74.8</v>
      </c>
      <c r="J87" s="112">
        <f>C87*Scoring!$B$36+TE!D87/Scoring!$C$36+TE!E87*Scoring!$D$36+TE!F87*Scoring!$E$36+H87*Scoring!$F$36</f>
        <v>91.35</v>
      </c>
      <c r="K87" s="112">
        <f>C88*Scoring!$B$36+TE!D88/Scoring!$C$36+TE!E88*Scoring!$D$36+TE!F88*Scoring!$E$36+H88*Scoring!$F$36</f>
        <v>106.34</v>
      </c>
    </row>
    <row r="88" ht="14.25" customHeight="1">
      <c r="B88" s="1" t="s">
        <v>39</v>
      </c>
      <c r="C88" s="1">
        <v>46.0</v>
      </c>
      <c r="D88" s="1">
        <v>473.4</v>
      </c>
      <c r="E88" s="1">
        <v>6.0</v>
      </c>
      <c r="F88" s="1">
        <v>0.0</v>
      </c>
      <c r="G88" s="1">
        <v>116.6</v>
      </c>
      <c r="H88" s="18">
        <f t="shared" si="1"/>
        <v>24.94945946</v>
      </c>
      <c r="I88" s="119"/>
      <c r="J88" s="119"/>
      <c r="K88" s="119"/>
    </row>
    <row r="89" ht="14.25" customHeight="1">
      <c r="B89" s="1" t="s">
        <v>48</v>
      </c>
      <c r="C89" s="1">
        <v>35.0</v>
      </c>
      <c r="D89" s="1">
        <v>337.0</v>
      </c>
      <c r="E89" s="1">
        <v>4.0</v>
      </c>
      <c r="F89" s="1">
        <v>0.2</v>
      </c>
      <c r="G89" s="1">
        <v>112.9</v>
      </c>
      <c r="H89" s="18">
        <f t="shared" si="1"/>
        <v>17.76081081</v>
      </c>
      <c r="I89" s="119"/>
      <c r="J89" s="119"/>
      <c r="K89" s="119"/>
    </row>
    <row r="90" ht="14.25" customHeight="1">
      <c r="A90" s="1" t="s">
        <v>794</v>
      </c>
      <c r="B90" s="1" t="s">
        <v>214</v>
      </c>
      <c r="C90" s="1">
        <v>48.9</v>
      </c>
      <c r="D90" s="1">
        <v>444.1</v>
      </c>
      <c r="E90" s="1">
        <v>3.1</v>
      </c>
      <c r="F90" s="1">
        <v>0.2</v>
      </c>
      <c r="G90" s="1">
        <v>111.6</v>
      </c>
      <c r="H90" s="18">
        <f t="shared" si="1"/>
        <v>23.40527027</v>
      </c>
      <c r="I90" s="112">
        <f>C92*Scoring!$B$36+TE!D92/Scoring!$C$36+TE!E92*Scoring!$D$36+TE!F92*Scoring!$E$36+H92*Scoring!$F$36</f>
        <v>77</v>
      </c>
      <c r="J90" s="112">
        <f>C90*Scoring!$B$36+TE!D90/Scoring!$C$36+TE!E90*Scoring!$D$36+TE!F90*Scoring!$E$36+H90*Scoring!$F$36</f>
        <v>87.06</v>
      </c>
      <c r="K90" s="112">
        <f>C91*Scoring!$B$36+TE!D91/Scoring!$C$36+TE!E91*Scoring!$D$36+TE!F91*Scoring!$E$36+H91*Scoring!$F$36</f>
        <v>98.57</v>
      </c>
    </row>
    <row r="91" ht="14.25" customHeight="1">
      <c r="B91" s="1" t="s">
        <v>39</v>
      </c>
      <c r="C91" s="1">
        <v>57.7</v>
      </c>
      <c r="D91" s="1">
        <v>499.2</v>
      </c>
      <c r="E91" s="1">
        <v>3.3</v>
      </c>
      <c r="F91" s="1">
        <v>0.0</v>
      </c>
      <c r="G91" s="1">
        <v>134.9</v>
      </c>
      <c r="H91" s="18">
        <f t="shared" si="1"/>
        <v>26.30918919</v>
      </c>
      <c r="I91" s="119"/>
      <c r="J91" s="119"/>
      <c r="K91" s="119"/>
    </row>
    <row r="92" ht="14.25" customHeight="1">
      <c r="B92" s="1" t="s">
        <v>48</v>
      </c>
      <c r="C92" s="1">
        <v>44.0</v>
      </c>
      <c r="D92" s="1">
        <v>378.0</v>
      </c>
      <c r="E92" s="1">
        <v>3.0</v>
      </c>
      <c r="F92" s="1">
        <v>0.4</v>
      </c>
      <c r="G92" s="1">
        <v>96.9</v>
      </c>
      <c r="H92" s="18">
        <f t="shared" si="1"/>
        <v>19.92162162</v>
      </c>
      <c r="I92" s="119"/>
      <c r="J92" s="119"/>
      <c r="K92" s="119"/>
    </row>
    <row r="93" ht="14.25" customHeight="1">
      <c r="A93" s="1" t="s">
        <v>795</v>
      </c>
      <c r="B93" s="1" t="s">
        <v>164</v>
      </c>
      <c r="C93" s="1">
        <v>42.3</v>
      </c>
      <c r="D93" s="1">
        <v>396.6</v>
      </c>
      <c r="E93" s="1">
        <v>4.3</v>
      </c>
      <c r="F93" s="1">
        <v>0.1</v>
      </c>
      <c r="G93" s="1">
        <v>107.4</v>
      </c>
      <c r="H93" s="18">
        <f t="shared" si="1"/>
        <v>20.90189189</v>
      </c>
      <c r="I93" s="112">
        <f>C95*Scoring!$B$36+TE!D95/Scoring!$C$36+TE!E95*Scoring!$D$36+TE!F95*Scoring!$E$36+H95*Scoring!$F$36</f>
        <v>74.25</v>
      </c>
      <c r="J93" s="112">
        <f>C93*Scoring!$B$36+TE!D93/Scoring!$C$36+TE!E93*Scoring!$D$36+TE!F93*Scoring!$E$36+H93*Scoring!$F$36</f>
        <v>86.41</v>
      </c>
      <c r="K93" s="112">
        <f>C94*Scoring!$B$36+TE!D94/Scoring!$C$36+TE!E94*Scoring!$D$36+TE!F94*Scoring!$E$36+H94*Scoring!$F$36</f>
        <v>100.17</v>
      </c>
    </row>
    <row r="94" ht="14.25" customHeight="1">
      <c r="B94" s="1" t="s">
        <v>39</v>
      </c>
      <c r="C94" s="1">
        <v>45.0</v>
      </c>
      <c r="D94" s="1">
        <v>416.7</v>
      </c>
      <c r="E94" s="1">
        <v>6.0</v>
      </c>
      <c r="F94" s="1">
        <v>0.0</v>
      </c>
      <c r="G94" s="1">
        <v>119.7</v>
      </c>
      <c r="H94" s="18">
        <f t="shared" si="1"/>
        <v>21.96121622</v>
      </c>
      <c r="I94" s="119"/>
      <c r="J94" s="119"/>
      <c r="K94" s="119"/>
    </row>
    <row r="95" ht="14.25" customHeight="1">
      <c r="B95" s="1" t="s">
        <v>48</v>
      </c>
      <c r="C95" s="1">
        <v>39.9</v>
      </c>
      <c r="D95" s="1">
        <v>369.0</v>
      </c>
      <c r="E95" s="1">
        <v>3.0</v>
      </c>
      <c r="F95" s="1">
        <v>0.3</v>
      </c>
      <c r="G95" s="1">
        <v>106.8</v>
      </c>
      <c r="H95" s="18">
        <f t="shared" si="1"/>
        <v>19.4472973</v>
      </c>
      <c r="I95" s="119"/>
      <c r="J95" s="119"/>
      <c r="K95" s="119"/>
    </row>
    <row r="96" ht="14.25" customHeight="1">
      <c r="A96" s="1" t="s">
        <v>797</v>
      </c>
      <c r="B96" s="1" t="s">
        <v>127</v>
      </c>
      <c r="C96" s="1">
        <v>41.4</v>
      </c>
      <c r="D96" s="1">
        <v>434.3</v>
      </c>
      <c r="E96" s="1">
        <v>3.6</v>
      </c>
      <c r="F96" s="1">
        <v>0.1</v>
      </c>
      <c r="G96" s="1">
        <v>106.1</v>
      </c>
      <c r="H96" s="18">
        <f t="shared" si="1"/>
        <v>22.88878378</v>
      </c>
      <c r="I96" s="112">
        <f>C98*Scoring!$B$36+TE!D98/Scoring!$C$36+TE!E98*Scoring!$D$36+TE!F98*Scoring!$E$36+H98*Scoring!$F$36</f>
        <v>64.99</v>
      </c>
      <c r="J96" s="112">
        <f>C96*Scoring!$B$36+TE!D96/Scoring!$C$36+TE!E96*Scoring!$D$36+TE!F96*Scoring!$E$36+H96*Scoring!$F$36</f>
        <v>85.53</v>
      </c>
      <c r="K96" s="112">
        <f>C97*Scoring!$B$36+TE!D97/Scoring!$C$36+TE!E97*Scoring!$D$36+TE!F97*Scoring!$E$36+H97*Scoring!$F$36</f>
        <v>102.5</v>
      </c>
    </row>
    <row r="97" ht="14.25" customHeight="1">
      <c r="B97" s="1" t="s">
        <v>39</v>
      </c>
      <c r="C97" s="1">
        <v>49.0</v>
      </c>
      <c r="D97" s="1">
        <v>540.0</v>
      </c>
      <c r="E97" s="1">
        <v>4.0</v>
      </c>
      <c r="F97" s="1">
        <v>0.0</v>
      </c>
      <c r="G97" s="1">
        <v>131.9</v>
      </c>
      <c r="H97" s="18">
        <f t="shared" si="1"/>
        <v>28.45945946</v>
      </c>
      <c r="I97" s="119"/>
      <c r="J97" s="119"/>
      <c r="K97" s="119"/>
    </row>
    <row r="98" ht="14.25" customHeight="1">
      <c r="B98" s="1" t="s">
        <v>48</v>
      </c>
      <c r="C98" s="1">
        <v>32.2</v>
      </c>
      <c r="D98" s="1">
        <v>312.9</v>
      </c>
      <c r="E98" s="1">
        <v>3.0</v>
      </c>
      <c r="F98" s="1">
        <v>0.2</v>
      </c>
      <c r="G98" s="1">
        <v>95.0</v>
      </c>
      <c r="H98" s="18">
        <f t="shared" si="1"/>
        <v>16.49067568</v>
      </c>
      <c r="I98" s="119"/>
      <c r="J98" s="119"/>
      <c r="K98" s="119"/>
    </row>
    <row r="99" ht="14.25" customHeight="1">
      <c r="A99" s="1" t="s">
        <v>799</v>
      </c>
      <c r="B99" s="1" t="s">
        <v>164</v>
      </c>
      <c r="C99" s="1">
        <v>37.8</v>
      </c>
      <c r="D99" s="1">
        <v>474.9</v>
      </c>
      <c r="E99" s="1">
        <v>2.8</v>
      </c>
      <c r="F99" s="1">
        <v>0.6</v>
      </c>
      <c r="G99" s="1">
        <v>101.1</v>
      </c>
      <c r="H99" s="18">
        <f t="shared" si="1"/>
        <v>25.02851351</v>
      </c>
      <c r="I99" s="112">
        <f>C101*Scoring!$B$36+TE!D101/Scoring!$C$36+TE!E101*Scoring!$D$36+TE!F101*Scoring!$E$36+H101*Scoring!$F$36</f>
        <v>60.32</v>
      </c>
      <c r="J99" s="112">
        <f>C99*Scoring!$B$36+TE!D99/Scoring!$C$36+TE!E99*Scoring!$D$36+TE!F99*Scoring!$E$36+H99*Scoring!$F$36</f>
        <v>81.99</v>
      </c>
      <c r="K99" s="112">
        <f>C100*Scoring!$B$36+TE!D100/Scoring!$C$36+TE!E100*Scoring!$D$36+TE!F100*Scoring!$E$36+H100*Scoring!$F$36</f>
        <v>111</v>
      </c>
    </row>
    <row r="100" ht="14.25" customHeight="1">
      <c r="B100" s="1" t="s">
        <v>39</v>
      </c>
      <c r="C100" s="1">
        <v>49.0</v>
      </c>
      <c r="D100" s="1">
        <v>689.0</v>
      </c>
      <c r="E100" s="1">
        <v>3.0</v>
      </c>
      <c r="F100" s="1">
        <v>0.2</v>
      </c>
      <c r="G100" s="1">
        <v>114.8</v>
      </c>
      <c r="H100" s="18">
        <f t="shared" si="1"/>
        <v>36.31216216</v>
      </c>
      <c r="I100" s="119"/>
      <c r="J100" s="119"/>
      <c r="K100" s="119"/>
    </row>
    <row r="101" ht="14.25" customHeight="1">
      <c r="B101" s="1" t="s">
        <v>48</v>
      </c>
      <c r="C101" s="1">
        <v>30.3</v>
      </c>
      <c r="D101" s="1">
        <v>321.7</v>
      </c>
      <c r="E101" s="1">
        <v>2.5</v>
      </c>
      <c r="F101" s="1">
        <v>1.0</v>
      </c>
      <c r="G101" s="1">
        <v>84.8</v>
      </c>
      <c r="H101" s="18">
        <f t="shared" si="1"/>
        <v>16.95445946</v>
      </c>
      <c r="I101" s="119"/>
      <c r="J101" s="119"/>
      <c r="K101" s="119"/>
    </row>
    <row r="102" ht="14.25" customHeight="1">
      <c r="A102" s="1" t="s">
        <v>801</v>
      </c>
      <c r="B102" s="1" t="s">
        <v>210</v>
      </c>
      <c r="C102" s="1">
        <v>45.8</v>
      </c>
      <c r="D102" s="1">
        <v>403.5</v>
      </c>
      <c r="E102" s="1">
        <v>2.4</v>
      </c>
      <c r="F102" s="1">
        <v>0.1</v>
      </c>
      <c r="G102" s="1">
        <v>100.6</v>
      </c>
      <c r="H102" s="18">
        <f t="shared" si="1"/>
        <v>21.26554054</v>
      </c>
      <c r="I102" s="112">
        <f>C104*Scoring!$B$36+TE!D104/Scoring!$C$36+TE!E104*Scoring!$D$36+TE!F104*Scoring!$E$36+H104*Scoring!$F$36</f>
        <v>50</v>
      </c>
      <c r="J102" s="112">
        <f>C102*Scoring!$B$36+TE!D102/Scoring!$C$36+TE!E102*Scoring!$D$36+TE!F102*Scoring!$E$36+H102*Scoring!$F$36</f>
        <v>77.45</v>
      </c>
      <c r="K102" s="112">
        <f>C103*Scoring!$B$36+TE!D103/Scoring!$C$36+TE!E103*Scoring!$D$36+TE!F103*Scoring!$E$36+H103*Scoring!$F$36</f>
        <v>100.1</v>
      </c>
    </row>
    <row r="103" ht="14.25" customHeight="1">
      <c r="B103" s="1" t="s">
        <v>39</v>
      </c>
      <c r="C103" s="1">
        <v>56.0</v>
      </c>
      <c r="D103" s="1">
        <v>481.0</v>
      </c>
      <c r="E103" s="1">
        <v>4.0</v>
      </c>
      <c r="F103" s="1">
        <v>0.0</v>
      </c>
      <c r="G103" s="1">
        <v>130.9</v>
      </c>
      <c r="H103" s="18">
        <f t="shared" si="1"/>
        <v>25.35</v>
      </c>
      <c r="I103" s="119"/>
      <c r="J103" s="119"/>
      <c r="K103" s="119"/>
    </row>
    <row r="104" ht="14.25" customHeight="1">
      <c r="B104" s="1" t="s">
        <v>48</v>
      </c>
      <c r="C104" s="1">
        <v>31.5</v>
      </c>
      <c r="D104" s="1">
        <v>268.5</v>
      </c>
      <c r="E104" s="1">
        <v>1.3</v>
      </c>
      <c r="F104" s="1">
        <v>0.2</v>
      </c>
      <c r="G104" s="1">
        <v>80.6</v>
      </c>
      <c r="H104" s="18">
        <f t="shared" si="1"/>
        <v>14.15067568</v>
      </c>
      <c r="I104" s="119"/>
      <c r="J104" s="119"/>
      <c r="K104" s="119"/>
    </row>
    <row r="105" ht="14.25" customHeight="1">
      <c r="A105" s="1" t="s">
        <v>803</v>
      </c>
      <c r="B105" s="1" t="s">
        <v>176</v>
      </c>
      <c r="C105" s="1">
        <v>34.0</v>
      </c>
      <c r="D105" s="1">
        <v>349.2</v>
      </c>
      <c r="E105" s="1">
        <v>4.0</v>
      </c>
      <c r="F105" s="1">
        <v>0.6</v>
      </c>
      <c r="G105" s="1">
        <v>91.8</v>
      </c>
      <c r="H105" s="18">
        <f t="shared" si="1"/>
        <v>18.40378378</v>
      </c>
      <c r="I105" s="112">
        <f>C107*Scoring!$B$36+TE!D107/Scoring!$C$36+TE!E107*Scoring!$D$36+TE!F107*Scoring!$E$36+H107*Scoring!$F$36</f>
        <v>59.15</v>
      </c>
      <c r="J105" s="112">
        <f>C105*Scoring!$B$36+TE!D105/Scoring!$C$36+TE!E105*Scoring!$D$36+TE!F105*Scoring!$E$36+H105*Scoring!$F$36</f>
        <v>74.72</v>
      </c>
      <c r="K105" s="112">
        <f>C106*Scoring!$B$36+TE!D106/Scoring!$C$36+TE!E106*Scoring!$D$36+TE!F106*Scoring!$E$36+H106*Scoring!$F$36</f>
        <v>99.4</v>
      </c>
    </row>
    <row r="106" ht="14.25" customHeight="1">
      <c r="B106" s="1" t="s">
        <v>39</v>
      </c>
      <c r="C106" s="1">
        <v>41.0</v>
      </c>
      <c r="D106" s="1">
        <v>435.0</v>
      </c>
      <c r="E106" s="1">
        <v>6.0</v>
      </c>
      <c r="F106" s="1">
        <v>0.3</v>
      </c>
      <c r="G106" s="1">
        <v>103.0</v>
      </c>
      <c r="H106" s="18">
        <f t="shared" si="1"/>
        <v>22.92567568</v>
      </c>
      <c r="I106" s="119"/>
      <c r="J106" s="119"/>
      <c r="K106" s="119"/>
    </row>
    <row r="107" ht="14.25" customHeight="1">
      <c r="B107" s="1" t="s">
        <v>48</v>
      </c>
      <c r="C107" s="1">
        <v>28.0</v>
      </c>
      <c r="D107" s="1">
        <v>291.5</v>
      </c>
      <c r="E107" s="1">
        <v>3.0</v>
      </c>
      <c r="F107" s="1">
        <v>1.0</v>
      </c>
      <c r="G107" s="1">
        <v>81.4</v>
      </c>
      <c r="H107" s="18">
        <f t="shared" si="1"/>
        <v>15.36283784</v>
      </c>
      <c r="I107" s="119"/>
      <c r="J107" s="119"/>
      <c r="K107" s="119"/>
    </row>
    <row r="108" ht="14.25" customHeight="1">
      <c r="A108" s="1" t="s">
        <v>805</v>
      </c>
      <c r="B108" s="1" t="s">
        <v>222</v>
      </c>
      <c r="C108" s="1">
        <v>40.0</v>
      </c>
      <c r="D108" s="1">
        <v>376.3</v>
      </c>
      <c r="E108" s="1">
        <v>2.1</v>
      </c>
      <c r="F108" s="1">
        <v>0.1</v>
      </c>
      <c r="G108" s="1">
        <v>90.0</v>
      </c>
      <c r="H108" s="18">
        <f t="shared" si="1"/>
        <v>19.83202703</v>
      </c>
      <c r="I108" s="112">
        <f>C110*Scoring!$B$36+TE!D110/Scoring!$C$36+TE!E110*Scoring!$D$36+TE!F110*Scoring!$E$36+H110*Scoring!$F$36</f>
        <v>60.2</v>
      </c>
      <c r="J108" s="112">
        <f>C108*Scoring!$B$36+TE!D108/Scoring!$C$36+TE!E108*Scoring!$D$36+TE!F108*Scoring!$E$36+H108*Scoring!$F$36</f>
        <v>70.03</v>
      </c>
      <c r="K108" s="112">
        <f>C109*Scoring!$B$36+TE!D109/Scoring!$C$36+TE!E109*Scoring!$D$36+TE!F109*Scoring!$E$36+H109*Scoring!$F$36</f>
        <v>81.5</v>
      </c>
    </row>
    <row r="109" ht="14.25" customHeight="1">
      <c r="B109" s="1" t="s">
        <v>39</v>
      </c>
      <c r="C109" s="1">
        <v>43.0</v>
      </c>
      <c r="D109" s="1">
        <v>420.0</v>
      </c>
      <c r="E109" s="1">
        <v>3.0</v>
      </c>
      <c r="F109" s="1">
        <v>0.0</v>
      </c>
      <c r="G109" s="1">
        <v>121.5</v>
      </c>
      <c r="H109" s="18">
        <f t="shared" si="1"/>
        <v>22.13513514</v>
      </c>
      <c r="I109" s="119"/>
      <c r="J109" s="119"/>
      <c r="K109" s="119"/>
    </row>
    <row r="110" ht="14.25" customHeight="1">
      <c r="B110" s="1" t="s">
        <v>48</v>
      </c>
      <c r="C110" s="1">
        <v>37.0</v>
      </c>
      <c r="D110" s="1">
        <v>345.0</v>
      </c>
      <c r="E110" s="1">
        <v>1.3</v>
      </c>
      <c r="F110" s="1">
        <v>0.3</v>
      </c>
      <c r="G110" s="1">
        <v>79.0</v>
      </c>
      <c r="H110" s="18">
        <f t="shared" si="1"/>
        <v>18.18243243</v>
      </c>
      <c r="I110" s="119"/>
      <c r="J110" s="119"/>
      <c r="K110" s="119"/>
    </row>
    <row r="111" ht="14.25" customHeight="1">
      <c r="A111" s="1" t="s">
        <v>808</v>
      </c>
      <c r="B111" s="1" t="s">
        <v>18</v>
      </c>
      <c r="C111" s="1">
        <v>28.6</v>
      </c>
      <c r="D111" s="1">
        <v>331.7</v>
      </c>
      <c r="E111" s="1">
        <v>2.9</v>
      </c>
      <c r="F111" s="1">
        <v>0.1</v>
      </c>
      <c r="G111" s="1">
        <v>79.2</v>
      </c>
      <c r="H111" s="18">
        <f t="shared" si="1"/>
        <v>17.48148649</v>
      </c>
      <c r="I111" s="112">
        <f>C113*Scoring!$B$36+TE!D113/Scoring!$C$36+TE!E113*Scoring!$D$36+TE!F113*Scoring!$E$36+H113*Scoring!$F$36</f>
        <v>55.55</v>
      </c>
      <c r="J111" s="112">
        <f>C111*Scoring!$B$36+TE!D111/Scoring!$C$36+TE!E111*Scoring!$D$36+TE!F111*Scoring!$E$36+H111*Scoring!$F$36</f>
        <v>64.67</v>
      </c>
      <c r="K111" s="112">
        <f>C112*Scoring!$B$36+TE!D112/Scoring!$C$36+TE!E112*Scoring!$D$36+TE!F112*Scoring!$E$36+H112*Scoring!$F$36</f>
        <v>75.6</v>
      </c>
    </row>
    <row r="112" ht="14.25" customHeight="1">
      <c r="B112" s="1" t="s">
        <v>39</v>
      </c>
      <c r="C112" s="1">
        <v>35.0</v>
      </c>
      <c r="D112" s="1">
        <v>401.0</v>
      </c>
      <c r="E112" s="1">
        <v>3.0</v>
      </c>
      <c r="F112" s="1">
        <v>0.0</v>
      </c>
      <c r="G112" s="1">
        <v>92.5</v>
      </c>
      <c r="H112" s="18">
        <f t="shared" si="1"/>
        <v>21.13378378</v>
      </c>
      <c r="I112" s="119"/>
      <c r="J112" s="119"/>
      <c r="K112" s="119"/>
    </row>
    <row r="113" ht="14.25" customHeight="1">
      <c r="B113" s="1" t="s">
        <v>48</v>
      </c>
      <c r="C113" s="1">
        <v>24.9</v>
      </c>
      <c r="D113" s="1">
        <v>265.0</v>
      </c>
      <c r="E113" s="1">
        <v>2.8</v>
      </c>
      <c r="F113" s="1">
        <v>0.1</v>
      </c>
      <c r="G113" s="1">
        <v>71.9</v>
      </c>
      <c r="H113" s="18">
        <f t="shared" si="1"/>
        <v>13.96621622</v>
      </c>
      <c r="I113" s="119"/>
      <c r="J113" s="119"/>
      <c r="K113" s="119"/>
    </row>
    <row r="114" ht="14.25" customHeight="1">
      <c r="A114" s="1" t="s">
        <v>809</v>
      </c>
      <c r="B114" s="1" t="s">
        <v>134</v>
      </c>
      <c r="C114" s="1">
        <v>27.5</v>
      </c>
      <c r="D114" s="1">
        <v>313.8</v>
      </c>
      <c r="E114" s="1">
        <v>2.9</v>
      </c>
      <c r="F114" s="1">
        <v>0.1</v>
      </c>
      <c r="G114" s="1">
        <v>75.9</v>
      </c>
      <c r="H114" s="18">
        <f t="shared" si="1"/>
        <v>16.53810811</v>
      </c>
      <c r="I114" s="112">
        <f>C116*Scoring!$B$36+TE!D116/Scoring!$C$36+TE!E116*Scoring!$D$36+TE!F116*Scoring!$E$36+H116*Scoring!$F$36</f>
        <v>48.34</v>
      </c>
      <c r="J114" s="112">
        <f>C114*Scoring!$B$36+TE!D114/Scoring!$C$36+TE!E114*Scoring!$D$36+TE!F114*Scoring!$E$36+H114*Scoring!$F$36</f>
        <v>62.33</v>
      </c>
      <c r="K114" s="112">
        <f>C115*Scoring!$B$36+TE!D115/Scoring!$C$36+TE!E115*Scoring!$D$36+TE!F115*Scoring!$E$36+H115*Scoring!$F$36</f>
        <v>85.5</v>
      </c>
    </row>
    <row r="115" ht="14.25" customHeight="1">
      <c r="B115" s="1" t="s">
        <v>39</v>
      </c>
      <c r="C115" s="1">
        <v>33.0</v>
      </c>
      <c r="D115" s="1">
        <v>390.0</v>
      </c>
      <c r="E115" s="1">
        <v>5.0</v>
      </c>
      <c r="F115" s="1">
        <v>0.0</v>
      </c>
      <c r="G115" s="1">
        <v>87.5</v>
      </c>
      <c r="H115" s="18">
        <f t="shared" si="1"/>
        <v>20.55405405</v>
      </c>
      <c r="I115" s="119"/>
      <c r="J115" s="119"/>
      <c r="K115" s="119"/>
    </row>
    <row r="116" ht="14.25" customHeight="1">
      <c r="B116" s="1" t="s">
        <v>48</v>
      </c>
      <c r="C116" s="1">
        <v>24.0</v>
      </c>
      <c r="D116" s="1">
        <v>269.4</v>
      </c>
      <c r="E116" s="1">
        <v>1.6</v>
      </c>
      <c r="F116" s="1">
        <v>0.1</v>
      </c>
      <c r="G116" s="1">
        <v>63.8</v>
      </c>
      <c r="H116" s="18">
        <f t="shared" si="1"/>
        <v>14.19810811</v>
      </c>
      <c r="I116" s="119"/>
      <c r="J116" s="119"/>
      <c r="K116" s="119"/>
    </row>
    <row r="117" ht="14.25" customHeight="1">
      <c r="A117" s="1" t="s">
        <v>812</v>
      </c>
      <c r="B117" s="1" t="s">
        <v>220</v>
      </c>
      <c r="C117" s="1">
        <v>30.7</v>
      </c>
      <c r="D117" s="1">
        <v>329.1</v>
      </c>
      <c r="E117" s="1">
        <v>2.0</v>
      </c>
      <c r="F117" s="1">
        <v>0.6</v>
      </c>
      <c r="G117" s="1">
        <v>74.1</v>
      </c>
      <c r="H117" s="18">
        <f t="shared" si="1"/>
        <v>17.34445946</v>
      </c>
      <c r="I117" s="112">
        <f>C119*Scoring!$B$36+TE!D119/Scoring!$C$36+TE!E119*Scoring!$D$36+TE!F119*Scoring!$E$36+H119*Scoring!$F$36</f>
        <v>52.3</v>
      </c>
      <c r="J117" s="112">
        <f>C117*Scoring!$B$36+TE!D117/Scoring!$C$36+TE!E117*Scoring!$D$36+TE!F117*Scoring!$E$36+H117*Scoring!$F$36</f>
        <v>59.06</v>
      </c>
      <c r="K117" s="112">
        <f>C118*Scoring!$B$36+TE!D118/Scoring!$C$36+TE!E118*Scoring!$D$36+TE!F118*Scoring!$E$36+H118*Scoring!$F$36</f>
        <v>67.2</v>
      </c>
    </row>
    <row r="118" ht="14.25" customHeight="1">
      <c r="B118" s="1" t="s">
        <v>39</v>
      </c>
      <c r="C118" s="1">
        <v>35.0</v>
      </c>
      <c r="D118" s="1">
        <v>383.0</v>
      </c>
      <c r="E118" s="1">
        <v>2.0</v>
      </c>
      <c r="F118" s="1">
        <v>0.3</v>
      </c>
      <c r="G118" s="1">
        <v>85.6</v>
      </c>
      <c r="H118" s="18">
        <f t="shared" si="1"/>
        <v>20.18513514</v>
      </c>
      <c r="I118" s="119"/>
      <c r="J118" s="119"/>
      <c r="K118" s="119"/>
    </row>
    <row r="119" ht="14.25" customHeight="1">
      <c r="B119" s="1" t="s">
        <v>48</v>
      </c>
      <c r="C119" s="1">
        <v>26.0</v>
      </c>
      <c r="D119" s="1">
        <v>299.0</v>
      </c>
      <c r="E119" s="1">
        <v>1.9</v>
      </c>
      <c r="F119" s="1">
        <v>1.0</v>
      </c>
      <c r="G119" s="1">
        <v>70.7</v>
      </c>
      <c r="H119" s="18">
        <f t="shared" si="1"/>
        <v>15.75810811</v>
      </c>
      <c r="I119" s="119"/>
      <c r="J119" s="119"/>
      <c r="K119" s="119"/>
    </row>
    <row r="120" ht="14.25" customHeight="1">
      <c r="A120" s="1" t="s">
        <v>813</v>
      </c>
      <c r="B120" s="1" t="s">
        <v>176</v>
      </c>
      <c r="C120" s="1">
        <v>25.1</v>
      </c>
      <c r="D120" s="1">
        <v>296.5</v>
      </c>
      <c r="E120" s="1">
        <v>2.4</v>
      </c>
      <c r="F120" s="1">
        <v>0.0</v>
      </c>
      <c r="G120" s="1">
        <v>69.2</v>
      </c>
      <c r="H120" s="18">
        <f t="shared" si="1"/>
        <v>15.62635135</v>
      </c>
      <c r="I120" s="112">
        <f>C122*Scoring!$B$36+TE!D122/Scoring!$C$36+TE!E122*Scoring!$D$36+TE!F122*Scoring!$E$36+H122*Scoring!$F$36</f>
        <v>30.69</v>
      </c>
      <c r="J120" s="112">
        <f>C120*Scoring!$B$36+TE!D120/Scoring!$C$36+TE!E120*Scoring!$D$36+TE!F120*Scoring!$E$36+H120*Scoring!$F$36</f>
        <v>56.6</v>
      </c>
      <c r="K120" s="112">
        <f>C121*Scoring!$B$36+TE!D121/Scoring!$C$36+TE!E121*Scoring!$D$36+TE!F121*Scoring!$E$36+H121*Scoring!$F$36</f>
        <v>93.9</v>
      </c>
    </row>
    <row r="121" ht="14.25" customHeight="1">
      <c r="B121" s="1" t="s">
        <v>39</v>
      </c>
      <c r="C121" s="1">
        <v>40.0</v>
      </c>
      <c r="D121" s="1">
        <v>499.0</v>
      </c>
      <c r="E121" s="1">
        <v>4.0</v>
      </c>
      <c r="F121" s="1">
        <v>0.0</v>
      </c>
      <c r="G121" s="1">
        <v>90.1</v>
      </c>
      <c r="H121" s="18">
        <f t="shared" si="1"/>
        <v>26.29864865</v>
      </c>
      <c r="I121" s="119"/>
      <c r="J121" s="119"/>
      <c r="K121" s="119"/>
    </row>
    <row r="122" ht="14.25" customHeight="1">
      <c r="B122" s="1" t="s">
        <v>48</v>
      </c>
      <c r="C122" s="1">
        <v>15.3</v>
      </c>
      <c r="D122" s="1">
        <v>154.4</v>
      </c>
      <c r="E122" s="1">
        <v>1.3</v>
      </c>
      <c r="F122" s="1">
        <v>0.1</v>
      </c>
      <c r="G122" s="1">
        <v>47.9</v>
      </c>
      <c r="H122" s="18">
        <f t="shared" si="1"/>
        <v>8.137297297</v>
      </c>
      <c r="I122" s="119"/>
      <c r="J122" s="119"/>
      <c r="K122" s="119"/>
    </row>
    <row r="123" ht="14.25" customHeight="1">
      <c r="A123" s="1" t="s">
        <v>816</v>
      </c>
      <c r="B123" s="1" t="s">
        <v>127</v>
      </c>
      <c r="C123" s="1">
        <v>30.5</v>
      </c>
      <c r="D123" s="1">
        <v>268.1</v>
      </c>
      <c r="E123" s="1">
        <v>1.9</v>
      </c>
      <c r="F123" s="1">
        <v>0.1</v>
      </c>
      <c r="G123" s="1">
        <v>68.7</v>
      </c>
      <c r="H123" s="18">
        <f t="shared" si="1"/>
        <v>14.12959459</v>
      </c>
      <c r="I123" s="112">
        <f>C125*Scoring!$B$36+TE!D125/Scoring!$C$36+TE!E125*Scoring!$D$36+TE!F125*Scoring!$E$36+H125*Scoring!$F$36</f>
        <v>47.47</v>
      </c>
      <c r="J123" s="112">
        <f>C123*Scoring!$B$36+TE!D123/Scoring!$C$36+TE!E123*Scoring!$D$36+TE!F123*Scoring!$E$36+H123*Scoring!$F$36</f>
        <v>53.26</v>
      </c>
      <c r="K123" s="112">
        <f>C124*Scoring!$B$36+TE!D124/Scoring!$C$36+TE!E124*Scoring!$D$36+TE!F124*Scoring!$E$36+H124*Scoring!$F$36</f>
        <v>59.6</v>
      </c>
    </row>
    <row r="124" ht="14.25" customHeight="1">
      <c r="B124" s="1" t="s">
        <v>39</v>
      </c>
      <c r="C124" s="1">
        <v>35.0</v>
      </c>
      <c r="D124" s="1">
        <v>301.0</v>
      </c>
      <c r="E124" s="1">
        <v>2.0</v>
      </c>
      <c r="F124" s="1">
        <v>0.0</v>
      </c>
      <c r="G124" s="1">
        <v>65.1</v>
      </c>
      <c r="H124" s="18">
        <f t="shared" si="1"/>
        <v>15.86351351</v>
      </c>
      <c r="I124" s="119"/>
      <c r="J124" s="119"/>
      <c r="K124" s="119"/>
    </row>
    <row r="125" ht="14.25" customHeight="1">
      <c r="B125" s="1" t="s">
        <v>48</v>
      </c>
      <c r="C125" s="1">
        <v>25.9</v>
      </c>
      <c r="D125" s="1">
        <v>235.2</v>
      </c>
      <c r="E125" s="1">
        <v>1.9</v>
      </c>
      <c r="F125" s="1">
        <v>0.2</v>
      </c>
      <c r="G125" s="1">
        <v>63.5</v>
      </c>
      <c r="H125" s="18">
        <f t="shared" si="1"/>
        <v>12.39567568</v>
      </c>
      <c r="I125" s="119"/>
      <c r="J125" s="119"/>
      <c r="K125" s="119"/>
    </row>
    <row r="126" ht="14.25" customHeight="1">
      <c r="A126" s="1" t="s">
        <v>817</v>
      </c>
      <c r="B126" s="1" t="s">
        <v>159</v>
      </c>
      <c r="C126" s="1">
        <v>26.2</v>
      </c>
      <c r="D126" s="1">
        <v>274.1</v>
      </c>
      <c r="E126" s="1">
        <v>2.2</v>
      </c>
      <c r="F126" s="1">
        <v>0.1</v>
      </c>
      <c r="G126" s="1">
        <v>66.8</v>
      </c>
      <c r="H126" s="18">
        <f t="shared" si="1"/>
        <v>14.44581081</v>
      </c>
      <c r="I126" s="112">
        <f>C128*Scoring!$B$36+TE!D128/Scoring!$C$36+TE!E128*Scoring!$D$36+TE!F128*Scoring!$E$36+H128*Scoring!$F$36</f>
        <v>42.77</v>
      </c>
      <c r="J126" s="112">
        <f>C126*Scoring!$B$36+TE!D126/Scoring!$C$36+TE!E126*Scoring!$D$36+TE!F126*Scoring!$E$36+H126*Scoring!$F$36</f>
        <v>53.51</v>
      </c>
      <c r="K126" s="112">
        <f>C127*Scoring!$B$36+TE!D127/Scoring!$C$36+TE!E127*Scoring!$D$36+TE!F127*Scoring!$E$36+H127*Scoring!$F$36</f>
        <v>72.9</v>
      </c>
    </row>
    <row r="127" ht="14.25" customHeight="1">
      <c r="B127" s="1" t="s">
        <v>39</v>
      </c>
      <c r="C127" s="1">
        <v>35.0</v>
      </c>
      <c r="D127" s="1">
        <v>374.0</v>
      </c>
      <c r="E127" s="1">
        <v>3.0</v>
      </c>
      <c r="F127" s="1">
        <v>0.0</v>
      </c>
      <c r="G127" s="1">
        <v>99.1</v>
      </c>
      <c r="H127" s="18">
        <f t="shared" si="1"/>
        <v>19.71081081</v>
      </c>
      <c r="I127" s="119"/>
      <c r="J127" s="119"/>
      <c r="K127" s="119"/>
    </row>
    <row r="128" ht="14.25" customHeight="1">
      <c r="B128" s="1" t="s">
        <v>48</v>
      </c>
      <c r="C128" s="1">
        <v>21.7</v>
      </c>
      <c r="D128" s="1">
        <v>219.2</v>
      </c>
      <c r="E128" s="1">
        <v>1.7</v>
      </c>
      <c r="F128" s="1">
        <v>0.1</v>
      </c>
      <c r="G128" s="1">
        <v>53.2</v>
      </c>
      <c r="H128" s="18">
        <f t="shared" si="1"/>
        <v>11.55243243</v>
      </c>
      <c r="I128" s="119"/>
      <c r="J128" s="119"/>
      <c r="K128" s="119"/>
    </row>
    <row r="129" ht="14.25" customHeight="1">
      <c r="A129" s="1" t="s">
        <v>819</v>
      </c>
      <c r="B129" s="1" t="s">
        <v>182</v>
      </c>
      <c r="C129" s="1">
        <v>29.3</v>
      </c>
      <c r="D129" s="1">
        <v>274.4</v>
      </c>
      <c r="E129" s="1">
        <v>1.6</v>
      </c>
      <c r="F129" s="1">
        <v>1.6</v>
      </c>
      <c r="G129" s="1">
        <v>63.2</v>
      </c>
      <c r="H129" s="18">
        <f t="shared" si="1"/>
        <v>14.46162162</v>
      </c>
      <c r="I129" s="112">
        <f>C131*Scoring!$B$36+TE!D131/Scoring!$C$36+TE!E131*Scoring!$D$36+TE!F131*Scoring!$E$36+H131*Scoring!$F$36</f>
        <v>21.78</v>
      </c>
      <c r="J129" s="112">
        <f>C129*Scoring!$B$36+TE!D129/Scoring!$C$36+TE!E129*Scoring!$D$36+TE!F129*Scoring!$E$36+H129*Scoring!$F$36</f>
        <v>48.49</v>
      </c>
      <c r="K129" s="112">
        <f>C130*Scoring!$B$36+TE!D130/Scoring!$C$36+TE!E130*Scoring!$D$36+TE!F130*Scoring!$E$36+H130*Scoring!$F$36</f>
        <v>76.1</v>
      </c>
    </row>
    <row r="130" ht="14.25" customHeight="1">
      <c r="B130" s="1" t="s">
        <v>39</v>
      </c>
      <c r="C130" s="1">
        <v>44.0</v>
      </c>
      <c r="D130" s="1">
        <v>423.0</v>
      </c>
      <c r="E130" s="1">
        <v>2.0</v>
      </c>
      <c r="F130" s="1">
        <v>0.1</v>
      </c>
      <c r="G130" s="1">
        <v>80.3</v>
      </c>
      <c r="H130" s="18">
        <f t="shared" si="1"/>
        <v>22.29324324</v>
      </c>
      <c r="I130" s="119"/>
      <c r="J130" s="119"/>
      <c r="K130" s="119"/>
    </row>
    <row r="131" ht="14.25" customHeight="1">
      <c r="B131" s="1" t="s">
        <v>48</v>
      </c>
      <c r="C131" s="1">
        <v>16.9</v>
      </c>
      <c r="D131" s="1">
        <v>145.3</v>
      </c>
      <c r="E131" s="1">
        <v>0.8</v>
      </c>
      <c r="F131" s="1">
        <v>3.0</v>
      </c>
      <c r="G131" s="1">
        <v>48.5</v>
      </c>
      <c r="H131" s="18">
        <f t="shared" si="1"/>
        <v>7.657702703</v>
      </c>
      <c r="I131" s="119"/>
      <c r="J131" s="119"/>
      <c r="K131" s="119"/>
    </row>
    <row r="132" ht="14.25" customHeight="1">
      <c r="A132" s="1" t="s">
        <v>822</v>
      </c>
      <c r="B132" s="1" t="s">
        <v>196</v>
      </c>
      <c r="C132" s="1">
        <v>26.6</v>
      </c>
      <c r="D132" s="1">
        <v>250.7</v>
      </c>
      <c r="E132" s="1">
        <v>1.9</v>
      </c>
      <c r="F132" s="1">
        <v>0.6</v>
      </c>
      <c r="G132" s="1">
        <v>61.8</v>
      </c>
      <c r="H132" s="18">
        <f t="shared" si="1"/>
        <v>13.21256757</v>
      </c>
      <c r="I132" s="112">
        <f>C134*Scoring!$B$36+TE!D134/Scoring!$C$36+TE!E134*Scoring!$D$36+TE!F134*Scoring!$E$36+H134*Scoring!$F$36</f>
        <v>29.29</v>
      </c>
      <c r="J132" s="112">
        <f>C132*Scoring!$B$36+TE!D132/Scoring!$C$36+TE!E132*Scoring!$D$36+TE!F132*Scoring!$E$36+H132*Scoring!$F$36</f>
        <v>48.57</v>
      </c>
      <c r="K132" s="112">
        <f>C133*Scoring!$B$36+TE!D133/Scoring!$C$36+TE!E133*Scoring!$D$36+TE!F133*Scoring!$E$36+H133*Scoring!$F$36</f>
        <v>68</v>
      </c>
    </row>
    <row r="133" ht="14.25" customHeight="1">
      <c r="B133" s="1" t="s">
        <v>39</v>
      </c>
      <c r="C133" s="1">
        <v>35.0</v>
      </c>
      <c r="D133" s="1">
        <v>327.0</v>
      </c>
      <c r="E133" s="1">
        <v>3.0</v>
      </c>
      <c r="F133" s="1">
        <v>0.1</v>
      </c>
      <c r="G133" s="1">
        <v>66.6</v>
      </c>
      <c r="H133" s="18">
        <f t="shared" si="1"/>
        <v>17.23378378</v>
      </c>
      <c r="I133" s="119"/>
      <c r="J133" s="119"/>
      <c r="K133" s="119"/>
    </row>
    <row r="134" ht="14.25" customHeight="1">
      <c r="B134" s="1" t="s">
        <v>48</v>
      </c>
      <c r="C134" s="1">
        <v>18.1</v>
      </c>
      <c r="D134" s="1">
        <v>174.4</v>
      </c>
      <c r="E134" s="1">
        <v>0.8</v>
      </c>
      <c r="F134" s="1">
        <v>1.0</v>
      </c>
      <c r="G134" s="1">
        <v>48.4</v>
      </c>
      <c r="H134" s="18">
        <f t="shared" si="1"/>
        <v>9.191351351</v>
      </c>
      <c r="I134" s="119"/>
      <c r="J134" s="119"/>
      <c r="K134" s="119"/>
    </row>
    <row r="135" ht="14.25" customHeight="1">
      <c r="A135" s="1" t="s">
        <v>823</v>
      </c>
      <c r="B135" s="1" t="s">
        <v>202</v>
      </c>
      <c r="C135" s="1">
        <v>23.6</v>
      </c>
      <c r="D135" s="1">
        <v>240.1</v>
      </c>
      <c r="E135" s="1">
        <v>1.9</v>
      </c>
      <c r="F135" s="1">
        <v>0.2</v>
      </c>
      <c r="G135" s="1">
        <v>58.4</v>
      </c>
      <c r="H135" s="18">
        <f t="shared" si="1"/>
        <v>12.65391892</v>
      </c>
      <c r="I135" s="112">
        <f>C137*Scoring!$B$36+TE!D137/Scoring!$C$36+TE!E137*Scoring!$D$36+TE!F137*Scoring!$E$36+H137*Scoring!$F$36</f>
        <v>42.9</v>
      </c>
      <c r="J135" s="112">
        <f>C135*Scoring!$B$36+TE!D135/Scoring!$C$36+TE!E135*Scoring!$D$36+TE!F135*Scoring!$E$36+H135*Scoring!$F$36</f>
        <v>46.81</v>
      </c>
      <c r="K135" s="112">
        <f>C136*Scoring!$B$36+TE!D136/Scoring!$C$36+TE!E136*Scoring!$D$36+TE!F136*Scoring!$E$36+H136*Scoring!$F$36</f>
        <v>50.07</v>
      </c>
    </row>
    <row r="136" ht="14.25" customHeight="1">
      <c r="B136" s="1" t="s">
        <v>39</v>
      </c>
      <c r="C136" s="1">
        <v>24.1</v>
      </c>
      <c r="D136" s="1">
        <v>264.2</v>
      </c>
      <c r="E136" s="1">
        <v>2.0</v>
      </c>
      <c r="F136" s="1">
        <v>0.2</v>
      </c>
      <c r="G136" s="1">
        <v>68.7</v>
      </c>
      <c r="H136" s="18">
        <f t="shared" si="1"/>
        <v>13.92405405</v>
      </c>
      <c r="I136" s="119"/>
      <c r="J136" s="119"/>
      <c r="K136" s="119"/>
    </row>
    <row r="137" ht="14.25" customHeight="1">
      <c r="B137" s="1" t="s">
        <v>48</v>
      </c>
      <c r="C137" s="1">
        <v>23.0</v>
      </c>
      <c r="D137" s="1">
        <v>216.0</v>
      </c>
      <c r="E137" s="1">
        <v>1.7</v>
      </c>
      <c r="F137" s="1">
        <v>0.2</v>
      </c>
      <c r="G137" s="1">
        <v>60.1</v>
      </c>
      <c r="H137" s="18">
        <f t="shared" si="1"/>
        <v>11.38378378</v>
      </c>
      <c r="I137" s="119"/>
      <c r="J137" s="119"/>
      <c r="K137" s="119"/>
    </row>
    <row r="138" ht="14.25" customHeight="1">
      <c r="A138" s="1" t="s">
        <v>826</v>
      </c>
      <c r="B138" s="1" t="s">
        <v>164</v>
      </c>
      <c r="C138" s="1">
        <v>20.2</v>
      </c>
      <c r="D138" s="1">
        <v>230.3</v>
      </c>
      <c r="E138" s="1">
        <v>2.0</v>
      </c>
      <c r="F138" s="1">
        <v>0.1</v>
      </c>
      <c r="G138" s="1">
        <v>55.4</v>
      </c>
      <c r="H138" s="18">
        <f t="shared" si="1"/>
        <v>12.13743243</v>
      </c>
      <c r="I138" s="112">
        <f>C140*Scoring!$B$36+TE!D140/Scoring!$C$36+TE!E140*Scoring!$D$36+TE!F140*Scoring!$E$36+H140*Scoring!$F$36</f>
        <v>28.03</v>
      </c>
      <c r="J138" s="112">
        <f>C138*Scoring!$B$36+TE!D138/Scoring!$C$36+TE!E138*Scoring!$D$36+TE!F138*Scoring!$E$36+H138*Scoring!$F$36</f>
        <v>44.93</v>
      </c>
      <c r="K138" s="112">
        <f>C139*Scoring!$B$36+TE!D139/Scoring!$C$36+TE!E139*Scoring!$D$36+TE!F139*Scoring!$E$36+H139*Scoring!$F$36</f>
        <v>69.8</v>
      </c>
    </row>
    <row r="139" ht="14.25" customHeight="1">
      <c r="B139" s="1" t="s">
        <v>39</v>
      </c>
      <c r="C139" s="1">
        <v>25.0</v>
      </c>
      <c r="D139" s="1">
        <v>333.0</v>
      </c>
      <c r="E139" s="1">
        <v>4.0</v>
      </c>
      <c r="F139" s="1">
        <v>0.0</v>
      </c>
      <c r="G139" s="1">
        <v>68.2</v>
      </c>
      <c r="H139" s="18">
        <f t="shared" si="1"/>
        <v>17.55</v>
      </c>
      <c r="I139" s="119"/>
      <c r="J139" s="119"/>
      <c r="K139" s="119"/>
    </row>
    <row r="140" ht="14.25" customHeight="1">
      <c r="B140" s="1" t="s">
        <v>48</v>
      </c>
      <c r="C140" s="1">
        <v>14.7</v>
      </c>
      <c r="D140" s="1">
        <v>148.8</v>
      </c>
      <c r="E140" s="1">
        <v>1.0</v>
      </c>
      <c r="F140" s="1">
        <v>0.1</v>
      </c>
      <c r="G140" s="1">
        <v>41.8</v>
      </c>
      <c r="H140" s="18">
        <f t="shared" si="1"/>
        <v>7.842162162</v>
      </c>
      <c r="I140" s="119"/>
      <c r="J140" s="119"/>
      <c r="K140" s="119"/>
    </row>
    <row r="141" ht="14.25" customHeight="1">
      <c r="A141" s="1" t="s">
        <v>827</v>
      </c>
      <c r="B141" s="1" t="s">
        <v>179</v>
      </c>
      <c r="C141" s="1">
        <v>20.9</v>
      </c>
      <c r="D141" s="1">
        <v>187.6</v>
      </c>
      <c r="E141" s="1">
        <v>2.3</v>
      </c>
      <c r="F141" s="1">
        <v>0.0</v>
      </c>
      <c r="G141" s="1">
        <v>53.4</v>
      </c>
      <c r="H141" s="18">
        <f t="shared" si="1"/>
        <v>9.887027027</v>
      </c>
      <c r="I141" s="112">
        <f>C143*Scoring!$B$36+TE!D143/Scoring!$C$36+TE!E143*Scoring!$D$36+TE!F143*Scoring!$E$36+H143*Scoring!$F$36</f>
        <v>14.67</v>
      </c>
      <c r="J141" s="112">
        <f>C141*Scoring!$B$36+TE!D141/Scoring!$C$36+TE!E141*Scoring!$D$36+TE!F141*Scoring!$E$36+H141*Scoring!$F$36</f>
        <v>43.01</v>
      </c>
      <c r="K141" s="112">
        <f>C142*Scoring!$B$36+TE!D142/Scoring!$C$36+TE!E142*Scoring!$D$36+TE!F142*Scoring!$E$36+H142*Scoring!$F$36</f>
        <v>71.3</v>
      </c>
    </row>
    <row r="142" ht="14.25" customHeight="1">
      <c r="B142" s="1" t="s">
        <v>39</v>
      </c>
      <c r="C142" s="1">
        <v>34.0</v>
      </c>
      <c r="D142" s="1">
        <v>303.0</v>
      </c>
      <c r="E142" s="1">
        <v>4.0</v>
      </c>
      <c r="F142" s="1">
        <v>0.0</v>
      </c>
      <c r="G142" s="1">
        <v>65.9</v>
      </c>
      <c r="H142" s="18">
        <f t="shared" si="1"/>
        <v>15.96891892</v>
      </c>
      <c r="I142" s="119"/>
      <c r="J142" s="119"/>
      <c r="K142" s="119"/>
    </row>
    <row r="143" ht="14.25" customHeight="1">
      <c r="B143" s="1" t="s">
        <v>48</v>
      </c>
      <c r="C143" s="1">
        <v>7.7</v>
      </c>
      <c r="D143" s="1">
        <v>72.2</v>
      </c>
      <c r="E143" s="1">
        <v>0.6</v>
      </c>
      <c r="F143" s="1">
        <v>0.0</v>
      </c>
      <c r="G143" s="1">
        <v>31.7</v>
      </c>
      <c r="H143" s="18">
        <f t="shared" si="1"/>
        <v>3.805135135</v>
      </c>
      <c r="I143" s="119"/>
      <c r="J143" s="119"/>
      <c r="K143" s="119"/>
    </row>
    <row r="144" ht="14.25" customHeight="1">
      <c r="A144" s="1" t="s">
        <v>830</v>
      </c>
      <c r="B144" s="1" t="s">
        <v>189</v>
      </c>
      <c r="C144" s="1">
        <v>18.6</v>
      </c>
      <c r="D144" s="1">
        <v>194.3</v>
      </c>
      <c r="E144" s="1">
        <v>2.4</v>
      </c>
      <c r="F144" s="1">
        <v>0.1</v>
      </c>
      <c r="G144" s="1">
        <v>52.1</v>
      </c>
      <c r="H144" s="18">
        <f t="shared" si="1"/>
        <v>10.24013514</v>
      </c>
      <c r="I144" s="112">
        <f>C146*Scoring!$B$36+TE!D146/Scoring!$C$36+TE!E146*Scoring!$D$36+TE!F146*Scoring!$E$36+H146*Scoring!$F$36</f>
        <v>29.83</v>
      </c>
      <c r="J144" s="112">
        <f>C144*Scoring!$B$36+TE!D144/Scoring!$C$36+TE!E144*Scoring!$D$36+TE!F144*Scoring!$E$36+H144*Scoring!$F$36</f>
        <v>42.93</v>
      </c>
      <c r="K144" s="112">
        <f>C145*Scoring!$B$36+TE!D145/Scoring!$C$36+TE!E145*Scoring!$D$36+TE!F145*Scoring!$E$36+H145*Scoring!$F$36</f>
        <v>59.4</v>
      </c>
    </row>
    <row r="145" ht="14.25" customHeight="1">
      <c r="B145" s="1" t="s">
        <v>39</v>
      </c>
      <c r="C145" s="1">
        <v>22.0</v>
      </c>
      <c r="D145" s="1">
        <v>244.0</v>
      </c>
      <c r="E145" s="1">
        <v>4.0</v>
      </c>
      <c r="F145" s="1">
        <v>0.0</v>
      </c>
      <c r="G145" s="1">
        <v>58.6</v>
      </c>
      <c r="H145" s="18">
        <f t="shared" si="1"/>
        <v>12.85945946</v>
      </c>
      <c r="I145" s="119"/>
      <c r="J145" s="119"/>
      <c r="K145" s="119"/>
    </row>
    <row r="146" ht="14.25" customHeight="1">
      <c r="B146" s="1" t="s">
        <v>48</v>
      </c>
      <c r="C146" s="1">
        <v>16.7</v>
      </c>
      <c r="D146" s="1">
        <v>150.8</v>
      </c>
      <c r="E146" s="1">
        <v>1.1</v>
      </c>
      <c r="F146" s="1">
        <v>0.1</v>
      </c>
      <c r="G146" s="1">
        <v>40.3</v>
      </c>
      <c r="H146" s="18">
        <f t="shared" si="1"/>
        <v>7.947567568</v>
      </c>
      <c r="I146" s="119"/>
      <c r="J146" s="119"/>
      <c r="K146" s="119"/>
    </row>
    <row r="147" ht="14.25" customHeight="1">
      <c r="A147" s="1" t="s">
        <v>831</v>
      </c>
      <c r="B147" s="1" t="s">
        <v>214</v>
      </c>
      <c r="C147" s="1">
        <v>19.3</v>
      </c>
      <c r="D147" s="1">
        <v>222.3</v>
      </c>
      <c r="E147" s="1">
        <v>1.8</v>
      </c>
      <c r="F147" s="1">
        <v>0.0</v>
      </c>
      <c r="G147" s="1">
        <v>52.0</v>
      </c>
      <c r="H147" s="18">
        <f t="shared" si="1"/>
        <v>11.71581081</v>
      </c>
      <c r="I147" s="112">
        <f>C149*Scoring!$B$36+TE!D149/Scoring!$C$36+TE!E149*Scoring!$D$36+TE!F149*Scoring!$E$36+H149*Scoring!$F$36</f>
        <v>20.41</v>
      </c>
      <c r="J147" s="112">
        <f>C147*Scoring!$B$36+TE!D147/Scoring!$C$36+TE!E147*Scoring!$D$36+TE!F147*Scoring!$E$36+H147*Scoring!$F$36</f>
        <v>42.68</v>
      </c>
      <c r="K147" s="112">
        <f>C148*Scoring!$B$36+TE!D148/Scoring!$C$36+TE!E148*Scoring!$D$36+TE!F148*Scoring!$E$36+H148*Scoring!$F$36</f>
        <v>64.2</v>
      </c>
    </row>
    <row r="148" ht="14.25" customHeight="1">
      <c r="B148" s="1" t="s">
        <v>39</v>
      </c>
      <c r="C148" s="1">
        <v>26.0</v>
      </c>
      <c r="D148" s="1">
        <v>332.0</v>
      </c>
      <c r="E148" s="1">
        <v>3.0</v>
      </c>
      <c r="F148" s="1">
        <v>0.0</v>
      </c>
      <c r="G148" s="1">
        <v>61.3</v>
      </c>
      <c r="H148" s="18">
        <f t="shared" si="1"/>
        <v>17.4972973</v>
      </c>
      <c r="I148" s="119"/>
      <c r="J148" s="119"/>
      <c r="K148" s="119"/>
    </row>
    <row r="149" ht="14.25" customHeight="1">
      <c r="B149" s="1" t="s">
        <v>48</v>
      </c>
      <c r="C149" s="1">
        <v>12.7</v>
      </c>
      <c r="D149" s="1">
        <v>112.6</v>
      </c>
      <c r="E149" s="1">
        <v>0.5</v>
      </c>
      <c r="F149" s="1">
        <v>0.1</v>
      </c>
      <c r="G149" s="1">
        <v>33.4</v>
      </c>
      <c r="H149" s="18">
        <f t="shared" si="1"/>
        <v>5.934324324</v>
      </c>
      <c r="I149" s="119"/>
      <c r="J149" s="119"/>
      <c r="K149" s="119"/>
    </row>
    <row r="150" ht="14.25" customHeight="1">
      <c r="A150" s="1" t="s">
        <v>834</v>
      </c>
      <c r="B150" s="1" t="s">
        <v>229</v>
      </c>
      <c r="C150" s="1">
        <v>21.9</v>
      </c>
      <c r="D150" s="1">
        <v>225.4</v>
      </c>
      <c r="E150" s="1">
        <v>1.3</v>
      </c>
      <c r="F150" s="1">
        <v>0.1</v>
      </c>
      <c r="G150" s="1">
        <v>51.9</v>
      </c>
      <c r="H150" s="18">
        <f t="shared" si="1"/>
        <v>11.87918919</v>
      </c>
      <c r="I150" s="112">
        <f>C152*Scoring!$B$36+TE!D152/Scoring!$C$36+TE!E152*Scoring!$D$36+TE!F152*Scoring!$E$36+H152*Scoring!$F$36</f>
        <v>33.02</v>
      </c>
      <c r="J150" s="112">
        <f>C150*Scoring!$B$36+TE!D150/Scoring!$C$36+TE!E150*Scoring!$D$36+TE!F150*Scoring!$E$36+H150*Scoring!$F$36</f>
        <v>41.09</v>
      </c>
      <c r="K150" s="112">
        <f>C151*Scoring!$B$36+TE!D151/Scoring!$C$36+TE!E151*Scoring!$D$36+TE!F151*Scoring!$E$36+H151*Scoring!$F$36</f>
        <v>48.5</v>
      </c>
    </row>
    <row r="151" ht="14.25" customHeight="1">
      <c r="B151" s="1" t="s">
        <v>39</v>
      </c>
      <c r="C151" s="1">
        <v>23.0</v>
      </c>
      <c r="D151" s="1">
        <v>250.0</v>
      </c>
      <c r="E151" s="1">
        <v>2.0</v>
      </c>
      <c r="F151" s="1">
        <v>0.0</v>
      </c>
      <c r="G151" s="1">
        <v>69.4</v>
      </c>
      <c r="H151" s="18">
        <f t="shared" si="1"/>
        <v>13.17567568</v>
      </c>
      <c r="I151" s="119"/>
      <c r="J151" s="119"/>
      <c r="K151" s="119"/>
    </row>
    <row r="152" ht="14.25" customHeight="1">
      <c r="B152" s="1" t="s">
        <v>48</v>
      </c>
      <c r="C152" s="1">
        <v>20.6</v>
      </c>
      <c r="D152" s="1">
        <v>181.2</v>
      </c>
      <c r="E152" s="1">
        <v>0.8</v>
      </c>
      <c r="F152" s="1">
        <v>0.1</v>
      </c>
      <c r="G152" s="1">
        <v>43.9</v>
      </c>
      <c r="H152" s="18">
        <f t="shared" si="1"/>
        <v>9.54972973</v>
      </c>
      <c r="I152" s="119"/>
      <c r="J152" s="119"/>
      <c r="K152" s="119"/>
    </row>
    <row r="153" ht="14.25" customHeight="1">
      <c r="A153" s="1" t="s">
        <v>836</v>
      </c>
      <c r="B153" s="1" t="s">
        <v>155</v>
      </c>
      <c r="C153" s="1">
        <v>21.0</v>
      </c>
      <c r="D153" s="1">
        <v>211.8</v>
      </c>
      <c r="E153" s="1">
        <v>1.5</v>
      </c>
      <c r="F153" s="1">
        <v>0.1</v>
      </c>
      <c r="G153" s="1">
        <v>51.0</v>
      </c>
      <c r="H153" s="18">
        <f t="shared" si="1"/>
        <v>11.16243243</v>
      </c>
      <c r="I153" s="112">
        <f>C155*Scoring!$B$36+TE!D155/Scoring!$C$36+TE!E155*Scoring!$D$36+TE!F155*Scoring!$E$36+H155*Scoring!$F$36</f>
        <v>27.2</v>
      </c>
      <c r="J153" s="112">
        <f>C153*Scoring!$B$36+TE!D153/Scoring!$C$36+TE!E153*Scoring!$D$36+TE!F153*Scoring!$E$36+H153*Scoring!$F$36</f>
        <v>40.48</v>
      </c>
      <c r="K153" s="112">
        <f>C154*Scoring!$B$36+TE!D154/Scoring!$C$36+TE!E154*Scoring!$D$36+TE!F154*Scoring!$E$36+H154*Scoring!$F$36</f>
        <v>51.28</v>
      </c>
    </row>
    <row r="154" ht="14.25" customHeight="1">
      <c r="B154" s="1" t="s">
        <v>39</v>
      </c>
      <c r="C154" s="1">
        <v>26.1</v>
      </c>
      <c r="D154" s="1">
        <v>262.3</v>
      </c>
      <c r="E154" s="1">
        <v>2.0</v>
      </c>
      <c r="F154" s="1">
        <v>0.0</v>
      </c>
      <c r="G154" s="1">
        <v>67.4</v>
      </c>
      <c r="H154" s="18">
        <f t="shared" si="1"/>
        <v>13.82391892</v>
      </c>
      <c r="I154" s="119"/>
      <c r="J154" s="119"/>
      <c r="K154" s="119"/>
    </row>
    <row r="155" ht="14.25" customHeight="1">
      <c r="B155" s="1" t="s">
        <v>48</v>
      </c>
      <c r="C155" s="1">
        <v>15.0</v>
      </c>
      <c r="D155" s="1">
        <v>139.0</v>
      </c>
      <c r="E155" s="1">
        <v>1.0</v>
      </c>
      <c r="F155" s="1">
        <v>0.1</v>
      </c>
      <c r="G155" s="1">
        <v>33.0</v>
      </c>
      <c r="H155" s="18">
        <f t="shared" si="1"/>
        <v>7.325675676</v>
      </c>
      <c r="I155" s="119"/>
      <c r="J155" s="119"/>
      <c r="K155" s="119"/>
    </row>
    <row r="156" ht="14.25" customHeight="1">
      <c r="A156" s="1" t="s">
        <v>837</v>
      </c>
      <c r="B156" s="1" t="s">
        <v>117</v>
      </c>
      <c r="C156" s="1">
        <v>20.9</v>
      </c>
      <c r="D156" s="1">
        <v>214.5</v>
      </c>
      <c r="E156" s="1">
        <v>1.4</v>
      </c>
      <c r="F156" s="1">
        <v>0.6</v>
      </c>
      <c r="G156" s="1">
        <v>49.6</v>
      </c>
      <c r="H156" s="18">
        <f t="shared" si="1"/>
        <v>11.30472973</v>
      </c>
      <c r="I156" s="112">
        <f>C158*Scoring!$B$36+TE!D158/Scoring!$C$36+TE!E158*Scoring!$D$36+TE!F158*Scoring!$E$36+H158*Scoring!$F$36</f>
        <v>18.89</v>
      </c>
      <c r="J156" s="112">
        <f>C156*Scoring!$B$36+TE!D156/Scoring!$C$36+TE!E156*Scoring!$D$36+TE!F156*Scoring!$E$36+H156*Scoring!$F$36</f>
        <v>39.1</v>
      </c>
      <c r="K156" s="112">
        <f>C157*Scoring!$B$36+TE!D157/Scoring!$C$36+TE!E157*Scoring!$D$36+TE!F157*Scoring!$E$36+H157*Scoring!$F$36</f>
        <v>59.5</v>
      </c>
    </row>
    <row r="157" ht="14.25" customHeight="1">
      <c r="B157" s="1" t="s">
        <v>39</v>
      </c>
      <c r="C157" s="1">
        <v>31.0</v>
      </c>
      <c r="D157" s="1">
        <v>322.0</v>
      </c>
      <c r="E157" s="1">
        <v>2.0</v>
      </c>
      <c r="F157" s="1">
        <v>0.1</v>
      </c>
      <c r="G157" s="1">
        <v>52.9</v>
      </c>
      <c r="H157" s="18">
        <f t="shared" si="1"/>
        <v>16.97027027</v>
      </c>
      <c r="I157" s="119"/>
      <c r="J157" s="119"/>
      <c r="K157" s="119"/>
    </row>
    <row r="158" ht="14.25" customHeight="1">
      <c r="B158" s="1" t="s">
        <v>48</v>
      </c>
      <c r="C158" s="1">
        <v>10.8</v>
      </c>
      <c r="D158" s="1">
        <v>106.9</v>
      </c>
      <c r="E158" s="1">
        <v>0.8</v>
      </c>
      <c r="F158" s="1">
        <v>1.0</v>
      </c>
      <c r="G158" s="1">
        <v>39.1</v>
      </c>
      <c r="H158" s="18">
        <f t="shared" si="1"/>
        <v>5.633918919</v>
      </c>
      <c r="I158" s="119"/>
      <c r="J158" s="119"/>
      <c r="K158" s="119"/>
    </row>
    <row r="159" ht="14.25" customHeight="1">
      <c r="A159" s="1" t="s">
        <v>840</v>
      </c>
      <c r="B159" s="1" t="s">
        <v>208</v>
      </c>
      <c r="C159" s="1">
        <v>21.1</v>
      </c>
      <c r="D159" s="1">
        <v>197.8</v>
      </c>
      <c r="E159" s="1">
        <v>1.4</v>
      </c>
      <c r="F159" s="1">
        <v>0.1</v>
      </c>
      <c r="G159" s="1">
        <v>49.4</v>
      </c>
      <c r="H159" s="18">
        <f t="shared" si="1"/>
        <v>10.42459459</v>
      </c>
      <c r="I159" s="112">
        <f>C161*Scoring!$B$36+TE!D161/Scoring!$C$36+TE!E161*Scoring!$D$36+TE!F161*Scoring!$E$36+H161*Scoring!$F$36</f>
        <v>32.65</v>
      </c>
      <c r="J159" s="112">
        <f>C159*Scoring!$B$36+TE!D159/Scoring!$C$36+TE!E159*Scoring!$D$36+TE!F159*Scoring!$E$36+H159*Scoring!$F$36</f>
        <v>38.53</v>
      </c>
      <c r="K159" s="112">
        <f>C160*Scoring!$B$36+TE!D160/Scoring!$C$36+TE!E160*Scoring!$D$36+TE!F160*Scoring!$E$36+H160*Scoring!$F$36</f>
        <v>45</v>
      </c>
    </row>
    <row r="160" ht="14.25" customHeight="1">
      <c r="B160" s="1" t="s">
        <v>39</v>
      </c>
      <c r="C160" s="1">
        <v>23.0</v>
      </c>
      <c r="D160" s="1">
        <v>215.0</v>
      </c>
      <c r="E160" s="1">
        <v>2.0</v>
      </c>
      <c r="F160" s="1">
        <v>0.0</v>
      </c>
      <c r="G160" s="1">
        <v>59.6</v>
      </c>
      <c r="H160" s="18">
        <f t="shared" si="1"/>
        <v>11.33108108</v>
      </c>
      <c r="I160" s="119"/>
      <c r="J160" s="119"/>
      <c r="K160" s="119"/>
    </row>
    <row r="161" ht="14.25" customHeight="1">
      <c r="B161" s="1" t="s">
        <v>48</v>
      </c>
      <c r="C161" s="1">
        <v>18.4</v>
      </c>
      <c r="D161" s="1">
        <v>176.5</v>
      </c>
      <c r="E161" s="1">
        <v>1.0</v>
      </c>
      <c r="F161" s="1">
        <v>0.1</v>
      </c>
      <c r="G161" s="1">
        <v>45.1</v>
      </c>
      <c r="H161" s="18">
        <f t="shared" si="1"/>
        <v>9.302027027</v>
      </c>
      <c r="I161" s="119"/>
      <c r="J161" s="119"/>
      <c r="K161" s="119"/>
    </row>
    <row r="162" ht="14.25" customHeight="1">
      <c r="A162" s="1" t="s">
        <v>841</v>
      </c>
      <c r="B162" s="1" t="s">
        <v>140</v>
      </c>
      <c r="C162" s="1">
        <v>19.1</v>
      </c>
      <c r="D162" s="1">
        <v>199.9</v>
      </c>
      <c r="E162" s="1">
        <v>1.5</v>
      </c>
      <c r="F162" s="1">
        <v>0.1</v>
      </c>
      <c r="G162" s="1">
        <v>48.0</v>
      </c>
      <c r="H162" s="18">
        <f t="shared" si="1"/>
        <v>10.53527027</v>
      </c>
      <c r="I162" s="112">
        <f>C164*Scoring!$B$36+TE!D164/Scoring!$C$36+TE!E164*Scoring!$D$36+TE!F164*Scoring!$E$36+H164*Scoring!$F$36</f>
        <v>25.87</v>
      </c>
      <c r="J162" s="112">
        <f>C162*Scoring!$B$36+TE!D162/Scoring!$C$36+TE!E162*Scoring!$D$36+TE!F162*Scoring!$E$36+H162*Scoring!$F$36</f>
        <v>38.34</v>
      </c>
      <c r="K162" s="112">
        <f>C163*Scoring!$B$36+TE!D163/Scoring!$C$36+TE!E163*Scoring!$D$36+TE!F163*Scoring!$E$36+H163*Scoring!$F$36</f>
        <v>50.8</v>
      </c>
    </row>
    <row r="163" ht="14.25" customHeight="1">
      <c r="B163" s="1" t="s">
        <v>39</v>
      </c>
      <c r="C163" s="1">
        <v>25.0</v>
      </c>
      <c r="D163" s="1">
        <v>265.0</v>
      </c>
      <c r="E163" s="1">
        <v>2.0</v>
      </c>
      <c r="F163" s="1">
        <v>0.1</v>
      </c>
      <c r="G163" s="1">
        <v>70.1</v>
      </c>
      <c r="H163" s="18">
        <f t="shared" si="1"/>
        <v>13.96621622</v>
      </c>
      <c r="I163" s="119"/>
      <c r="J163" s="119"/>
      <c r="K163" s="119"/>
    </row>
    <row r="164" ht="14.25" customHeight="1">
      <c r="B164" s="1" t="s">
        <v>48</v>
      </c>
      <c r="C164" s="1">
        <v>13.2</v>
      </c>
      <c r="D164" s="1">
        <v>134.7</v>
      </c>
      <c r="E164" s="1">
        <v>1.0</v>
      </c>
      <c r="F164" s="1">
        <v>0.1</v>
      </c>
      <c r="G164" s="1">
        <v>38.7</v>
      </c>
      <c r="H164" s="18">
        <f t="shared" si="1"/>
        <v>7.099054054</v>
      </c>
      <c r="I164" s="119"/>
      <c r="J164" s="119"/>
      <c r="K164" s="119"/>
    </row>
    <row r="165" ht="14.25" customHeight="1">
      <c r="A165" s="1" t="s">
        <v>844</v>
      </c>
      <c r="B165" s="1" t="s">
        <v>170</v>
      </c>
      <c r="C165" s="1">
        <v>19.3</v>
      </c>
      <c r="D165" s="1">
        <v>197.2</v>
      </c>
      <c r="E165" s="1">
        <v>1.5</v>
      </c>
      <c r="F165" s="1">
        <v>0.0</v>
      </c>
      <c r="G165" s="1">
        <v>47.9</v>
      </c>
      <c r="H165" s="18">
        <f t="shared" si="1"/>
        <v>10.39297297</v>
      </c>
      <c r="I165" s="112">
        <f>C167*Scoring!$B$36+TE!D167/Scoring!$C$36+TE!E167*Scoring!$D$36+TE!F167*Scoring!$E$36+H167*Scoring!$F$36</f>
        <v>22.98</v>
      </c>
      <c r="J165" s="112">
        <f>C165*Scoring!$B$36+TE!D165/Scoring!$C$36+TE!E165*Scoring!$D$36+TE!F165*Scoring!$E$36+H165*Scoring!$F$36</f>
        <v>38.37</v>
      </c>
      <c r="K165" s="112">
        <f>C166*Scoring!$B$36+TE!D166/Scoring!$C$36+TE!E166*Scoring!$D$36+TE!F166*Scoring!$E$36+H166*Scoring!$F$36</f>
        <v>53.6</v>
      </c>
    </row>
    <row r="166" ht="14.25" customHeight="1">
      <c r="B166" s="1" t="s">
        <v>39</v>
      </c>
      <c r="C166" s="1">
        <v>27.0</v>
      </c>
      <c r="D166" s="1">
        <v>281.0</v>
      </c>
      <c r="E166" s="1">
        <v>2.0</v>
      </c>
      <c r="F166" s="1">
        <v>0.0</v>
      </c>
      <c r="G166" s="1">
        <v>50.3</v>
      </c>
      <c r="H166" s="18">
        <f t="shared" si="1"/>
        <v>14.80945946</v>
      </c>
      <c r="I166" s="119"/>
      <c r="J166" s="119"/>
      <c r="K166" s="119"/>
    </row>
    <row r="167" ht="14.25" customHeight="1">
      <c r="B167" s="1" t="s">
        <v>48</v>
      </c>
      <c r="C167" s="1">
        <v>11.7</v>
      </c>
      <c r="D167" s="1">
        <v>113.3</v>
      </c>
      <c r="E167" s="1">
        <v>1.0</v>
      </c>
      <c r="F167" s="1">
        <v>0.1</v>
      </c>
      <c r="G167" s="1">
        <v>36.5</v>
      </c>
      <c r="H167" s="18">
        <f t="shared" si="1"/>
        <v>5.971216216</v>
      </c>
      <c r="I167" s="119"/>
      <c r="J167" s="119"/>
      <c r="K167" s="119"/>
    </row>
    <row r="168" ht="14.25" customHeight="1">
      <c r="A168" s="1" t="s">
        <v>846</v>
      </c>
      <c r="B168" s="1" t="s">
        <v>199</v>
      </c>
      <c r="C168" s="1">
        <v>20.5</v>
      </c>
      <c r="D168" s="1">
        <v>200.5</v>
      </c>
      <c r="E168" s="1">
        <v>1.1</v>
      </c>
      <c r="F168" s="1">
        <v>0.0</v>
      </c>
      <c r="G168" s="1">
        <v>47.2</v>
      </c>
      <c r="H168" s="18">
        <f t="shared" si="1"/>
        <v>10.56689189</v>
      </c>
      <c r="I168" s="112">
        <f>C170*Scoring!$B$36+TE!D170/Scoring!$C$36+TE!E170*Scoring!$D$36+TE!F170*Scoring!$E$36+H170*Scoring!$F$36</f>
        <v>12.69</v>
      </c>
      <c r="J168" s="112">
        <f>C168*Scoring!$B$36+TE!D168/Scoring!$C$36+TE!E168*Scoring!$D$36+TE!F168*Scoring!$E$36+H168*Scoring!$F$36</f>
        <v>36.9</v>
      </c>
      <c r="K168" s="112">
        <f>C169*Scoring!$B$36+TE!D169/Scoring!$C$36+TE!E169*Scoring!$D$36+TE!F169*Scoring!$E$36+H169*Scoring!$F$36</f>
        <v>52.9</v>
      </c>
    </row>
    <row r="169" ht="14.25" customHeight="1">
      <c r="B169" s="1" t="s">
        <v>39</v>
      </c>
      <c r="C169" s="1">
        <v>28.0</v>
      </c>
      <c r="D169" s="1">
        <v>269.0</v>
      </c>
      <c r="E169" s="1">
        <v>2.0</v>
      </c>
      <c r="F169" s="1">
        <v>0.0</v>
      </c>
      <c r="G169" s="1">
        <v>67.4</v>
      </c>
      <c r="H169" s="18">
        <f t="shared" si="1"/>
        <v>14.17702703</v>
      </c>
      <c r="I169" s="119"/>
      <c r="J169" s="119"/>
      <c r="K169" s="119"/>
    </row>
    <row r="170" ht="14.25" customHeight="1">
      <c r="B170" s="1" t="s">
        <v>48</v>
      </c>
      <c r="C170" s="1">
        <v>7.5</v>
      </c>
      <c r="D170" s="1">
        <v>67.4</v>
      </c>
      <c r="E170" s="1">
        <v>0.4</v>
      </c>
      <c r="F170" s="1">
        <v>0.1</v>
      </c>
      <c r="G170" s="1">
        <v>29.2</v>
      </c>
      <c r="H170" s="18">
        <f t="shared" si="1"/>
        <v>3.552162162</v>
      </c>
      <c r="I170" s="119"/>
      <c r="J170" s="119"/>
      <c r="K170" s="119"/>
    </row>
    <row r="171" ht="14.25" customHeight="1">
      <c r="A171" s="1" t="s">
        <v>848</v>
      </c>
      <c r="B171" s="1" t="s">
        <v>94</v>
      </c>
      <c r="C171" s="1">
        <v>18.8</v>
      </c>
      <c r="D171" s="1">
        <v>195.3</v>
      </c>
      <c r="E171" s="1">
        <v>1.5</v>
      </c>
      <c r="F171" s="1">
        <v>0.6</v>
      </c>
      <c r="G171" s="1">
        <v>46.5</v>
      </c>
      <c r="H171" s="18">
        <f t="shared" si="1"/>
        <v>10.29283784</v>
      </c>
      <c r="I171" s="112">
        <f>C173*Scoring!$B$36+TE!D173/Scoring!$C$36+TE!E173*Scoring!$D$36+TE!F173*Scoring!$E$36+H173*Scoring!$F$36</f>
        <v>27.45</v>
      </c>
      <c r="J171" s="112">
        <f>C171*Scoring!$B$36+TE!D171/Scoring!$C$36+TE!E171*Scoring!$D$36+TE!F171*Scoring!$E$36+H171*Scoring!$F$36</f>
        <v>36.73</v>
      </c>
      <c r="K171" s="112">
        <f>C172*Scoring!$B$36+TE!D172/Scoring!$C$36+TE!E172*Scoring!$D$36+TE!F172*Scoring!$E$36+H172*Scoring!$F$36</f>
        <v>46.8</v>
      </c>
    </row>
    <row r="172" ht="14.25" customHeight="1">
      <c r="B172" s="1" t="s">
        <v>39</v>
      </c>
      <c r="C172" s="1">
        <v>22.0</v>
      </c>
      <c r="D172" s="1">
        <v>240.0</v>
      </c>
      <c r="E172" s="1">
        <v>2.0</v>
      </c>
      <c r="F172" s="1">
        <v>0.1</v>
      </c>
      <c r="G172" s="1">
        <v>44.8</v>
      </c>
      <c r="H172" s="18">
        <f t="shared" si="1"/>
        <v>12.64864865</v>
      </c>
      <c r="I172" s="119"/>
      <c r="J172" s="119"/>
      <c r="K172" s="119"/>
    </row>
    <row r="173" ht="14.25" customHeight="1">
      <c r="B173" s="1" t="s">
        <v>48</v>
      </c>
      <c r="C173" s="1">
        <v>15.6</v>
      </c>
      <c r="D173" s="1">
        <v>150.5</v>
      </c>
      <c r="E173" s="1">
        <v>1.1</v>
      </c>
      <c r="F173" s="1">
        <v>1.0</v>
      </c>
      <c r="G173" s="1">
        <v>40.3</v>
      </c>
      <c r="H173" s="18">
        <f t="shared" si="1"/>
        <v>7.931756757</v>
      </c>
      <c r="I173" s="119"/>
      <c r="J173" s="119"/>
      <c r="K173" s="119"/>
    </row>
    <row r="174" ht="14.25" customHeight="1">
      <c r="A174" s="1" t="s">
        <v>850</v>
      </c>
      <c r="B174" s="1" t="s">
        <v>208</v>
      </c>
      <c r="C174" s="1">
        <v>22.3</v>
      </c>
      <c r="D174" s="1">
        <v>178.1</v>
      </c>
      <c r="E174" s="1">
        <v>1.0</v>
      </c>
      <c r="F174" s="1">
        <v>0.1</v>
      </c>
      <c r="G174" s="1">
        <v>46.2</v>
      </c>
      <c r="H174" s="18">
        <f t="shared" si="1"/>
        <v>9.386351351</v>
      </c>
      <c r="I174" s="112">
        <f>C176*Scoring!$B$36+TE!D176/Scoring!$C$36+TE!E176*Scoring!$D$36+TE!F176*Scoring!$E$36+H176*Scoring!$F$36</f>
        <v>31.98</v>
      </c>
      <c r="J174" s="112">
        <f>C174*Scoring!$B$36+TE!D174/Scoring!$C$36+TE!E174*Scoring!$D$36+TE!F174*Scoring!$E$36+H174*Scoring!$F$36</f>
        <v>34.76</v>
      </c>
      <c r="K174" s="112">
        <f>C175*Scoring!$B$36+TE!D175/Scoring!$C$36+TE!E175*Scoring!$D$36+TE!F175*Scoring!$E$36+H175*Scoring!$F$36</f>
        <v>38.3</v>
      </c>
    </row>
    <row r="175" ht="14.25" customHeight="1">
      <c r="B175" s="1" t="s">
        <v>39</v>
      </c>
      <c r="C175" s="1">
        <v>25.0</v>
      </c>
      <c r="D175" s="1">
        <v>192.0</v>
      </c>
      <c r="E175" s="1">
        <v>1.1</v>
      </c>
      <c r="F175" s="1">
        <v>0.0</v>
      </c>
      <c r="G175" s="1">
        <v>45.0</v>
      </c>
      <c r="H175" s="18">
        <f t="shared" si="1"/>
        <v>10.11891892</v>
      </c>
      <c r="I175" s="119"/>
      <c r="J175" s="119"/>
      <c r="K175" s="119"/>
    </row>
    <row r="176" ht="14.25" customHeight="1">
      <c r="B176" s="1" t="s">
        <v>48</v>
      </c>
      <c r="C176" s="1">
        <v>19.5</v>
      </c>
      <c r="D176" s="1">
        <v>164.3</v>
      </c>
      <c r="E176" s="1">
        <v>1.0</v>
      </c>
      <c r="F176" s="1">
        <v>0.1</v>
      </c>
      <c r="G176" s="1">
        <v>40.3</v>
      </c>
      <c r="H176" s="18">
        <f t="shared" si="1"/>
        <v>8.659054054</v>
      </c>
      <c r="I176" s="119"/>
      <c r="J176" s="119"/>
      <c r="K176" s="119"/>
    </row>
    <row r="177" ht="14.25" customHeight="1">
      <c r="A177" s="1" t="s">
        <v>852</v>
      </c>
      <c r="B177" s="1" t="s">
        <v>217</v>
      </c>
      <c r="C177" s="1">
        <v>22.0</v>
      </c>
      <c r="D177" s="1">
        <v>201.5</v>
      </c>
      <c r="E177" s="1">
        <v>0.8</v>
      </c>
      <c r="F177" s="1">
        <v>0.6</v>
      </c>
      <c r="G177" s="1">
        <v>46.0</v>
      </c>
      <c r="H177" s="18">
        <f t="shared" si="1"/>
        <v>10.61959459</v>
      </c>
      <c r="I177" s="112">
        <f>C179*Scoring!$B$36+TE!D179/Scoring!$C$36+TE!E179*Scoring!$D$36+TE!F179*Scoring!$E$36+H179*Scoring!$F$36</f>
        <v>30.86</v>
      </c>
      <c r="J177" s="112">
        <f>C177*Scoring!$B$36+TE!D177/Scoring!$C$36+TE!E177*Scoring!$D$36+TE!F177*Scoring!$E$36+H177*Scoring!$F$36</f>
        <v>34.75</v>
      </c>
      <c r="K177" s="112">
        <f>C178*Scoring!$B$36+TE!D178/Scoring!$C$36+TE!E178*Scoring!$D$36+TE!F178*Scoring!$E$36+H178*Scoring!$F$36</f>
        <v>39.2</v>
      </c>
    </row>
    <row r="178" ht="14.25" customHeight="1">
      <c r="B178" s="1" t="s">
        <v>39</v>
      </c>
      <c r="C178" s="1">
        <v>23.0</v>
      </c>
      <c r="D178" s="1">
        <v>221.0</v>
      </c>
      <c r="E178" s="1">
        <v>1.0</v>
      </c>
      <c r="F178" s="1">
        <v>0.2</v>
      </c>
      <c r="G178" s="1">
        <v>44.0</v>
      </c>
      <c r="H178" s="18">
        <f t="shared" si="1"/>
        <v>11.6472973</v>
      </c>
      <c r="I178" s="119"/>
      <c r="J178" s="119"/>
      <c r="K178" s="119"/>
    </row>
    <row r="179" ht="14.25" customHeight="1">
      <c r="B179" s="1" t="s">
        <v>48</v>
      </c>
      <c r="C179" s="1">
        <v>20.9</v>
      </c>
      <c r="D179" s="1">
        <v>182.1</v>
      </c>
      <c r="E179" s="1">
        <v>0.7</v>
      </c>
      <c r="F179" s="1">
        <v>1.0</v>
      </c>
      <c r="G179" s="1">
        <v>41.0</v>
      </c>
      <c r="H179" s="18">
        <f t="shared" si="1"/>
        <v>9.597162162</v>
      </c>
      <c r="I179" s="119"/>
      <c r="J179" s="119"/>
      <c r="K179" s="119"/>
    </row>
    <row r="180" ht="14.25" customHeight="1">
      <c r="A180" s="1" t="s">
        <v>854</v>
      </c>
      <c r="B180" s="1" t="s">
        <v>196</v>
      </c>
      <c r="C180" s="1">
        <v>19.5</v>
      </c>
      <c r="D180" s="1">
        <v>184.6</v>
      </c>
      <c r="E180" s="1">
        <v>1.2</v>
      </c>
      <c r="F180" s="1">
        <v>0.0</v>
      </c>
      <c r="G180" s="1">
        <v>44.9</v>
      </c>
      <c r="H180" s="18">
        <f t="shared" si="1"/>
        <v>9.728918919</v>
      </c>
      <c r="I180" s="112">
        <f>C182*Scoring!$B$36+TE!D182/Scoring!$C$36+TE!E182*Scoring!$D$36+TE!F182*Scoring!$E$36+H182*Scoring!$F$36</f>
        <v>11.63</v>
      </c>
      <c r="J180" s="112">
        <f>C180*Scoring!$B$36+TE!D180/Scoring!$C$36+TE!E180*Scoring!$D$36+TE!F180*Scoring!$E$36+H180*Scoring!$F$36</f>
        <v>35.41</v>
      </c>
      <c r="K180" s="112">
        <f>C181*Scoring!$B$36+TE!D181/Scoring!$C$36+TE!E181*Scoring!$D$36+TE!F181*Scoring!$E$36+H181*Scoring!$F$36</f>
        <v>58.4</v>
      </c>
    </row>
    <row r="181" ht="14.25" customHeight="1">
      <c r="B181" s="1" t="s">
        <v>39</v>
      </c>
      <c r="C181" s="1">
        <v>32.0</v>
      </c>
      <c r="D181" s="1">
        <v>304.0</v>
      </c>
      <c r="E181" s="1">
        <v>2.0</v>
      </c>
      <c r="F181" s="1">
        <v>0.0</v>
      </c>
      <c r="G181" s="1">
        <v>52.5</v>
      </c>
      <c r="H181" s="18">
        <f t="shared" si="1"/>
        <v>16.02162162</v>
      </c>
      <c r="I181" s="119"/>
      <c r="J181" s="119"/>
      <c r="K181" s="119"/>
    </row>
    <row r="182" ht="14.25" customHeight="1">
      <c r="B182" s="1" t="s">
        <v>48</v>
      </c>
      <c r="C182" s="1">
        <v>7.0</v>
      </c>
      <c r="D182" s="1">
        <v>65.3</v>
      </c>
      <c r="E182" s="1">
        <v>0.3</v>
      </c>
      <c r="F182" s="1">
        <v>0.1</v>
      </c>
      <c r="G182" s="1">
        <v>27.9</v>
      </c>
      <c r="H182" s="18">
        <f t="shared" si="1"/>
        <v>3.441486486</v>
      </c>
      <c r="I182" s="119"/>
      <c r="J182" s="119"/>
      <c r="K182" s="119"/>
    </row>
    <row r="183" ht="14.25" customHeight="1">
      <c r="A183" s="1" t="s">
        <v>856</v>
      </c>
      <c r="B183" s="1" t="s">
        <v>205</v>
      </c>
      <c r="C183" s="1">
        <v>19.5</v>
      </c>
      <c r="D183" s="1">
        <v>192.6</v>
      </c>
      <c r="E183" s="1">
        <v>1.1</v>
      </c>
      <c r="F183" s="1">
        <v>0.5</v>
      </c>
      <c r="G183" s="1">
        <v>44.4</v>
      </c>
      <c r="H183" s="18">
        <f t="shared" si="1"/>
        <v>10.15054054</v>
      </c>
      <c r="I183" s="112">
        <f>C185*Scoring!$B$36+TE!D185/Scoring!$C$36+TE!E185*Scoring!$D$36+TE!F185*Scoring!$E$36+H185*Scoring!$F$36</f>
        <v>4.81</v>
      </c>
      <c r="J183" s="112">
        <f>C183*Scoring!$B$36+TE!D183/Scoring!$C$36+TE!E183*Scoring!$D$36+TE!F183*Scoring!$E$36+H183*Scoring!$F$36</f>
        <v>34.61</v>
      </c>
      <c r="K183" s="112">
        <f>C184*Scoring!$B$36+TE!D184/Scoring!$C$36+TE!E184*Scoring!$D$36+TE!F184*Scoring!$E$36+H184*Scoring!$F$36</f>
        <v>64.4</v>
      </c>
    </row>
    <row r="184" ht="14.25" customHeight="1">
      <c r="B184" s="1" t="s">
        <v>39</v>
      </c>
      <c r="C184" s="1">
        <v>35.0</v>
      </c>
      <c r="D184" s="1">
        <v>349.0</v>
      </c>
      <c r="E184" s="1">
        <v>2.0</v>
      </c>
      <c r="F184" s="1">
        <v>0.0</v>
      </c>
      <c r="G184" s="1">
        <v>56.5</v>
      </c>
      <c r="H184" s="18">
        <f t="shared" si="1"/>
        <v>18.39324324</v>
      </c>
      <c r="I184" s="119"/>
      <c r="J184" s="119"/>
      <c r="K184" s="119"/>
    </row>
    <row r="185" ht="14.25" customHeight="1">
      <c r="B185" s="1" t="s">
        <v>48</v>
      </c>
      <c r="C185" s="1">
        <v>4.0</v>
      </c>
      <c r="D185" s="1">
        <v>36.1</v>
      </c>
      <c r="E185" s="1">
        <v>0.2</v>
      </c>
      <c r="F185" s="1">
        <v>1.0</v>
      </c>
      <c r="G185" s="1">
        <v>24.4</v>
      </c>
      <c r="H185" s="18">
        <f t="shared" si="1"/>
        <v>1.902567568</v>
      </c>
      <c r="I185" s="119"/>
      <c r="J185" s="119"/>
      <c r="K185" s="119"/>
    </row>
    <row r="186" ht="14.25" customHeight="1">
      <c r="A186" s="1" t="s">
        <v>858</v>
      </c>
      <c r="B186" s="1" t="s">
        <v>176</v>
      </c>
      <c r="C186" s="1">
        <v>16.9</v>
      </c>
      <c r="D186" s="1">
        <v>157.3</v>
      </c>
      <c r="E186" s="1">
        <v>1.9</v>
      </c>
      <c r="F186" s="1">
        <v>0.0</v>
      </c>
      <c r="G186" s="1">
        <v>43.8</v>
      </c>
      <c r="H186" s="18">
        <f t="shared" si="1"/>
        <v>8.290135135</v>
      </c>
      <c r="I186" s="112">
        <f>C188*Scoring!$B$36+TE!D188/Scoring!$C$36+TE!E188*Scoring!$D$36+TE!F188*Scoring!$E$36+H188*Scoring!$F$36</f>
        <v>15.27</v>
      </c>
      <c r="J186" s="112">
        <f>C186*Scoring!$B$36+TE!D186/Scoring!$C$36+TE!E186*Scoring!$D$36+TE!F186*Scoring!$E$36+H186*Scoring!$F$36</f>
        <v>35.58</v>
      </c>
      <c r="K186" s="112">
        <f>C187*Scoring!$B$36+TE!D187/Scoring!$C$36+TE!E187*Scoring!$D$36+TE!F187*Scoring!$E$36+H187*Scoring!$F$36</f>
        <v>55.1</v>
      </c>
    </row>
    <row r="187" ht="14.25" customHeight="1">
      <c r="B187" s="1" t="s">
        <v>39</v>
      </c>
      <c r="C187" s="1">
        <v>26.0</v>
      </c>
      <c r="D187" s="1">
        <v>241.0</v>
      </c>
      <c r="E187" s="1">
        <v>3.0</v>
      </c>
      <c r="F187" s="1">
        <v>0.0</v>
      </c>
      <c r="G187" s="1">
        <v>50.9</v>
      </c>
      <c r="H187" s="18">
        <f t="shared" si="1"/>
        <v>12.70135135</v>
      </c>
      <c r="I187" s="119"/>
      <c r="J187" s="119"/>
      <c r="K187" s="119"/>
    </row>
    <row r="188" ht="14.25" customHeight="1">
      <c r="B188" s="1" t="s">
        <v>48</v>
      </c>
      <c r="C188" s="1">
        <v>7.8</v>
      </c>
      <c r="D188" s="1">
        <v>73.7</v>
      </c>
      <c r="E188" s="1">
        <v>0.7</v>
      </c>
      <c r="F188" s="1">
        <v>0.1</v>
      </c>
      <c r="G188" s="1">
        <v>28.6</v>
      </c>
      <c r="H188" s="18">
        <f t="shared" si="1"/>
        <v>3.884189189</v>
      </c>
      <c r="I188" s="119"/>
      <c r="J188" s="119"/>
      <c r="K188" s="119"/>
    </row>
    <row r="189" ht="14.25" customHeight="1">
      <c r="A189" s="1" t="s">
        <v>860</v>
      </c>
      <c r="B189" s="1" t="s">
        <v>106</v>
      </c>
      <c r="C189" s="1">
        <v>17.1</v>
      </c>
      <c r="D189" s="1">
        <v>169.9</v>
      </c>
      <c r="E189" s="1">
        <v>1.6</v>
      </c>
      <c r="F189" s="1">
        <v>0.6</v>
      </c>
      <c r="G189" s="1">
        <v>42.4</v>
      </c>
      <c r="H189" s="18">
        <f t="shared" si="1"/>
        <v>8.954189189</v>
      </c>
      <c r="I189" s="112">
        <f>C191*Scoring!$B$36+TE!D191/Scoring!$C$36+TE!E191*Scoring!$D$36+TE!F191*Scoring!$E$36+H191*Scoring!$F$36</f>
        <v>25.83</v>
      </c>
      <c r="J189" s="112">
        <f>C189*Scoring!$B$36+TE!D189/Scoring!$C$36+TE!E189*Scoring!$D$36+TE!F189*Scoring!$E$36+H189*Scoring!$F$36</f>
        <v>33.94</v>
      </c>
      <c r="K189" s="112">
        <f>C190*Scoring!$B$36+TE!D190/Scoring!$C$36+TE!E190*Scoring!$D$36+TE!F190*Scoring!$E$36+H190*Scoring!$F$36</f>
        <v>42.2</v>
      </c>
    </row>
    <row r="190" ht="14.25" customHeight="1">
      <c r="B190" s="1" t="s">
        <v>39</v>
      </c>
      <c r="C190" s="1">
        <v>20.0</v>
      </c>
      <c r="D190" s="1">
        <v>204.0</v>
      </c>
      <c r="E190" s="1">
        <v>2.0</v>
      </c>
      <c r="F190" s="1">
        <v>0.1</v>
      </c>
      <c r="G190" s="1">
        <v>40.1</v>
      </c>
      <c r="H190" s="18">
        <f t="shared" si="1"/>
        <v>10.75135135</v>
      </c>
      <c r="I190" s="119"/>
      <c r="J190" s="119"/>
      <c r="K190" s="119"/>
    </row>
    <row r="191" ht="14.25" customHeight="1">
      <c r="B191" s="1" t="s">
        <v>48</v>
      </c>
      <c r="C191" s="1">
        <v>14.1</v>
      </c>
      <c r="D191" s="1">
        <v>135.8</v>
      </c>
      <c r="E191" s="1">
        <v>1.2</v>
      </c>
      <c r="F191" s="1">
        <v>1.0</v>
      </c>
      <c r="G191" s="1">
        <v>37.5</v>
      </c>
      <c r="H191" s="18">
        <f t="shared" si="1"/>
        <v>7.157027027</v>
      </c>
      <c r="I191" s="119"/>
      <c r="J191" s="119"/>
      <c r="K191" s="119"/>
    </row>
    <row r="192" ht="14.25" customHeight="1">
      <c r="A192" s="1" t="s">
        <v>862</v>
      </c>
      <c r="B192" s="1" t="s">
        <v>210</v>
      </c>
      <c r="C192" s="1">
        <v>19.7</v>
      </c>
      <c r="D192" s="1">
        <v>146.3</v>
      </c>
      <c r="E192" s="1">
        <v>1.3</v>
      </c>
      <c r="F192" s="1">
        <v>0.0</v>
      </c>
      <c r="G192" s="1">
        <v>41.9</v>
      </c>
      <c r="H192" s="18">
        <f t="shared" si="1"/>
        <v>7.710405405</v>
      </c>
      <c r="I192" s="112">
        <f>C194*Scoring!$B$36+TE!D194/Scoring!$C$36+TE!E194*Scoring!$D$36+TE!F194*Scoring!$E$36+H194*Scoring!$F$36</f>
        <v>19.27</v>
      </c>
      <c r="J192" s="112">
        <f>C192*Scoring!$B$36+TE!D192/Scoring!$C$36+TE!E192*Scoring!$D$36+TE!F192*Scoring!$E$36+H192*Scoring!$F$36</f>
        <v>32.28</v>
      </c>
      <c r="K192" s="112">
        <f>C193*Scoring!$B$36+TE!D193/Scoring!$C$36+TE!E193*Scoring!$D$36+TE!F193*Scoring!$E$36+H193*Scoring!$F$36</f>
        <v>45.1</v>
      </c>
    </row>
    <row r="193" ht="14.25" customHeight="1">
      <c r="B193" s="1" t="s">
        <v>39</v>
      </c>
      <c r="C193" s="1">
        <v>27.0</v>
      </c>
      <c r="D193" s="1">
        <v>196.0</v>
      </c>
      <c r="E193" s="1">
        <v>2.0</v>
      </c>
      <c r="F193" s="1">
        <v>0.0</v>
      </c>
      <c r="G193" s="1">
        <v>43.7</v>
      </c>
      <c r="H193" s="18">
        <f t="shared" si="1"/>
        <v>10.32972973</v>
      </c>
      <c r="I193" s="119"/>
      <c r="J193" s="119"/>
      <c r="K193" s="119"/>
    </row>
    <row r="194" ht="14.25" customHeight="1">
      <c r="B194" s="1" t="s">
        <v>48</v>
      </c>
      <c r="C194" s="1">
        <v>12.4</v>
      </c>
      <c r="D194" s="1">
        <v>96.7</v>
      </c>
      <c r="E194" s="1">
        <v>0.6</v>
      </c>
      <c r="F194" s="1">
        <v>0.1</v>
      </c>
      <c r="G194" s="1">
        <v>32.6</v>
      </c>
      <c r="H194" s="18">
        <f t="shared" si="1"/>
        <v>5.096351351</v>
      </c>
      <c r="I194" s="119"/>
      <c r="J194" s="119"/>
      <c r="K194" s="119"/>
    </row>
    <row r="195" ht="14.25" customHeight="1">
      <c r="A195" s="1" t="s">
        <v>864</v>
      </c>
      <c r="B195" s="1" t="s">
        <v>127</v>
      </c>
      <c r="C195" s="1">
        <v>17.3</v>
      </c>
      <c r="D195" s="1">
        <v>146.3</v>
      </c>
      <c r="E195" s="1">
        <v>1.2</v>
      </c>
      <c r="F195" s="1">
        <v>0.1</v>
      </c>
      <c r="G195" s="1">
        <v>38.7</v>
      </c>
      <c r="H195" s="18">
        <f t="shared" si="1"/>
        <v>7.710405405</v>
      </c>
      <c r="I195" s="112">
        <f>C197*Scoring!$B$36+TE!D197/Scoring!$C$36+TE!E197*Scoring!$D$36+TE!F197*Scoring!$E$36+H197*Scoring!$F$36</f>
        <v>30.28</v>
      </c>
      <c r="J195" s="112">
        <f>C195*Scoring!$B$36+TE!D195/Scoring!$C$36+TE!E195*Scoring!$D$36+TE!F195*Scoring!$E$36+H195*Scoring!$F$36</f>
        <v>30.28</v>
      </c>
      <c r="K195" s="112">
        <f>C196*Scoring!$B$36+TE!D196/Scoring!$C$36+TE!E196*Scoring!$D$36+TE!F196*Scoring!$E$36+H196*Scoring!$F$36</f>
        <v>30.28</v>
      </c>
    </row>
    <row r="196" ht="14.25" customHeight="1">
      <c r="B196" s="1" t="s">
        <v>39</v>
      </c>
      <c r="C196" s="1">
        <v>17.3</v>
      </c>
      <c r="D196" s="1">
        <v>146.3</v>
      </c>
      <c r="E196" s="1">
        <v>1.2</v>
      </c>
      <c r="F196" s="1">
        <v>0.1</v>
      </c>
      <c r="G196" s="1">
        <v>38.8</v>
      </c>
      <c r="H196" s="18">
        <f t="shared" si="1"/>
        <v>7.710405405</v>
      </c>
      <c r="I196" s="119"/>
      <c r="J196" s="119"/>
      <c r="K196" s="119"/>
    </row>
    <row r="197" ht="14.25" customHeight="1">
      <c r="B197" s="1" t="s">
        <v>48</v>
      </c>
      <c r="C197" s="1">
        <v>17.3</v>
      </c>
      <c r="D197" s="1">
        <v>146.3</v>
      </c>
      <c r="E197" s="1">
        <v>1.2</v>
      </c>
      <c r="F197" s="1">
        <v>0.1</v>
      </c>
      <c r="G197" s="1">
        <v>38.8</v>
      </c>
      <c r="H197" s="18">
        <f t="shared" si="1"/>
        <v>7.710405405</v>
      </c>
      <c r="I197" s="119"/>
      <c r="J197" s="119"/>
      <c r="K197" s="119"/>
    </row>
    <row r="198" ht="14.25" customHeight="1">
      <c r="A198" s="1" t="s">
        <v>867</v>
      </c>
      <c r="B198" s="1" t="s">
        <v>145</v>
      </c>
      <c r="C198" s="1">
        <v>14.9</v>
      </c>
      <c r="D198" s="1">
        <v>156.8</v>
      </c>
      <c r="E198" s="1">
        <v>1.3</v>
      </c>
      <c r="F198" s="1">
        <v>0.5</v>
      </c>
      <c r="G198" s="1">
        <v>37.2</v>
      </c>
      <c r="H198" s="18">
        <f t="shared" si="1"/>
        <v>8.263783784</v>
      </c>
      <c r="I198" s="112">
        <f>C200*Scoring!$B$36+TE!D200/Scoring!$C$36+TE!E200*Scoring!$D$36+TE!F200*Scoring!$E$36+H200*Scoring!$F$36</f>
        <v>12.86</v>
      </c>
      <c r="J198" s="112">
        <f>C198*Scoring!$B$36+TE!D198/Scoring!$C$36+TE!E198*Scoring!$D$36+TE!F198*Scoring!$E$36+H198*Scoring!$F$36</f>
        <v>29.93</v>
      </c>
      <c r="K198" s="112">
        <f>C199*Scoring!$B$36+TE!D199/Scoring!$C$36+TE!E199*Scoring!$D$36+TE!F199*Scoring!$E$36+H199*Scoring!$F$36</f>
        <v>46.8</v>
      </c>
    </row>
    <row r="199" ht="14.25" customHeight="1">
      <c r="B199" s="1" t="s">
        <v>39</v>
      </c>
      <c r="C199" s="1">
        <v>22.0</v>
      </c>
      <c r="D199" s="1">
        <v>240.0</v>
      </c>
      <c r="E199" s="1">
        <v>2.0</v>
      </c>
      <c r="F199" s="1">
        <v>0.1</v>
      </c>
      <c r="G199" s="1">
        <v>40.9</v>
      </c>
      <c r="H199" s="18">
        <f t="shared" si="1"/>
        <v>12.64864865</v>
      </c>
      <c r="I199" s="119"/>
      <c r="J199" s="119"/>
      <c r="K199" s="119"/>
    </row>
    <row r="200" ht="14.25" customHeight="1">
      <c r="B200" s="1" t="s">
        <v>48</v>
      </c>
      <c r="C200" s="1">
        <v>7.8</v>
      </c>
      <c r="D200" s="1">
        <v>73.6</v>
      </c>
      <c r="E200" s="1">
        <v>0.6</v>
      </c>
      <c r="F200" s="1">
        <v>1.0</v>
      </c>
      <c r="G200" s="1">
        <v>25.6</v>
      </c>
      <c r="H200" s="18">
        <f t="shared" si="1"/>
        <v>3.878918919</v>
      </c>
      <c r="I200" s="119"/>
      <c r="J200" s="119"/>
      <c r="K200" s="119"/>
    </row>
    <row r="201" ht="14.25" customHeight="1">
      <c r="A201" s="1" t="s">
        <v>657</v>
      </c>
      <c r="B201" s="1" t="s">
        <v>222</v>
      </c>
      <c r="C201" s="1">
        <v>14.0</v>
      </c>
      <c r="D201" s="1">
        <v>102.0</v>
      </c>
      <c r="E201" s="1">
        <v>2.0</v>
      </c>
      <c r="F201" s="1">
        <v>0.0</v>
      </c>
      <c r="G201" s="1">
        <v>36.2</v>
      </c>
      <c r="H201" s="18">
        <f t="shared" si="1"/>
        <v>5.375675676</v>
      </c>
      <c r="I201" s="112">
        <f>C203*Scoring!$B$36+TE!D203/Scoring!$C$36+TE!E203*Scoring!$D$36+TE!F203*Scoring!$E$36+H203*Scoring!$F$36</f>
        <v>29.2</v>
      </c>
      <c r="J201" s="112">
        <f>C201*Scoring!$B$36+TE!D201/Scoring!$C$36+TE!E201*Scoring!$D$36+TE!F201*Scoring!$E$36+H201*Scoring!$F$36</f>
        <v>29.2</v>
      </c>
      <c r="K201" s="112">
        <f>C202*Scoring!$B$36+TE!D202/Scoring!$C$36+TE!E202*Scoring!$D$36+TE!F202*Scoring!$E$36+H202*Scoring!$F$36</f>
        <v>29.2</v>
      </c>
    </row>
    <row r="202" ht="14.25" customHeight="1">
      <c r="B202" s="1" t="s">
        <v>39</v>
      </c>
      <c r="C202" s="1">
        <v>14.0</v>
      </c>
      <c r="D202" s="1">
        <v>102.0</v>
      </c>
      <c r="E202" s="1">
        <v>2.0</v>
      </c>
      <c r="F202" s="1">
        <v>0.0</v>
      </c>
      <c r="G202" s="1">
        <v>37.0</v>
      </c>
      <c r="H202" s="18">
        <f t="shared" si="1"/>
        <v>5.375675676</v>
      </c>
      <c r="I202" s="119"/>
      <c r="J202" s="119"/>
      <c r="K202" s="119"/>
    </row>
    <row r="203" ht="14.25" customHeight="1">
      <c r="B203" s="1" t="s">
        <v>48</v>
      </c>
      <c r="C203" s="1">
        <v>14.0</v>
      </c>
      <c r="D203" s="1">
        <v>102.0</v>
      </c>
      <c r="E203" s="1">
        <v>2.0</v>
      </c>
      <c r="F203" s="1">
        <v>0.0</v>
      </c>
      <c r="G203" s="1">
        <v>37.0</v>
      </c>
      <c r="H203" s="18">
        <f t="shared" si="1"/>
        <v>5.375675676</v>
      </c>
      <c r="I203" s="119"/>
      <c r="J203" s="119"/>
      <c r="K203" s="119"/>
    </row>
    <row r="204" ht="14.25" customHeight="1">
      <c r="A204" s="1" t="s">
        <v>870</v>
      </c>
      <c r="B204" s="1" t="s">
        <v>205</v>
      </c>
      <c r="C204" s="1">
        <v>15.3</v>
      </c>
      <c r="D204" s="1">
        <v>127.8</v>
      </c>
      <c r="E204" s="1">
        <v>0.9</v>
      </c>
      <c r="F204" s="1">
        <v>0.1</v>
      </c>
      <c r="G204" s="1">
        <v>33.1</v>
      </c>
      <c r="H204" s="18">
        <f t="shared" si="1"/>
        <v>6.735405405</v>
      </c>
      <c r="I204" s="112">
        <f>C206*Scoring!$B$36+TE!D206/Scoring!$C$36+TE!E206*Scoring!$D$36+TE!F206*Scoring!$E$36+H206*Scoring!$F$36</f>
        <v>23.7</v>
      </c>
      <c r="J204" s="112">
        <f>C204*Scoring!$B$36+TE!D204/Scoring!$C$36+TE!E204*Scoring!$D$36+TE!F204*Scoring!$E$36+H204*Scoring!$F$36</f>
        <v>25.63</v>
      </c>
      <c r="K204" s="112">
        <f>C205*Scoring!$B$36+TE!D205/Scoring!$C$36+TE!E205*Scoring!$D$36+TE!F205*Scoring!$E$36+H205*Scoring!$F$36</f>
        <v>27.12</v>
      </c>
    </row>
    <row r="205" ht="14.25" customHeight="1">
      <c r="B205" s="1" t="s">
        <v>39</v>
      </c>
      <c r="C205" s="1">
        <v>15.5</v>
      </c>
      <c r="D205" s="1">
        <v>133.7</v>
      </c>
      <c r="E205" s="1">
        <v>1.0</v>
      </c>
      <c r="F205" s="1">
        <v>0.0</v>
      </c>
      <c r="G205" s="1">
        <v>34.5</v>
      </c>
      <c r="H205" s="18">
        <f t="shared" si="1"/>
        <v>7.046351351</v>
      </c>
      <c r="I205" s="119"/>
      <c r="J205" s="119"/>
      <c r="K205" s="119"/>
    </row>
    <row r="206" ht="14.25" customHeight="1">
      <c r="B206" s="1" t="s">
        <v>48</v>
      </c>
      <c r="C206" s="1">
        <v>15.0</v>
      </c>
      <c r="D206" s="1">
        <v>122.0</v>
      </c>
      <c r="E206" s="1">
        <v>0.7</v>
      </c>
      <c r="F206" s="1">
        <v>0.1</v>
      </c>
      <c r="G206" s="1">
        <v>27.3</v>
      </c>
      <c r="H206" s="18">
        <f t="shared" si="1"/>
        <v>6.42972973</v>
      </c>
      <c r="I206" s="119"/>
      <c r="J206" s="119"/>
      <c r="K206" s="119"/>
    </row>
    <row r="207" ht="14.25" customHeight="1">
      <c r="A207" s="1" t="s">
        <v>871</v>
      </c>
      <c r="B207" s="1" t="s">
        <v>170</v>
      </c>
      <c r="C207" s="1">
        <v>11.9</v>
      </c>
      <c r="D207" s="1">
        <v>88.4</v>
      </c>
      <c r="E207" s="1">
        <v>1.8</v>
      </c>
      <c r="F207" s="1">
        <v>0.0</v>
      </c>
      <c r="G207" s="1">
        <v>31.7</v>
      </c>
      <c r="H207" s="18">
        <f t="shared" si="1"/>
        <v>4.658918919</v>
      </c>
      <c r="I207" s="112">
        <f>C209*Scoring!$B$36+TE!D209/Scoring!$C$36+TE!E209*Scoring!$D$36+TE!F209*Scoring!$E$36+H209*Scoring!$F$36</f>
        <v>14.78</v>
      </c>
      <c r="J207" s="112">
        <f>C207*Scoring!$B$36+TE!D207/Scoring!$C$36+TE!E207*Scoring!$D$36+TE!F207*Scoring!$E$36+H207*Scoring!$F$36</f>
        <v>25.59</v>
      </c>
      <c r="K207" s="112">
        <f>C208*Scoring!$B$36+TE!D208/Scoring!$C$36+TE!E208*Scoring!$D$36+TE!F208*Scoring!$E$36+H208*Scoring!$F$36</f>
        <v>36.8</v>
      </c>
    </row>
    <row r="208" ht="14.25" customHeight="1">
      <c r="B208" s="1" t="s">
        <v>39</v>
      </c>
      <c r="C208" s="1">
        <v>16.0</v>
      </c>
      <c r="D208" s="1">
        <v>108.0</v>
      </c>
      <c r="E208" s="1">
        <v>3.0</v>
      </c>
      <c r="F208" s="1">
        <v>0.0</v>
      </c>
      <c r="G208" s="1">
        <v>33.9</v>
      </c>
      <c r="H208" s="18">
        <f t="shared" si="1"/>
        <v>5.691891892</v>
      </c>
      <c r="I208" s="119"/>
      <c r="J208" s="119"/>
      <c r="K208" s="119"/>
    </row>
    <row r="209" ht="14.25" customHeight="1">
      <c r="B209" s="1" t="s">
        <v>48</v>
      </c>
      <c r="C209" s="1">
        <v>7.8</v>
      </c>
      <c r="D209" s="1">
        <v>68.8</v>
      </c>
      <c r="E209" s="1">
        <v>0.7</v>
      </c>
      <c r="F209" s="1">
        <v>0.1</v>
      </c>
      <c r="G209" s="1">
        <v>22.8</v>
      </c>
      <c r="H209" s="18">
        <f t="shared" si="1"/>
        <v>3.625945946</v>
      </c>
      <c r="I209" s="119"/>
      <c r="J209" s="119"/>
      <c r="K209" s="119"/>
    </row>
    <row r="210" ht="14.25" customHeight="1">
      <c r="A210" s="1" t="s">
        <v>874</v>
      </c>
      <c r="B210" s="1" t="s">
        <v>202</v>
      </c>
      <c r="C210" s="1">
        <v>10.0</v>
      </c>
      <c r="D210" s="1">
        <v>95.0</v>
      </c>
      <c r="E210" s="1">
        <v>2.0</v>
      </c>
      <c r="F210" s="1">
        <v>0.0</v>
      </c>
      <c r="G210" s="1">
        <v>31.5</v>
      </c>
      <c r="H210" s="18">
        <f t="shared" si="1"/>
        <v>5.006756757</v>
      </c>
      <c r="I210" s="112">
        <f>C212*Scoring!$B$36+TE!D212/Scoring!$C$36+TE!E212*Scoring!$D$36+TE!F212*Scoring!$E$36+H212*Scoring!$F$36</f>
        <v>26.5</v>
      </c>
      <c r="J210" s="112">
        <f>C210*Scoring!$B$36+TE!D210/Scoring!$C$36+TE!E210*Scoring!$D$36+TE!F210*Scoring!$E$36+H210*Scoring!$F$36</f>
        <v>26.5</v>
      </c>
      <c r="K210" s="112">
        <f>C211*Scoring!$B$36+TE!D211/Scoring!$C$36+TE!E211*Scoring!$D$36+TE!F211*Scoring!$E$36+H211*Scoring!$F$36</f>
        <v>26.5</v>
      </c>
    </row>
    <row r="211" ht="14.25" customHeight="1">
      <c r="B211" s="1" t="s">
        <v>39</v>
      </c>
      <c r="C211" s="1">
        <v>10.0</v>
      </c>
      <c r="D211" s="1">
        <v>95.0</v>
      </c>
      <c r="E211" s="1">
        <v>2.0</v>
      </c>
      <c r="F211" s="1">
        <v>0.0</v>
      </c>
      <c r="G211" s="1">
        <v>26.0</v>
      </c>
      <c r="H211" s="18">
        <f t="shared" si="1"/>
        <v>5.006756757</v>
      </c>
      <c r="I211" s="119"/>
      <c r="J211" s="119"/>
      <c r="K211" s="119"/>
    </row>
    <row r="212" ht="14.25" customHeight="1">
      <c r="B212" s="1" t="s">
        <v>48</v>
      </c>
      <c r="C212" s="1">
        <v>10.0</v>
      </c>
      <c r="D212" s="1">
        <v>95.0</v>
      </c>
      <c r="E212" s="1">
        <v>2.0</v>
      </c>
      <c r="F212" s="1">
        <v>0.0</v>
      </c>
      <c r="G212" s="1">
        <v>26.0</v>
      </c>
      <c r="H212" s="18">
        <f t="shared" si="1"/>
        <v>5.006756757</v>
      </c>
      <c r="I212" s="119"/>
      <c r="J212" s="119"/>
      <c r="K212" s="119"/>
    </row>
    <row r="213" ht="14.25" customHeight="1">
      <c r="A213" s="1" t="s">
        <v>876</v>
      </c>
      <c r="B213" s="1" t="s">
        <v>127</v>
      </c>
      <c r="C213" s="1">
        <v>13.0</v>
      </c>
      <c r="D213" s="1">
        <v>123.0</v>
      </c>
      <c r="E213" s="1">
        <v>1.0</v>
      </c>
      <c r="F213" s="1">
        <v>0.0</v>
      </c>
      <c r="G213" s="1">
        <v>31.3</v>
      </c>
      <c r="H213" s="18">
        <f t="shared" si="1"/>
        <v>6.482432432</v>
      </c>
      <c r="I213" s="112">
        <f>C215*Scoring!$B$36+TE!D215/Scoring!$C$36+TE!E215*Scoring!$D$36+TE!F215*Scoring!$E$36+H215*Scoring!$F$36</f>
        <v>24.8</v>
      </c>
      <c r="J213" s="112">
        <f>C213*Scoring!$B$36+TE!D213/Scoring!$C$36+TE!E213*Scoring!$D$36+TE!F213*Scoring!$E$36+H213*Scoring!$F$36</f>
        <v>24.8</v>
      </c>
      <c r="K213" s="112">
        <f>C214*Scoring!$B$36+TE!D214/Scoring!$C$36+TE!E214*Scoring!$D$36+TE!F214*Scoring!$E$36+H214*Scoring!$F$36</f>
        <v>24.8</v>
      </c>
    </row>
    <row r="214" ht="14.25" customHeight="1">
      <c r="B214" s="1" t="s">
        <v>39</v>
      </c>
      <c r="C214" s="1">
        <v>13.0</v>
      </c>
      <c r="D214" s="1">
        <v>123.0</v>
      </c>
      <c r="E214" s="1">
        <v>1.0</v>
      </c>
      <c r="F214" s="1">
        <v>0.0</v>
      </c>
      <c r="G214" s="1">
        <v>24.0</v>
      </c>
      <c r="H214" s="18">
        <f t="shared" si="1"/>
        <v>6.482432432</v>
      </c>
      <c r="I214" s="119"/>
      <c r="J214" s="119"/>
      <c r="K214" s="119"/>
    </row>
    <row r="215" ht="14.25" customHeight="1">
      <c r="B215" s="1" t="s">
        <v>48</v>
      </c>
      <c r="C215" s="1">
        <v>13.0</v>
      </c>
      <c r="D215" s="1">
        <v>123.0</v>
      </c>
      <c r="E215" s="1">
        <v>1.0</v>
      </c>
      <c r="F215" s="1">
        <v>0.0</v>
      </c>
      <c r="G215" s="1">
        <v>24.0</v>
      </c>
      <c r="H215" s="18">
        <f t="shared" si="1"/>
        <v>6.482432432</v>
      </c>
      <c r="I215" s="119"/>
      <c r="J215" s="119"/>
      <c r="K215" s="119"/>
    </row>
    <row r="216" ht="14.25" customHeight="1">
      <c r="A216" s="1" t="s">
        <v>878</v>
      </c>
      <c r="B216" s="1" t="s">
        <v>150</v>
      </c>
      <c r="C216" s="1">
        <v>13.2</v>
      </c>
      <c r="D216" s="1">
        <v>121.5</v>
      </c>
      <c r="E216" s="1">
        <v>0.9</v>
      </c>
      <c r="F216" s="1">
        <v>0.0</v>
      </c>
      <c r="G216" s="1">
        <v>30.9</v>
      </c>
      <c r="H216" s="18">
        <f t="shared" si="1"/>
        <v>6.403378378</v>
      </c>
      <c r="I216" s="112">
        <f>C218*Scoring!$B$36+TE!D218/Scoring!$C$36+TE!E218*Scoring!$D$36+TE!F218*Scoring!$E$36+H218*Scoring!$F$36</f>
        <v>21.9</v>
      </c>
      <c r="J216" s="112">
        <f>C216*Scoring!$B$36+TE!D216/Scoring!$C$36+TE!E216*Scoring!$D$36+TE!F216*Scoring!$E$36+H216*Scoring!$F$36</f>
        <v>24.15</v>
      </c>
      <c r="K216" s="112">
        <f>C217*Scoring!$B$36+TE!D217/Scoring!$C$36+TE!E217*Scoring!$D$36+TE!F217*Scoring!$E$36+H217*Scoring!$F$36</f>
        <v>26.8</v>
      </c>
    </row>
    <row r="217" ht="14.25" customHeight="1">
      <c r="B217" s="1" t="s">
        <v>39</v>
      </c>
      <c r="C217" s="1">
        <v>15.0</v>
      </c>
      <c r="D217" s="1">
        <v>133.0</v>
      </c>
      <c r="E217" s="1">
        <v>1.0</v>
      </c>
      <c r="F217" s="1">
        <v>0.0</v>
      </c>
      <c r="G217" s="1">
        <v>29.5</v>
      </c>
      <c r="H217" s="18">
        <f t="shared" si="1"/>
        <v>7.009459459</v>
      </c>
      <c r="I217" s="119"/>
      <c r="J217" s="119"/>
      <c r="K217" s="119"/>
    </row>
    <row r="218" ht="14.25" customHeight="1">
      <c r="B218" s="1" t="s">
        <v>48</v>
      </c>
      <c r="C218" s="1">
        <v>11.4</v>
      </c>
      <c r="D218" s="1">
        <v>110.0</v>
      </c>
      <c r="E218" s="1">
        <v>0.9</v>
      </c>
      <c r="F218" s="1">
        <v>0.1</v>
      </c>
      <c r="G218" s="1">
        <v>24.2</v>
      </c>
      <c r="H218" s="18">
        <f t="shared" si="1"/>
        <v>5.797297297</v>
      </c>
      <c r="I218" s="119"/>
      <c r="J218" s="119"/>
      <c r="K218" s="119"/>
    </row>
    <row r="219" ht="14.25" customHeight="1">
      <c r="A219" s="1" t="s">
        <v>880</v>
      </c>
      <c r="B219" s="1" t="s">
        <v>106</v>
      </c>
      <c r="C219" s="1">
        <v>11.1</v>
      </c>
      <c r="D219" s="1">
        <v>114.4</v>
      </c>
      <c r="E219" s="1">
        <v>1.4</v>
      </c>
      <c r="F219" s="1">
        <v>0.0</v>
      </c>
      <c r="G219" s="1">
        <v>30.8</v>
      </c>
      <c r="H219" s="18">
        <f t="shared" si="1"/>
        <v>6.029189189</v>
      </c>
      <c r="I219" s="112">
        <f>C221*Scoring!$B$36+TE!D221/Scoring!$C$36+TE!E221*Scoring!$D$36+TE!F221*Scoring!$E$36+H221*Scoring!$F$36</f>
        <v>20.77</v>
      </c>
      <c r="J219" s="112">
        <f>C219*Scoring!$B$36+TE!D219/Scoring!$C$36+TE!E219*Scoring!$D$36+TE!F219*Scoring!$E$36+H219*Scoring!$F$36</f>
        <v>25.39</v>
      </c>
      <c r="K219" s="112">
        <f>C220*Scoring!$B$36+TE!D220/Scoring!$C$36+TE!E220*Scoring!$D$36+TE!F220*Scoring!$E$36+H220*Scoring!$F$36</f>
        <v>29.75</v>
      </c>
    </row>
    <row r="220" ht="14.25" customHeight="1">
      <c r="B220" s="1" t="s">
        <v>39</v>
      </c>
      <c r="C220" s="1">
        <v>11.1</v>
      </c>
      <c r="D220" s="1">
        <v>122.0</v>
      </c>
      <c r="E220" s="1">
        <v>2.0</v>
      </c>
      <c r="F220" s="1">
        <v>0.0</v>
      </c>
      <c r="G220" s="1">
        <v>28.1</v>
      </c>
      <c r="H220" s="18">
        <f t="shared" si="1"/>
        <v>6.42972973</v>
      </c>
      <c r="I220" s="119"/>
      <c r="J220" s="119"/>
      <c r="K220" s="119"/>
    </row>
    <row r="221" ht="14.25" customHeight="1">
      <c r="B221" s="1" t="s">
        <v>48</v>
      </c>
      <c r="C221" s="1">
        <v>11.0</v>
      </c>
      <c r="D221" s="1">
        <v>106.7</v>
      </c>
      <c r="E221" s="1">
        <v>0.8</v>
      </c>
      <c r="F221" s="1">
        <v>0.1</v>
      </c>
      <c r="G221" s="1">
        <v>26.6</v>
      </c>
      <c r="H221" s="18">
        <f t="shared" si="1"/>
        <v>5.623378378</v>
      </c>
      <c r="I221" s="119"/>
      <c r="J221" s="119"/>
      <c r="K221" s="119"/>
    </row>
    <row r="222" ht="14.25" customHeight="1">
      <c r="A222" s="1" t="s">
        <v>882</v>
      </c>
      <c r="B222" s="1" t="s">
        <v>150</v>
      </c>
      <c r="C222" s="1">
        <v>12.0</v>
      </c>
      <c r="D222" s="1">
        <v>128.0</v>
      </c>
      <c r="E222" s="1">
        <v>1.0</v>
      </c>
      <c r="F222" s="1">
        <v>0.0</v>
      </c>
      <c r="G222" s="1">
        <v>30.8</v>
      </c>
      <c r="H222" s="18">
        <f t="shared" si="1"/>
        <v>6.745945946</v>
      </c>
      <c r="I222" s="112">
        <f>C224*Scoring!$B$36+TE!D224/Scoring!$C$36+TE!E224*Scoring!$D$36+TE!F224*Scoring!$E$36+H224*Scoring!$F$36</f>
        <v>24.8</v>
      </c>
      <c r="J222" s="112">
        <f>C222*Scoring!$B$36+TE!D222/Scoring!$C$36+TE!E222*Scoring!$D$36+TE!F222*Scoring!$E$36+H222*Scoring!$F$36</f>
        <v>24.8</v>
      </c>
      <c r="K222" s="112">
        <f>C223*Scoring!$B$36+TE!D223/Scoring!$C$36+TE!E223*Scoring!$D$36+TE!F223*Scoring!$E$36+H223*Scoring!$F$36</f>
        <v>24.8</v>
      </c>
    </row>
    <row r="223" ht="14.25" customHeight="1">
      <c r="B223" s="1" t="s">
        <v>39</v>
      </c>
      <c r="C223" s="1">
        <v>12.0</v>
      </c>
      <c r="D223" s="1">
        <v>128.0</v>
      </c>
      <c r="E223" s="1">
        <v>1.0</v>
      </c>
      <c r="F223" s="1">
        <v>0.0</v>
      </c>
      <c r="G223" s="1">
        <v>23.0</v>
      </c>
      <c r="H223" s="18">
        <f t="shared" si="1"/>
        <v>6.745945946</v>
      </c>
      <c r="I223" s="119"/>
      <c r="J223" s="119"/>
      <c r="K223" s="119"/>
    </row>
    <row r="224" ht="14.25" customHeight="1">
      <c r="B224" s="1" t="s">
        <v>48</v>
      </c>
      <c r="C224" s="1">
        <v>12.0</v>
      </c>
      <c r="D224" s="1">
        <v>128.0</v>
      </c>
      <c r="E224" s="1">
        <v>1.0</v>
      </c>
      <c r="F224" s="1">
        <v>0.0</v>
      </c>
      <c r="G224" s="1">
        <v>23.0</v>
      </c>
      <c r="H224" s="18">
        <f t="shared" si="1"/>
        <v>6.745945946</v>
      </c>
      <c r="I224" s="119"/>
      <c r="J224" s="119"/>
      <c r="K224" s="119"/>
    </row>
    <row r="225" ht="14.25" customHeight="1">
      <c r="A225" s="1" t="s">
        <v>884</v>
      </c>
      <c r="B225" s="1" t="s">
        <v>18</v>
      </c>
      <c r="C225" s="1">
        <v>10.5</v>
      </c>
      <c r="D225" s="1">
        <v>115.1</v>
      </c>
      <c r="E225" s="1">
        <v>1.4</v>
      </c>
      <c r="F225" s="1">
        <v>0.0</v>
      </c>
      <c r="G225" s="1">
        <v>30.6</v>
      </c>
      <c r="H225" s="18">
        <f t="shared" si="1"/>
        <v>6.066081081</v>
      </c>
      <c r="I225" s="112">
        <f>C227*Scoring!$B$36+TE!D227/Scoring!$C$36+TE!E227*Scoring!$D$36+TE!F227*Scoring!$E$36+H227*Scoring!$F$36</f>
        <v>21.21</v>
      </c>
      <c r="J225" s="112">
        <f>C225*Scoring!$B$36+TE!D225/Scoring!$C$36+TE!E225*Scoring!$D$36+TE!F225*Scoring!$E$36+H225*Scoring!$F$36</f>
        <v>25.16</v>
      </c>
      <c r="K225" s="112">
        <f>C226*Scoring!$B$36+TE!D226/Scoring!$C$36+TE!E226*Scoring!$D$36+TE!F226*Scoring!$E$36+H226*Scoring!$F$36</f>
        <v>29.55</v>
      </c>
    </row>
    <row r="226" ht="14.25" customHeight="1">
      <c r="B226" s="1" t="s">
        <v>39</v>
      </c>
      <c r="C226" s="1">
        <v>11.1</v>
      </c>
      <c r="D226" s="1">
        <v>120.0</v>
      </c>
      <c r="E226" s="1">
        <v>2.0</v>
      </c>
      <c r="F226" s="1">
        <v>0.0</v>
      </c>
      <c r="G226" s="1">
        <v>27.5</v>
      </c>
      <c r="H226" s="18">
        <f t="shared" si="1"/>
        <v>6.324324324</v>
      </c>
      <c r="I226" s="119"/>
      <c r="J226" s="119"/>
      <c r="K226" s="119"/>
    </row>
    <row r="227" ht="14.25" customHeight="1">
      <c r="B227" s="1" t="s">
        <v>48</v>
      </c>
      <c r="C227" s="1">
        <v>10.0</v>
      </c>
      <c r="D227" s="1">
        <v>110.1</v>
      </c>
      <c r="E227" s="1">
        <v>0.9</v>
      </c>
      <c r="F227" s="1">
        <v>0.1</v>
      </c>
      <c r="G227" s="1">
        <v>26.9</v>
      </c>
      <c r="H227" s="18">
        <f t="shared" si="1"/>
        <v>5.802567568</v>
      </c>
      <c r="I227" s="119"/>
      <c r="J227" s="119"/>
      <c r="K227" s="119"/>
    </row>
    <row r="228" ht="14.25" customHeight="1">
      <c r="A228" s="1" t="s">
        <v>886</v>
      </c>
      <c r="B228" s="1" t="s">
        <v>140</v>
      </c>
      <c r="C228" s="1">
        <v>12.0</v>
      </c>
      <c r="D228" s="1">
        <v>118.0</v>
      </c>
      <c r="E228" s="1">
        <v>1.0</v>
      </c>
      <c r="F228" s="1">
        <v>0.0</v>
      </c>
      <c r="G228" s="1">
        <v>29.8</v>
      </c>
      <c r="H228" s="18">
        <f t="shared" si="1"/>
        <v>6.218918919</v>
      </c>
      <c r="I228" s="112">
        <f>C230*Scoring!$B$36+TE!D230/Scoring!$C$36+TE!E230*Scoring!$D$36+TE!F230*Scoring!$E$36+H230*Scoring!$F$36</f>
        <v>23.8</v>
      </c>
      <c r="J228" s="112">
        <f>C228*Scoring!$B$36+TE!D228/Scoring!$C$36+TE!E228*Scoring!$D$36+TE!F228*Scoring!$E$36+H228*Scoring!$F$36</f>
        <v>23.8</v>
      </c>
      <c r="K228" s="112">
        <f>C229*Scoring!$B$36+TE!D229/Scoring!$C$36+TE!E229*Scoring!$D$36+TE!F229*Scoring!$E$36+H229*Scoring!$F$36</f>
        <v>23.8</v>
      </c>
    </row>
    <row r="229" ht="14.25" customHeight="1">
      <c r="B229" s="1" t="s">
        <v>39</v>
      </c>
      <c r="C229" s="1">
        <v>12.0</v>
      </c>
      <c r="D229" s="1">
        <v>118.0</v>
      </c>
      <c r="E229" s="1">
        <v>1.0</v>
      </c>
      <c r="F229" s="1">
        <v>0.0</v>
      </c>
      <c r="G229" s="1">
        <v>22.0</v>
      </c>
      <c r="H229" s="18">
        <f t="shared" si="1"/>
        <v>6.218918919</v>
      </c>
      <c r="I229" s="119"/>
      <c r="J229" s="119"/>
      <c r="K229" s="119"/>
    </row>
    <row r="230" ht="14.25" customHeight="1">
      <c r="B230" s="1" t="s">
        <v>48</v>
      </c>
      <c r="C230" s="1">
        <v>12.0</v>
      </c>
      <c r="D230" s="1">
        <v>118.0</v>
      </c>
      <c r="E230" s="1">
        <v>1.0</v>
      </c>
      <c r="F230" s="1">
        <v>0.0</v>
      </c>
      <c r="G230" s="1">
        <v>22.0</v>
      </c>
      <c r="H230" s="18">
        <f t="shared" si="1"/>
        <v>6.218918919</v>
      </c>
      <c r="I230" s="119"/>
      <c r="J230" s="119"/>
      <c r="K230" s="119"/>
    </row>
    <row r="231" ht="14.25" customHeight="1">
      <c r="A231" s="1" t="s">
        <v>888</v>
      </c>
      <c r="B231" s="1" t="s">
        <v>193</v>
      </c>
      <c r="C231" s="1">
        <v>11.0</v>
      </c>
      <c r="D231" s="1">
        <v>125.0</v>
      </c>
      <c r="E231" s="1">
        <v>1.0</v>
      </c>
      <c r="F231" s="1">
        <v>0.0</v>
      </c>
      <c r="G231" s="1">
        <v>29.5</v>
      </c>
      <c r="H231" s="18">
        <f t="shared" si="1"/>
        <v>6.587837838</v>
      </c>
      <c r="I231" s="112">
        <f>C233*Scoring!$B$36+TE!D233/Scoring!$C$36+TE!E233*Scoring!$D$36+TE!F233*Scoring!$E$36+H233*Scoring!$F$36</f>
        <v>24</v>
      </c>
      <c r="J231" s="112">
        <f>C231*Scoring!$B$36+TE!D231/Scoring!$C$36+TE!E231*Scoring!$D$36+TE!F231*Scoring!$E$36+H231*Scoring!$F$36</f>
        <v>24</v>
      </c>
      <c r="K231" s="112">
        <f>C232*Scoring!$B$36+TE!D232/Scoring!$C$36+TE!E232*Scoring!$D$36+TE!F232*Scoring!$E$36+H232*Scoring!$F$36</f>
        <v>24</v>
      </c>
    </row>
    <row r="232" ht="14.25" customHeight="1">
      <c r="B232" s="1" t="s">
        <v>39</v>
      </c>
      <c r="C232" s="1">
        <v>11.0</v>
      </c>
      <c r="D232" s="1">
        <v>125.0</v>
      </c>
      <c r="E232" s="1">
        <v>1.0</v>
      </c>
      <c r="F232" s="1">
        <v>0.0</v>
      </c>
      <c r="G232" s="1">
        <v>22.0</v>
      </c>
      <c r="H232" s="18">
        <f t="shared" si="1"/>
        <v>6.587837838</v>
      </c>
      <c r="I232" s="119"/>
      <c r="J232" s="119"/>
      <c r="K232" s="119"/>
    </row>
    <row r="233" ht="14.25" customHeight="1">
      <c r="B233" s="1" t="s">
        <v>48</v>
      </c>
      <c r="C233" s="1">
        <v>11.0</v>
      </c>
      <c r="D233" s="1">
        <v>125.0</v>
      </c>
      <c r="E233" s="1">
        <v>1.0</v>
      </c>
      <c r="F233" s="1">
        <v>0.0</v>
      </c>
      <c r="G233" s="1">
        <v>22.0</v>
      </c>
      <c r="H233" s="18">
        <f t="shared" si="1"/>
        <v>6.587837838</v>
      </c>
      <c r="I233" s="119"/>
      <c r="J233" s="119"/>
      <c r="K233" s="119"/>
    </row>
    <row r="234" ht="14.25" customHeight="1">
      <c r="A234" s="1" t="s">
        <v>889</v>
      </c>
      <c r="B234" s="1" t="s">
        <v>127</v>
      </c>
      <c r="C234" s="1">
        <v>13.1</v>
      </c>
      <c r="D234" s="1">
        <v>110.3</v>
      </c>
      <c r="E234" s="1">
        <v>0.9</v>
      </c>
      <c r="F234" s="1">
        <v>0.1</v>
      </c>
      <c r="G234" s="1">
        <v>29.3</v>
      </c>
      <c r="H234" s="18">
        <f t="shared" si="1"/>
        <v>5.813108108</v>
      </c>
      <c r="I234" s="112">
        <f>C236*Scoring!$B$36+TE!D236/Scoring!$C$36+TE!E236*Scoring!$D$36+TE!F236*Scoring!$E$36+H236*Scoring!$F$36</f>
        <v>22.78</v>
      </c>
      <c r="J234" s="112">
        <f>C234*Scoring!$B$36+TE!D234/Scoring!$C$36+TE!E234*Scoring!$D$36+TE!F234*Scoring!$E$36+H234*Scoring!$F$36</f>
        <v>22.78</v>
      </c>
      <c r="K234" s="112">
        <f>C235*Scoring!$B$36+TE!D235/Scoring!$C$36+TE!E235*Scoring!$D$36+TE!F235*Scoring!$E$36+H235*Scoring!$F$36</f>
        <v>22.78</v>
      </c>
    </row>
    <row r="235" ht="14.25" customHeight="1">
      <c r="B235" s="1" t="s">
        <v>39</v>
      </c>
      <c r="C235" s="1">
        <v>13.1</v>
      </c>
      <c r="D235" s="1">
        <v>110.3</v>
      </c>
      <c r="E235" s="1">
        <v>0.9</v>
      </c>
      <c r="F235" s="1">
        <v>0.1</v>
      </c>
      <c r="G235" s="1">
        <v>29.4</v>
      </c>
      <c r="H235" s="18">
        <f t="shared" si="1"/>
        <v>5.813108108</v>
      </c>
      <c r="I235" s="119"/>
      <c r="J235" s="119"/>
      <c r="K235" s="119"/>
    </row>
    <row r="236" ht="14.25" customHeight="1">
      <c r="B236" s="1" t="s">
        <v>48</v>
      </c>
      <c r="C236" s="1">
        <v>13.1</v>
      </c>
      <c r="D236" s="1">
        <v>110.3</v>
      </c>
      <c r="E236" s="1">
        <v>0.9</v>
      </c>
      <c r="F236" s="1">
        <v>0.1</v>
      </c>
      <c r="G236" s="1">
        <v>29.4</v>
      </c>
      <c r="H236" s="18">
        <f t="shared" si="1"/>
        <v>5.813108108</v>
      </c>
      <c r="I236" s="119"/>
      <c r="J236" s="119"/>
      <c r="K236" s="119"/>
    </row>
    <row r="237" ht="14.25" customHeight="1">
      <c r="A237" s="1" t="s">
        <v>892</v>
      </c>
      <c r="B237" s="1" t="s">
        <v>127</v>
      </c>
      <c r="C237" s="1">
        <v>13.0</v>
      </c>
      <c r="D237" s="1">
        <v>100.0</v>
      </c>
      <c r="E237" s="1">
        <v>1.0</v>
      </c>
      <c r="F237" s="1">
        <v>0.0</v>
      </c>
      <c r="G237" s="1">
        <v>29.0</v>
      </c>
      <c r="H237" s="18">
        <f t="shared" si="1"/>
        <v>5.27027027</v>
      </c>
      <c r="I237" s="112">
        <f>C239*Scoring!$B$36+TE!D239/Scoring!$C$36+TE!E239*Scoring!$D$36+TE!F239*Scoring!$E$36+H239*Scoring!$F$36</f>
        <v>22.5</v>
      </c>
      <c r="J237" s="112">
        <f>C237*Scoring!$B$36+TE!D237/Scoring!$C$36+TE!E237*Scoring!$D$36+TE!F237*Scoring!$E$36+H237*Scoring!$F$36</f>
        <v>22.5</v>
      </c>
      <c r="K237" s="112">
        <f>C238*Scoring!$B$36+TE!D238/Scoring!$C$36+TE!E238*Scoring!$D$36+TE!F238*Scoring!$E$36+H238*Scoring!$F$36</f>
        <v>22.5</v>
      </c>
    </row>
    <row r="238" ht="14.25" customHeight="1">
      <c r="B238" s="1" t="s">
        <v>39</v>
      </c>
      <c r="C238" s="1">
        <v>13.0</v>
      </c>
      <c r="D238" s="1">
        <v>100.0</v>
      </c>
      <c r="E238" s="1">
        <v>1.0</v>
      </c>
      <c r="F238" s="1">
        <v>0.0</v>
      </c>
      <c r="G238" s="1">
        <v>23.0</v>
      </c>
      <c r="H238" s="18">
        <f t="shared" si="1"/>
        <v>5.27027027</v>
      </c>
      <c r="I238" s="119"/>
      <c r="J238" s="119"/>
      <c r="K238" s="119"/>
    </row>
    <row r="239" ht="14.25" customHeight="1">
      <c r="B239" s="1" t="s">
        <v>48</v>
      </c>
      <c r="C239" s="1">
        <v>13.0</v>
      </c>
      <c r="D239" s="1">
        <v>100.0</v>
      </c>
      <c r="E239" s="1">
        <v>1.0</v>
      </c>
      <c r="F239" s="1">
        <v>0.0</v>
      </c>
      <c r="G239" s="1">
        <v>23.0</v>
      </c>
      <c r="H239" s="18">
        <f t="shared" si="1"/>
        <v>5.27027027</v>
      </c>
      <c r="I239" s="119"/>
      <c r="J239" s="119"/>
      <c r="K239" s="119"/>
    </row>
    <row r="240" ht="14.25" customHeight="1">
      <c r="A240" s="1" t="s">
        <v>893</v>
      </c>
      <c r="B240" s="1" t="s">
        <v>117</v>
      </c>
      <c r="C240" s="1">
        <v>11.0</v>
      </c>
      <c r="D240" s="1">
        <v>115.0</v>
      </c>
      <c r="E240" s="1">
        <v>1.0</v>
      </c>
      <c r="F240" s="1">
        <v>0.0</v>
      </c>
      <c r="G240" s="1">
        <v>28.5</v>
      </c>
      <c r="H240" s="18">
        <f t="shared" si="1"/>
        <v>6.060810811</v>
      </c>
      <c r="I240" s="112">
        <f>C242*Scoring!$B$36+TE!D242/Scoring!$C$36+TE!E242*Scoring!$D$36+TE!F242*Scoring!$E$36+H242*Scoring!$F$36</f>
        <v>0</v>
      </c>
      <c r="J240" s="112">
        <f>C240*Scoring!$B$36+TE!D240/Scoring!$C$36+TE!E240*Scoring!$D$36+TE!F240*Scoring!$E$36+H240*Scoring!$F$36</f>
        <v>23</v>
      </c>
      <c r="K240" s="112">
        <f>C241*Scoring!$B$36+TE!D241/Scoring!$C$36+TE!E241*Scoring!$D$36+TE!F241*Scoring!$E$36+H241*Scoring!$F$36</f>
        <v>46</v>
      </c>
    </row>
    <row r="241" ht="14.25" customHeight="1">
      <c r="B241" s="1" t="s">
        <v>39</v>
      </c>
      <c r="C241" s="1">
        <v>22.0</v>
      </c>
      <c r="D241" s="1">
        <v>230.0</v>
      </c>
      <c r="E241" s="1">
        <v>2.0</v>
      </c>
      <c r="F241" s="1">
        <v>0.0</v>
      </c>
      <c r="G241" s="1">
        <v>38.0</v>
      </c>
      <c r="H241" s="18">
        <f t="shared" si="1"/>
        <v>12.12162162</v>
      </c>
      <c r="I241" s="119"/>
      <c r="J241" s="119"/>
      <c r="K241" s="119"/>
    </row>
    <row r="242" ht="14.25" customHeight="1">
      <c r="B242" s="1" t="s">
        <v>48</v>
      </c>
      <c r="C242" s="1">
        <v>0.0</v>
      </c>
      <c r="D242" s="1">
        <v>0.0</v>
      </c>
      <c r="E242" s="1">
        <v>0.0</v>
      </c>
      <c r="F242" s="1">
        <v>0.0</v>
      </c>
      <c r="G242" s="1">
        <v>11.0</v>
      </c>
      <c r="H242" s="18">
        <f t="shared" si="1"/>
        <v>0</v>
      </c>
      <c r="I242" s="119"/>
      <c r="J242" s="119"/>
      <c r="K242" s="119"/>
    </row>
    <row r="243" ht="14.25" customHeight="1">
      <c r="A243" s="1" t="s">
        <v>896</v>
      </c>
      <c r="B243" s="1" t="s">
        <v>170</v>
      </c>
      <c r="C243" s="1">
        <v>12.0</v>
      </c>
      <c r="D243" s="1">
        <v>105.0</v>
      </c>
      <c r="E243" s="1">
        <v>1.0</v>
      </c>
      <c r="F243" s="1">
        <v>0.0</v>
      </c>
      <c r="G243" s="1">
        <v>28.5</v>
      </c>
      <c r="H243" s="18">
        <f t="shared" si="1"/>
        <v>5.533783784</v>
      </c>
      <c r="I243" s="112">
        <f>C245*Scoring!$B$36+TE!D245/Scoring!$C$36+TE!E245*Scoring!$D$36+TE!F245*Scoring!$E$36+H245*Scoring!$F$36</f>
        <v>22.5</v>
      </c>
      <c r="J243" s="112">
        <f>C243*Scoring!$B$36+TE!D243/Scoring!$C$36+TE!E243*Scoring!$D$36+TE!F243*Scoring!$E$36+H243*Scoring!$F$36</f>
        <v>22.5</v>
      </c>
      <c r="K243" s="112">
        <f>C244*Scoring!$B$36+TE!D244/Scoring!$C$36+TE!E244*Scoring!$D$36+TE!F244*Scoring!$E$36+H244*Scoring!$F$36</f>
        <v>22.5</v>
      </c>
    </row>
    <row r="244" ht="14.25" customHeight="1">
      <c r="B244" s="1" t="s">
        <v>39</v>
      </c>
      <c r="C244" s="1">
        <v>12.0</v>
      </c>
      <c r="D244" s="1">
        <v>105.0</v>
      </c>
      <c r="E244" s="1">
        <v>1.0</v>
      </c>
      <c r="F244" s="1">
        <v>0.0</v>
      </c>
      <c r="G244" s="1">
        <v>22.0</v>
      </c>
      <c r="H244" s="18">
        <f t="shared" si="1"/>
        <v>5.533783784</v>
      </c>
      <c r="I244" s="119"/>
      <c r="J244" s="119"/>
      <c r="K244" s="119"/>
    </row>
    <row r="245" ht="14.25" customHeight="1">
      <c r="B245" s="1" t="s">
        <v>48</v>
      </c>
      <c r="C245" s="1">
        <v>12.0</v>
      </c>
      <c r="D245" s="1">
        <v>105.0</v>
      </c>
      <c r="E245" s="1">
        <v>1.0</v>
      </c>
      <c r="F245" s="1">
        <v>0.0</v>
      </c>
      <c r="G245" s="1">
        <v>22.0</v>
      </c>
      <c r="H245" s="18">
        <f t="shared" si="1"/>
        <v>5.533783784</v>
      </c>
      <c r="I245" s="119"/>
      <c r="J245" s="119"/>
      <c r="K245" s="119"/>
    </row>
    <row r="246" ht="14.25" customHeight="1">
      <c r="A246" s="1" t="s">
        <v>898</v>
      </c>
      <c r="B246" s="1" t="s">
        <v>229</v>
      </c>
      <c r="C246" s="1">
        <v>13.5</v>
      </c>
      <c r="D246" s="1">
        <v>114.4</v>
      </c>
      <c r="E246" s="1">
        <v>0.6</v>
      </c>
      <c r="F246" s="1">
        <v>0.0</v>
      </c>
      <c r="G246" s="1">
        <v>28.4</v>
      </c>
      <c r="H246" s="18">
        <f t="shared" si="1"/>
        <v>6.029189189</v>
      </c>
      <c r="I246" s="112">
        <f>C248*Scoring!$B$36+TE!D248/Scoring!$C$36+TE!E248*Scoring!$D$36+TE!F248*Scoring!$E$36+H248*Scoring!$F$36</f>
        <v>6.42</v>
      </c>
      <c r="J246" s="112">
        <f>C246*Scoring!$B$36+TE!D246/Scoring!$C$36+TE!E246*Scoring!$D$36+TE!F246*Scoring!$E$36+H246*Scoring!$F$36</f>
        <v>21.79</v>
      </c>
      <c r="K246" s="112">
        <f>C247*Scoring!$B$36+TE!D247/Scoring!$C$36+TE!E247*Scoring!$D$36+TE!F247*Scoring!$E$36+H247*Scoring!$F$36</f>
        <v>37.1</v>
      </c>
    </row>
    <row r="247" ht="14.25" customHeight="1">
      <c r="B247" s="1" t="s">
        <v>39</v>
      </c>
      <c r="C247" s="1">
        <v>23.0</v>
      </c>
      <c r="D247" s="1">
        <v>196.0</v>
      </c>
      <c r="E247" s="1">
        <v>1.0</v>
      </c>
      <c r="F247" s="1">
        <v>0.0</v>
      </c>
      <c r="G247" s="1">
        <v>31.5</v>
      </c>
      <c r="H247" s="18">
        <f t="shared" si="1"/>
        <v>10.32972973</v>
      </c>
      <c r="I247" s="119"/>
      <c r="J247" s="119"/>
      <c r="K247" s="119"/>
    </row>
    <row r="248" ht="14.25" customHeight="1">
      <c r="B248" s="1" t="s">
        <v>48</v>
      </c>
      <c r="C248" s="1">
        <v>3.9</v>
      </c>
      <c r="D248" s="1">
        <v>32.7</v>
      </c>
      <c r="E248" s="1">
        <v>0.2</v>
      </c>
      <c r="F248" s="1">
        <v>0.0</v>
      </c>
      <c r="G248" s="1">
        <v>17.8</v>
      </c>
      <c r="H248" s="18">
        <f t="shared" si="1"/>
        <v>1.723378378</v>
      </c>
      <c r="I248" s="119"/>
      <c r="J248" s="119"/>
      <c r="K248" s="119"/>
    </row>
    <row r="249" ht="14.25" customHeight="1">
      <c r="A249" s="1" t="s">
        <v>900</v>
      </c>
      <c r="B249" s="1" t="s">
        <v>186</v>
      </c>
      <c r="C249" s="1">
        <v>11.0</v>
      </c>
      <c r="D249" s="1">
        <v>113.0</v>
      </c>
      <c r="E249" s="1">
        <v>1.0</v>
      </c>
      <c r="F249" s="1">
        <v>0.0</v>
      </c>
      <c r="G249" s="1">
        <v>28.3</v>
      </c>
      <c r="H249" s="18">
        <f t="shared" si="1"/>
        <v>5.955405405</v>
      </c>
      <c r="I249" s="112">
        <f>C251*Scoring!$B$36+TE!D251/Scoring!$C$36+TE!E251*Scoring!$D$36+TE!F251*Scoring!$E$36+H251*Scoring!$F$36</f>
        <v>22.8</v>
      </c>
      <c r="J249" s="112">
        <f>C249*Scoring!$B$36+TE!D249/Scoring!$C$36+TE!E249*Scoring!$D$36+TE!F249*Scoring!$E$36+H249*Scoring!$F$36</f>
        <v>22.8</v>
      </c>
      <c r="K249" s="112">
        <f>C250*Scoring!$B$36+TE!D250/Scoring!$C$36+TE!E250*Scoring!$D$36+TE!F250*Scoring!$E$36+H250*Scoring!$F$36</f>
        <v>22.8</v>
      </c>
    </row>
    <row r="250" ht="14.25" customHeight="1">
      <c r="B250" s="1" t="s">
        <v>39</v>
      </c>
      <c r="C250" s="1">
        <v>11.0</v>
      </c>
      <c r="D250" s="1">
        <v>113.0</v>
      </c>
      <c r="E250" s="1">
        <v>1.0</v>
      </c>
      <c r="F250" s="1">
        <v>0.0</v>
      </c>
      <c r="G250" s="1">
        <v>21.0</v>
      </c>
      <c r="H250" s="18">
        <f t="shared" si="1"/>
        <v>5.955405405</v>
      </c>
      <c r="I250" s="119"/>
      <c r="J250" s="119"/>
      <c r="K250" s="119"/>
    </row>
    <row r="251" ht="14.25" customHeight="1">
      <c r="B251" s="1" t="s">
        <v>48</v>
      </c>
      <c r="C251" s="1">
        <v>11.0</v>
      </c>
      <c r="D251" s="1">
        <v>113.0</v>
      </c>
      <c r="E251" s="1">
        <v>1.0</v>
      </c>
      <c r="F251" s="1">
        <v>0.0</v>
      </c>
      <c r="G251" s="1">
        <v>21.0</v>
      </c>
      <c r="H251" s="18">
        <f t="shared" si="1"/>
        <v>5.955405405</v>
      </c>
      <c r="I251" s="119"/>
      <c r="J251" s="119"/>
      <c r="K251" s="119"/>
    </row>
    <row r="252" ht="14.25" customHeight="1">
      <c r="A252" s="1" t="s">
        <v>902</v>
      </c>
      <c r="B252" s="1" t="s">
        <v>182</v>
      </c>
      <c r="C252" s="1">
        <v>11.0</v>
      </c>
      <c r="D252" s="1">
        <v>108.0</v>
      </c>
      <c r="E252" s="1">
        <v>1.0</v>
      </c>
      <c r="F252" s="1">
        <v>0.0</v>
      </c>
      <c r="G252" s="1">
        <v>27.8</v>
      </c>
      <c r="H252" s="18">
        <f t="shared" si="1"/>
        <v>5.691891892</v>
      </c>
      <c r="I252" s="112">
        <f>C254*Scoring!$B$36+TE!D254/Scoring!$C$36+TE!E254*Scoring!$D$36+TE!F254*Scoring!$E$36+H254*Scoring!$F$36</f>
        <v>22.3</v>
      </c>
      <c r="J252" s="112">
        <f>C252*Scoring!$B$36+TE!D252/Scoring!$C$36+TE!E252*Scoring!$D$36+TE!F252*Scoring!$E$36+H252*Scoring!$F$36</f>
        <v>22.3</v>
      </c>
      <c r="K252" s="112">
        <f>C253*Scoring!$B$36+TE!D253/Scoring!$C$36+TE!E253*Scoring!$D$36+TE!F253*Scoring!$E$36+H253*Scoring!$F$36</f>
        <v>22.3</v>
      </c>
    </row>
    <row r="253" ht="14.25" customHeight="1">
      <c r="B253" s="1" t="s">
        <v>39</v>
      </c>
      <c r="C253" s="1">
        <v>11.0</v>
      </c>
      <c r="D253" s="1">
        <v>108.0</v>
      </c>
      <c r="E253" s="1">
        <v>1.0</v>
      </c>
      <c r="F253" s="1">
        <v>0.0</v>
      </c>
      <c r="G253" s="1">
        <v>21.0</v>
      </c>
      <c r="H253" s="18">
        <f t="shared" si="1"/>
        <v>5.691891892</v>
      </c>
      <c r="I253" s="119"/>
      <c r="J253" s="119"/>
      <c r="K253" s="119"/>
    </row>
    <row r="254" ht="14.25" customHeight="1">
      <c r="B254" s="1" t="s">
        <v>48</v>
      </c>
      <c r="C254" s="1">
        <v>11.0</v>
      </c>
      <c r="D254" s="1">
        <v>108.0</v>
      </c>
      <c r="E254" s="1">
        <v>1.0</v>
      </c>
      <c r="F254" s="1">
        <v>0.0</v>
      </c>
      <c r="G254" s="1">
        <v>21.0</v>
      </c>
      <c r="H254" s="18">
        <f t="shared" si="1"/>
        <v>5.691891892</v>
      </c>
      <c r="I254" s="119"/>
      <c r="J254" s="119"/>
      <c r="K254" s="119"/>
    </row>
    <row r="255" ht="14.25" customHeight="1">
      <c r="A255" s="1" t="s">
        <v>904</v>
      </c>
      <c r="B255" s="1" t="s">
        <v>205</v>
      </c>
      <c r="C255" s="1">
        <v>9.3</v>
      </c>
      <c r="D255" s="1">
        <v>105.5</v>
      </c>
      <c r="E255" s="1">
        <v>1.3</v>
      </c>
      <c r="F255" s="1">
        <v>0.0</v>
      </c>
      <c r="G255" s="1">
        <v>27.6</v>
      </c>
      <c r="H255" s="18">
        <f t="shared" si="1"/>
        <v>5.560135135</v>
      </c>
      <c r="I255" s="112">
        <f>C257*Scoring!$B$36+TE!D257/Scoring!$C$36+TE!E257*Scoring!$D$36+TE!F257*Scoring!$E$36+H257*Scoring!$F$36</f>
        <v>15.15</v>
      </c>
      <c r="J255" s="112">
        <f>C255*Scoring!$B$36+TE!D255/Scoring!$C$36+TE!E255*Scoring!$D$36+TE!F255*Scoring!$E$36+H255*Scoring!$F$36</f>
        <v>23</v>
      </c>
      <c r="K255" s="112">
        <f>C256*Scoring!$B$36+TE!D256/Scoring!$C$36+TE!E256*Scoring!$D$36+TE!F256*Scoring!$E$36+H256*Scoring!$F$36</f>
        <v>30.7</v>
      </c>
    </row>
    <row r="256" ht="14.25" customHeight="1">
      <c r="B256" s="1" t="s">
        <v>39</v>
      </c>
      <c r="C256" s="1">
        <v>11.0</v>
      </c>
      <c r="D256" s="1">
        <v>132.0</v>
      </c>
      <c r="E256" s="1">
        <v>2.0</v>
      </c>
      <c r="F256" s="1">
        <v>0.0</v>
      </c>
      <c r="G256" s="1">
        <v>26.3</v>
      </c>
      <c r="H256" s="18">
        <f t="shared" si="1"/>
        <v>6.956756757</v>
      </c>
      <c r="I256" s="119"/>
      <c r="J256" s="119"/>
      <c r="K256" s="119"/>
    </row>
    <row r="257" ht="14.25" customHeight="1">
      <c r="B257" s="1" t="s">
        <v>48</v>
      </c>
      <c r="C257" s="1">
        <v>7.7</v>
      </c>
      <c r="D257" s="1">
        <v>79.0</v>
      </c>
      <c r="E257" s="1">
        <v>0.6</v>
      </c>
      <c r="F257" s="1">
        <v>0.1</v>
      </c>
      <c r="G257" s="1">
        <v>20.7</v>
      </c>
      <c r="H257" s="18">
        <f t="shared" si="1"/>
        <v>4.163513514</v>
      </c>
      <c r="I257" s="119"/>
      <c r="J257" s="119"/>
      <c r="K257" s="119"/>
    </row>
    <row r="258" ht="14.25" customHeight="1">
      <c r="A258" s="1" t="s">
        <v>906</v>
      </c>
      <c r="B258" s="1" t="s">
        <v>193</v>
      </c>
      <c r="C258" s="1">
        <v>10.7</v>
      </c>
      <c r="D258" s="1">
        <v>113.9</v>
      </c>
      <c r="E258" s="1">
        <v>0.9</v>
      </c>
      <c r="F258" s="1">
        <v>0.1</v>
      </c>
      <c r="G258" s="1">
        <v>27.4</v>
      </c>
      <c r="H258" s="18">
        <f t="shared" si="1"/>
        <v>6.002837838</v>
      </c>
      <c r="I258" s="112">
        <f>C260*Scoring!$B$36+TE!D260/Scoring!$C$36+TE!E260*Scoring!$D$36+TE!F260*Scoring!$E$36+H260*Scoring!$F$36</f>
        <v>21.94</v>
      </c>
      <c r="J258" s="112">
        <f>C258*Scoring!$B$36+TE!D258/Scoring!$C$36+TE!E258*Scoring!$D$36+TE!F258*Scoring!$E$36+H258*Scoring!$F$36</f>
        <v>21.94</v>
      </c>
      <c r="K258" s="112">
        <f>C259*Scoring!$B$36+TE!D259/Scoring!$C$36+TE!E259*Scoring!$D$36+TE!F259*Scoring!$E$36+H259*Scoring!$F$36</f>
        <v>21.94</v>
      </c>
    </row>
    <row r="259" ht="14.25" customHeight="1">
      <c r="B259" s="1" t="s">
        <v>39</v>
      </c>
      <c r="C259" s="1">
        <v>10.7</v>
      </c>
      <c r="D259" s="1">
        <v>113.9</v>
      </c>
      <c r="E259" s="1">
        <v>0.9</v>
      </c>
      <c r="F259" s="1">
        <v>0.1</v>
      </c>
      <c r="G259" s="1">
        <v>27.6</v>
      </c>
      <c r="H259" s="18">
        <f t="shared" si="1"/>
        <v>6.002837838</v>
      </c>
      <c r="I259" s="119"/>
      <c r="J259" s="119"/>
      <c r="K259" s="119"/>
    </row>
    <row r="260" ht="14.25" customHeight="1">
      <c r="B260" s="1" t="s">
        <v>48</v>
      </c>
      <c r="C260" s="1">
        <v>10.7</v>
      </c>
      <c r="D260" s="1">
        <v>113.9</v>
      </c>
      <c r="E260" s="1">
        <v>0.9</v>
      </c>
      <c r="F260" s="1">
        <v>0.1</v>
      </c>
      <c r="G260" s="1">
        <v>27.6</v>
      </c>
      <c r="H260" s="18">
        <f t="shared" si="1"/>
        <v>6.002837838</v>
      </c>
      <c r="I260" s="119"/>
      <c r="J260" s="119"/>
      <c r="K260" s="119"/>
    </row>
    <row r="261" ht="14.25" customHeight="1">
      <c r="A261" s="1" t="s">
        <v>907</v>
      </c>
      <c r="B261" s="1" t="s">
        <v>134</v>
      </c>
      <c r="C261" s="1">
        <v>10.0</v>
      </c>
      <c r="D261" s="1">
        <v>113.0</v>
      </c>
      <c r="E261" s="1">
        <v>1.0</v>
      </c>
      <c r="F261" s="1">
        <v>0.0</v>
      </c>
      <c r="G261" s="1">
        <v>27.3</v>
      </c>
      <c r="H261" s="18">
        <f t="shared" si="1"/>
        <v>5.955405405</v>
      </c>
      <c r="I261" s="112">
        <f>C263*Scoring!$B$36+TE!D263/Scoring!$C$36+TE!E263*Scoring!$D$36+TE!F263*Scoring!$E$36+H263*Scoring!$F$36</f>
        <v>22.3</v>
      </c>
      <c r="J261" s="112">
        <f>C261*Scoring!$B$36+TE!D261/Scoring!$C$36+TE!E261*Scoring!$D$36+TE!F261*Scoring!$E$36+H261*Scoring!$F$36</f>
        <v>22.3</v>
      </c>
      <c r="K261" s="112">
        <f>C262*Scoring!$B$36+TE!D262/Scoring!$C$36+TE!E262*Scoring!$D$36+TE!F262*Scoring!$E$36+H262*Scoring!$F$36</f>
        <v>22.3</v>
      </c>
    </row>
    <row r="262" ht="14.25" customHeight="1">
      <c r="B262" s="1" t="s">
        <v>39</v>
      </c>
      <c r="C262" s="1">
        <v>10.0</v>
      </c>
      <c r="D262" s="1">
        <v>113.0</v>
      </c>
      <c r="E262" s="1">
        <v>1.0</v>
      </c>
      <c r="F262" s="1">
        <v>0.0</v>
      </c>
      <c r="G262" s="1">
        <v>20.0</v>
      </c>
      <c r="H262" s="18">
        <f t="shared" si="1"/>
        <v>5.955405405</v>
      </c>
      <c r="I262" s="119"/>
      <c r="J262" s="119"/>
      <c r="K262" s="119"/>
    </row>
    <row r="263" ht="14.25" customHeight="1">
      <c r="B263" s="1" t="s">
        <v>48</v>
      </c>
      <c r="C263" s="1">
        <v>10.0</v>
      </c>
      <c r="D263" s="1">
        <v>113.0</v>
      </c>
      <c r="E263" s="1">
        <v>1.0</v>
      </c>
      <c r="F263" s="1">
        <v>0.0</v>
      </c>
      <c r="G263" s="1">
        <v>20.0</v>
      </c>
      <c r="H263" s="18">
        <f t="shared" si="1"/>
        <v>5.955405405</v>
      </c>
      <c r="I263" s="119"/>
      <c r="J263" s="119"/>
      <c r="K263" s="119"/>
    </row>
    <row r="264" ht="14.25" customHeight="1">
      <c r="A264" s="1" t="s">
        <v>910</v>
      </c>
      <c r="B264" s="1" t="s">
        <v>220</v>
      </c>
      <c r="C264" s="1">
        <v>10.0</v>
      </c>
      <c r="D264" s="1">
        <v>98.0</v>
      </c>
      <c r="E264" s="1">
        <v>1.0</v>
      </c>
      <c r="F264" s="1">
        <v>0.0</v>
      </c>
      <c r="G264" s="1">
        <v>25.8</v>
      </c>
      <c r="H264" s="18">
        <f t="shared" si="1"/>
        <v>5.164864865</v>
      </c>
      <c r="I264" s="112">
        <f>C266*Scoring!$B$36+TE!D266/Scoring!$C$36+TE!E266*Scoring!$D$36+TE!F266*Scoring!$E$36+H266*Scoring!$F$36</f>
        <v>20.8</v>
      </c>
      <c r="J264" s="112">
        <f>C264*Scoring!$B$36+TE!D264/Scoring!$C$36+TE!E264*Scoring!$D$36+TE!F264*Scoring!$E$36+H264*Scoring!$F$36</f>
        <v>20.8</v>
      </c>
      <c r="K264" s="112">
        <f>C265*Scoring!$B$36+TE!D265/Scoring!$C$36+TE!E265*Scoring!$D$36+TE!F265*Scoring!$E$36+H265*Scoring!$F$36</f>
        <v>20.8</v>
      </c>
    </row>
    <row r="265" ht="14.25" customHeight="1">
      <c r="B265" s="1" t="s">
        <v>39</v>
      </c>
      <c r="C265" s="1">
        <v>10.0</v>
      </c>
      <c r="D265" s="1">
        <v>98.0</v>
      </c>
      <c r="E265" s="1">
        <v>1.0</v>
      </c>
      <c r="F265" s="1">
        <v>0.0</v>
      </c>
      <c r="G265" s="1">
        <v>20.0</v>
      </c>
      <c r="H265" s="18">
        <f t="shared" si="1"/>
        <v>5.164864865</v>
      </c>
      <c r="I265" s="119"/>
      <c r="J265" s="119"/>
      <c r="K265" s="119"/>
    </row>
    <row r="266" ht="14.25" customHeight="1">
      <c r="B266" s="1" t="s">
        <v>48</v>
      </c>
      <c r="C266" s="1">
        <v>10.0</v>
      </c>
      <c r="D266" s="1">
        <v>98.0</v>
      </c>
      <c r="E266" s="1">
        <v>1.0</v>
      </c>
      <c r="F266" s="1">
        <v>0.0</v>
      </c>
      <c r="G266" s="1">
        <v>20.0</v>
      </c>
      <c r="H266" s="18">
        <f t="shared" si="1"/>
        <v>5.164864865</v>
      </c>
      <c r="I266" s="119"/>
      <c r="J266" s="119"/>
      <c r="K266" s="119"/>
    </row>
    <row r="267" ht="14.25" customHeight="1">
      <c r="A267" s="1" t="s">
        <v>911</v>
      </c>
      <c r="B267" s="1" t="s">
        <v>199</v>
      </c>
      <c r="C267" s="1">
        <v>10.0</v>
      </c>
      <c r="D267" s="1">
        <v>95.0</v>
      </c>
      <c r="E267" s="1">
        <v>1.0</v>
      </c>
      <c r="F267" s="1">
        <v>0.0</v>
      </c>
      <c r="G267" s="1">
        <v>25.5</v>
      </c>
      <c r="H267" s="18">
        <f t="shared" si="1"/>
        <v>5.006756757</v>
      </c>
      <c r="I267" s="112">
        <f>C269*Scoring!$B$36+TE!D269/Scoring!$C$36+TE!E269*Scoring!$D$36+TE!F269*Scoring!$E$36+H269*Scoring!$F$36</f>
        <v>20.5</v>
      </c>
      <c r="J267" s="112">
        <f>C267*Scoring!$B$36+TE!D267/Scoring!$C$36+TE!E267*Scoring!$D$36+TE!F267*Scoring!$E$36+H267*Scoring!$F$36</f>
        <v>20.5</v>
      </c>
      <c r="K267" s="112">
        <f>C268*Scoring!$B$36+TE!D268/Scoring!$C$36+TE!E268*Scoring!$D$36+TE!F268*Scoring!$E$36+H268*Scoring!$F$36</f>
        <v>20.5</v>
      </c>
    </row>
    <row r="268" ht="14.25" customHeight="1">
      <c r="B268" s="1" t="s">
        <v>39</v>
      </c>
      <c r="C268" s="1">
        <v>10.0</v>
      </c>
      <c r="D268" s="1">
        <v>95.0</v>
      </c>
      <c r="E268" s="1">
        <v>1.0</v>
      </c>
      <c r="F268" s="1">
        <v>0.0</v>
      </c>
      <c r="G268" s="1">
        <v>20.0</v>
      </c>
      <c r="H268" s="18">
        <f t="shared" si="1"/>
        <v>5.006756757</v>
      </c>
      <c r="I268" s="119"/>
      <c r="J268" s="119"/>
      <c r="K268" s="119"/>
    </row>
    <row r="269" ht="14.25" customHeight="1">
      <c r="B269" s="1" t="s">
        <v>48</v>
      </c>
      <c r="C269" s="1">
        <v>10.0</v>
      </c>
      <c r="D269" s="1">
        <v>95.0</v>
      </c>
      <c r="E269" s="1">
        <v>1.0</v>
      </c>
      <c r="F269" s="1">
        <v>0.0</v>
      </c>
      <c r="G269" s="1">
        <v>20.0</v>
      </c>
      <c r="H269" s="18">
        <f t="shared" si="1"/>
        <v>5.006756757</v>
      </c>
      <c r="I269" s="119"/>
      <c r="J269" s="119"/>
      <c r="K269" s="119"/>
    </row>
    <row r="270" ht="14.25" customHeight="1">
      <c r="A270" s="1" t="s">
        <v>914</v>
      </c>
      <c r="B270" s="1" t="s">
        <v>196</v>
      </c>
      <c r="C270" s="1">
        <v>9.0</v>
      </c>
      <c r="D270" s="1">
        <v>88.0</v>
      </c>
      <c r="E270" s="1">
        <v>1.0</v>
      </c>
      <c r="F270" s="1">
        <v>0.0</v>
      </c>
      <c r="G270" s="1">
        <v>23.8</v>
      </c>
      <c r="H270" s="18">
        <f t="shared" si="1"/>
        <v>4.637837838</v>
      </c>
      <c r="I270" s="112">
        <f>C272*Scoring!$B$36+TE!D272/Scoring!$C$36+TE!E272*Scoring!$D$36+TE!F272*Scoring!$E$36+H272*Scoring!$F$36</f>
        <v>19.3</v>
      </c>
      <c r="J270" s="112">
        <f>C270*Scoring!$B$36+TE!D270/Scoring!$C$36+TE!E270*Scoring!$D$36+TE!F270*Scoring!$E$36+H270*Scoring!$F$36</f>
        <v>19.3</v>
      </c>
      <c r="K270" s="112">
        <f>C271*Scoring!$B$36+TE!D271/Scoring!$C$36+TE!E271*Scoring!$D$36+TE!F271*Scoring!$E$36+H271*Scoring!$F$36</f>
        <v>19.3</v>
      </c>
    </row>
    <row r="271" ht="14.25" customHeight="1">
      <c r="B271" s="1" t="s">
        <v>39</v>
      </c>
      <c r="C271" s="1">
        <v>9.0</v>
      </c>
      <c r="D271" s="1">
        <v>88.0</v>
      </c>
      <c r="E271" s="1">
        <v>1.0</v>
      </c>
      <c r="F271" s="1">
        <v>0.0</v>
      </c>
      <c r="G271" s="1">
        <v>19.0</v>
      </c>
      <c r="H271" s="18">
        <f t="shared" si="1"/>
        <v>4.637837838</v>
      </c>
      <c r="I271" s="119"/>
      <c r="J271" s="119"/>
      <c r="K271" s="119"/>
    </row>
    <row r="272" ht="14.25" customHeight="1">
      <c r="B272" s="1" t="s">
        <v>48</v>
      </c>
      <c r="C272" s="1">
        <v>9.0</v>
      </c>
      <c r="D272" s="1">
        <v>88.0</v>
      </c>
      <c r="E272" s="1">
        <v>1.0</v>
      </c>
      <c r="F272" s="1">
        <v>0.0</v>
      </c>
      <c r="G272" s="1">
        <v>19.0</v>
      </c>
      <c r="H272" s="18">
        <f t="shared" si="1"/>
        <v>4.637837838</v>
      </c>
      <c r="I272" s="119"/>
      <c r="J272" s="119"/>
      <c r="K272" s="119"/>
    </row>
    <row r="273" ht="14.25" customHeight="1">
      <c r="A273" s="1" t="s">
        <v>916</v>
      </c>
      <c r="B273" s="1" t="s">
        <v>61</v>
      </c>
      <c r="C273" s="1">
        <v>9.8</v>
      </c>
      <c r="D273" s="1">
        <v>94.0</v>
      </c>
      <c r="E273" s="1">
        <v>0.7</v>
      </c>
      <c r="F273" s="1">
        <v>0.1</v>
      </c>
      <c r="G273" s="1">
        <v>23.5</v>
      </c>
      <c r="H273" s="18">
        <f t="shared" si="1"/>
        <v>4.954054054</v>
      </c>
      <c r="I273" s="112">
        <f>C275*Scoring!$B$36+TE!D275/Scoring!$C$36+TE!E275*Scoring!$D$36+TE!F275*Scoring!$E$36+H275*Scoring!$F$36</f>
        <v>18.3</v>
      </c>
      <c r="J273" s="112">
        <f>C273*Scoring!$B$36+TE!D273/Scoring!$C$36+TE!E273*Scoring!$D$36+TE!F273*Scoring!$E$36+H273*Scoring!$F$36</f>
        <v>18.3</v>
      </c>
      <c r="K273" s="112">
        <f>C274*Scoring!$B$36+TE!D274/Scoring!$C$36+TE!E274*Scoring!$D$36+TE!F274*Scoring!$E$36+H274*Scoring!$F$36</f>
        <v>18.3</v>
      </c>
    </row>
    <row r="274" ht="14.25" customHeight="1">
      <c r="B274" s="1" t="s">
        <v>39</v>
      </c>
      <c r="C274" s="1">
        <v>9.8</v>
      </c>
      <c r="D274" s="1">
        <v>94.0</v>
      </c>
      <c r="E274" s="1">
        <v>0.7</v>
      </c>
      <c r="F274" s="1">
        <v>0.1</v>
      </c>
      <c r="G274" s="1">
        <v>23.6</v>
      </c>
      <c r="H274" s="18">
        <f t="shared" si="1"/>
        <v>4.954054054</v>
      </c>
      <c r="I274" s="119"/>
      <c r="J274" s="119"/>
      <c r="K274" s="119"/>
    </row>
    <row r="275" ht="14.25" customHeight="1">
      <c r="B275" s="1" t="s">
        <v>48</v>
      </c>
      <c r="C275" s="1">
        <v>9.8</v>
      </c>
      <c r="D275" s="1">
        <v>94.0</v>
      </c>
      <c r="E275" s="1">
        <v>0.7</v>
      </c>
      <c r="F275" s="1">
        <v>0.1</v>
      </c>
      <c r="G275" s="1">
        <v>23.6</v>
      </c>
      <c r="H275" s="18">
        <f t="shared" si="1"/>
        <v>4.954054054</v>
      </c>
      <c r="I275" s="119"/>
      <c r="J275" s="119"/>
      <c r="K275" s="119"/>
    </row>
    <row r="276" ht="14.25" customHeight="1">
      <c r="A276" s="1" t="s">
        <v>918</v>
      </c>
      <c r="B276" s="1" t="s">
        <v>182</v>
      </c>
      <c r="C276" s="1">
        <v>9.4</v>
      </c>
      <c r="D276" s="1">
        <v>95.1</v>
      </c>
      <c r="E276" s="1">
        <v>0.7</v>
      </c>
      <c r="F276" s="1">
        <v>0.0</v>
      </c>
      <c r="G276" s="1">
        <v>23.3</v>
      </c>
      <c r="H276" s="18">
        <f t="shared" si="1"/>
        <v>5.012027027</v>
      </c>
      <c r="I276" s="112">
        <f>C278*Scoring!$B$36+TE!D278/Scoring!$C$36+TE!E278*Scoring!$D$36+TE!F278*Scoring!$E$36+H278*Scoring!$F$36</f>
        <v>14.11</v>
      </c>
      <c r="J276" s="112">
        <f>C276*Scoring!$B$36+TE!D276/Scoring!$C$36+TE!E276*Scoring!$D$36+TE!F276*Scoring!$E$36+H276*Scoring!$F$36</f>
        <v>18.41</v>
      </c>
      <c r="K276" s="112">
        <f>C277*Scoring!$B$36+TE!D277/Scoring!$C$36+TE!E277*Scoring!$D$36+TE!F277*Scoring!$E$36+H277*Scoring!$F$36</f>
        <v>23.1</v>
      </c>
    </row>
    <row r="277" ht="14.25" customHeight="1">
      <c r="B277" s="1" t="s">
        <v>39</v>
      </c>
      <c r="C277" s="1">
        <v>11.0</v>
      </c>
      <c r="D277" s="1">
        <v>116.0</v>
      </c>
      <c r="E277" s="1">
        <v>1.0</v>
      </c>
      <c r="F277" s="1">
        <v>0.0</v>
      </c>
      <c r="G277" s="1">
        <v>19.6</v>
      </c>
      <c r="H277" s="18">
        <f t="shared" si="1"/>
        <v>6.113513514</v>
      </c>
      <c r="I277" s="119"/>
      <c r="J277" s="119"/>
      <c r="K277" s="119"/>
    </row>
    <row r="278" ht="14.25" customHeight="1">
      <c r="B278" s="1" t="s">
        <v>48</v>
      </c>
      <c r="C278" s="1">
        <v>7.8</v>
      </c>
      <c r="D278" s="1">
        <v>74.1</v>
      </c>
      <c r="E278" s="1">
        <v>0.5</v>
      </c>
      <c r="F278" s="1">
        <v>0.1</v>
      </c>
      <c r="G278" s="1">
        <v>19.4</v>
      </c>
      <c r="H278" s="18">
        <f t="shared" si="1"/>
        <v>3.90527027</v>
      </c>
      <c r="I278" s="119"/>
      <c r="J278" s="119"/>
      <c r="K278" s="119"/>
    </row>
    <row r="279" ht="14.25" customHeight="1">
      <c r="A279" s="1" t="s">
        <v>920</v>
      </c>
      <c r="B279" s="1" t="s">
        <v>208</v>
      </c>
      <c r="C279" s="1">
        <v>8.0</v>
      </c>
      <c r="D279" s="1">
        <v>71.5</v>
      </c>
      <c r="E279" s="1">
        <v>1.0</v>
      </c>
      <c r="F279" s="1">
        <v>0.0</v>
      </c>
      <c r="G279" s="1">
        <v>21.2</v>
      </c>
      <c r="H279" s="18">
        <f t="shared" si="1"/>
        <v>3.768243243</v>
      </c>
      <c r="I279" s="112">
        <f>C281*Scoring!$B$36+TE!D281/Scoring!$C$36+TE!E281*Scoring!$D$36+TE!F281*Scoring!$E$36+H281*Scoring!$F$36</f>
        <v>0</v>
      </c>
      <c r="J279" s="112">
        <f>C279*Scoring!$B$36+TE!D279/Scoring!$C$36+TE!E279*Scoring!$D$36+TE!F279*Scoring!$E$36+H279*Scoring!$F$36</f>
        <v>17.15</v>
      </c>
      <c r="K279" s="112">
        <f>C280*Scoring!$B$36+TE!D280/Scoring!$C$36+TE!E280*Scoring!$D$36+TE!F280*Scoring!$E$36+H280*Scoring!$F$36</f>
        <v>34.3</v>
      </c>
    </row>
    <row r="280" ht="14.25" customHeight="1">
      <c r="B280" s="1" t="s">
        <v>39</v>
      </c>
      <c r="C280" s="1">
        <v>16.0</v>
      </c>
      <c r="D280" s="1">
        <v>143.0</v>
      </c>
      <c r="E280" s="1">
        <v>2.0</v>
      </c>
      <c r="F280" s="1">
        <v>0.0</v>
      </c>
      <c r="G280" s="1">
        <v>26.0</v>
      </c>
      <c r="H280" s="18">
        <f t="shared" si="1"/>
        <v>7.536486486</v>
      </c>
      <c r="I280" s="119"/>
      <c r="J280" s="119"/>
      <c r="K280" s="119"/>
    </row>
    <row r="281" ht="14.25" customHeight="1">
      <c r="B281" s="1" t="s">
        <v>48</v>
      </c>
      <c r="C281" s="1">
        <v>0.0</v>
      </c>
      <c r="D281" s="1">
        <v>0.0</v>
      </c>
      <c r="E281" s="1">
        <v>0.0</v>
      </c>
      <c r="F281" s="1">
        <v>0.0</v>
      </c>
      <c r="G281" s="1">
        <v>8.0</v>
      </c>
      <c r="H281" s="18">
        <f t="shared" si="1"/>
        <v>0</v>
      </c>
      <c r="I281" s="119"/>
      <c r="J281" s="119"/>
      <c r="K281" s="119"/>
    </row>
    <row r="282" ht="14.25" customHeight="1">
      <c r="A282" s="1" t="s">
        <v>922</v>
      </c>
      <c r="B282" s="1" t="s">
        <v>186</v>
      </c>
      <c r="C282" s="1">
        <v>7.6</v>
      </c>
      <c r="D282" s="1">
        <v>80.8</v>
      </c>
      <c r="E282" s="1">
        <v>0.8</v>
      </c>
      <c r="F282" s="1">
        <v>0.0</v>
      </c>
      <c r="G282" s="1">
        <v>20.5</v>
      </c>
      <c r="H282" s="18">
        <f t="shared" si="1"/>
        <v>4.258378378</v>
      </c>
      <c r="I282" s="112">
        <f>C284*Scoring!$B$36+TE!D284/Scoring!$C$36+TE!E284*Scoring!$D$36+TE!F284*Scoring!$E$36+H284*Scoring!$F$36</f>
        <v>14.06</v>
      </c>
      <c r="J282" s="112">
        <f>C282*Scoring!$B$36+TE!D282/Scoring!$C$36+TE!E282*Scoring!$D$36+TE!F282*Scoring!$E$36+H282*Scoring!$F$36</f>
        <v>16.68</v>
      </c>
      <c r="K282" s="112">
        <f>C283*Scoring!$B$36+TE!D283/Scoring!$C$36+TE!E283*Scoring!$D$36+TE!F283*Scoring!$E$36+H283*Scoring!$F$36</f>
        <v>19.1</v>
      </c>
    </row>
    <row r="283" ht="14.25" customHeight="1">
      <c r="B283" s="1" t="s">
        <v>39</v>
      </c>
      <c r="C283" s="1">
        <v>8.0</v>
      </c>
      <c r="D283" s="1">
        <v>91.0</v>
      </c>
      <c r="E283" s="1">
        <v>1.0</v>
      </c>
      <c r="F283" s="1">
        <v>0.0</v>
      </c>
      <c r="G283" s="1">
        <v>18.5</v>
      </c>
      <c r="H283" s="18">
        <f t="shared" si="1"/>
        <v>4.795945946</v>
      </c>
      <c r="I283" s="119"/>
      <c r="J283" s="119"/>
      <c r="K283" s="119"/>
    </row>
    <row r="284" ht="14.25" customHeight="1">
      <c r="B284" s="1" t="s">
        <v>48</v>
      </c>
      <c r="C284" s="1">
        <v>7.2</v>
      </c>
      <c r="D284" s="1">
        <v>70.6</v>
      </c>
      <c r="E284" s="1">
        <v>0.6</v>
      </c>
      <c r="F284" s="1">
        <v>0.1</v>
      </c>
      <c r="G284" s="1">
        <v>17.6</v>
      </c>
      <c r="H284" s="18">
        <f t="shared" si="1"/>
        <v>3.720810811</v>
      </c>
      <c r="I284" s="119"/>
      <c r="J284" s="119"/>
      <c r="K284" s="119"/>
    </row>
    <row r="285" ht="14.25" customHeight="1">
      <c r="A285" s="1" t="s">
        <v>924</v>
      </c>
      <c r="B285" s="1" t="s">
        <v>176</v>
      </c>
      <c r="C285" s="1">
        <v>8.0</v>
      </c>
      <c r="D285" s="1">
        <v>82.6</v>
      </c>
      <c r="E285" s="1">
        <v>0.7</v>
      </c>
      <c r="F285" s="1">
        <v>0.0</v>
      </c>
      <c r="G285" s="1">
        <v>20.3</v>
      </c>
      <c r="H285" s="18">
        <f t="shared" si="1"/>
        <v>4.353243243</v>
      </c>
      <c r="I285" s="112">
        <f>C287*Scoring!$B$36+TE!D287/Scoring!$C$36+TE!E287*Scoring!$D$36+TE!F287*Scoring!$E$36+H287*Scoring!$F$36</f>
        <v>8.22</v>
      </c>
      <c r="J285" s="112">
        <f>C285*Scoring!$B$36+TE!D285/Scoring!$C$36+TE!E285*Scoring!$D$36+TE!F285*Scoring!$E$36+H285*Scoring!$F$36</f>
        <v>16.46</v>
      </c>
      <c r="K285" s="112">
        <f>C286*Scoring!$B$36+TE!D286/Scoring!$C$36+TE!E286*Scoring!$D$36+TE!F286*Scoring!$E$36+H286*Scoring!$F$36</f>
        <v>24.7</v>
      </c>
    </row>
    <row r="286" ht="14.25" customHeight="1">
      <c r="B286" s="1" t="s">
        <v>39</v>
      </c>
      <c r="C286" s="1">
        <v>12.0</v>
      </c>
      <c r="D286" s="1">
        <v>127.0</v>
      </c>
      <c r="E286" s="1">
        <v>1.0</v>
      </c>
      <c r="F286" s="1">
        <v>0.0</v>
      </c>
      <c r="G286" s="1">
        <v>19.0</v>
      </c>
      <c r="H286" s="18">
        <f t="shared" si="1"/>
        <v>6.693243243</v>
      </c>
      <c r="I286" s="119"/>
      <c r="J286" s="119"/>
      <c r="K286" s="119"/>
    </row>
    <row r="287" ht="14.25" customHeight="1">
      <c r="B287" s="1" t="s">
        <v>48</v>
      </c>
      <c r="C287" s="1">
        <v>4.0</v>
      </c>
      <c r="D287" s="1">
        <v>38.2</v>
      </c>
      <c r="E287" s="1">
        <v>0.4</v>
      </c>
      <c r="F287" s="1">
        <v>0.0</v>
      </c>
      <c r="G287" s="1">
        <v>13.9</v>
      </c>
      <c r="H287" s="18">
        <f t="shared" si="1"/>
        <v>2.013243243</v>
      </c>
      <c r="I287" s="119"/>
      <c r="J287" s="119"/>
      <c r="K287" s="119"/>
    </row>
    <row r="288" ht="14.25" customHeight="1">
      <c r="A288" s="1" t="s">
        <v>925</v>
      </c>
      <c r="B288" s="1" t="s">
        <v>170</v>
      </c>
      <c r="C288" s="1">
        <v>8.0</v>
      </c>
      <c r="D288" s="1">
        <v>71.4</v>
      </c>
      <c r="E288" s="1">
        <v>0.7</v>
      </c>
      <c r="F288" s="1">
        <v>0.0</v>
      </c>
      <c r="G288" s="1">
        <v>19.0</v>
      </c>
      <c r="H288" s="18">
        <f t="shared" si="1"/>
        <v>3.762972973</v>
      </c>
      <c r="I288" s="112">
        <f>C290*Scoring!$B$36+TE!D290/Scoring!$C$36+TE!E290*Scoring!$D$36+TE!F290*Scoring!$E$36+H290*Scoring!$F$36</f>
        <v>7.59</v>
      </c>
      <c r="J288" s="112">
        <f>C288*Scoring!$B$36+TE!D288/Scoring!$C$36+TE!E288*Scoring!$D$36+TE!F288*Scoring!$E$36+H288*Scoring!$F$36</f>
        <v>15.34</v>
      </c>
      <c r="K288" s="112">
        <f>C289*Scoring!$B$36+TE!D289/Scoring!$C$36+TE!E289*Scoring!$D$36+TE!F289*Scoring!$E$36+H289*Scoring!$F$36</f>
        <v>22.5</v>
      </c>
    </row>
    <row r="289" ht="14.25" customHeight="1">
      <c r="B289" s="1" t="s">
        <v>39</v>
      </c>
      <c r="C289" s="1">
        <v>12.0</v>
      </c>
      <c r="D289" s="1">
        <v>105.0</v>
      </c>
      <c r="E289" s="1">
        <v>1.0</v>
      </c>
      <c r="F289" s="1">
        <v>0.0</v>
      </c>
      <c r="G289" s="1">
        <v>18.0</v>
      </c>
      <c r="H289" s="18">
        <f t="shared" si="1"/>
        <v>5.533783784</v>
      </c>
      <c r="I289" s="119"/>
      <c r="J289" s="119"/>
      <c r="K289" s="119"/>
    </row>
    <row r="290" ht="14.25" customHeight="1">
      <c r="B290" s="1" t="s">
        <v>48</v>
      </c>
      <c r="C290" s="1">
        <v>4.0</v>
      </c>
      <c r="D290" s="1">
        <v>37.9</v>
      </c>
      <c r="E290" s="1">
        <v>0.3</v>
      </c>
      <c r="F290" s="1">
        <v>0.0</v>
      </c>
      <c r="G290" s="1">
        <v>13.6</v>
      </c>
      <c r="H290" s="18">
        <f t="shared" si="1"/>
        <v>1.997432432</v>
      </c>
      <c r="I290" s="119"/>
      <c r="J290" s="119"/>
      <c r="K290" s="119"/>
    </row>
    <row r="291" ht="14.25" customHeight="1">
      <c r="A291" s="1" t="s">
        <v>928</v>
      </c>
      <c r="B291" s="1" t="s">
        <v>150</v>
      </c>
      <c r="C291" s="1">
        <v>7.4</v>
      </c>
      <c r="D291" s="1">
        <v>71.4</v>
      </c>
      <c r="E291" s="1">
        <v>0.7</v>
      </c>
      <c r="F291" s="1">
        <v>0.0</v>
      </c>
      <c r="G291" s="1">
        <v>18.5</v>
      </c>
      <c r="H291" s="18">
        <f t="shared" si="1"/>
        <v>3.762972973</v>
      </c>
      <c r="I291" s="112">
        <f>C293*Scoring!$B$36+TE!D293/Scoring!$C$36+TE!E293*Scoring!$D$36+TE!F293*Scoring!$E$36+H293*Scoring!$F$36</f>
        <v>7.42</v>
      </c>
      <c r="J291" s="112">
        <f>C291*Scoring!$B$36+TE!D291/Scoring!$C$36+TE!E291*Scoring!$D$36+TE!F291*Scoring!$E$36+H291*Scoring!$F$36</f>
        <v>15.04</v>
      </c>
      <c r="K291" s="112">
        <f>C292*Scoring!$B$36+TE!D292/Scoring!$C$36+TE!E292*Scoring!$D$36+TE!F292*Scoring!$E$36+H292*Scoring!$F$36</f>
        <v>22.1</v>
      </c>
    </row>
    <row r="292" ht="14.25" customHeight="1">
      <c r="B292" s="1" t="s">
        <v>39</v>
      </c>
      <c r="C292" s="1">
        <v>11.0</v>
      </c>
      <c r="D292" s="1">
        <v>106.0</v>
      </c>
      <c r="E292" s="1">
        <v>1.0</v>
      </c>
      <c r="F292" s="1">
        <v>0.0</v>
      </c>
      <c r="G292" s="1">
        <v>17.4</v>
      </c>
      <c r="H292" s="18">
        <f t="shared" si="1"/>
        <v>5.586486486</v>
      </c>
      <c r="I292" s="119"/>
      <c r="J292" s="119"/>
      <c r="K292" s="119"/>
    </row>
    <row r="293" ht="14.25" customHeight="1">
      <c r="B293" s="1" t="s">
        <v>48</v>
      </c>
      <c r="C293" s="1">
        <v>3.9</v>
      </c>
      <c r="D293" s="1">
        <v>36.7</v>
      </c>
      <c r="E293" s="1">
        <v>0.3</v>
      </c>
      <c r="F293" s="1">
        <v>0.0</v>
      </c>
      <c r="G293" s="1">
        <v>13.0</v>
      </c>
      <c r="H293" s="18">
        <f t="shared" si="1"/>
        <v>1.934189189</v>
      </c>
      <c r="I293" s="119"/>
      <c r="J293" s="119"/>
      <c r="K293" s="119"/>
    </row>
    <row r="294" ht="14.25" customHeight="1">
      <c r="A294" s="1" t="s">
        <v>930</v>
      </c>
      <c r="B294" s="1" t="s">
        <v>145</v>
      </c>
      <c r="C294" s="1">
        <v>7.0</v>
      </c>
      <c r="D294" s="1">
        <v>73.8</v>
      </c>
      <c r="E294" s="1">
        <v>0.6</v>
      </c>
      <c r="F294" s="1">
        <v>0.0</v>
      </c>
      <c r="G294" s="1">
        <v>18.1</v>
      </c>
      <c r="H294" s="18">
        <f t="shared" si="1"/>
        <v>3.889459459</v>
      </c>
      <c r="I294" s="112">
        <f>C296*Scoring!$B$36+TE!D296/Scoring!$C$36+TE!E296*Scoring!$D$36+TE!F296*Scoring!$E$36+H296*Scoring!$F$36</f>
        <v>7.42</v>
      </c>
      <c r="J294" s="112">
        <f>C294*Scoring!$B$36+TE!D294/Scoring!$C$36+TE!E294*Scoring!$D$36+TE!F294*Scoring!$E$36+H294*Scoring!$F$36</f>
        <v>14.48</v>
      </c>
      <c r="K294" s="112">
        <f>C295*Scoring!$B$36+TE!D295/Scoring!$C$36+TE!E295*Scoring!$D$36+TE!F295*Scoring!$E$36+H295*Scoring!$F$36</f>
        <v>22.1</v>
      </c>
    </row>
    <row r="295" ht="14.25" customHeight="1">
      <c r="B295" s="1" t="s">
        <v>39</v>
      </c>
      <c r="C295" s="1">
        <v>10.0</v>
      </c>
      <c r="D295" s="1">
        <v>111.0</v>
      </c>
      <c r="E295" s="1">
        <v>1.0</v>
      </c>
      <c r="F295" s="1">
        <v>0.0</v>
      </c>
      <c r="G295" s="1">
        <v>17.0</v>
      </c>
      <c r="H295" s="18">
        <f t="shared" si="1"/>
        <v>5.85</v>
      </c>
      <c r="I295" s="119"/>
      <c r="J295" s="119"/>
      <c r="K295" s="119"/>
    </row>
    <row r="296" ht="14.25" customHeight="1">
      <c r="B296" s="1" t="s">
        <v>48</v>
      </c>
      <c r="C296" s="1">
        <v>3.9</v>
      </c>
      <c r="D296" s="1">
        <v>36.7</v>
      </c>
      <c r="E296" s="1">
        <v>0.3</v>
      </c>
      <c r="F296" s="1">
        <v>0.0</v>
      </c>
      <c r="G296" s="1">
        <v>12.3</v>
      </c>
      <c r="H296" s="18">
        <f t="shared" si="1"/>
        <v>1.934189189</v>
      </c>
      <c r="I296" s="119"/>
      <c r="J296" s="119"/>
      <c r="K296" s="119"/>
    </row>
    <row r="297" ht="14.25" customHeight="1">
      <c r="A297" s="1" t="s">
        <v>932</v>
      </c>
      <c r="B297" s="1" t="s">
        <v>159</v>
      </c>
      <c r="C297" s="1">
        <v>6.8</v>
      </c>
      <c r="D297" s="1">
        <v>72.4</v>
      </c>
      <c r="E297" s="1">
        <v>0.6</v>
      </c>
      <c r="F297" s="1">
        <v>0.0</v>
      </c>
      <c r="G297" s="1">
        <v>17.9</v>
      </c>
      <c r="H297" s="18">
        <f t="shared" si="1"/>
        <v>3.815675676</v>
      </c>
      <c r="I297" s="112">
        <f>C299*Scoring!$B$36+TE!D299/Scoring!$C$36+TE!E299*Scoring!$D$36+TE!F299*Scoring!$E$36+H299*Scoring!$F$36</f>
        <v>7.03</v>
      </c>
      <c r="J297" s="112">
        <f>C297*Scoring!$B$36+TE!D297/Scoring!$C$36+TE!E297*Scoring!$D$36+TE!F297*Scoring!$E$36+H297*Scoring!$F$36</f>
        <v>14.24</v>
      </c>
      <c r="K297" s="112">
        <f>C298*Scoring!$B$36+TE!D298/Scoring!$C$36+TE!E298*Scoring!$D$36+TE!F298*Scoring!$E$36+H298*Scoring!$F$36</f>
        <v>22.1</v>
      </c>
    </row>
    <row r="298" ht="14.25" customHeight="1">
      <c r="B298" s="1" t="s">
        <v>39</v>
      </c>
      <c r="C298" s="1">
        <v>10.0</v>
      </c>
      <c r="D298" s="1">
        <v>111.0</v>
      </c>
      <c r="E298" s="1">
        <v>1.0</v>
      </c>
      <c r="F298" s="1">
        <v>0.0</v>
      </c>
      <c r="G298" s="1">
        <v>16.8</v>
      </c>
      <c r="H298" s="18">
        <f t="shared" si="1"/>
        <v>5.85</v>
      </c>
      <c r="I298" s="119"/>
      <c r="J298" s="119"/>
      <c r="K298" s="119"/>
    </row>
    <row r="299" ht="14.25" customHeight="1">
      <c r="B299" s="1" t="s">
        <v>48</v>
      </c>
      <c r="C299" s="1">
        <v>3.7</v>
      </c>
      <c r="D299" s="1">
        <v>33.8</v>
      </c>
      <c r="E299" s="1">
        <v>0.3</v>
      </c>
      <c r="F299" s="1">
        <v>0.0</v>
      </c>
      <c r="G299" s="1">
        <v>11.9</v>
      </c>
      <c r="H299" s="18">
        <f t="shared" si="1"/>
        <v>1.781351351</v>
      </c>
      <c r="I299" s="119"/>
      <c r="J299" s="119"/>
      <c r="K299" s="119"/>
    </row>
    <row r="300" ht="14.25" customHeight="1">
      <c r="A300" s="1" t="s">
        <v>934</v>
      </c>
      <c r="B300" s="1" t="s">
        <v>186</v>
      </c>
      <c r="C300" s="1">
        <v>5.5</v>
      </c>
      <c r="D300" s="1">
        <v>59.0</v>
      </c>
      <c r="E300" s="1">
        <v>1.0</v>
      </c>
      <c r="F300" s="1">
        <v>0.0</v>
      </c>
      <c r="G300" s="1">
        <v>17.4</v>
      </c>
      <c r="H300" s="18">
        <f t="shared" si="1"/>
        <v>3.109459459</v>
      </c>
      <c r="I300" s="112">
        <f>C302*Scoring!$B$36+TE!D302/Scoring!$C$36+TE!E302*Scoring!$D$36+TE!F302*Scoring!$E$36+H302*Scoring!$F$36</f>
        <v>0</v>
      </c>
      <c r="J300" s="112">
        <f>C300*Scoring!$B$36+TE!D300/Scoring!$C$36+TE!E300*Scoring!$D$36+TE!F300*Scoring!$E$36+H300*Scoring!$F$36</f>
        <v>14.65</v>
      </c>
      <c r="K300" s="112">
        <f>C301*Scoring!$B$36+TE!D301/Scoring!$C$36+TE!E301*Scoring!$D$36+TE!F301*Scoring!$E$36+H301*Scoring!$F$36</f>
        <v>29.3</v>
      </c>
    </row>
    <row r="301" ht="14.25" customHeight="1">
      <c r="B301" s="1" t="s">
        <v>39</v>
      </c>
      <c r="C301" s="1">
        <v>11.0</v>
      </c>
      <c r="D301" s="1">
        <v>118.0</v>
      </c>
      <c r="E301" s="1">
        <v>2.0</v>
      </c>
      <c r="F301" s="1">
        <v>0.0</v>
      </c>
      <c r="G301" s="1">
        <v>21.5</v>
      </c>
      <c r="H301" s="18">
        <f t="shared" si="1"/>
        <v>6.218918919</v>
      </c>
      <c r="I301" s="119"/>
      <c r="J301" s="119"/>
      <c r="K301" s="119"/>
    </row>
    <row r="302" ht="14.25" customHeight="1">
      <c r="B302" s="1" t="s">
        <v>48</v>
      </c>
      <c r="C302" s="1">
        <v>0.0</v>
      </c>
      <c r="D302" s="1">
        <v>0.0</v>
      </c>
      <c r="E302" s="1">
        <v>0.0</v>
      </c>
      <c r="F302" s="1">
        <v>0.0</v>
      </c>
      <c r="G302" s="1">
        <v>5.5</v>
      </c>
      <c r="H302" s="18">
        <f t="shared" si="1"/>
        <v>0</v>
      </c>
      <c r="I302" s="119"/>
      <c r="J302" s="119"/>
      <c r="K302" s="119"/>
    </row>
    <row r="303" ht="14.25" customHeight="1">
      <c r="A303" s="1" t="s">
        <v>936</v>
      </c>
      <c r="B303" s="1" t="s">
        <v>226</v>
      </c>
      <c r="C303" s="1">
        <v>7.5</v>
      </c>
      <c r="D303" s="1">
        <v>67.4</v>
      </c>
      <c r="E303" s="1">
        <v>0.3</v>
      </c>
      <c r="F303" s="1">
        <v>0.1</v>
      </c>
      <c r="G303" s="1">
        <v>16.2</v>
      </c>
      <c r="H303" s="18">
        <f t="shared" si="1"/>
        <v>3.552162162</v>
      </c>
      <c r="I303" s="112">
        <f>C305*Scoring!$B$36+TE!D305/Scoring!$C$36+TE!E305*Scoring!$D$36+TE!F305*Scoring!$E$36+H305*Scoring!$F$36</f>
        <v>12.09</v>
      </c>
      <c r="J303" s="112">
        <f>C303*Scoring!$B$36+TE!D303/Scoring!$C$36+TE!E303*Scoring!$D$36+TE!F303*Scoring!$E$36+H303*Scoring!$F$36</f>
        <v>12.09</v>
      </c>
      <c r="K303" s="112">
        <f>C304*Scoring!$B$36+TE!D304/Scoring!$C$36+TE!E304*Scoring!$D$36+TE!F304*Scoring!$E$36+H304*Scoring!$F$36</f>
        <v>12.09</v>
      </c>
    </row>
    <row r="304" ht="14.25" customHeight="1">
      <c r="B304" s="1" t="s">
        <v>39</v>
      </c>
      <c r="C304" s="1">
        <v>7.5</v>
      </c>
      <c r="D304" s="1">
        <v>67.4</v>
      </c>
      <c r="E304" s="1">
        <v>0.3</v>
      </c>
      <c r="F304" s="1">
        <v>0.1</v>
      </c>
      <c r="G304" s="1">
        <v>16.3</v>
      </c>
      <c r="H304" s="18">
        <f t="shared" si="1"/>
        <v>3.552162162</v>
      </c>
      <c r="I304" s="119"/>
      <c r="J304" s="119"/>
      <c r="K304" s="119"/>
    </row>
    <row r="305" ht="14.25" customHeight="1">
      <c r="B305" s="1" t="s">
        <v>48</v>
      </c>
      <c r="C305" s="1">
        <v>7.5</v>
      </c>
      <c r="D305" s="1">
        <v>67.4</v>
      </c>
      <c r="E305" s="1">
        <v>0.3</v>
      </c>
      <c r="F305" s="1">
        <v>0.1</v>
      </c>
      <c r="G305" s="1">
        <v>16.3</v>
      </c>
      <c r="H305" s="18">
        <f t="shared" si="1"/>
        <v>3.552162162</v>
      </c>
      <c r="I305" s="119"/>
      <c r="J305" s="119"/>
      <c r="K305" s="119"/>
    </row>
    <row r="306" ht="14.25" customHeight="1">
      <c r="A306" s="1" t="s">
        <v>938</v>
      </c>
      <c r="B306" s="1" t="s">
        <v>61</v>
      </c>
      <c r="C306" s="1">
        <v>5.7</v>
      </c>
      <c r="D306" s="1">
        <v>66.4</v>
      </c>
      <c r="E306" s="1">
        <v>0.6</v>
      </c>
      <c r="F306" s="1">
        <v>0.0</v>
      </c>
      <c r="G306" s="1">
        <v>16.2</v>
      </c>
      <c r="H306" s="18">
        <f t="shared" si="1"/>
        <v>3.499459459</v>
      </c>
      <c r="I306" s="112">
        <f>C308*Scoring!$B$36+TE!D308/Scoring!$C$36+TE!E308*Scoring!$D$36+TE!F308*Scoring!$E$36+H308*Scoring!$F$36</f>
        <v>7.03</v>
      </c>
      <c r="J306" s="112">
        <f>C306*Scoring!$B$36+TE!D306/Scoring!$C$36+TE!E306*Scoring!$D$36+TE!F306*Scoring!$E$36+H306*Scoring!$F$36</f>
        <v>13.09</v>
      </c>
      <c r="K306" s="112">
        <f>C307*Scoring!$B$36+TE!D307/Scoring!$C$36+TE!E307*Scoring!$D$36+TE!F307*Scoring!$E$36+H307*Scoring!$F$36</f>
        <v>19.7</v>
      </c>
    </row>
    <row r="307" ht="14.25" customHeight="1">
      <c r="B307" s="1" t="s">
        <v>39</v>
      </c>
      <c r="C307" s="1">
        <v>8.0</v>
      </c>
      <c r="D307" s="1">
        <v>97.0</v>
      </c>
      <c r="E307" s="1">
        <v>1.0</v>
      </c>
      <c r="F307" s="1">
        <v>0.0</v>
      </c>
      <c r="G307" s="1">
        <v>15.7</v>
      </c>
      <c r="H307" s="18">
        <f t="shared" si="1"/>
        <v>5.112162162</v>
      </c>
      <c r="I307" s="119"/>
      <c r="J307" s="119"/>
      <c r="K307" s="119"/>
    </row>
    <row r="308" ht="14.25" customHeight="1">
      <c r="B308" s="1" t="s">
        <v>48</v>
      </c>
      <c r="C308" s="1">
        <v>3.3</v>
      </c>
      <c r="D308" s="1">
        <v>35.8</v>
      </c>
      <c r="E308" s="1">
        <v>0.3</v>
      </c>
      <c r="F308" s="1">
        <v>0.0</v>
      </c>
      <c r="G308" s="1">
        <v>11.0</v>
      </c>
      <c r="H308" s="18">
        <f t="shared" si="1"/>
        <v>1.886756757</v>
      </c>
      <c r="I308" s="119"/>
      <c r="J308" s="119"/>
      <c r="K308" s="119"/>
    </row>
    <row r="309" ht="14.25" customHeight="1">
      <c r="A309" s="1" t="s">
        <v>940</v>
      </c>
      <c r="B309" s="1" t="s">
        <v>145</v>
      </c>
      <c r="C309" s="1">
        <v>5.0</v>
      </c>
      <c r="D309" s="1">
        <v>45.0</v>
      </c>
      <c r="E309" s="1">
        <v>1.0</v>
      </c>
      <c r="F309" s="1">
        <v>0.0</v>
      </c>
      <c r="G309" s="1">
        <v>15.5</v>
      </c>
      <c r="H309" s="18">
        <f t="shared" si="1"/>
        <v>2.371621622</v>
      </c>
      <c r="I309" s="112">
        <f>C311*Scoring!$B$36+TE!D311/Scoring!$C$36+TE!E311*Scoring!$D$36+TE!F311*Scoring!$E$36+H311*Scoring!$F$36</f>
        <v>0</v>
      </c>
      <c r="J309" s="112">
        <f>C309*Scoring!$B$36+TE!D309/Scoring!$C$36+TE!E309*Scoring!$D$36+TE!F309*Scoring!$E$36+H309*Scoring!$F$36</f>
        <v>13</v>
      </c>
      <c r="K309" s="112">
        <f>C310*Scoring!$B$36+TE!D310/Scoring!$C$36+TE!E310*Scoring!$D$36+TE!F310*Scoring!$E$36+H310*Scoring!$F$36</f>
        <v>26</v>
      </c>
    </row>
    <row r="310" ht="14.25" customHeight="1">
      <c r="B310" s="1" t="s">
        <v>39</v>
      </c>
      <c r="C310" s="1">
        <v>10.0</v>
      </c>
      <c r="D310" s="1">
        <v>90.0</v>
      </c>
      <c r="E310" s="1">
        <v>2.0</v>
      </c>
      <c r="F310" s="1">
        <v>0.0</v>
      </c>
      <c r="G310" s="1">
        <v>21.0</v>
      </c>
      <c r="H310" s="18">
        <f t="shared" si="1"/>
        <v>4.743243243</v>
      </c>
      <c r="I310" s="119"/>
      <c r="J310" s="119"/>
      <c r="K310" s="119"/>
    </row>
    <row r="311" ht="14.25" customHeight="1">
      <c r="B311" s="1" t="s">
        <v>48</v>
      </c>
      <c r="C311" s="1">
        <v>0.0</v>
      </c>
      <c r="D311" s="1">
        <v>0.0</v>
      </c>
      <c r="E311" s="1">
        <v>0.0</v>
      </c>
      <c r="F311" s="1">
        <v>0.0</v>
      </c>
      <c r="G311" s="1">
        <v>5.0</v>
      </c>
      <c r="H311" s="18">
        <f t="shared" si="1"/>
        <v>0</v>
      </c>
      <c r="I311" s="119"/>
      <c r="J311" s="119"/>
      <c r="K311" s="119"/>
    </row>
    <row r="312" ht="14.25" customHeight="1">
      <c r="A312" s="1" t="s">
        <v>941</v>
      </c>
      <c r="B312" s="1" t="s">
        <v>170</v>
      </c>
      <c r="C312" s="1">
        <v>6.0</v>
      </c>
      <c r="D312" s="1">
        <v>44.5</v>
      </c>
      <c r="E312" s="1">
        <v>0.5</v>
      </c>
      <c r="F312" s="1">
        <v>0.0</v>
      </c>
      <c r="G312" s="1">
        <v>13.5</v>
      </c>
      <c r="H312" s="18">
        <f t="shared" si="1"/>
        <v>2.34527027</v>
      </c>
      <c r="I312" s="112">
        <f>C314*Scoring!$B$36+TE!D314/Scoring!$C$36+TE!E314*Scoring!$D$36+TE!F314*Scoring!$E$36+H314*Scoring!$F$36</f>
        <v>0</v>
      </c>
      <c r="J312" s="112">
        <f>C312*Scoring!$B$36+TE!D312/Scoring!$C$36+TE!E312*Scoring!$D$36+TE!F312*Scoring!$E$36+H312*Scoring!$F$36</f>
        <v>10.45</v>
      </c>
      <c r="K312" s="112">
        <f>C313*Scoring!$B$36+TE!D313/Scoring!$C$36+TE!E313*Scoring!$D$36+TE!F313*Scoring!$E$36+H313*Scoring!$F$36</f>
        <v>20.9</v>
      </c>
    </row>
    <row r="313" ht="14.25" customHeight="1">
      <c r="B313" s="1" t="s">
        <v>39</v>
      </c>
      <c r="C313" s="1">
        <v>12.0</v>
      </c>
      <c r="D313" s="1">
        <v>89.0</v>
      </c>
      <c r="E313" s="1">
        <v>1.0</v>
      </c>
      <c r="F313" s="1">
        <v>0.0</v>
      </c>
      <c r="G313" s="1">
        <v>16.0</v>
      </c>
      <c r="H313" s="18">
        <f t="shared" si="1"/>
        <v>4.690540541</v>
      </c>
      <c r="I313" s="119"/>
      <c r="J313" s="119"/>
      <c r="K313" s="119"/>
    </row>
    <row r="314" ht="14.25" customHeight="1">
      <c r="B314" s="1" t="s">
        <v>48</v>
      </c>
      <c r="C314" s="1">
        <v>0.0</v>
      </c>
      <c r="D314" s="1">
        <v>0.0</v>
      </c>
      <c r="E314" s="1">
        <v>0.0</v>
      </c>
      <c r="F314" s="1">
        <v>0.0</v>
      </c>
      <c r="G314" s="1">
        <v>6.0</v>
      </c>
      <c r="H314" s="18">
        <f t="shared" si="1"/>
        <v>0</v>
      </c>
      <c r="I314" s="119"/>
      <c r="J314" s="119"/>
      <c r="K314" s="119"/>
    </row>
    <row r="315" ht="14.25" customHeight="1">
      <c r="A315" s="1" t="s">
        <v>943</v>
      </c>
      <c r="B315" s="1" t="s">
        <v>140</v>
      </c>
      <c r="C315" s="1">
        <v>4.2</v>
      </c>
      <c r="D315" s="1">
        <v>40.7</v>
      </c>
      <c r="E315" s="1">
        <v>0.3</v>
      </c>
      <c r="F315" s="1">
        <v>0.0</v>
      </c>
      <c r="G315" s="1">
        <v>9.9</v>
      </c>
      <c r="H315" s="18">
        <f t="shared" si="1"/>
        <v>2.145</v>
      </c>
      <c r="I315" s="112">
        <f>C317*Scoring!$B$36+TE!D317/Scoring!$C$36+TE!E317*Scoring!$D$36+TE!F317*Scoring!$E$36+H317*Scoring!$F$36</f>
        <v>7.97</v>
      </c>
      <c r="J315" s="112">
        <f>C315*Scoring!$B$36+TE!D315/Scoring!$C$36+TE!E315*Scoring!$D$36+TE!F315*Scoring!$E$36+H315*Scoring!$F$36</f>
        <v>7.97</v>
      </c>
      <c r="K315" s="112">
        <f>C316*Scoring!$B$36+TE!D316/Scoring!$C$36+TE!E316*Scoring!$D$36+TE!F316*Scoring!$E$36+H316*Scoring!$F$36</f>
        <v>7.97</v>
      </c>
    </row>
    <row r="316" ht="14.25" customHeight="1">
      <c r="B316" s="1" t="s">
        <v>39</v>
      </c>
      <c r="C316" s="1">
        <v>4.2</v>
      </c>
      <c r="D316" s="1">
        <v>40.7</v>
      </c>
      <c r="E316" s="1">
        <v>0.3</v>
      </c>
      <c r="F316" s="1">
        <v>0.0</v>
      </c>
      <c r="G316" s="1">
        <v>10.0</v>
      </c>
      <c r="H316" s="18">
        <f t="shared" si="1"/>
        <v>2.145</v>
      </c>
      <c r="I316" s="119"/>
      <c r="J316" s="119"/>
      <c r="K316" s="119"/>
    </row>
    <row r="317" ht="14.25" customHeight="1">
      <c r="B317" s="1" t="s">
        <v>48</v>
      </c>
      <c r="C317" s="1">
        <v>4.2</v>
      </c>
      <c r="D317" s="1">
        <v>40.7</v>
      </c>
      <c r="E317" s="1">
        <v>0.3</v>
      </c>
      <c r="F317" s="1">
        <v>0.0</v>
      </c>
      <c r="G317" s="1">
        <v>10.0</v>
      </c>
      <c r="H317" s="18">
        <f t="shared" si="1"/>
        <v>2.145</v>
      </c>
      <c r="I317" s="119"/>
      <c r="J317" s="119"/>
      <c r="K317" s="119"/>
    </row>
    <row r="318" ht="14.25" customHeight="1">
      <c r="A318" s="1" t="s">
        <v>944</v>
      </c>
      <c r="B318" s="1" t="s">
        <v>94</v>
      </c>
      <c r="C318" s="1">
        <v>3.9</v>
      </c>
      <c r="D318" s="1">
        <v>37.3</v>
      </c>
      <c r="E318" s="1">
        <v>0.3</v>
      </c>
      <c r="F318" s="1">
        <v>0.0</v>
      </c>
      <c r="G318" s="1">
        <v>9.2</v>
      </c>
      <c r="H318" s="18">
        <f t="shared" si="1"/>
        <v>1.965810811</v>
      </c>
      <c r="I318" s="112">
        <f>C320*Scoring!$B$36+TE!D320/Scoring!$C$36+TE!E320*Scoring!$D$36+TE!F320*Scoring!$E$36+H320*Scoring!$F$36</f>
        <v>7.48</v>
      </c>
      <c r="J318" s="112">
        <f>C318*Scoring!$B$36+TE!D318/Scoring!$C$36+TE!E318*Scoring!$D$36+TE!F318*Scoring!$E$36+H318*Scoring!$F$36</f>
        <v>7.48</v>
      </c>
      <c r="K318" s="112">
        <f>C319*Scoring!$B$36+TE!D319/Scoring!$C$36+TE!E319*Scoring!$D$36+TE!F319*Scoring!$E$36+H319*Scoring!$F$36</f>
        <v>7.48</v>
      </c>
    </row>
    <row r="319" ht="14.25" customHeight="1">
      <c r="B319" s="1" t="s">
        <v>39</v>
      </c>
      <c r="C319" s="1">
        <v>3.9</v>
      </c>
      <c r="D319" s="1">
        <v>37.3</v>
      </c>
      <c r="E319" s="1">
        <v>0.3</v>
      </c>
      <c r="F319" s="1">
        <v>0.0</v>
      </c>
      <c r="G319" s="1">
        <v>9.2</v>
      </c>
      <c r="H319" s="18">
        <f t="shared" si="1"/>
        <v>1.965810811</v>
      </c>
      <c r="I319" s="119"/>
      <c r="J319" s="119"/>
      <c r="K319" s="119"/>
    </row>
    <row r="320" ht="14.25" customHeight="1">
      <c r="B320" s="1" t="s">
        <v>48</v>
      </c>
      <c r="C320" s="1">
        <v>3.9</v>
      </c>
      <c r="D320" s="1">
        <v>37.3</v>
      </c>
      <c r="E320" s="1">
        <v>0.3</v>
      </c>
      <c r="F320" s="1">
        <v>0.0</v>
      </c>
      <c r="G320" s="1">
        <v>9.2</v>
      </c>
      <c r="H320" s="18">
        <f t="shared" si="1"/>
        <v>1.965810811</v>
      </c>
      <c r="I320" s="119"/>
      <c r="J320" s="119"/>
      <c r="K320" s="119"/>
    </row>
    <row r="321" ht="14.25" customHeight="1">
      <c r="A321" s="1" t="s">
        <v>945</v>
      </c>
      <c r="B321" s="1" t="s">
        <v>186</v>
      </c>
      <c r="C321" s="1">
        <v>3.7</v>
      </c>
      <c r="D321" s="1">
        <v>36.1</v>
      </c>
      <c r="E321" s="1">
        <v>0.3</v>
      </c>
      <c r="F321" s="1">
        <v>0.0</v>
      </c>
      <c r="G321" s="1">
        <v>9.0</v>
      </c>
      <c r="H321" s="18">
        <f t="shared" si="1"/>
        <v>1.902567568</v>
      </c>
      <c r="I321" s="112">
        <f>C323*Scoring!$B$36+TE!D323/Scoring!$C$36+TE!E323*Scoring!$D$36+TE!F323*Scoring!$E$36+H323*Scoring!$F$36</f>
        <v>7.26</v>
      </c>
      <c r="J321" s="112">
        <f>C321*Scoring!$B$36+TE!D321/Scoring!$C$36+TE!E321*Scoring!$D$36+TE!F321*Scoring!$E$36+H321*Scoring!$F$36</f>
        <v>7.26</v>
      </c>
      <c r="K321" s="112">
        <f>C322*Scoring!$B$36+TE!D322/Scoring!$C$36+TE!E322*Scoring!$D$36+TE!F322*Scoring!$E$36+H322*Scoring!$F$36</f>
        <v>7.26</v>
      </c>
    </row>
    <row r="322" ht="14.25" customHeight="1">
      <c r="B322" s="1" t="s">
        <v>39</v>
      </c>
      <c r="C322" s="1">
        <v>3.7</v>
      </c>
      <c r="D322" s="1">
        <v>36.1</v>
      </c>
      <c r="E322" s="1">
        <v>0.3</v>
      </c>
      <c r="F322" s="1">
        <v>0.0</v>
      </c>
      <c r="G322" s="1">
        <v>9.1</v>
      </c>
      <c r="H322" s="18">
        <f t="shared" si="1"/>
        <v>1.902567568</v>
      </c>
      <c r="I322" s="119"/>
      <c r="J322" s="119"/>
      <c r="K322" s="119"/>
    </row>
    <row r="323" ht="14.25" customHeight="1">
      <c r="B323" s="1" t="s">
        <v>48</v>
      </c>
      <c r="C323" s="1">
        <v>3.7</v>
      </c>
      <c r="D323" s="1">
        <v>36.1</v>
      </c>
      <c r="E323" s="1">
        <v>0.3</v>
      </c>
      <c r="F323" s="1">
        <v>0.0</v>
      </c>
      <c r="G323" s="1">
        <v>9.1</v>
      </c>
      <c r="H323" s="18">
        <f t="shared" si="1"/>
        <v>1.902567568</v>
      </c>
      <c r="I323" s="119"/>
      <c r="J323" s="119"/>
      <c r="K323" s="119"/>
    </row>
    <row r="324" ht="14.25" customHeight="1">
      <c r="A324" s="1" t="s">
        <v>947</v>
      </c>
      <c r="B324" s="1" t="s">
        <v>179</v>
      </c>
      <c r="C324" s="1">
        <v>3.7</v>
      </c>
      <c r="D324" s="1">
        <v>37.9</v>
      </c>
      <c r="E324" s="1">
        <v>0.3</v>
      </c>
      <c r="F324" s="1">
        <v>0.0</v>
      </c>
      <c r="G324" s="1">
        <v>8.9</v>
      </c>
      <c r="H324" s="18">
        <f t="shared" si="1"/>
        <v>1.997432432</v>
      </c>
      <c r="I324" s="112">
        <f>C326*Scoring!$B$36+TE!D326/Scoring!$C$36+TE!E326*Scoring!$D$36+TE!F326*Scoring!$E$36+H326*Scoring!$F$36</f>
        <v>7.44</v>
      </c>
      <c r="J324" s="112">
        <f>C324*Scoring!$B$36+TE!D324/Scoring!$C$36+TE!E324*Scoring!$D$36+TE!F324*Scoring!$E$36+H324*Scoring!$F$36</f>
        <v>7.44</v>
      </c>
      <c r="K324" s="112">
        <f>C325*Scoring!$B$36+TE!D325/Scoring!$C$36+TE!E325*Scoring!$D$36+TE!F325*Scoring!$E$36+H325*Scoring!$F$36</f>
        <v>7.44</v>
      </c>
    </row>
    <row r="325" ht="14.25" customHeight="1">
      <c r="B325" s="1" t="s">
        <v>39</v>
      </c>
      <c r="C325" s="1">
        <v>3.7</v>
      </c>
      <c r="D325" s="1">
        <v>37.9</v>
      </c>
      <c r="E325" s="1">
        <v>0.3</v>
      </c>
      <c r="F325" s="1">
        <v>0.0</v>
      </c>
      <c r="G325" s="1">
        <v>8.9</v>
      </c>
      <c r="H325" s="18">
        <f t="shared" si="1"/>
        <v>1.997432432</v>
      </c>
      <c r="I325" s="119"/>
      <c r="J325" s="119"/>
      <c r="K325" s="119"/>
    </row>
    <row r="326" ht="14.25" customHeight="1">
      <c r="B326" s="1" t="s">
        <v>48</v>
      </c>
      <c r="C326" s="1">
        <v>3.7</v>
      </c>
      <c r="D326" s="1">
        <v>37.9</v>
      </c>
      <c r="E326" s="1">
        <v>0.3</v>
      </c>
      <c r="F326" s="1">
        <v>0.0</v>
      </c>
      <c r="G326" s="1">
        <v>8.9</v>
      </c>
      <c r="H326" s="18">
        <f t="shared" si="1"/>
        <v>1.997432432</v>
      </c>
      <c r="I326" s="119"/>
      <c r="J326" s="119"/>
      <c r="K326" s="119"/>
    </row>
    <row r="327" ht="14.25" customHeight="1">
      <c r="A327" s="1" t="s">
        <v>948</v>
      </c>
      <c r="B327" s="1" t="s">
        <v>193</v>
      </c>
      <c r="C327" s="1">
        <v>3.6</v>
      </c>
      <c r="D327" s="1">
        <v>36.3</v>
      </c>
      <c r="E327" s="1">
        <v>0.3</v>
      </c>
      <c r="F327" s="1">
        <v>0.0</v>
      </c>
      <c r="G327" s="1">
        <v>8.8</v>
      </c>
      <c r="H327" s="18">
        <f t="shared" si="1"/>
        <v>1.913108108</v>
      </c>
      <c r="I327" s="112">
        <f>C329*Scoring!$B$36+TE!D329/Scoring!$C$36+TE!E329*Scoring!$D$36+TE!F329*Scoring!$E$36+H329*Scoring!$F$36</f>
        <v>7.23</v>
      </c>
      <c r="J327" s="112">
        <f>C327*Scoring!$B$36+TE!D327/Scoring!$C$36+TE!E327*Scoring!$D$36+TE!F327*Scoring!$E$36+H327*Scoring!$F$36</f>
        <v>7.23</v>
      </c>
      <c r="K327" s="112">
        <f>C328*Scoring!$B$36+TE!D328/Scoring!$C$36+TE!E328*Scoring!$D$36+TE!F328*Scoring!$E$36+H328*Scoring!$F$36</f>
        <v>7.23</v>
      </c>
    </row>
    <row r="328" ht="14.25" customHeight="1">
      <c r="B328" s="1" t="s">
        <v>39</v>
      </c>
      <c r="C328" s="1">
        <v>3.6</v>
      </c>
      <c r="D328" s="1">
        <v>36.3</v>
      </c>
      <c r="E328" s="1">
        <v>0.3</v>
      </c>
      <c r="F328" s="1">
        <v>0.0</v>
      </c>
      <c r="G328" s="1">
        <v>8.8</v>
      </c>
      <c r="H328" s="18">
        <f t="shared" si="1"/>
        <v>1.913108108</v>
      </c>
      <c r="I328" s="119"/>
      <c r="J328" s="119"/>
      <c r="K328" s="119"/>
    </row>
    <row r="329" ht="14.25" customHeight="1">
      <c r="B329" s="1" t="s">
        <v>48</v>
      </c>
      <c r="C329" s="1">
        <v>3.6</v>
      </c>
      <c r="D329" s="1">
        <v>36.3</v>
      </c>
      <c r="E329" s="1">
        <v>0.3</v>
      </c>
      <c r="F329" s="1">
        <v>0.0</v>
      </c>
      <c r="G329" s="1">
        <v>8.8</v>
      </c>
      <c r="H329" s="18">
        <f t="shared" si="1"/>
        <v>1.913108108</v>
      </c>
      <c r="I329" s="119"/>
      <c r="J329" s="119"/>
      <c r="K329" s="119"/>
    </row>
    <row r="330" ht="14.25" customHeight="1">
      <c r="A330" s="1" t="s">
        <v>950</v>
      </c>
      <c r="B330" s="1" t="s">
        <v>199</v>
      </c>
      <c r="C330" s="1">
        <v>3.6</v>
      </c>
      <c r="D330" s="1">
        <v>33.0</v>
      </c>
      <c r="E330" s="1">
        <v>0.3</v>
      </c>
      <c r="F330" s="1">
        <v>0.0</v>
      </c>
      <c r="G330" s="1">
        <v>8.8</v>
      </c>
      <c r="H330" s="18">
        <f t="shared" si="1"/>
        <v>1.739189189</v>
      </c>
      <c r="I330" s="112">
        <f>C332*Scoring!$B$36+TE!D332/Scoring!$C$36+TE!E332*Scoring!$D$36+TE!F332*Scoring!$E$36+H332*Scoring!$F$36</f>
        <v>6.9</v>
      </c>
      <c r="J330" s="112">
        <f>C330*Scoring!$B$36+TE!D330/Scoring!$C$36+TE!E330*Scoring!$D$36+TE!F330*Scoring!$E$36+H330*Scoring!$F$36</f>
        <v>6.9</v>
      </c>
      <c r="K330" s="112">
        <f>C331*Scoring!$B$36+TE!D331/Scoring!$C$36+TE!E331*Scoring!$D$36+TE!F331*Scoring!$E$36+H331*Scoring!$F$36</f>
        <v>6.9</v>
      </c>
    </row>
    <row r="331" ht="14.25" customHeight="1">
      <c r="B331" s="1" t="s">
        <v>39</v>
      </c>
      <c r="C331" s="1">
        <v>3.6</v>
      </c>
      <c r="D331" s="1">
        <v>33.0</v>
      </c>
      <c r="E331" s="1">
        <v>0.3</v>
      </c>
      <c r="F331" s="1">
        <v>0.0</v>
      </c>
      <c r="G331" s="1">
        <v>8.8</v>
      </c>
      <c r="H331" s="18">
        <f t="shared" si="1"/>
        <v>1.739189189</v>
      </c>
      <c r="I331" s="119"/>
      <c r="J331" s="119"/>
      <c r="K331" s="119"/>
    </row>
    <row r="332" ht="14.25" customHeight="1">
      <c r="B332" s="1" t="s">
        <v>48</v>
      </c>
      <c r="C332" s="1">
        <v>3.6</v>
      </c>
      <c r="D332" s="1">
        <v>33.0</v>
      </c>
      <c r="E332" s="1">
        <v>0.3</v>
      </c>
      <c r="F332" s="1">
        <v>0.0</v>
      </c>
      <c r="G332" s="1">
        <v>8.8</v>
      </c>
      <c r="H332" s="18">
        <f t="shared" si="1"/>
        <v>1.739189189</v>
      </c>
      <c r="I332" s="119"/>
      <c r="J332" s="119"/>
      <c r="K332" s="119"/>
    </row>
    <row r="333" ht="14.25" customHeight="1">
      <c r="A333" s="1" t="s">
        <v>951</v>
      </c>
      <c r="B333" s="1" t="s">
        <v>202</v>
      </c>
      <c r="C333" s="1">
        <v>3.4</v>
      </c>
      <c r="D333" s="1">
        <v>34.4</v>
      </c>
      <c r="E333" s="1">
        <v>0.3</v>
      </c>
      <c r="F333" s="1">
        <v>0.0</v>
      </c>
      <c r="G333" s="1">
        <v>8.6</v>
      </c>
      <c r="H333" s="18">
        <f t="shared" si="1"/>
        <v>1.812972973</v>
      </c>
      <c r="I333" s="112">
        <f>C335*Scoring!$B$36+TE!D335/Scoring!$C$36+TE!E335*Scoring!$D$36+TE!F335*Scoring!$E$36+H335*Scoring!$F$36</f>
        <v>6.94</v>
      </c>
      <c r="J333" s="112">
        <f>C333*Scoring!$B$36+TE!D333/Scoring!$C$36+TE!E333*Scoring!$D$36+TE!F333*Scoring!$E$36+H333*Scoring!$F$36</f>
        <v>6.94</v>
      </c>
      <c r="K333" s="112">
        <f>C334*Scoring!$B$36+TE!D334/Scoring!$C$36+TE!E334*Scoring!$D$36+TE!F334*Scoring!$E$36+H334*Scoring!$F$36</f>
        <v>6.94</v>
      </c>
    </row>
    <row r="334" ht="14.25" customHeight="1">
      <c r="B334" s="1" t="s">
        <v>39</v>
      </c>
      <c r="C334" s="1">
        <v>3.4</v>
      </c>
      <c r="D334" s="1">
        <v>34.4</v>
      </c>
      <c r="E334" s="1">
        <v>0.3</v>
      </c>
      <c r="F334" s="1">
        <v>0.0</v>
      </c>
      <c r="G334" s="1">
        <v>8.6</v>
      </c>
      <c r="H334" s="18">
        <f t="shared" si="1"/>
        <v>1.812972973</v>
      </c>
      <c r="I334" s="119"/>
      <c r="J334" s="119"/>
      <c r="K334" s="119"/>
    </row>
    <row r="335" ht="14.25" customHeight="1">
      <c r="B335" s="1" t="s">
        <v>48</v>
      </c>
      <c r="C335" s="1">
        <v>3.4</v>
      </c>
      <c r="D335" s="1">
        <v>34.4</v>
      </c>
      <c r="E335" s="1">
        <v>0.3</v>
      </c>
      <c r="F335" s="1">
        <v>0.0</v>
      </c>
      <c r="G335" s="1">
        <v>8.6</v>
      </c>
      <c r="H335" s="18">
        <f t="shared" si="1"/>
        <v>1.812972973</v>
      </c>
      <c r="I335" s="119"/>
      <c r="J335" s="119"/>
      <c r="K335" s="119"/>
    </row>
    <row r="336" ht="14.25" customHeight="1">
      <c r="A336" s="1" t="s">
        <v>953</v>
      </c>
      <c r="B336" s="1" t="s">
        <v>217</v>
      </c>
      <c r="C336" s="1">
        <v>3.8</v>
      </c>
      <c r="D336" s="1">
        <v>34.4</v>
      </c>
      <c r="E336" s="1">
        <v>0.2</v>
      </c>
      <c r="F336" s="1">
        <v>0.0</v>
      </c>
      <c r="G336" s="1">
        <v>8.4</v>
      </c>
      <c r="H336" s="18">
        <f t="shared" si="1"/>
        <v>1.812972973</v>
      </c>
      <c r="I336" s="112">
        <f>C338*Scoring!$B$36+TE!D338/Scoring!$C$36+TE!E338*Scoring!$D$36+TE!F338*Scoring!$E$36+H338*Scoring!$F$36</f>
        <v>6.54</v>
      </c>
      <c r="J336" s="112">
        <f>C336*Scoring!$B$36+TE!D336/Scoring!$C$36+TE!E336*Scoring!$D$36+TE!F336*Scoring!$E$36+H336*Scoring!$F$36</f>
        <v>6.54</v>
      </c>
      <c r="K336" s="112">
        <f>C337*Scoring!$B$36+TE!D337/Scoring!$C$36+TE!E337*Scoring!$D$36+TE!F337*Scoring!$E$36+H337*Scoring!$F$36</f>
        <v>6.54</v>
      </c>
    </row>
    <row r="337" ht="14.25" customHeight="1">
      <c r="B337" s="1" t="s">
        <v>39</v>
      </c>
      <c r="C337" s="1">
        <v>3.8</v>
      </c>
      <c r="D337" s="1">
        <v>34.4</v>
      </c>
      <c r="E337" s="1">
        <v>0.2</v>
      </c>
      <c r="F337" s="1">
        <v>0.0</v>
      </c>
      <c r="G337" s="1">
        <v>8.4</v>
      </c>
      <c r="H337" s="18">
        <f t="shared" si="1"/>
        <v>1.812972973</v>
      </c>
      <c r="I337" s="119"/>
      <c r="J337" s="119"/>
      <c r="K337" s="119"/>
    </row>
    <row r="338" ht="14.25" customHeight="1">
      <c r="B338" s="1" t="s">
        <v>48</v>
      </c>
      <c r="C338" s="1">
        <v>3.8</v>
      </c>
      <c r="D338" s="1">
        <v>34.4</v>
      </c>
      <c r="E338" s="1">
        <v>0.2</v>
      </c>
      <c r="F338" s="1">
        <v>0.0</v>
      </c>
      <c r="G338" s="1">
        <v>8.4</v>
      </c>
      <c r="H338" s="18">
        <f t="shared" si="1"/>
        <v>1.812972973</v>
      </c>
      <c r="I338" s="119"/>
      <c r="J338" s="119"/>
      <c r="K338" s="119"/>
    </row>
    <row r="339" ht="14.25" customHeight="1">
      <c r="A339" s="1" t="s">
        <v>954</v>
      </c>
      <c r="B339" s="1" t="s">
        <v>222</v>
      </c>
      <c r="C339" s="1">
        <v>3.8</v>
      </c>
      <c r="D339" s="1">
        <v>36.0</v>
      </c>
      <c r="E339" s="1">
        <v>0.2</v>
      </c>
      <c r="F339" s="1">
        <v>0.0</v>
      </c>
      <c r="G339" s="1">
        <v>8.3</v>
      </c>
      <c r="H339" s="18">
        <f t="shared" si="1"/>
        <v>1.897297297</v>
      </c>
      <c r="I339" s="112">
        <f>C341*Scoring!$B$36+TE!D341/Scoring!$C$36+TE!E341*Scoring!$D$36+TE!F341*Scoring!$E$36+H341*Scoring!$F$36</f>
        <v>6.7</v>
      </c>
      <c r="J339" s="112">
        <f>C339*Scoring!$B$36+TE!D339/Scoring!$C$36+TE!E339*Scoring!$D$36+TE!F339*Scoring!$E$36+H339*Scoring!$F$36</f>
        <v>6.7</v>
      </c>
      <c r="K339" s="112">
        <f>C340*Scoring!$B$36+TE!D340/Scoring!$C$36+TE!E340*Scoring!$D$36+TE!F340*Scoring!$E$36+H340*Scoring!$F$36</f>
        <v>6.7</v>
      </c>
    </row>
    <row r="340" ht="14.25" customHeight="1">
      <c r="B340" s="1" t="s">
        <v>39</v>
      </c>
      <c r="C340" s="1">
        <v>3.8</v>
      </c>
      <c r="D340" s="1">
        <v>36.0</v>
      </c>
      <c r="E340" s="1">
        <v>0.2</v>
      </c>
      <c r="F340" s="1">
        <v>0.0</v>
      </c>
      <c r="G340" s="1">
        <v>8.3</v>
      </c>
      <c r="H340" s="18">
        <f t="shared" si="1"/>
        <v>1.897297297</v>
      </c>
      <c r="I340" s="119"/>
      <c r="J340" s="119"/>
      <c r="K340" s="119"/>
    </row>
    <row r="341" ht="14.25" customHeight="1">
      <c r="B341" s="1" t="s">
        <v>48</v>
      </c>
      <c r="C341" s="1">
        <v>3.8</v>
      </c>
      <c r="D341" s="1">
        <v>36.0</v>
      </c>
      <c r="E341" s="1">
        <v>0.2</v>
      </c>
      <c r="F341" s="1">
        <v>0.0</v>
      </c>
      <c r="G341" s="1">
        <v>8.3</v>
      </c>
      <c r="H341" s="18">
        <f t="shared" si="1"/>
        <v>1.897297297</v>
      </c>
      <c r="I341" s="119"/>
      <c r="J341" s="119"/>
      <c r="K341" s="119"/>
    </row>
    <row r="342" ht="14.25" customHeight="1">
      <c r="A342" s="1" t="s">
        <v>955</v>
      </c>
      <c r="B342" s="1" t="s">
        <v>117</v>
      </c>
      <c r="C342" s="1">
        <v>3.5</v>
      </c>
      <c r="D342" s="1">
        <v>35.4</v>
      </c>
      <c r="E342" s="1">
        <v>0.2</v>
      </c>
      <c r="F342" s="1">
        <v>0.0</v>
      </c>
      <c r="G342" s="1">
        <v>8.2</v>
      </c>
      <c r="H342" s="18">
        <f t="shared" si="1"/>
        <v>1.865675676</v>
      </c>
      <c r="I342" s="112">
        <f>C344*Scoring!$B$36+TE!D344/Scoring!$C$36+TE!E344*Scoring!$D$36+TE!F344*Scoring!$E$36+H344*Scoring!$F$36</f>
        <v>6.49</v>
      </c>
      <c r="J342" s="112">
        <f>C342*Scoring!$B$36+TE!D342/Scoring!$C$36+TE!E342*Scoring!$D$36+TE!F342*Scoring!$E$36+H342*Scoring!$F$36</f>
        <v>6.49</v>
      </c>
      <c r="K342" s="112">
        <f>C343*Scoring!$B$36+TE!D343/Scoring!$C$36+TE!E343*Scoring!$D$36+TE!F343*Scoring!$E$36+H343*Scoring!$F$36</f>
        <v>6.49</v>
      </c>
    </row>
    <row r="343" ht="14.25" customHeight="1">
      <c r="B343" s="1" t="s">
        <v>39</v>
      </c>
      <c r="C343" s="1">
        <v>3.5</v>
      </c>
      <c r="D343" s="1">
        <v>35.4</v>
      </c>
      <c r="E343" s="1">
        <v>0.2</v>
      </c>
      <c r="F343" s="1">
        <v>0.0</v>
      </c>
      <c r="G343" s="1">
        <v>8.2</v>
      </c>
      <c r="H343" s="18">
        <f t="shared" si="1"/>
        <v>1.865675676</v>
      </c>
      <c r="I343" s="119"/>
      <c r="J343" s="119"/>
      <c r="K343" s="119"/>
    </row>
    <row r="344" ht="14.25" customHeight="1">
      <c r="B344" s="1" t="s">
        <v>48</v>
      </c>
      <c r="C344" s="1">
        <v>3.5</v>
      </c>
      <c r="D344" s="1">
        <v>35.4</v>
      </c>
      <c r="E344" s="1">
        <v>0.2</v>
      </c>
      <c r="F344" s="1">
        <v>0.0</v>
      </c>
      <c r="G344" s="1">
        <v>8.2</v>
      </c>
      <c r="H344" s="18">
        <f t="shared" si="1"/>
        <v>1.865675676</v>
      </c>
      <c r="I344" s="119"/>
      <c r="J344" s="119"/>
      <c r="K344" s="119"/>
    </row>
    <row r="345" ht="14.25" customHeight="1">
      <c r="A345" s="1" t="s">
        <v>957</v>
      </c>
      <c r="B345" s="1" t="s">
        <v>226</v>
      </c>
      <c r="C345" s="1">
        <v>3.6</v>
      </c>
      <c r="D345" s="1">
        <v>30.4</v>
      </c>
      <c r="E345" s="1">
        <v>0.2</v>
      </c>
      <c r="F345" s="1">
        <v>0.0</v>
      </c>
      <c r="G345" s="1">
        <v>7.5</v>
      </c>
      <c r="H345" s="18">
        <f t="shared" si="1"/>
        <v>1.602162162</v>
      </c>
      <c r="I345" s="112">
        <f>C347*Scoring!$B$36+TE!D347/Scoring!$C$36+TE!E347*Scoring!$D$36+TE!F347*Scoring!$E$36+H347*Scoring!$F$36</f>
        <v>6.04</v>
      </c>
      <c r="J345" s="112">
        <f>C345*Scoring!$B$36+TE!D345/Scoring!$C$36+TE!E345*Scoring!$D$36+TE!F345*Scoring!$E$36+H345*Scoring!$F$36</f>
        <v>6.04</v>
      </c>
      <c r="K345" s="112">
        <f>C346*Scoring!$B$36+TE!D346/Scoring!$C$36+TE!E346*Scoring!$D$36+TE!F346*Scoring!$E$36+H346*Scoring!$F$36</f>
        <v>6.04</v>
      </c>
    </row>
    <row r="346" ht="14.25" customHeight="1">
      <c r="B346" s="1" t="s">
        <v>39</v>
      </c>
      <c r="C346" s="1">
        <v>3.6</v>
      </c>
      <c r="D346" s="1">
        <v>30.4</v>
      </c>
      <c r="E346" s="1">
        <v>0.2</v>
      </c>
      <c r="F346" s="1">
        <v>0.0</v>
      </c>
      <c r="G346" s="1">
        <v>7.6</v>
      </c>
      <c r="H346" s="18">
        <f t="shared" si="1"/>
        <v>1.602162162</v>
      </c>
      <c r="I346" s="119"/>
      <c r="J346" s="119"/>
      <c r="K346" s="119"/>
    </row>
    <row r="347" ht="14.25" customHeight="1">
      <c r="B347" s="1" t="s">
        <v>48</v>
      </c>
      <c r="C347" s="1">
        <v>3.6</v>
      </c>
      <c r="D347" s="1">
        <v>30.4</v>
      </c>
      <c r="E347" s="1">
        <v>0.2</v>
      </c>
      <c r="F347" s="1">
        <v>0.0</v>
      </c>
      <c r="G347" s="1">
        <v>7.6</v>
      </c>
      <c r="H347" s="18">
        <f t="shared" si="1"/>
        <v>1.602162162</v>
      </c>
      <c r="I347" s="119"/>
      <c r="J347" s="119"/>
      <c r="K347" s="119"/>
    </row>
    <row r="348" ht="14.25" customHeight="1">
      <c r="A348" s="1" t="s">
        <v>958</v>
      </c>
      <c r="B348" s="1" t="s">
        <v>134</v>
      </c>
      <c r="C348" s="1">
        <v>1.8</v>
      </c>
      <c r="D348" s="1">
        <v>16.3</v>
      </c>
      <c r="E348" s="1">
        <v>0.1</v>
      </c>
      <c r="F348" s="1">
        <v>0.0</v>
      </c>
      <c r="G348" s="1">
        <v>4.2</v>
      </c>
      <c r="H348" s="18">
        <f t="shared" si="1"/>
        <v>0.8590540541</v>
      </c>
      <c r="I348" s="112">
        <f>C350*Scoring!$B$36+TE!D350/Scoring!$C$36+TE!E350*Scoring!$D$36+TE!F350*Scoring!$E$36+H350*Scoring!$F$36</f>
        <v>3.13</v>
      </c>
      <c r="J348" s="112">
        <f>C348*Scoring!$B$36+TE!D348/Scoring!$C$36+TE!E348*Scoring!$D$36+TE!F348*Scoring!$E$36+H348*Scoring!$F$36</f>
        <v>3.13</v>
      </c>
      <c r="K348" s="112">
        <f>C349*Scoring!$B$36+TE!D349/Scoring!$C$36+TE!E349*Scoring!$D$36+TE!F349*Scoring!$E$36+H349*Scoring!$F$36</f>
        <v>3.13</v>
      </c>
    </row>
    <row r="349" ht="14.25" customHeight="1">
      <c r="B349" s="1" t="s">
        <v>39</v>
      </c>
      <c r="C349" s="1">
        <v>1.8</v>
      </c>
      <c r="D349" s="1">
        <v>16.3</v>
      </c>
      <c r="E349" s="1">
        <v>0.1</v>
      </c>
      <c r="F349" s="1">
        <v>0.0</v>
      </c>
      <c r="G349" s="1">
        <v>4.2</v>
      </c>
      <c r="H349" s="18">
        <f t="shared" si="1"/>
        <v>0.8590540541</v>
      </c>
      <c r="I349" s="119"/>
      <c r="J349" s="119"/>
      <c r="K349" s="119"/>
    </row>
    <row r="350" ht="14.25" customHeight="1">
      <c r="B350" s="1" t="s">
        <v>48</v>
      </c>
      <c r="C350" s="1">
        <v>1.8</v>
      </c>
      <c r="D350" s="1">
        <v>16.3</v>
      </c>
      <c r="E350" s="1">
        <v>0.1</v>
      </c>
      <c r="F350" s="1">
        <v>0.0</v>
      </c>
      <c r="G350" s="1">
        <v>4.2</v>
      </c>
      <c r="H350" s="18">
        <f t="shared" si="1"/>
        <v>0.8590540541</v>
      </c>
      <c r="I350" s="119"/>
      <c r="J350" s="119"/>
      <c r="K350" s="119"/>
    </row>
    <row r="351" ht="14.25" customHeight="1">
      <c r="A351" s="1" t="s">
        <v>960</v>
      </c>
      <c r="B351" s="1" t="s">
        <v>145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8">
        <f t="shared" si="1"/>
        <v>0</v>
      </c>
      <c r="I351" s="112">
        <f>C353*Scoring!$B$36+TE!D353/Scoring!$C$36+TE!E353*Scoring!$D$36+TE!F353*Scoring!$E$36+H353*Scoring!$F$36</f>
        <v>0</v>
      </c>
      <c r="J351" s="112">
        <f>C351*Scoring!$B$36+TE!D351/Scoring!$C$36+TE!E351*Scoring!$D$36+TE!F351*Scoring!$E$36+H351*Scoring!$F$36</f>
        <v>0</v>
      </c>
      <c r="K351" s="112">
        <f>C352*Scoring!$B$36+TE!D352/Scoring!$C$36+TE!E352*Scoring!$D$36+TE!F352*Scoring!$E$36+H352*Scoring!$F$36</f>
        <v>0</v>
      </c>
    </row>
    <row r="352" ht="14.25" customHeight="1">
      <c r="B352" s="1" t="s">
        <v>39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8">
        <f t="shared" si="1"/>
        <v>0</v>
      </c>
      <c r="I352" s="119"/>
      <c r="J352" s="119"/>
      <c r="K352" s="119"/>
    </row>
    <row r="353" ht="14.25" customHeight="1">
      <c r="B353" s="1" t="s">
        <v>48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8">
        <f t="shared" si="1"/>
        <v>0</v>
      </c>
      <c r="I353" s="119"/>
      <c r="J353" s="119"/>
      <c r="K353" s="119"/>
    </row>
    <row r="354" ht="14.25" customHeight="1">
      <c r="A354" s="1" t="s">
        <v>961</v>
      </c>
      <c r="B354" s="1" t="s">
        <v>196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8">
        <f t="shared" si="1"/>
        <v>0</v>
      </c>
      <c r="I354" s="112">
        <f>C356*Scoring!$B$36+TE!D356/Scoring!$C$36+TE!E356*Scoring!$D$36+TE!F356*Scoring!$E$36+H356*Scoring!$F$36</f>
        <v>0</v>
      </c>
      <c r="J354" s="112">
        <f>C354*Scoring!$B$36+TE!D354/Scoring!$C$36+TE!E354*Scoring!$D$36+TE!F354*Scoring!$E$36+H354*Scoring!$F$36</f>
        <v>0</v>
      </c>
      <c r="K354" s="112">
        <f>C355*Scoring!$B$36+TE!D355/Scoring!$C$36+TE!E355*Scoring!$D$36+TE!F355*Scoring!$E$36+H355*Scoring!$F$36</f>
        <v>0</v>
      </c>
    </row>
    <row r="355" ht="14.25" customHeight="1">
      <c r="B355" s="1" t="s">
        <v>39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8">
        <f t="shared" si="1"/>
        <v>0</v>
      </c>
      <c r="I355" s="119"/>
      <c r="J355" s="119"/>
      <c r="K355" s="119"/>
    </row>
    <row r="356" ht="14.25" customHeight="1">
      <c r="B356" s="1" t="s">
        <v>48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8">
        <f t="shared" si="1"/>
        <v>0</v>
      </c>
      <c r="I356" s="119"/>
      <c r="J356" s="119"/>
      <c r="K356" s="119"/>
    </row>
    <row r="357" ht="14.25" customHeight="1">
      <c r="A357" s="1" t="s">
        <v>963</v>
      </c>
      <c r="B357" s="1" t="s">
        <v>210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8">
        <f t="shared" si="1"/>
        <v>0</v>
      </c>
      <c r="I357" s="112">
        <f>C359*Scoring!$B$36+TE!D359/Scoring!$C$36+TE!E359*Scoring!$D$36+TE!F359*Scoring!$E$36+H359*Scoring!$F$36</f>
        <v>0</v>
      </c>
      <c r="J357" s="112">
        <f>C357*Scoring!$B$36+TE!D357/Scoring!$C$36+TE!E357*Scoring!$D$36+TE!F357*Scoring!$E$36+H357*Scoring!$F$36</f>
        <v>0</v>
      </c>
      <c r="K357" s="112">
        <f>C358*Scoring!$B$36+TE!D358/Scoring!$C$36+TE!E358*Scoring!$D$36+TE!F358*Scoring!$E$36+H358*Scoring!$F$36</f>
        <v>0</v>
      </c>
    </row>
    <row r="358" ht="14.25" customHeight="1">
      <c r="B358" s="1" t="s">
        <v>39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8">
        <f t="shared" si="1"/>
        <v>0</v>
      </c>
      <c r="I358" s="119"/>
      <c r="J358" s="119"/>
      <c r="K358" s="119"/>
    </row>
    <row r="359" ht="14.25" customHeight="1">
      <c r="B359" s="1" t="s">
        <v>48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8">
        <f t="shared" si="1"/>
        <v>0</v>
      </c>
      <c r="I359" s="119"/>
      <c r="J359" s="119"/>
      <c r="K359" s="119"/>
    </row>
    <row r="360" ht="14.25" customHeight="1">
      <c r="A360" s="1" t="s">
        <v>964</v>
      </c>
      <c r="B360" s="1" t="s">
        <v>226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8">
        <f t="shared" si="1"/>
        <v>0</v>
      </c>
      <c r="I360" s="112">
        <f>C362*Scoring!$B$36+TE!D362/Scoring!$C$36+TE!E362*Scoring!$D$36+TE!F362*Scoring!$E$36+H362*Scoring!$F$36</f>
        <v>0</v>
      </c>
      <c r="J360" s="112">
        <f>C360*Scoring!$B$36+TE!D360/Scoring!$C$36+TE!E360*Scoring!$D$36+TE!F360*Scoring!$E$36+H360*Scoring!$F$36</f>
        <v>0</v>
      </c>
      <c r="K360" s="112">
        <f>C361*Scoring!$B$36+TE!D361/Scoring!$C$36+TE!E361*Scoring!$D$36+TE!F361*Scoring!$E$36+H361*Scoring!$F$36</f>
        <v>0</v>
      </c>
    </row>
    <row r="361" ht="14.25" customHeight="1">
      <c r="B361" s="1" t="s">
        <v>39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8">
        <f t="shared" si="1"/>
        <v>0</v>
      </c>
      <c r="I361" s="119"/>
      <c r="J361" s="119"/>
      <c r="K361" s="119"/>
    </row>
    <row r="362" ht="14.25" customHeight="1">
      <c r="B362" s="1" t="s">
        <v>48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8">
        <f t="shared" si="1"/>
        <v>0</v>
      </c>
      <c r="I362" s="119"/>
      <c r="J362" s="119"/>
      <c r="K362" s="119"/>
    </row>
    <row r="363" ht="14.25" customHeight="1">
      <c r="A363" s="1" t="s">
        <v>966</v>
      </c>
      <c r="B363" s="1" t="s">
        <v>94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8">
        <f t="shared" si="1"/>
        <v>0</v>
      </c>
      <c r="I363" s="112">
        <f>C365*Scoring!$B$36+TE!D365/Scoring!$C$36+TE!E365*Scoring!$D$36+TE!F365*Scoring!$E$36+H365*Scoring!$F$36</f>
        <v>0</v>
      </c>
      <c r="J363" s="112">
        <f>C363*Scoring!$B$36+TE!D363/Scoring!$C$36+TE!E363*Scoring!$D$36+TE!F363*Scoring!$E$36+H363*Scoring!$F$36</f>
        <v>0</v>
      </c>
      <c r="K363" s="112">
        <f>C364*Scoring!$B$36+TE!D364/Scoring!$C$36+TE!E364*Scoring!$D$36+TE!F364*Scoring!$E$36+H364*Scoring!$F$36</f>
        <v>0</v>
      </c>
    </row>
    <row r="364" ht="14.25" customHeight="1">
      <c r="B364" s="1" t="s">
        <v>39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8">
        <f t="shared" si="1"/>
        <v>0</v>
      </c>
      <c r="I364" s="119"/>
      <c r="J364" s="119"/>
      <c r="K364" s="119"/>
    </row>
    <row r="365" ht="14.25" customHeight="1">
      <c r="B365" s="1" t="s">
        <v>48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8">
        <f t="shared" si="1"/>
        <v>0</v>
      </c>
      <c r="I365" s="119"/>
      <c r="J365" s="119"/>
      <c r="K365" s="119"/>
    </row>
    <row r="366" ht="14.25" customHeight="1">
      <c r="H366" s="18">
        <f t="shared" si="1"/>
        <v>0</v>
      </c>
      <c r="I366" s="112">
        <f>C368*Scoring!$B$36+TE!D368/Scoring!$C$36+TE!E368*Scoring!$D$36+TE!F368*Scoring!$E$36+H368*Scoring!$F$36</f>
        <v>0</v>
      </c>
      <c r="J366" s="112">
        <f>C366*Scoring!$B$36+TE!D366/Scoring!$C$36+TE!E366*Scoring!$D$36+TE!F366*Scoring!$E$36+H366*Scoring!$F$36</f>
        <v>0</v>
      </c>
      <c r="K366" s="112">
        <f>C367*Scoring!$B$36+TE!D367/Scoring!$C$36+TE!E367*Scoring!$D$36+TE!F367*Scoring!$E$36+H367*Scoring!$F$36</f>
        <v>0</v>
      </c>
    </row>
    <row r="367" ht="14.25" customHeight="1">
      <c r="H367" s="18">
        <f t="shared" si="1"/>
        <v>0</v>
      </c>
      <c r="I367" s="119"/>
      <c r="J367" s="119"/>
      <c r="K367" s="119"/>
    </row>
    <row r="368" ht="14.25" customHeight="1">
      <c r="H368" s="18">
        <f t="shared" si="1"/>
        <v>0</v>
      </c>
      <c r="I368" s="119"/>
      <c r="J368" s="119"/>
      <c r="K368" s="119"/>
    </row>
    <row r="369" ht="14.25" customHeight="1">
      <c r="H369" s="18">
        <f t="shared" si="1"/>
        <v>0</v>
      </c>
      <c r="I369" s="112">
        <f>C371*Scoring!$B$36+TE!D371/Scoring!$C$36+TE!E371*Scoring!$D$36+TE!F371*Scoring!$E$36+H371*Scoring!$F$36</f>
        <v>0</v>
      </c>
      <c r="J369" s="112">
        <f>C369*Scoring!$B$36+TE!D369/Scoring!$C$36+TE!E369*Scoring!$D$36+TE!F369*Scoring!$E$36+H369*Scoring!$F$36</f>
        <v>0</v>
      </c>
      <c r="K369" s="112">
        <f>C370*Scoring!$B$36+TE!D370/Scoring!$C$36+TE!E370*Scoring!$D$36+TE!F370*Scoring!$E$36+H370*Scoring!$F$36</f>
        <v>0</v>
      </c>
    </row>
    <row r="370" ht="14.25" customHeight="1">
      <c r="H370" s="18">
        <f t="shared" si="1"/>
        <v>0</v>
      </c>
      <c r="I370" s="119"/>
      <c r="J370" s="119"/>
      <c r="K370" s="119"/>
    </row>
    <row r="371" ht="14.25" customHeight="1">
      <c r="H371" s="18">
        <f t="shared" si="1"/>
        <v>0</v>
      </c>
      <c r="I371" s="119"/>
      <c r="J371" s="119"/>
      <c r="K371" s="119"/>
    </row>
    <row r="372" ht="14.25" customHeight="1">
      <c r="H372" s="18">
        <f t="shared" si="1"/>
        <v>0</v>
      </c>
      <c r="I372" s="112">
        <f>C374*Scoring!$B$36+TE!D374/Scoring!$C$36+TE!E374*Scoring!$D$36+TE!F374*Scoring!$E$36+H374*Scoring!$F$36</f>
        <v>0</v>
      </c>
      <c r="J372" s="112">
        <f>C372*Scoring!$B$36+TE!D372/Scoring!$C$36+TE!E372*Scoring!$D$36+TE!F372*Scoring!$E$36+H372*Scoring!$F$36</f>
        <v>0</v>
      </c>
      <c r="K372" s="112">
        <f>C373*Scoring!$B$36+TE!D373/Scoring!$C$36+TE!E373*Scoring!$D$36+TE!F373*Scoring!$E$36+H373*Scoring!$F$36</f>
        <v>0</v>
      </c>
    </row>
    <row r="373" ht="14.25" customHeight="1">
      <c r="H373" s="18">
        <f t="shared" si="1"/>
        <v>0</v>
      </c>
      <c r="I373" s="119"/>
      <c r="J373" s="119"/>
      <c r="K373" s="119"/>
    </row>
    <row r="374" ht="14.25" customHeight="1">
      <c r="H374" s="18">
        <f t="shared" si="1"/>
        <v>0</v>
      </c>
      <c r="I374" s="119"/>
      <c r="J374" s="119"/>
      <c r="K374" s="119"/>
    </row>
    <row r="375" ht="14.25" customHeight="1">
      <c r="H375" s="18">
        <f t="shared" si="1"/>
        <v>0</v>
      </c>
      <c r="I375" s="112">
        <f>C377*Scoring!$B$36+TE!D377/Scoring!$C$36+TE!E377*Scoring!$D$36+TE!F377*Scoring!$E$36+H377*Scoring!$F$36</f>
        <v>0</v>
      </c>
      <c r="J375" s="112">
        <f>C375*Scoring!$B$36+TE!D375/Scoring!$C$36+TE!E375*Scoring!$D$36+TE!F375*Scoring!$E$36+H375*Scoring!$F$36</f>
        <v>0</v>
      </c>
      <c r="K375" s="112">
        <f>C376*Scoring!$B$36+TE!D376/Scoring!$C$36+TE!E376*Scoring!$D$36+TE!F376*Scoring!$E$36+H376*Scoring!$F$36</f>
        <v>0</v>
      </c>
    </row>
    <row r="376" ht="14.25" customHeight="1">
      <c r="H376" s="18">
        <f t="shared" si="1"/>
        <v>0</v>
      </c>
      <c r="I376" s="119"/>
      <c r="J376" s="119"/>
      <c r="K376" s="119"/>
    </row>
    <row r="377" ht="14.25" customHeight="1">
      <c r="H377" s="18">
        <f t="shared" si="1"/>
        <v>0</v>
      </c>
      <c r="I377" s="119"/>
      <c r="J377" s="119"/>
      <c r="K377" s="119"/>
    </row>
    <row r="378" ht="14.25" customHeight="1">
      <c r="H378" s="18">
        <f t="shared" si="1"/>
        <v>0</v>
      </c>
      <c r="I378" s="112">
        <f>C380*Scoring!$B$36+TE!D380/Scoring!$C$36+TE!E380*Scoring!$D$36+TE!F380*Scoring!$E$36+H380*Scoring!$F$36</f>
        <v>0</v>
      </c>
      <c r="J378" s="112">
        <f>C378*Scoring!$B$36+TE!D378/Scoring!$C$36+TE!E378*Scoring!$D$36+TE!F378*Scoring!$E$36+H378*Scoring!$F$36</f>
        <v>0</v>
      </c>
      <c r="K378" s="112">
        <f>C379*Scoring!$B$36+TE!D379/Scoring!$C$36+TE!E379*Scoring!$D$36+TE!F379*Scoring!$E$36+H379*Scoring!$F$36</f>
        <v>0</v>
      </c>
    </row>
    <row r="379" ht="14.25" customHeight="1">
      <c r="H379" s="18">
        <f t="shared" si="1"/>
        <v>0</v>
      </c>
      <c r="I379" s="119"/>
      <c r="J379" s="119"/>
      <c r="K379" s="119"/>
    </row>
    <row r="380" ht="14.25" customHeight="1">
      <c r="H380" s="18">
        <f t="shared" si="1"/>
        <v>0</v>
      </c>
      <c r="I380" s="119"/>
      <c r="J380" s="119"/>
      <c r="K380" s="119"/>
    </row>
    <row r="381" ht="14.25" customHeight="1">
      <c r="H381" s="18">
        <f t="shared" si="1"/>
        <v>0</v>
      </c>
      <c r="I381" s="112">
        <f>C383*Scoring!$B$36+TE!D383/Scoring!$C$36+TE!E383*Scoring!$D$36+TE!F383*Scoring!$E$36+H383*Scoring!$F$36</f>
        <v>0</v>
      </c>
      <c r="J381" s="112">
        <f>C381*Scoring!$B$36+TE!D381/Scoring!$C$36+TE!E381*Scoring!$D$36+TE!F381*Scoring!$E$36+H381*Scoring!$F$36</f>
        <v>0</v>
      </c>
      <c r="K381" s="112">
        <f>C382*Scoring!$B$36+TE!D382/Scoring!$C$36+TE!E382*Scoring!$D$36+TE!F382*Scoring!$E$36+H382*Scoring!$F$36</f>
        <v>0</v>
      </c>
    </row>
    <row r="382" ht="14.25" customHeight="1">
      <c r="H382" s="18">
        <f t="shared" si="1"/>
        <v>0</v>
      </c>
      <c r="I382" s="119"/>
      <c r="J382" s="119"/>
      <c r="K382" s="119"/>
    </row>
    <row r="383" ht="14.25" customHeight="1">
      <c r="H383" s="18">
        <f t="shared" si="1"/>
        <v>0</v>
      </c>
      <c r="I383" s="119"/>
      <c r="J383" s="119"/>
      <c r="K383" s="119"/>
    </row>
    <row r="384" ht="14.25" customHeight="1">
      <c r="H384" s="18">
        <f t="shared" si="1"/>
        <v>0</v>
      </c>
      <c r="I384" s="112">
        <f>C386*Scoring!$B$36+TE!D386/Scoring!$C$36+TE!E386*Scoring!$D$36+TE!F386*Scoring!$E$36+H386*Scoring!$F$36</f>
        <v>0</v>
      </c>
      <c r="J384" s="112">
        <f>C384*Scoring!$B$36+TE!D384/Scoring!$C$36+TE!E384*Scoring!$D$36+TE!F384*Scoring!$E$36+H384*Scoring!$F$36</f>
        <v>0</v>
      </c>
      <c r="K384" s="112">
        <f>C385*Scoring!$B$36+TE!D385/Scoring!$C$36+TE!E385*Scoring!$D$36+TE!F385*Scoring!$E$36+H385*Scoring!$F$36</f>
        <v>0</v>
      </c>
    </row>
    <row r="385" ht="14.25" customHeight="1">
      <c r="H385" s="18">
        <f t="shared" si="1"/>
        <v>0</v>
      </c>
      <c r="I385" s="119"/>
      <c r="J385" s="119"/>
      <c r="K385" s="119"/>
    </row>
    <row r="386" ht="14.25" customHeight="1">
      <c r="H386" s="18">
        <f t="shared" si="1"/>
        <v>0</v>
      </c>
      <c r="I386" s="119"/>
      <c r="J386" s="119"/>
      <c r="K386" s="119"/>
    </row>
    <row r="387" ht="14.25" customHeight="1">
      <c r="H387" s="18">
        <f t="shared" si="1"/>
        <v>0</v>
      </c>
      <c r="I387" s="112">
        <f>C389*Scoring!$B$36+TE!D389/Scoring!$C$36+TE!E389*Scoring!$D$36+TE!F389*Scoring!$E$36+H389*Scoring!$F$36</f>
        <v>0</v>
      </c>
      <c r="J387" s="112">
        <f>C387*Scoring!$B$36+TE!D387/Scoring!$C$36+TE!E387*Scoring!$D$36+TE!F387*Scoring!$E$36+H387*Scoring!$F$36</f>
        <v>0</v>
      </c>
      <c r="K387" s="112">
        <f>C388*Scoring!$B$36+TE!D388/Scoring!$C$36+TE!E388*Scoring!$D$36+TE!F388*Scoring!$E$36+H388*Scoring!$F$36</f>
        <v>0</v>
      </c>
    </row>
    <row r="388" ht="14.25" customHeight="1">
      <c r="H388" s="18">
        <f t="shared" si="1"/>
        <v>0</v>
      </c>
      <c r="I388" s="119"/>
      <c r="J388" s="119"/>
      <c r="K388" s="119"/>
    </row>
    <row r="389" ht="14.25" customHeight="1">
      <c r="H389" s="18">
        <f t="shared" si="1"/>
        <v>0</v>
      </c>
      <c r="I389" s="119"/>
      <c r="J389" s="119"/>
      <c r="K389" s="119"/>
    </row>
    <row r="390" ht="14.25" customHeight="1">
      <c r="H390" s="18">
        <f t="shared" si="1"/>
        <v>0</v>
      </c>
      <c r="I390" s="112">
        <f>C392*Scoring!$B$36+TE!D392/Scoring!$C$36+TE!E392*Scoring!$D$36+TE!F392*Scoring!$E$36+H392*Scoring!$F$36</f>
        <v>0</v>
      </c>
      <c r="J390" s="112">
        <f>C390*Scoring!$B$36+TE!D390/Scoring!$C$36+TE!E390*Scoring!$D$36+TE!F390*Scoring!$E$36+H390*Scoring!$F$36</f>
        <v>0</v>
      </c>
      <c r="K390" s="112">
        <f>C391*Scoring!$B$36+TE!D391/Scoring!$C$36+TE!E391*Scoring!$D$36+TE!F391*Scoring!$E$36+H391*Scoring!$F$36</f>
        <v>0</v>
      </c>
    </row>
    <row r="391" ht="14.25" customHeight="1">
      <c r="H391" s="18">
        <f t="shared" si="1"/>
        <v>0</v>
      </c>
      <c r="I391" s="119"/>
      <c r="J391" s="119"/>
      <c r="K391" s="119"/>
    </row>
    <row r="392" ht="14.25" customHeight="1">
      <c r="H392" s="18">
        <f t="shared" si="1"/>
        <v>0</v>
      </c>
      <c r="I392" s="119"/>
      <c r="J392" s="119"/>
      <c r="K392" s="119"/>
    </row>
    <row r="393" ht="14.25" customHeight="1">
      <c r="H393" s="18">
        <f t="shared" si="1"/>
        <v>0</v>
      </c>
      <c r="I393" s="112">
        <f>C395*Scoring!$B$36+TE!D395/Scoring!$C$36+TE!E395*Scoring!$D$36+TE!F395*Scoring!$E$36+H395*Scoring!$F$36</f>
        <v>0</v>
      </c>
      <c r="J393" s="112">
        <f>C393*Scoring!$B$36+TE!D393/Scoring!$C$36+TE!E393*Scoring!$D$36+TE!F393*Scoring!$E$36+H393*Scoring!$F$36</f>
        <v>0</v>
      </c>
      <c r="K393" s="112">
        <f>C394*Scoring!$B$36+TE!D394/Scoring!$C$36+TE!E394*Scoring!$D$36+TE!F394*Scoring!$E$36+H394*Scoring!$F$36</f>
        <v>0</v>
      </c>
    </row>
    <row r="394" ht="14.25" customHeight="1">
      <c r="H394" s="18">
        <f t="shared" si="1"/>
        <v>0</v>
      </c>
      <c r="I394" s="119"/>
      <c r="J394" s="119"/>
      <c r="K394" s="119"/>
    </row>
    <row r="395" ht="14.25" customHeight="1">
      <c r="H395" s="18">
        <f t="shared" si="1"/>
        <v>0</v>
      </c>
      <c r="I395" s="119"/>
      <c r="J395" s="119"/>
      <c r="K395" s="119"/>
    </row>
    <row r="396" ht="14.25" customHeight="1">
      <c r="H396" s="18">
        <f t="shared" si="1"/>
        <v>0</v>
      </c>
      <c r="I396" s="112">
        <f>C398*Scoring!$B$36+TE!D398/Scoring!$C$36+TE!E398*Scoring!$D$36+TE!F398*Scoring!$E$36+H398*Scoring!$F$36</f>
        <v>0</v>
      </c>
      <c r="J396" s="112">
        <f>C396*Scoring!$B$36+TE!D396/Scoring!$C$36+TE!E396*Scoring!$D$36+TE!F396*Scoring!$E$36+H396*Scoring!$F$36</f>
        <v>0</v>
      </c>
      <c r="K396" s="112">
        <f>C397*Scoring!$B$36+TE!D397/Scoring!$C$36+TE!E397*Scoring!$D$36+TE!F397*Scoring!$E$36+H397*Scoring!$F$36</f>
        <v>0</v>
      </c>
    </row>
    <row r="397" ht="14.25" customHeight="1">
      <c r="H397" s="18">
        <f t="shared" si="1"/>
        <v>0</v>
      </c>
      <c r="I397" s="119"/>
      <c r="J397" s="119"/>
      <c r="K397" s="119"/>
    </row>
    <row r="398" ht="14.25" customHeight="1">
      <c r="H398" s="18">
        <f t="shared" si="1"/>
        <v>0</v>
      </c>
      <c r="I398" s="119"/>
      <c r="J398" s="119"/>
      <c r="K398" s="119"/>
    </row>
    <row r="399" ht="14.25" customHeight="1">
      <c r="H399" s="18">
        <f t="shared" si="1"/>
        <v>0</v>
      </c>
      <c r="I399" s="112">
        <f>C401*Scoring!$B$36+TE!D401/Scoring!$C$36+TE!E401*Scoring!$D$36+TE!F401*Scoring!$E$36+H401*Scoring!$F$36</f>
        <v>0</v>
      </c>
      <c r="J399" s="112">
        <f>C399*Scoring!$B$36+TE!D399/Scoring!$C$36+TE!E399*Scoring!$D$36+TE!F399*Scoring!$E$36+H399*Scoring!$F$36</f>
        <v>0</v>
      </c>
      <c r="K399" s="112">
        <f>C400*Scoring!$B$36+TE!D400/Scoring!$C$36+TE!E400*Scoring!$D$36+TE!F400*Scoring!$E$36+H400*Scoring!$F$36</f>
        <v>0</v>
      </c>
    </row>
    <row r="400" ht="14.25" customHeight="1">
      <c r="H400" s="18">
        <f t="shared" si="1"/>
        <v>0</v>
      </c>
      <c r="I400" s="119"/>
      <c r="J400" s="119"/>
      <c r="K400" s="119"/>
    </row>
    <row r="401" ht="14.25" customHeight="1">
      <c r="H401" s="18">
        <f t="shared" si="1"/>
        <v>0</v>
      </c>
      <c r="I401" s="119"/>
      <c r="J401" s="119"/>
      <c r="K401" s="119"/>
    </row>
    <row r="402" ht="14.25" customHeight="1">
      <c r="H402" s="18">
        <f t="shared" si="1"/>
        <v>0</v>
      </c>
      <c r="I402" s="112">
        <f>C404*Scoring!$B$36+TE!D404/Scoring!$C$36+TE!E404*Scoring!$D$36+TE!F404*Scoring!$E$36+H404*Scoring!$F$36</f>
        <v>0</v>
      </c>
      <c r="J402" s="112">
        <f>C402*Scoring!$B$36+TE!D402/Scoring!$C$36+TE!E402*Scoring!$D$36+TE!F402*Scoring!$E$36+H402*Scoring!$F$36</f>
        <v>0</v>
      </c>
      <c r="K402" s="112">
        <f>C403*Scoring!$B$36+TE!D403/Scoring!$C$36+TE!E403*Scoring!$D$36+TE!F403*Scoring!$E$36+H403*Scoring!$F$36</f>
        <v>0</v>
      </c>
    </row>
    <row r="403" ht="14.25" customHeight="1">
      <c r="H403" s="18">
        <f t="shared" si="1"/>
        <v>0</v>
      </c>
      <c r="I403" s="119"/>
      <c r="J403" s="119"/>
      <c r="K403" s="119"/>
    </row>
    <row r="404" ht="14.25" customHeight="1">
      <c r="H404" s="18">
        <f t="shared" si="1"/>
        <v>0</v>
      </c>
      <c r="I404" s="119"/>
      <c r="J404" s="119"/>
      <c r="K404" s="119"/>
    </row>
    <row r="405" ht="14.25" customHeight="1">
      <c r="H405" s="18">
        <f t="shared" si="1"/>
        <v>0</v>
      </c>
      <c r="I405" s="112">
        <f>C407*Scoring!$B$36+TE!D407/Scoring!$C$36+TE!E407*Scoring!$D$36+TE!F407*Scoring!$E$36+H407*Scoring!$F$36</f>
        <v>0</v>
      </c>
      <c r="J405" s="112">
        <f>C405*Scoring!$B$36+TE!D405/Scoring!$C$36+TE!E405*Scoring!$D$36+TE!F405*Scoring!$E$36+H405*Scoring!$F$36</f>
        <v>0</v>
      </c>
      <c r="K405" s="112">
        <f>C406*Scoring!$B$36+TE!D406/Scoring!$C$36+TE!E406*Scoring!$D$36+TE!F406*Scoring!$E$36+H406*Scoring!$F$36</f>
        <v>0</v>
      </c>
    </row>
    <row r="406" ht="14.25" customHeight="1">
      <c r="H406" s="18">
        <f t="shared" si="1"/>
        <v>0</v>
      </c>
      <c r="I406" s="119"/>
      <c r="J406" s="119"/>
      <c r="K406" s="119"/>
    </row>
    <row r="407" ht="14.25" customHeight="1">
      <c r="H407" s="18">
        <f t="shared" si="1"/>
        <v>0</v>
      </c>
      <c r="I407" s="119"/>
      <c r="J407" s="119"/>
      <c r="K407" s="119"/>
    </row>
    <row r="408" ht="14.25" customHeight="1">
      <c r="H408" s="18">
        <f t="shared" si="1"/>
        <v>0</v>
      </c>
      <c r="I408" s="112">
        <f>C410*Scoring!$B$36+TE!D410/Scoring!$C$36+TE!E410*Scoring!$D$36+TE!F410*Scoring!$E$36+H410*Scoring!$F$36</f>
        <v>0</v>
      </c>
      <c r="J408" s="112">
        <f>C408*Scoring!$B$36+TE!D408/Scoring!$C$36+TE!E408*Scoring!$D$36+TE!F408*Scoring!$E$36+H408*Scoring!$F$36</f>
        <v>0</v>
      </c>
      <c r="K408" s="112">
        <f>C409*Scoring!$B$36+TE!D409/Scoring!$C$36+TE!E409*Scoring!$D$36+TE!F409*Scoring!$E$36+H409*Scoring!$F$36</f>
        <v>0</v>
      </c>
    </row>
    <row r="409" ht="14.25" customHeight="1">
      <c r="H409" s="18">
        <f t="shared" si="1"/>
        <v>0</v>
      </c>
      <c r="I409" s="119"/>
      <c r="J409" s="119"/>
      <c r="K409" s="119"/>
    </row>
    <row r="410" ht="14.25" customHeight="1">
      <c r="H410" s="18">
        <f t="shared" si="1"/>
        <v>0</v>
      </c>
      <c r="I410" s="119"/>
      <c r="J410" s="119"/>
      <c r="K410" s="119"/>
    </row>
    <row r="411" ht="14.25" customHeight="1">
      <c r="H411" s="18">
        <f t="shared" si="1"/>
        <v>0</v>
      </c>
      <c r="I411" s="112">
        <f>C413*Scoring!$B$36+TE!D413/Scoring!$C$36+TE!E413*Scoring!$D$36+TE!F413*Scoring!$E$36+H413*Scoring!$F$36</f>
        <v>0</v>
      </c>
      <c r="J411" s="112">
        <f>C411*Scoring!$B$36+TE!D411/Scoring!$C$36+TE!E411*Scoring!$D$36+TE!F411*Scoring!$E$36+H411*Scoring!$F$36</f>
        <v>0</v>
      </c>
      <c r="K411" s="112">
        <f>C412*Scoring!$B$36+TE!D412/Scoring!$C$36+TE!E412*Scoring!$D$36+TE!F412*Scoring!$E$36+H412*Scoring!$F$36</f>
        <v>0</v>
      </c>
    </row>
    <row r="412" ht="14.25" customHeight="1">
      <c r="H412" s="18">
        <f t="shared" si="1"/>
        <v>0</v>
      </c>
      <c r="I412" s="119"/>
      <c r="J412" s="119"/>
      <c r="K412" s="119"/>
    </row>
    <row r="413" ht="14.25" customHeight="1">
      <c r="H413" s="18">
        <f t="shared" si="1"/>
        <v>0</v>
      </c>
      <c r="I413" s="119"/>
      <c r="J413" s="119"/>
      <c r="K413" s="119"/>
    </row>
    <row r="414" ht="14.25" customHeight="1">
      <c r="H414" s="18">
        <f t="shared" si="1"/>
        <v>0</v>
      </c>
      <c r="I414" s="112">
        <f>C416*Scoring!$B$36+TE!D416/Scoring!$C$36+TE!E416*Scoring!$D$36+TE!F416*Scoring!$E$36+H416*Scoring!$F$36</f>
        <v>0</v>
      </c>
      <c r="J414" s="112">
        <f>C414*Scoring!$B$36+TE!D414/Scoring!$C$36+TE!E414*Scoring!$D$36+TE!F414*Scoring!$E$36+H414*Scoring!$F$36</f>
        <v>0</v>
      </c>
      <c r="K414" s="112">
        <f>C415*Scoring!$B$36+TE!D415/Scoring!$C$36+TE!E415*Scoring!$D$36+TE!F415*Scoring!$E$36+H415*Scoring!$F$36</f>
        <v>0</v>
      </c>
    </row>
    <row r="415" ht="14.25" customHeight="1">
      <c r="H415" s="18">
        <f t="shared" si="1"/>
        <v>0</v>
      </c>
      <c r="I415" s="119"/>
      <c r="J415" s="119"/>
      <c r="K415" s="119"/>
    </row>
    <row r="416" ht="14.25" customHeight="1">
      <c r="H416" s="18">
        <f t="shared" si="1"/>
        <v>0</v>
      </c>
      <c r="I416" s="119"/>
      <c r="J416" s="119"/>
      <c r="K416" s="119"/>
    </row>
    <row r="417" ht="14.25" customHeight="1">
      <c r="H417" s="18">
        <f t="shared" si="1"/>
        <v>0</v>
      </c>
      <c r="I417" s="112">
        <f>C419*Scoring!$B$36+TE!D419/Scoring!$C$36+TE!E419*Scoring!$D$36+TE!F419*Scoring!$E$36+H419*Scoring!$F$36</f>
        <v>0</v>
      </c>
      <c r="J417" s="112">
        <f>C417*Scoring!$B$36+TE!D417/Scoring!$C$36+TE!E417*Scoring!$D$36+TE!F417*Scoring!$E$36+H417*Scoring!$F$36</f>
        <v>0</v>
      </c>
      <c r="K417" s="112">
        <f>C418*Scoring!$B$36+TE!D418/Scoring!$C$36+TE!E418*Scoring!$D$36+TE!F418*Scoring!$E$36+H418*Scoring!$F$36</f>
        <v>0</v>
      </c>
    </row>
    <row r="418" ht="14.25" customHeight="1">
      <c r="H418" s="18">
        <f t="shared" si="1"/>
        <v>0</v>
      </c>
      <c r="I418" s="119"/>
      <c r="J418" s="119"/>
      <c r="K418" s="119"/>
    </row>
    <row r="419" ht="14.25" customHeight="1">
      <c r="H419" s="18">
        <f t="shared" si="1"/>
        <v>0</v>
      </c>
      <c r="I419" s="119"/>
      <c r="J419" s="119"/>
      <c r="K419" s="119"/>
    </row>
    <row r="420" ht="14.25" customHeight="1">
      <c r="H420" s="18">
        <f t="shared" si="1"/>
        <v>0</v>
      </c>
      <c r="I420" s="112">
        <f>C422*Scoring!$B$36+TE!D422/Scoring!$C$36+TE!E422*Scoring!$D$36+TE!F422*Scoring!$E$36+H422*Scoring!$F$36</f>
        <v>0</v>
      </c>
      <c r="J420" s="112">
        <f>C420*Scoring!$B$36+TE!D420/Scoring!$C$36+TE!E420*Scoring!$D$36+TE!F420*Scoring!$E$36+H420*Scoring!$F$36</f>
        <v>0</v>
      </c>
      <c r="K420" s="112">
        <f>C421*Scoring!$B$36+TE!D421/Scoring!$C$36+TE!E421*Scoring!$D$36+TE!F421*Scoring!$E$36+H421*Scoring!$F$36</f>
        <v>0</v>
      </c>
    </row>
    <row r="421" ht="14.25" customHeight="1">
      <c r="H421" s="18">
        <f t="shared" si="1"/>
        <v>0</v>
      </c>
      <c r="I421" s="119"/>
      <c r="J421" s="119"/>
      <c r="K421" s="119"/>
    </row>
    <row r="422" ht="14.25" customHeight="1">
      <c r="H422" s="18">
        <f t="shared" si="1"/>
        <v>0</v>
      </c>
      <c r="I422" s="119"/>
      <c r="J422" s="119"/>
      <c r="K422" s="119"/>
    </row>
    <row r="423" ht="14.25" customHeight="1">
      <c r="H423" s="18">
        <f t="shared" si="1"/>
        <v>0</v>
      </c>
      <c r="I423" s="112">
        <f>C425*Scoring!$B$36+TE!D425/Scoring!$C$36+TE!E425*Scoring!$D$36+TE!F425*Scoring!$E$36+H425*Scoring!$F$36</f>
        <v>0</v>
      </c>
      <c r="J423" s="112">
        <f>C423*Scoring!$B$36+TE!D423/Scoring!$C$36+TE!E423*Scoring!$D$36+TE!F423*Scoring!$E$36+H423*Scoring!$F$36</f>
        <v>0</v>
      </c>
      <c r="K423" s="112">
        <f>C424*Scoring!$B$36+TE!D424/Scoring!$C$36+TE!E424*Scoring!$D$36+TE!F424*Scoring!$E$36+H424*Scoring!$F$36</f>
        <v>0</v>
      </c>
    </row>
    <row r="424" ht="14.25" customHeight="1">
      <c r="H424" s="18">
        <f t="shared" si="1"/>
        <v>0</v>
      </c>
      <c r="I424" s="119"/>
      <c r="J424" s="119"/>
      <c r="K424" s="119"/>
    </row>
    <row r="425" ht="14.25" customHeight="1">
      <c r="H425" s="18">
        <f t="shared" si="1"/>
        <v>0</v>
      </c>
      <c r="I425" s="119"/>
      <c r="J425" s="119"/>
      <c r="K425" s="119"/>
    </row>
    <row r="426" ht="14.25" customHeight="1">
      <c r="H426" s="18">
        <f t="shared" si="1"/>
        <v>0</v>
      </c>
      <c r="I426" s="112">
        <f>C428*Scoring!$B$36+TE!D428/Scoring!$C$36+TE!E428*Scoring!$D$36+TE!F428*Scoring!$E$36+H428*Scoring!$F$36</f>
        <v>0</v>
      </c>
      <c r="J426" s="112">
        <f>C426*Scoring!$B$36+TE!D426/Scoring!$C$36+TE!E426*Scoring!$D$36+TE!F426*Scoring!$E$36+H426*Scoring!$F$36</f>
        <v>0</v>
      </c>
      <c r="K426" s="112">
        <f>C427*Scoring!$B$36+TE!D427/Scoring!$C$36+TE!E427*Scoring!$D$36+TE!F427*Scoring!$E$36+H427*Scoring!$F$36</f>
        <v>0</v>
      </c>
    </row>
    <row r="427" ht="14.25" customHeight="1">
      <c r="H427" s="18">
        <f t="shared" si="1"/>
        <v>0</v>
      </c>
      <c r="I427" s="119"/>
      <c r="J427" s="119"/>
      <c r="K427" s="119"/>
    </row>
    <row r="428" ht="14.25" customHeight="1">
      <c r="H428" s="18">
        <f t="shared" si="1"/>
        <v>0</v>
      </c>
      <c r="I428" s="119"/>
      <c r="J428" s="119"/>
      <c r="K428" s="119"/>
    </row>
    <row r="429" ht="14.25" customHeight="1">
      <c r="H429" s="18">
        <f t="shared" si="1"/>
        <v>0</v>
      </c>
      <c r="I429" s="112">
        <f>C431*Scoring!$B$36+TE!D431/Scoring!$C$36+TE!E431*Scoring!$D$36+TE!F431*Scoring!$E$36+H431*Scoring!$F$36</f>
        <v>0</v>
      </c>
      <c r="J429" s="112">
        <f>C429*Scoring!$B$36+TE!D429/Scoring!$C$36+TE!E429*Scoring!$D$36+TE!F429*Scoring!$E$36+H429*Scoring!$F$36</f>
        <v>0</v>
      </c>
      <c r="K429" s="112">
        <f>C430*Scoring!$B$36+TE!D430/Scoring!$C$36+TE!E430*Scoring!$D$36+TE!F430*Scoring!$E$36+H430*Scoring!$F$36</f>
        <v>0</v>
      </c>
    </row>
    <row r="430" ht="14.25" customHeight="1">
      <c r="H430" s="18">
        <f t="shared" si="1"/>
        <v>0</v>
      </c>
      <c r="I430" s="119"/>
      <c r="J430" s="119"/>
      <c r="K430" s="119"/>
    </row>
    <row r="431" ht="14.25" customHeight="1">
      <c r="H431" s="18">
        <f t="shared" si="1"/>
        <v>0</v>
      </c>
      <c r="I431" s="119"/>
      <c r="J431" s="119"/>
      <c r="K431" s="119"/>
    </row>
    <row r="432" ht="14.25" customHeight="1">
      <c r="H432" s="18">
        <f t="shared" si="1"/>
        <v>0</v>
      </c>
      <c r="I432" s="112">
        <f>C434*Scoring!$B$36+TE!D434/Scoring!$C$36+TE!E434*Scoring!$D$36+TE!F434*Scoring!$E$36+H434*Scoring!$F$36</f>
        <v>0</v>
      </c>
      <c r="J432" s="112">
        <f>C432*Scoring!$B$36+TE!D432/Scoring!$C$36+TE!E432*Scoring!$D$36+TE!F432*Scoring!$E$36+H432*Scoring!$F$36</f>
        <v>0</v>
      </c>
      <c r="K432" s="112">
        <f>C433*Scoring!$B$36+TE!D433/Scoring!$C$36+TE!E433*Scoring!$D$36+TE!F433*Scoring!$E$36+H433*Scoring!$F$36</f>
        <v>0</v>
      </c>
    </row>
    <row r="433" ht="14.25" customHeight="1">
      <c r="H433" s="18">
        <f t="shared" si="1"/>
        <v>0</v>
      </c>
      <c r="I433" s="119"/>
      <c r="J433" s="119"/>
      <c r="K433" s="119"/>
    </row>
    <row r="434" ht="14.25" customHeight="1">
      <c r="H434" s="18">
        <f t="shared" si="1"/>
        <v>0</v>
      </c>
      <c r="I434" s="119"/>
      <c r="J434" s="119"/>
      <c r="K434" s="119"/>
    </row>
    <row r="435" ht="14.25" customHeight="1">
      <c r="H435" s="18">
        <f t="shared" si="1"/>
        <v>0</v>
      </c>
      <c r="I435" s="112">
        <f>C437*Scoring!$B$36+TE!D437/Scoring!$C$36+TE!E437*Scoring!$D$36+TE!F437*Scoring!$E$36+H437*Scoring!$F$36</f>
        <v>0</v>
      </c>
      <c r="J435" s="112">
        <f>C435*Scoring!$B$36+TE!D435/Scoring!$C$36+TE!E435*Scoring!$D$36+TE!F435*Scoring!$E$36+H435*Scoring!$F$36</f>
        <v>0</v>
      </c>
      <c r="K435" s="112">
        <f>C436*Scoring!$B$36+TE!D436/Scoring!$C$36+TE!E436*Scoring!$D$36+TE!F436*Scoring!$E$36+H436*Scoring!$F$36</f>
        <v>0</v>
      </c>
    </row>
    <row r="436" ht="14.25" customHeight="1">
      <c r="H436" s="18">
        <f t="shared" si="1"/>
        <v>0</v>
      </c>
      <c r="I436" s="119"/>
      <c r="J436" s="119"/>
      <c r="K436" s="119"/>
    </row>
    <row r="437" ht="14.25" customHeight="1">
      <c r="H437" s="18">
        <f t="shared" si="1"/>
        <v>0</v>
      </c>
      <c r="I437" s="119"/>
      <c r="J437" s="119"/>
      <c r="K437" s="119"/>
    </row>
    <row r="438" ht="14.25" customHeight="1">
      <c r="H438" s="18">
        <f t="shared" si="1"/>
        <v>0</v>
      </c>
      <c r="I438" s="112">
        <f>C440*Scoring!$B$36+TE!D440/Scoring!$C$36+TE!E440*Scoring!$D$36+TE!F440*Scoring!$E$36+H440*Scoring!$F$36</f>
        <v>0</v>
      </c>
      <c r="J438" s="112">
        <f>C438*Scoring!$B$36+TE!D438/Scoring!$C$36+TE!E438*Scoring!$D$36+TE!F438*Scoring!$E$36+H438*Scoring!$F$36</f>
        <v>0</v>
      </c>
      <c r="K438" s="112">
        <f>C439*Scoring!$B$36+TE!D439/Scoring!$C$36+TE!E439*Scoring!$D$36+TE!F439*Scoring!$E$36+H439*Scoring!$F$36</f>
        <v>0</v>
      </c>
    </row>
    <row r="439" ht="14.25" customHeight="1">
      <c r="H439" s="18">
        <f t="shared" si="1"/>
        <v>0</v>
      </c>
      <c r="I439" s="119"/>
      <c r="J439" s="119"/>
      <c r="K439" s="119"/>
    </row>
    <row r="440" ht="14.25" customHeight="1">
      <c r="H440" s="18">
        <f t="shared" si="1"/>
        <v>0</v>
      </c>
      <c r="I440" s="119"/>
      <c r="J440" s="119"/>
      <c r="K440" s="119"/>
    </row>
    <row r="441" ht="14.25" customHeight="1">
      <c r="H441" s="18">
        <f t="shared" si="1"/>
        <v>0</v>
      </c>
      <c r="I441" s="112">
        <f>C443*Scoring!$B$36+TE!D443/Scoring!$C$36+TE!E443*Scoring!$D$36+TE!F443*Scoring!$E$36+H443*Scoring!$F$36</f>
        <v>0</v>
      </c>
      <c r="J441" s="112">
        <f>C441*Scoring!$B$36+TE!D441/Scoring!$C$36+TE!E441*Scoring!$D$36+TE!F441*Scoring!$E$36+H441*Scoring!$F$36</f>
        <v>0</v>
      </c>
      <c r="K441" s="112">
        <f>C442*Scoring!$B$36+TE!D442/Scoring!$C$36+TE!E442*Scoring!$D$36+TE!F442*Scoring!$E$36+H442*Scoring!$F$36</f>
        <v>0</v>
      </c>
    </row>
    <row r="442" ht="14.25" customHeight="1">
      <c r="H442" s="18">
        <f t="shared" si="1"/>
        <v>0</v>
      </c>
      <c r="I442" s="119"/>
      <c r="J442" s="119"/>
      <c r="K442" s="119"/>
    </row>
    <row r="443" ht="14.25" customHeight="1">
      <c r="H443" s="18">
        <f t="shared" si="1"/>
        <v>0</v>
      </c>
      <c r="I443" s="119"/>
      <c r="J443" s="119"/>
      <c r="K443" s="119"/>
    </row>
    <row r="444" ht="14.25" customHeight="1">
      <c r="H444" s="18">
        <f t="shared" si="1"/>
        <v>0</v>
      </c>
      <c r="I444" s="112">
        <f>C446*Scoring!$B$36+TE!D446/Scoring!$C$36+TE!E446*Scoring!$D$36+TE!F446*Scoring!$E$36+H446*Scoring!$F$36</f>
        <v>0</v>
      </c>
      <c r="J444" s="112">
        <f>C444*Scoring!$B$36+TE!D444/Scoring!$C$36+TE!E444*Scoring!$D$36+TE!F444*Scoring!$E$36+H444*Scoring!$F$36</f>
        <v>0</v>
      </c>
      <c r="K444" s="112">
        <f>C445*Scoring!$B$36+TE!D445/Scoring!$C$36+TE!E445*Scoring!$D$36+TE!F445*Scoring!$E$36+H445*Scoring!$F$36</f>
        <v>0</v>
      </c>
    </row>
    <row r="445" ht="14.25" customHeight="1">
      <c r="H445" s="18">
        <f t="shared" si="1"/>
        <v>0</v>
      </c>
      <c r="I445" s="119"/>
      <c r="J445" s="119"/>
      <c r="K445" s="119"/>
    </row>
    <row r="446" ht="14.25" customHeight="1">
      <c r="H446" s="18">
        <f t="shared" si="1"/>
        <v>0</v>
      </c>
      <c r="I446" s="119"/>
      <c r="J446" s="119"/>
      <c r="K446" s="119"/>
    </row>
    <row r="447" ht="14.25" customHeight="1">
      <c r="H447" s="18">
        <f t="shared" si="1"/>
        <v>0</v>
      </c>
      <c r="I447" s="112">
        <f>C449*Scoring!$B$36+TE!D449/Scoring!$C$36+TE!E449*Scoring!$D$36+TE!F449*Scoring!$E$36+H449*Scoring!$F$36</f>
        <v>0</v>
      </c>
      <c r="J447" s="112">
        <f>C447*Scoring!$B$36+TE!D447/Scoring!$C$36+TE!E447*Scoring!$D$36+TE!F447*Scoring!$E$36+H447*Scoring!$F$36</f>
        <v>0</v>
      </c>
      <c r="K447" s="112">
        <f>C448*Scoring!$B$36+TE!D448/Scoring!$C$36+TE!E448*Scoring!$D$36+TE!F448*Scoring!$E$36+H448*Scoring!$F$36</f>
        <v>0</v>
      </c>
    </row>
    <row r="448" ht="14.25" customHeight="1">
      <c r="H448" s="18">
        <f t="shared" si="1"/>
        <v>0</v>
      </c>
      <c r="I448" s="119"/>
      <c r="J448" s="119"/>
      <c r="K448" s="119"/>
    </row>
    <row r="449" ht="14.25" customHeight="1">
      <c r="H449" s="18">
        <f t="shared" si="1"/>
        <v>0</v>
      </c>
      <c r="I449" s="119"/>
      <c r="J449" s="119"/>
      <c r="K449" s="119"/>
    </row>
    <row r="450" ht="14.25" customHeight="1">
      <c r="H450" s="18">
        <f t="shared" si="1"/>
        <v>0</v>
      </c>
      <c r="I450" s="112">
        <f>C452*Scoring!$B$36+TE!D452/Scoring!$C$36+TE!E452*Scoring!$D$36+TE!F452*Scoring!$E$36+H452*Scoring!$F$36</f>
        <v>0</v>
      </c>
      <c r="J450" s="112">
        <f>C450*Scoring!$B$36+TE!D450/Scoring!$C$36+TE!E450*Scoring!$D$36+TE!F450*Scoring!$E$36+H450*Scoring!$F$36</f>
        <v>0</v>
      </c>
      <c r="K450" s="112">
        <f>C451*Scoring!$B$36+TE!D451/Scoring!$C$36+TE!E451*Scoring!$D$36+TE!F451*Scoring!$E$36+H451*Scoring!$F$36</f>
        <v>0</v>
      </c>
    </row>
    <row r="451" ht="14.25" customHeight="1">
      <c r="H451" s="18">
        <f t="shared" si="1"/>
        <v>0</v>
      </c>
      <c r="I451" s="119"/>
      <c r="J451" s="119"/>
      <c r="K451" s="119"/>
    </row>
    <row r="452" ht="14.25" customHeight="1">
      <c r="H452" s="18">
        <f t="shared" si="1"/>
        <v>0</v>
      </c>
      <c r="I452" s="119"/>
      <c r="J452" s="119"/>
      <c r="K452" s="119"/>
    </row>
    <row r="453" ht="14.25" customHeight="1">
      <c r="H453" s="18">
        <f t="shared" si="1"/>
        <v>0</v>
      </c>
      <c r="I453" s="112">
        <f>C455*Scoring!$B$36+TE!D455/Scoring!$C$36+TE!E455*Scoring!$D$36+TE!F455*Scoring!$E$36+H455*Scoring!$F$36</f>
        <v>0</v>
      </c>
      <c r="J453" s="112">
        <f>C453*Scoring!$B$36+TE!D453/Scoring!$C$36+TE!E453*Scoring!$D$36+TE!F453*Scoring!$E$36+H453*Scoring!$F$36</f>
        <v>0</v>
      </c>
      <c r="K453" s="112">
        <f>C454*Scoring!$B$36+TE!D454/Scoring!$C$36+TE!E454*Scoring!$D$36+TE!F454*Scoring!$E$36+H454*Scoring!$F$36</f>
        <v>0</v>
      </c>
    </row>
    <row r="454" ht="14.25" customHeight="1">
      <c r="H454" s="18">
        <f t="shared" si="1"/>
        <v>0</v>
      </c>
      <c r="I454" s="119"/>
      <c r="J454" s="119"/>
      <c r="K454" s="119"/>
    </row>
    <row r="455" ht="14.25" customHeight="1">
      <c r="H455" s="18">
        <f t="shared" si="1"/>
        <v>0</v>
      </c>
      <c r="I455" s="119"/>
      <c r="J455" s="119"/>
      <c r="K455" s="119"/>
    </row>
    <row r="456" ht="14.25" customHeight="1">
      <c r="H456" s="18">
        <f t="shared" si="1"/>
        <v>0</v>
      </c>
      <c r="I456" s="112">
        <f>C458*Scoring!$B$36+TE!D458/Scoring!$C$36+TE!E458*Scoring!$D$36+TE!F458*Scoring!$E$36+H458*Scoring!$F$36</f>
        <v>0</v>
      </c>
      <c r="J456" s="112">
        <f>C456*Scoring!$B$36+TE!D456/Scoring!$C$36+TE!E456*Scoring!$D$36+TE!F456*Scoring!$E$36+H456*Scoring!$F$36</f>
        <v>0</v>
      </c>
      <c r="K456" s="112">
        <f>C457*Scoring!$B$36+TE!D457/Scoring!$C$36+TE!E457*Scoring!$D$36+TE!F457*Scoring!$E$36+H457*Scoring!$F$36</f>
        <v>0</v>
      </c>
    </row>
    <row r="457" ht="14.25" customHeight="1">
      <c r="H457" s="18">
        <f t="shared" si="1"/>
        <v>0</v>
      </c>
      <c r="I457" s="119"/>
      <c r="J457" s="119"/>
      <c r="K457" s="119"/>
    </row>
    <row r="458" ht="14.25" customHeight="1">
      <c r="H458" s="18">
        <f t="shared" si="1"/>
        <v>0</v>
      </c>
      <c r="I458" s="119"/>
      <c r="J458" s="119"/>
      <c r="K458" s="119"/>
    </row>
    <row r="459" ht="14.25" customHeight="1">
      <c r="H459" s="18">
        <f t="shared" si="1"/>
        <v>0</v>
      </c>
      <c r="I459" s="112">
        <f>C461*Scoring!$B$36+TE!D461/Scoring!$C$36+TE!E461*Scoring!$D$36+TE!F461*Scoring!$E$36+H461*Scoring!$F$36</f>
        <v>0</v>
      </c>
      <c r="J459" s="112">
        <f>C459*Scoring!$B$36+TE!D459/Scoring!$C$36+TE!E459*Scoring!$D$36+TE!F459*Scoring!$E$36+H459*Scoring!$F$36</f>
        <v>0</v>
      </c>
      <c r="K459" s="112">
        <f>C460*Scoring!$B$36+TE!D460/Scoring!$C$36+TE!E460*Scoring!$D$36+TE!F460*Scoring!$E$36+H460*Scoring!$F$36</f>
        <v>0</v>
      </c>
    </row>
    <row r="460" ht="14.25" customHeight="1">
      <c r="H460" s="18">
        <f t="shared" si="1"/>
        <v>0</v>
      </c>
      <c r="I460" s="119"/>
      <c r="J460" s="119"/>
      <c r="K460" s="119"/>
    </row>
    <row r="461" ht="14.25" customHeight="1">
      <c r="H461" s="18">
        <f t="shared" si="1"/>
        <v>0</v>
      </c>
      <c r="I461" s="119"/>
      <c r="J461" s="119"/>
      <c r="K461" s="119"/>
    </row>
    <row r="462" ht="14.25" customHeight="1">
      <c r="H462" s="18">
        <f t="shared" si="1"/>
        <v>0</v>
      </c>
      <c r="I462" s="112">
        <f>C464*Scoring!$B$36+TE!D464/Scoring!$C$36+TE!E464*Scoring!$D$36+TE!F464*Scoring!$E$36+H464*Scoring!$F$36</f>
        <v>0</v>
      </c>
      <c r="J462" s="112">
        <f>C462*Scoring!$B$36+TE!D462/Scoring!$C$36+TE!E462*Scoring!$D$36+TE!F462*Scoring!$E$36+H462*Scoring!$F$36</f>
        <v>0</v>
      </c>
      <c r="K462" s="112">
        <f>C463*Scoring!$B$36+TE!D463/Scoring!$C$36+TE!E463*Scoring!$D$36+TE!F463*Scoring!$E$36+H463*Scoring!$F$36</f>
        <v>0</v>
      </c>
    </row>
    <row r="463" ht="14.25" customHeight="1">
      <c r="H463" s="18">
        <f t="shared" si="1"/>
        <v>0</v>
      </c>
      <c r="I463" s="119"/>
      <c r="J463" s="119"/>
      <c r="K463" s="119"/>
    </row>
    <row r="464" ht="14.25" customHeight="1">
      <c r="H464" s="18">
        <f t="shared" si="1"/>
        <v>0</v>
      </c>
      <c r="I464" s="119"/>
      <c r="J464" s="119"/>
      <c r="K464" s="119"/>
    </row>
    <row r="465" ht="14.25" customHeight="1">
      <c r="H465" s="18">
        <f t="shared" si="1"/>
        <v>0</v>
      </c>
      <c r="I465" s="112">
        <f>C467*Scoring!$B$36+TE!D467/Scoring!$C$36+TE!E467*Scoring!$D$36+TE!F467*Scoring!$E$36+H467*Scoring!$F$36</f>
        <v>0</v>
      </c>
      <c r="J465" s="112">
        <f>C465*Scoring!$B$36+TE!D465/Scoring!$C$36+TE!E465*Scoring!$D$36+TE!F465*Scoring!$E$36+H465*Scoring!$F$36</f>
        <v>0</v>
      </c>
      <c r="K465" s="112">
        <f>C466*Scoring!$B$36+TE!D466/Scoring!$C$36+TE!E466*Scoring!$D$36+TE!F466*Scoring!$E$36+H466*Scoring!$F$36</f>
        <v>0</v>
      </c>
    </row>
    <row r="466" ht="14.25" customHeight="1">
      <c r="H466" s="18">
        <f t="shared" si="1"/>
        <v>0</v>
      </c>
      <c r="I466" s="119"/>
      <c r="J466" s="119"/>
      <c r="K466" s="119"/>
    </row>
    <row r="467" ht="14.25" customHeight="1">
      <c r="H467" s="18">
        <f t="shared" si="1"/>
        <v>0</v>
      </c>
      <c r="I467" s="119"/>
      <c r="J467" s="119"/>
      <c r="K467" s="119"/>
    </row>
    <row r="468" ht="14.25" customHeight="1">
      <c r="H468" s="18">
        <f t="shared" si="1"/>
        <v>0</v>
      </c>
      <c r="I468" s="112">
        <f>C470*Scoring!$B$36+TE!D470/Scoring!$C$36+TE!E470*Scoring!$D$36+TE!F470*Scoring!$E$36+H470*Scoring!$F$36</f>
        <v>0</v>
      </c>
      <c r="J468" s="112">
        <f>C468*Scoring!$B$36+TE!D468/Scoring!$C$36+TE!E468*Scoring!$D$36+TE!F468*Scoring!$E$36+H468*Scoring!$F$36</f>
        <v>0</v>
      </c>
      <c r="K468" s="112">
        <f>C469*Scoring!$B$36+TE!D469/Scoring!$C$36+TE!E469*Scoring!$D$36+TE!F469*Scoring!$E$36+H469*Scoring!$F$36</f>
        <v>0</v>
      </c>
    </row>
    <row r="469" ht="14.25" customHeight="1">
      <c r="H469" s="18">
        <f t="shared" si="1"/>
        <v>0</v>
      </c>
      <c r="I469" s="119"/>
      <c r="J469" s="119"/>
      <c r="K469" s="119"/>
    </row>
    <row r="470" ht="14.25" customHeight="1">
      <c r="H470" s="18">
        <f t="shared" si="1"/>
        <v>0</v>
      </c>
      <c r="I470" s="119"/>
      <c r="J470" s="119"/>
      <c r="K470" s="119"/>
    </row>
    <row r="471" ht="14.25" customHeight="1">
      <c r="H471" s="4"/>
    </row>
    <row r="472" ht="14.25" customHeight="1">
      <c r="H472" s="4"/>
    </row>
    <row r="473" ht="14.25" customHeight="1">
      <c r="H473" s="4"/>
    </row>
    <row r="474" ht="14.25" customHeight="1">
      <c r="H474" s="4"/>
    </row>
    <row r="475" ht="14.25" customHeight="1">
      <c r="H475" s="4"/>
    </row>
    <row r="476" ht="14.25" customHeight="1">
      <c r="H476" s="4"/>
    </row>
    <row r="477" ht="14.25" customHeight="1">
      <c r="H477" s="4"/>
    </row>
    <row r="478" ht="14.25" customHeight="1">
      <c r="H478" s="4"/>
    </row>
    <row r="479" ht="14.25" customHeight="1">
      <c r="H479" s="4"/>
    </row>
    <row r="480" ht="14.25" customHeight="1">
      <c r="H480" s="4"/>
    </row>
    <row r="481" ht="14.25" customHeight="1">
      <c r="H481" s="4"/>
    </row>
    <row r="482" ht="14.25" customHeight="1">
      <c r="H482" s="4"/>
    </row>
    <row r="483" ht="14.25" customHeight="1">
      <c r="H483" s="4"/>
    </row>
    <row r="484" ht="14.25" customHeight="1">
      <c r="H484" s="4"/>
    </row>
    <row r="485" ht="14.25" customHeight="1">
      <c r="H485" s="4"/>
    </row>
    <row r="486" ht="14.25" customHeight="1">
      <c r="H486" s="4"/>
    </row>
    <row r="487" ht="14.25" customHeight="1">
      <c r="H487" s="4"/>
    </row>
    <row r="488" ht="14.25" customHeight="1">
      <c r="H488" s="4"/>
    </row>
    <row r="489" ht="14.25" customHeight="1">
      <c r="H489" s="4"/>
    </row>
    <row r="490" ht="14.25" customHeight="1">
      <c r="H490" s="4"/>
    </row>
    <row r="491" ht="14.25" customHeight="1">
      <c r="H491" s="4"/>
    </row>
    <row r="492" ht="14.25" customHeight="1">
      <c r="H492" s="4"/>
    </row>
    <row r="493" ht="14.25" customHeight="1">
      <c r="H493" s="4"/>
    </row>
    <row r="494" ht="14.25" customHeight="1">
      <c r="H494" s="4"/>
    </row>
    <row r="495" ht="14.25" customHeight="1">
      <c r="H495" s="4"/>
    </row>
    <row r="496" ht="14.25" customHeight="1">
      <c r="H496" s="4"/>
    </row>
    <row r="497" ht="14.25" customHeight="1">
      <c r="H497" s="4"/>
    </row>
    <row r="498" ht="14.25" customHeight="1">
      <c r="H498" s="4"/>
    </row>
    <row r="499" ht="14.25" customHeight="1">
      <c r="H499" s="4"/>
    </row>
    <row r="500" ht="14.25" customHeight="1">
      <c r="H500" s="4"/>
    </row>
    <row r="501" ht="14.25" customHeight="1">
      <c r="H501" s="4"/>
    </row>
    <row r="502" ht="14.25" customHeight="1">
      <c r="H502" s="4"/>
    </row>
    <row r="503" ht="14.25" customHeight="1">
      <c r="H503" s="4"/>
    </row>
    <row r="504" ht="14.25" customHeight="1">
      <c r="H504" s="4"/>
    </row>
    <row r="505" ht="14.25" customHeight="1">
      <c r="H505" s="4"/>
    </row>
    <row r="506" ht="14.25" customHeight="1">
      <c r="H506" s="4"/>
    </row>
    <row r="507" ht="14.25" customHeight="1">
      <c r="H507" s="4"/>
    </row>
    <row r="508" ht="14.25" customHeight="1">
      <c r="H508" s="4"/>
    </row>
    <row r="509" ht="14.25" customHeight="1">
      <c r="H509" s="4"/>
    </row>
    <row r="510" ht="14.25" customHeight="1">
      <c r="H510" s="4"/>
    </row>
    <row r="511" ht="14.25" customHeight="1">
      <c r="H511" s="4"/>
    </row>
    <row r="512" ht="14.25" customHeight="1">
      <c r="H512" s="4"/>
    </row>
    <row r="513" ht="14.25" customHeight="1">
      <c r="H513" s="4"/>
    </row>
    <row r="514" ht="14.25" customHeight="1">
      <c r="H514" s="4"/>
    </row>
    <row r="515" ht="14.25" customHeight="1">
      <c r="H515" s="4"/>
    </row>
    <row r="516" ht="14.25" customHeight="1">
      <c r="H516" s="4"/>
    </row>
    <row r="517" ht="14.25" customHeight="1">
      <c r="H517" s="4"/>
    </row>
    <row r="518" ht="14.25" customHeight="1">
      <c r="H518" s="4"/>
    </row>
    <row r="519" ht="14.25" customHeight="1">
      <c r="H519" s="4"/>
    </row>
    <row r="520" ht="14.25" customHeight="1">
      <c r="H520" s="4"/>
    </row>
    <row r="521" ht="14.25" customHeight="1">
      <c r="H521" s="4"/>
    </row>
    <row r="522" ht="14.25" customHeight="1">
      <c r="H522" s="4"/>
    </row>
    <row r="523" ht="14.25" customHeight="1">
      <c r="H523" s="4"/>
    </row>
    <row r="524" ht="14.25" customHeight="1">
      <c r="H524" s="4"/>
    </row>
    <row r="525" ht="14.25" customHeight="1">
      <c r="H525" s="4"/>
    </row>
    <row r="526" ht="14.25" customHeight="1">
      <c r="H526" s="4"/>
    </row>
    <row r="527" ht="14.25" customHeight="1">
      <c r="H527" s="4"/>
    </row>
    <row r="528" ht="14.25" customHeight="1">
      <c r="H528" s="4"/>
    </row>
    <row r="529" ht="14.25" customHeight="1">
      <c r="H529" s="4"/>
    </row>
    <row r="530" ht="14.25" customHeight="1">
      <c r="H530" s="4"/>
    </row>
    <row r="531" ht="14.25" customHeight="1">
      <c r="H531" s="4"/>
    </row>
    <row r="532" ht="14.25" customHeight="1">
      <c r="H532" s="4"/>
    </row>
    <row r="533" ht="14.25" customHeight="1">
      <c r="H533" s="4"/>
    </row>
    <row r="534" ht="14.25" customHeight="1">
      <c r="H534" s="4"/>
    </row>
    <row r="535" ht="14.25" customHeight="1">
      <c r="H535" s="4"/>
    </row>
    <row r="536" ht="14.25" customHeight="1">
      <c r="H536" s="4"/>
    </row>
    <row r="537" ht="14.25" customHeight="1">
      <c r="H537" s="4"/>
    </row>
    <row r="538" ht="14.25" customHeight="1">
      <c r="H538" s="4"/>
    </row>
    <row r="539" ht="14.25" customHeight="1">
      <c r="H539" s="4"/>
    </row>
    <row r="540" ht="14.25" customHeight="1">
      <c r="H540" s="4"/>
    </row>
    <row r="541" ht="14.25" customHeight="1">
      <c r="H541" s="4"/>
    </row>
    <row r="542" ht="14.25" customHeight="1">
      <c r="H542" s="4"/>
    </row>
    <row r="543" ht="14.25" customHeight="1">
      <c r="H543" s="4"/>
    </row>
    <row r="544" ht="14.25" customHeight="1">
      <c r="H544" s="4"/>
    </row>
    <row r="545" ht="14.25" customHeight="1">
      <c r="H545" s="4"/>
    </row>
    <row r="546" ht="14.25" customHeight="1">
      <c r="H546" s="4"/>
    </row>
    <row r="547" ht="14.25" customHeight="1">
      <c r="H547" s="4"/>
    </row>
    <row r="548" ht="14.25" customHeight="1">
      <c r="H548" s="4"/>
    </row>
    <row r="549" ht="14.25" customHeight="1">
      <c r="H549" s="4"/>
    </row>
    <row r="550" ht="14.25" customHeight="1">
      <c r="H550" s="4"/>
    </row>
    <row r="551" ht="14.25" customHeight="1">
      <c r="H551" s="4"/>
    </row>
    <row r="552" ht="14.25" customHeight="1">
      <c r="H552" s="4"/>
    </row>
    <row r="553" ht="14.25" customHeight="1">
      <c r="H553" s="4"/>
    </row>
    <row r="554" ht="14.25" customHeight="1">
      <c r="H554" s="4"/>
    </row>
    <row r="555" ht="14.25" customHeight="1">
      <c r="H555" s="4"/>
    </row>
    <row r="556" ht="14.25" customHeight="1">
      <c r="H556" s="4"/>
    </row>
    <row r="557" ht="14.25" customHeight="1">
      <c r="H557" s="4"/>
    </row>
    <row r="558" ht="14.25" customHeight="1">
      <c r="H558" s="4"/>
    </row>
    <row r="559" ht="14.25" customHeight="1">
      <c r="H559" s="4"/>
    </row>
    <row r="560" ht="14.25" customHeight="1">
      <c r="H560" s="4"/>
    </row>
    <row r="561" ht="14.25" customHeight="1">
      <c r="H561" s="4"/>
    </row>
    <row r="562" ht="14.25" customHeight="1">
      <c r="H562" s="4"/>
    </row>
    <row r="563" ht="14.25" customHeight="1">
      <c r="H563" s="4"/>
    </row>
    <row r="564" ht="14.25" customHeight="1">
      <c r="H564" s="4"/>
    </row>
    <row r="565" ht="14.25" customHeight="1">
      <c r="H565" s="4"/>
    </row>
    <row r="566" ht="14.25" customHeight="1">
      <c r="H566" s="4"/>
    </row>
    <row r="567" ht="14.25" customHeight="1">
      <c r="H567" s="4"/>
    </row>
    <row r="568" ht="14.25" customHeight="1">
      <c r="H568" s="4"/>
    </row>
    <row r="569" ht="14.25" customHeight="1">
      <c r="H569" s="4"/>
    </row>
    <row r="570" ht="14.25" customHeight="1">
      <c r="H570" s="4"/>
    </row>
    <row r="571" ht="14.25" customHeight="1">
      <c r="H571" s="4"/>
    </row>
    <row r="572" ht="14.25" customHeight="1">
      <c r="H572" s="4"/>
    </row>
    <row r="573" ht="14.25" customHeight="1">
      <c r="H573" s="4"/>
    </row>
    <row r="574" ht="14.25" customHeight="1">
      <c r="H574" s="4"/>
    </row>
    <row r="575" ht="14.25" customHeight="1">
      <c r="H575" s="4"/>
    </row>
    <row r="576" ht="14.25" customHeight="1">
      <c r="H576" s="4"/>
    </row>
    <row r="577" ht="14.25" customHeight="1">
      <c r="H577" s="4"/>
    </row>
    <row r="578" ht="14.25" customHeight="1">
      <c r="H578" s="4"/>
    </row>
    <row r="579" ht="14.25" customHeight="1">
      <c r="H579" s="4"/>
    </row>
    <row r="580" ht="14.25" customHeight="1">
      <c r="H580" s="4"/>
    </row>
    <row r="581" ht="14.25" customHeight="1">
      <c r="H581" s="4"/>
    </row>
    <row r="582" ht="14.25" customHeight="1">
      <c r="H582" s="4"/>
    </row>
    <row r="583" ht="14.25" customHeight="1">
      <c r="H583" s="4"/>
    </row>
    <row r="584" ht="14.25" customHeight="1">
      <c r="H584" s="4"/>
    </row>
    <row r="585" ht="14.25" customHeight="1">
      <c r="H585" s="4"/>
    </row>
    <row r="586" ht="14.25" customHeight="1">
      <c r="H586" s="4"/>
    </row>
    <row r="587" ht="14.25" customHeight="1">
      <c r="H587" s="4"/>
    </row>
    <row r="588" ht="14.25" customHeight="1">
      <c r="H588" s="4"/>
    </row>
    <row r="589" ht="14.25" customHeight="1">
      <c r="H589" s="4"/>
    </row>
    <row r="590" ht="14.25" customHeight="1">
      <c r="H590" s="4"/>
    </row>
    <row r="591" ht="14.25" customHeight="1">
      <c r="H591" s="4"/>
    </row>
    <row r="592" ht="14.25" customHeight="1">
      <c r="H592" s="4"/>
    </row>
    <row r="593" ht="14.25" customHeight="1">
      <c r="H593" s="4"/>
    </row>
    <row r="594" ht="14.25" customHeight="1">
      <c r="H594" s="4"/>
    </row>
    <row r="595" ht="14.25" customHeight="1">
      <c r="H595" s="4"/>
    </row>
    <row r="596" ht="14.25" customHeight="1">
      <c r="H596" s="4"/>
    </row>
    <row r="597" ht="14.25" customHeight="1">
      <c r="H597" s="4"/>
    </row>
    <row r="598" ht="14.25" customHeight="1">
      <c r="H598" s="4"/>
    </row>
    <row r="599" ht="14.25" customHeight="1">
      <c r="H599" s="4"/>
    </row>
    <row r="600" ht="14.25" customHeight="1">
      <c r="H600" s="4"/>
    </row>
    <row r="601" ht="14.25" customHeight="1">
      <c r="H601" s="4"/>
    </row>
    <row r="602" ht="14.25" customHeight="1">
      <c r="H602" s="4"/>
    </row>
    <row r="603" ht="14.25" customHeight="1">
      <c r="H603" s="4"/>
    </row>
    <row r="604" ht="14.25" customHeight="1">
      <c r="H604" s="4"/>
    </row>
    <row r="605" ht="14.25" customHeight="1">
      <c r="H605" s="4"/>
    </row>
    <row r="606" ht="14.25" customHeight="1">
      <c r="H606" s="4"/>
    </row>
    <row r="607" ht="14.25" customHeight="1">
      <c r="H607" s="4"/>
    </row>
    <row r="608" ht="14.25" customHeight="1">
      <c r="H608" s="4"/>
    </row>
    <row r="609" ht="14.25" customHeight="1">
      <c r="H609" s="4"/>
    </row>
    <row r="610" ht="14.25" customHeight="1">
      <c r="H610" s="4"/>
    </row>
    <row r="611" ht="14.25" customHeight="1">
      <c r="H611" s="4"/>
    </row>
    <row r="612" ht="14.25" customHeight="1">
      <c r="H612" s="4"/>
    </row>
    <row r="613" ht="14.25" customHeight="1">
      <c r="H613" s="4"/>
    </row>
    <row r="614" ht="14.25" customHeight="1">
      <c r="H614" s="4"/>
    </row>
    <row r="615" ht="14.25" customHeight="1">
      <c r="H615" s="4"/>
    </row>
    <row r="616" ht="14.25" customHeight="1">
      <c r="H616" s="4"/>
    </row>
    <row r="617" ht="14.25" customHeight="1">
      <c r="H617" s="4"/>
    </row>
    <row r="618" ht="14.25" customHeight="1">
      <c r="H618" s="4"/>
    </row>
    <row r="619" ht="14.25" customHeight="1">
      <c r="H619" s="4"/>
    </row>
    <row r="620" ht="14.25" customHeight="1">
      <c r="H620" s="4"/>
    </row>
    <row r="621" ht="14.25" customHeight="1">
      <c r="H621" s="4"/>
    </row>
    <row r="622" ht="14.25" customHeight="1">
      <c r="H622" s="4"/>
    </row>
    <row r="623" ht="14.25" customHeight="1">
      <c r="H623" s="4"/>
    </row>
    <row r="624" ht="14.25" customHeight="1">
      <c r="H624" s="4"/>
    </row>
    <row r="625" ht="14.25" customHeight="1">
      <c r="H625" s="4"/>
    </row>
    <row r="626" ht="14.25" customHeight="1">
      <c r="H626" s="4"/>
    </row>
    <row r="627" ht="14.25" customHeight="1">
      <c r="H627" s="4"/>
    </row>
    <row r="628" ht="14.25" customHeight="1">
      <c r="H628" s="4"/>
    </row>
    <row r="629" ht="14.25" customHeight="1">
      <c r="H629" s="4"/>
    </row>
    <row r="630" ht="14.25" customHeight="1">
      <c r="H630" s="4"/>
    </row>
    <row r="631" ht="14.25" customHeight="1">
      <c r="H631" s="4"/>
    </row>
    <row r="632" ht="14.25" customHeight="1">
      <c r="H632" s="4"/>
    </row>
    <row r="633" ht="14.25" customHeight="1">
      <c r="H633" s="4"/>
    </row>
    <row r="634" ht="14.25" customHeight="1">
      <c r="H634" s="4"/>
    </row>
    <row r="635" ht="14.25" customHeight="1">
      <c r="H635" s="4"/>
    </row>
    <row r="636" ht="14.25" customHeight="1">
      <c r="H636" s="4"/>
    </row>
    <row r="637" ht="14.25" customHeight="1">
      <c r="H637" s="4"/>
    </row>
    <row r="638" ht="14.25" customHeight="1">
      <c r="H638" s="4"/>
    </row>
    <row r="639" ht="14.25" customHeight="1">
      <c r="H639" s="4"/>
    </row>
    <row r="640" ht="14.25" customHeight="1">
      <c r="H640" s="4"/>
    </row>
    <row r="641" ht="14.25" customHeight="1">
      <c r="H641" s="4"/>
    </row>
    <row r="642" ht="14.25" customHeight="1">
      <c r="H642" s="4"/>
    </row>
    <row r="643" ht="14.25" customHeight="1">
      <c r="H643" s="4"/>
    </row>
    <row r="644" ht="14.25" customHeight="1">
      <c r="H644" s="4"/>
    </row>
    <row r="645" ht="14.25" customHeight="1">
      <c r="H645" s="4"/>
    </row>
    <row r="646" ht="14.25" customHeight="1">
      <c r="H646" s="4"/>
    </row>
    <row r="647" ht="14.25" customHeight="1">
      <c r="H647" s="4"/>
    </row>
    <row r="648" ht="14.25" customHeight="1">
      <c r="H648" s="4"/>
    </row>
    <row r="649" ht="14.25" customHeight="1">
      <c r="H649" s="4"/>
    </row>
    <row r="650" ht="14.25" customHeight="1">
      <c r="H650" s="4"/>
    </row>
    <row r="651" ht="14.25" customHeight="1">
      <c r="H651" s="4"/>
    </row>
    <row r="652" ht="14.25" customHeight="1">
      <c r="H652" s="4"/>
    </row>
    <row r="653" ht="14.25" customHeight="1">
      <c r="H653" s="4"/>
    </row>
    <row r="654" ht="14.25" customHeight="1">
      <c r="H654" s="4"/>
    </row>
    <row r="655" ht="14.25" customHeight="1">
      <c r="H655" s="4"/>
    </row>
    <row r="656" ht="14.25" customHeight="1">
      <c r="H656" s="4"/>
    </row>
    <row r="657" ht="14.25" customHeight="1">
      <c r="H657" s="4"/>
    </row>
    <row r="658" ht="14.25" customHeight="1">
      <c r="H658" s="4"/>
    </row>
    <row r="659" ht="14.25" customHeight="1">
      <c r="H659" s="4"/>
    </row>
    <row r="660" ht="14.25" customHeight="1">
      <c r="H660" s="4"/>
    </row>
    <row r="661" ht="14.25" customHeight="1">
      <c r="H661" s="4"/>
    </row>
    <row r="662" ht="14.25" customHeight="1">
      <c r="H662" s="4"/>
    </row>
    <row r="663" ht="14.25" customHeight="1">
      <c r="H663" s="4"/>
    </row>
    <row r="664" ht="14.25" customHeight="1">
      <c r="H664" s="4"/>
    </row>
    <row r="665" ht="14.25" customHeight="1">
      <c r="H665" s="4"/>
    </row>
    <row r="666" ht="14.25" customHeight="1">
      <c r="H666" s="4"/>
    </row>
    <row r="667" ht="14.25" customHeight="1">
      <c r="H667" s="4"/>
    </row>
    <row r="668" ht="14.25" customHeight="1">
      <c r="H668" s="4"/>
    </row>
    <row r="669" ht="14.25" customHeight="1">
      <c r="H669" s="4"/>
    </row>
    <row r="670" ht="14.25" customHeight="1">
      <c r="H670" s="4"/>
    </row>
    <row r="671" ht="14.25" customHeight="1">
      <c r="H671" s="4"/>
    </row>
    <row r="672" ht="14.25" customHeight="1">
      <c r="H672" s="4"/>
    </row>
    <row r="673" ht="14.25" customHeight="1">
      <c r="H673" s="4"/>
    </row>
    <row r="674" ht="14.25" customHeight="1">
      <c r="H674" s="4"/>
    </row>
    <row r="675" ht="14.25" customHeight="1">
      <c r="H675" s="4"/>
    </row>
    <row r="676" ht="14.25" customHeight="1">
      <c r="H676" s="4"/>
    </row>
    <row r="677" ht="14.25" customHeight="1">
      <c r="H677" s="4"/>
    </row>
    <row r="678" ht="14.25" customHeight="1">
      <c r="H678" s="4"/>
    </row>
    <row r="679" ht="14.25" customHeight="1">
      <c r="H679" s="4"/>
    </row>
    <row r="680" ht="14.25" customHeight="1">
      <c r="H680" s="4"/>
    </row>
    <row r="681" ht="14.25" customHeight="1">
      <c r="H681" s="4"/>
    </row>
    <row r="682" ht="14.25" customHeight="1">
      <c r="H682" s="4"/>
    </row>
    <row r="683" ht="14.25" customHeight="1">
      <c r="H683" s="4"/>
    </row>
    <row r="684" ht="14.25" customHeight="1">
      <c r="H684" s="4"/>
    </row>
    <row r="685" ht="14.25" customHeight="1">
      <c r="H685" s="4"/>
    </row>
    <row r="686" ht="14.25" customHeight="1">
      <c r="H686" s="4"/>
    </row>
    <row r="687" ht="14.25" customHeight="1">
      <c r="H687" s="4"/>
    </row>
    <row r="688" ht="14.25" customHeight="1">
      <c r="H688" s="4"/>
    </row>
    <row r="689" ht="14.25" customHeight="1">
      <c r="H689" s="4"/>
    </row>
    <row r="690" ht="14.25" customHeight="1">
      <c r="H690" s="4"/>
    </row>
    <row r="691" ht="14.25" customHeight="1">
      <c r="H691" s="4"/>
    </row>
    <row r="692" ht="14.25" customHeight="1">
      <c r="H692" s="4"/>
    </row>
    <row r="693" ht="14.25" customHeight="1">
      <c r="H693" s="4"/>
    </row>
    <row r="694" ht="14.25" customHeight="1">
      <c r="H694" s="4"/>
    </row>
    <row r="695" ht="14.25" customHeight="1">
      <c r="H695" s="4"/>
    </row>
    <row r="696" ht="14.25" customHeight="1">
      <c r="H696" s="4"/>
    </row>
    <row r="697" ht="14.25" customHeight="1">
      <c r="H697" s="4"/>
    </row>
    <row r="698" ht="14.25" customHeight="1">
      <c r="H698" s="4"/>
    </row>
    <row r="699" ht="14.25" customHeight="1">
      <c r="H699" s="4"/>
    </row>
    <row r="700" ht="14.25" customHeight="1">
      <c r="H700" s="4"/>
    </row>
    <row r="701" ht="14.25" customHeight="1">
      <c r="H701" s="4"/>
    </row>
    <row r="702" ht="14.25" customHeight="1">
      <c r="H702" s="4"/>
    </row>
    <row r="703" ht="14.25" customHeight="1">
      <c r="H703" s="4"/>
    </row>
    <row r="704" ht="14.25" customHeight="1">
      <c r="H704" s="4"/>
    </row>
    <row r="705" ht="14.25" customHeight="1">
      <c r="H705" s="4"/>
    </row>
    <row r="706" ht="14.25" customHeight="1">
      <c r="H706" s="4"/>
    </row>
    <row r="707" ht="14.25" customHeight="1">
      <c r="H707" s="4"/>
    </row>
    <row r="708" ht="14.25" customHeight="1">
      <c r="H708" s="4"/>
    </row>
    <row r="709" ht="14.25" customHeight="1">
      <c r="H709" s="4"/>
    </row>
    <row r="710" ht="14.25" customHeight="1">
      <c r="H710" s="4"/>
    </row>
    <row r="711" ht="14.25" customHeight="1">
      <c r="H711" s="4"/>
    </row>
    <row r="712" ht="14.25" customHeight="1">
      <c r="H712" s="4"/>
    </row>
    <row r="713" ht="14.25" customHeight="1">
      <c r="H713" s="4"/>
    </row>
    <row r="714" ht="14.25" customHeight="1">
      <c r="H714" s="4"/>
    </row>
    <row r="715" ht="14.25" customHeight="1">
      <c r="H715" s="4"/>
    </row>
    <row r="716" ht="14.25" customHeight="1">
      <c r="H716" s="4"/>
    </row>
    <row r="717" ht="14.25" customHeight="1">
      <c r="H717" s="4"/>
    </row>
    <row r="718" ht="14.25" customHeight="1">
      <c r="H718" s="4"/>
    </row>
    <row r="719" ht="14.25" customHeight="1">
      <c r="H719" s="4"/>
    </row>
    <row r="720" ht="14.25" customHeight="1">
      <c r="H720" s="4"/>
    </row>
    <row r="721" ht="14.25" customHeight="1">
      <c r="H721" s="4"/>
    </row>
    <row r="722" ht="14.25" customHeight="1">
      <c r="H722" s="4"/>
    </row>
    <row r="723" ht="14.25" customHeight="1">
      <c r="H723" s="4"/>
    </row>
    <row r="724" ht="14.25" customHeight="1">
      <c r="H724" s="4"/>
    </row>
    <row r="725" ht="14.25" customHeight="1">
      <c r="H725" s="4"/>
    </row>
    <row r="726" ht="14.25" customHeight="1">
      <c r="H726" s="4"/>
    </row>
    <row r="727" ht="14.25" customHeight="1">
      <c r="H727" s="4"/>
    </row>
    <row r="728" ht="14.25" customHeight="1">
      <c r="H728" s="4"/>
    </row>
    <row r="729" ht="14.25" customHeight="1">
      <c r="H729" s="4"/>
    </row>
    <row r="730" ht="14.25" customHeight="1">
      <c r="H730" s="4"/>
    </row>
    <row r="731" ht="14.25" customHeight="1">
      <c r="H731" s="4"/>
    </row>
    <row r="732" ht="14.25" customHeight="1">
      <c r="H732" s="4"/>
    </row>
    <row r="733" ht="14.25" customHeight="1">
      <c r="H733" s="4"/>
    </row>
    <row r="734" ht="14.25" customHeight="1">
      <c r="H734" s="4"/>
    </row>
    <row r="735" ht="14.25" customHeight="1">
      <c r="H735" s="4"/>
    </row>
    <row r="736" ht="14.25" customHeight="1">
      <c r="H736" s="4"/>
    </row>
    <row r="737" ht="14.25" customHeight="1">
      <c r="H737" s="4"/>
    </row>
    <row r="738" ht="14.25" customHeight="1">
      <c r="H738" s="4"/>
    </row>
    <row r="739" ht="14.25" customHeight="1">
      <c r="H739" s="4"/>
    </row>
    <row r="740" ht="14.25" customHeight="1">
      <c r="H740" s="4"/>
    </row>
    <row r="741" ht="14.25" customHeight="1">
      <c r="H741" s="4"/>
    </row>
    <row r="742" ht="14.25" customHeight="1">
      <c r="H742" s="4"/>
    </row>
    <row r="743" ht="14.25" customHeight="1">
      <c r="H743" s="4"/>
    </row>
    <row r="744" ht="14.25" customHeight="1">
      <c r="H744" s="4"/>
    </row>
    <row r="745" ht="14.25" customHeight="1">
      <c r="H745" s="4"/>
    </row>
    <row r="746" ht="14.25" customHeight="1">
      <c r="H746" s="4"/>
    </row>
    <row r="747" ht="14.25" customHeight="1">
      <c r="H747" s="4"/>
    </row>
    <row r="748" ht="14.25" customHeight="1">
      <c r="H748" s="4"/>
    </row>
    <row r="749" ht="14.25" customHeight="1">
      <c r="H749" s="4"/>
    </row>
    <row r="750" ht="14.25" customHeight="1">
      <c r="H750" s="4"/>
    </row>
    <row r="751" ht="14.25" customHeight="1">
      <c r="H751" s="4"/>
    </row>
    <row r="752" ht="14.25" customHeight="1">
      <c r="H752" s="4"/>
    </row>
    <row r="753" ht="14.25" customHeight="1">
      <c r="H753" s="4"/>
    </row>
    <row r="754" ht="14.25" customHeight="1">
      <c r="H754" s="4"/>
    </row>
    <row r="755" ht="14.25" customHeight="1">
      <c r="H755" s="4"/>
    </row>
    <row r="756" ht="14.25" customHeight="1">
      <c r="H756" s="4"/>
    </row>
    <row r="757" ht="14.25" customHeight="1">
      <c r="H757" s="4"/>
    </row>
    <row r="758" ht="14.25" customHeight="1">
      <c r="H758" s="4"/>
    </row>
    <row r="759" ht="14.25" customHeight="1">
      <c r="H759" s="4"/>
    </row>
    <row r="760" ht="14.25" customHeight="1">
      <c r="H760" s="4"/>
    </row>
    <row r="761" ht="14.25" customHeight="1">
      <c r="H761" s="4"/>
    </row>
    <row r="762" ht="14.25" customHeight="1">
      <c r="H762" s="4"/>
    </row>
    <row r="763" ht="14.25" customHeight="1">
      <c r="H763" s="4"/>
    </row>
    <row r="764" ht="14.25" customHeight="1">
      <c r="H764" s="4"/>
    </row>
    <row r="765" ht="14.25" customHeight="1">
      <c r="H765" s="4"/>
    </row>
    <row r="766" ht="14.25" customHeight="1">
      <c r="H766" s="4"/>
    </row>
    <row r="767" ht="14.25" customHeight="1">
      <c r="H767" s="4"/>
    </row>
    <row r="768" ht="14.25" customHeight="1">
      <c r="H768" s="4"/>
    </row>
    <row r="769" ht="14.25" customHeight="1">
      <c r="H769" s="4"/>
    </row>
    <row r="770" ht="14.25" customHeight="1">
      <c r="H770" s="4"/>
    </row>
    <row r="771" ht="14.25" customHeight="1">
      <c r="H771" s="4"/>
    </row>
    <row r="772" ht="14.25" customHeight="1">
      <c r="H772" s="4"/>
    </row>
    <row r="773" ht="14.25" customHeight="1">
      <c r="H773" s="4"/>
    </row>
    <row r="774" ht="14.25" customHeight="1">
      <c r="H774" s="4"/>
    </row>
    <row r="775" ht="14.25" customHeight="1">
      <c r="H775" s="4"/>
    </row>
    <row r="776" ht="14.25" customHeight="1">
      <c r="H776" s="4"/>
    </row>
    <row r="777" ht="14.25" customHeight="1">
      <c r="H777" s="4"/>
    </row>
    <row r="778" ht="14.25" customHeight="1">
      <c r="H778" s="4"/>
    </row>
    <row r="779" ht="14.25" customHeight="1">
      <c r="H779" s="4"/>
    </row>
    <row r="780" ht="14.25" customHeight="1">
      <c r="H780" s="4"/>
    </row>
    <row r="781" ht="14.25" customHeight="1">
      <c r="H781" s="4"/>
    </row>
    <row r="782" ht="14.25" customHeight="1">
      <c r="H782" s="4"/>
    </row>
    <row r="783" ht="14.25" customHeight="1">
      <c r="H783" s="4"/>
    </row>
    <row r="784" ht="14.25" customHeight="1">
      <c r="H784" s="4"/>
    </row>
    <row r="785" ht="14.25" customHeight="1">
      <c r="H785" s="4"/>
    </row>
    <row r="786" ht="14.25" customHeight="1">
      <c r="H786" s="4"/>
    </row>
    <row r="787" ht="14.25" customHeight="1">
      <c r="H787" s="4"/>
    </row>
    <row r="788" ht="14.25" customHeight="1">
      <c r="H788" s="4"/>
    </row>
    <row r="789" ht="14.25" customHeight="1">
      <c r="H789" s="4"/>
    </row>
    <row r="790" ht="14.25" customHeight="1">
      <c r="H790" s="4"/>
    </row>
    <row r="791" ht="14.25" customHeight="1">
      <c r="H791" s="4"/>
    </row>
    <row r="792" ht="14.25" customHeight="1">
      <c r="H792" s="4"/>
    </row>
    <row r="793" ht="14.25" customHeight="1">
      <c r="H793" s="4"/>
    </row>
    <row r="794" ht="14.25" customHeight="1">
      <c r="H794" s="4"/>
    </row>
    <row r="795" ht="14.25" customHeight="1">
      <c r="H795" s="4"/>
    </row>
    <row r="796" ht="14.25" customHeight="1">
      <c r="H796" s="4"/>
    </row>
    <row r="797" ht="14.25" customHeight="1">
      <c r="H797" s="4"/>
    </row>
    <row r="798" ht="14.25" customHeight="1">
      <c r="H798" s="4"/>
    </row>
    <row r="799" ht="14.25" customHeight="1">
      <c r="H799" s="4"/>
    </row>
    <row r="800" ht="14.25" customHeight="1">
      <c r="H800" s="4"/>
    </row>
    <row r="801" ht="14.25" customHeight="1">
      <c r="H801" s="4"/>
    </row>
    <row r="802" ht="14.25" customHeight="1">
      <c r="H802" s="4"/>
    </row>
    <row r="803" ht="14.25" customHeight="1">
      <c r="H803" s="4"/>
    </row>
    <row r="804" ht="14.25" customHeight="1">
      <c r="H804" s="4"/>
    </row>
    <row r="805" ht="14.25" customHeight="1">
      <c r="H805" s="4"/>
    </row>
    <row r="806" ht="14.25" customHeight="1">
      <c r="H806" s="4"/>
    </row>
    <row r="807" ht="14.25" customHeight="1">
      <c r="H807" s="4"/>
    </row>
    <row r="808" ht="14.25" customHeight="1">
      <c r="H808" s="4"/>
    </row>
    <row r="809" ht="14.25" customHeight="1">
      <c r="H809" s="4"/>
    </row>
    <row r="810" ht="14.25" customHeight="1">
      <c r="H810" s="4"/>
    </row>
    <row r="811" ht="14.25" customHeight="1">
      <c r="H811" s="4"/>
    </row>
    <row r="812" ht="14.25" customHeight="1">
      <c r="H812" s="4"/>
    </row>
    <row r="813" ht="14.25" customHeight="1">
      <c r="H813" s="4"/>
    </row>
    <row r="814" ht="14.25" customHeight="1">
      <c r="H814" s="4"/>
    </row>
    <row r="815" ht="14.25" customHeight="1">
      <c r="H815" s="4"/>
    </row>
    <row r="816" ht="14.25" customHeight="1">
      <c r="H816" s="4"/>
    </row>
    <row r="817" ht="14.25" customHeight="1">
      <c r="H817" s="4"/>
    </row>
    <row r="818" ht="14.25" customHeight="1">
      <c r="H818" s="4"/>
    </row>
    <row r="819" ht="14.25" customHeight="1">
      <c r="H819" s="4"/>
    </row>
    <row r="820" ht="14.25" customHeight="1">
      <c r="H820" s="4"/>
    </row>
    <row r="821" ht="14.25" customHeight="1">
      <c r="H821" s="4"/>
    </row>
    <row r="822" ht="14.25" customHeight="1">
      <c r="H822" s="4"/>
    </row>
    <row r="823" ht="14.25" customHeight="1">
      <c r="H823" s="4"/>
    </row>
    <row r="824" ht="14.25" customHeight="1">
      <c r="H824" s="4"/>
    </row>
    <row r="825" ht="14.25" customHeight="1">
      <c r="H825" s="4"/>
    </row>
    <row r="826" ht="14.25" customHeight="1">
      <c r="H826" s="4"/>
    </row>
    <row r="827" ht="14.25" customHeight="1">
      <c r="H827" s="4"/>
    </row>
    <row r="828" ht="14.25" customHeight="1">
      <c r="H828" s="4"/>
    </row>
    <row r="829" ht="14.25" customHeight="1">
      <c r="H829" s="4"/>
    </row>
    <row r="830" ht="14.25" customHeight="1">
      <c r="H830" s="4"/>
    </row>
    <row r="831" ht="14.25" customHeight="1">
      <c r="H831" s="4"/>
    </row>
    <row r="832" ht="14.25" customHeight="1">
      <c r="H832" s="4"/>
    </row>
    <row r="833" ht="14.25" customHeight="1">
      <c r="H833" s="4"/>
    </row>
    <row r="834" ht="14.25" customHeight="1">
      <c r="H834" s="4"/>
    </row>
    <row r="835" ht="14.25" customHeight="1">
      <c r="H835" s="4"/>
    </row>
    <row r="836" ht="14.25" customHeight="1">
      <c r="H836" s="4"/>
    </row>
    <row r="837" ht="14.25" customHeight="1">
      <c r="H837" s="4"/>
    </row>
    <row r="838" ht="14.25" customHeight="1">
      <c r="H838" s="4"/>
    </row>
    <row r="839" ht="14.25" customHeight="1">
      <c r="H839" s="4"/>
    </row>
    <row r="840" ht="14.25" customHeight="1">
      <c r="H840" s="4"/>
    </row>
    <row r="841" ht="14.25" customHeight="1">
      <c r="H841" s="4"/>
    </row>
    <row r="842" ht="14.25" customHeight="1">
      <c r="H842" s="4"/>
    </row>
    <row r="843" ht="14.25" customHeight="1">
      <c r="H843" s="4"/>
    </row>
    <row r="844" ht="14.25" customHeight="1">
      <c r="H844" s="4"/>
    </row>
    <row r="845" ht="14.25" customHeight="1">
      <c r="H845" s="4"/>
    </row>
    <row r="846" ht="14.25" customHeight="1">
      <c r="H846" s="4"/>
    </row>
    <row r="847" ht="14.25" customHeight="1">
      <c r="H847" s="4"/>
    </row>
    <row r="848" ht="14.25" customHeight="1">
      <c r="H848" s="4"/>
    </row>
    <row r="849" ht="14.25" customHeight="1">
      <c r="H849" s="4"/>
    </row>
    <row r="850" ht="14.25" customHeight="1">
      <c r="H850" s="4"/>
    </row>
    <row r="851" ht="14.25" customHeight="1">
      <c r="H851" s="4"/>
    </row>
    <row r="852" ht="14.25" customHeight="1">
      <c r="H852" s="4"/>
    </row>
    <row r="853" ht="14.25" customHeight="1">
      <c r="H853" s="4"/>
    </row>
    <row r="854" ht="14.25" customHeight="1">
      <c r="H854" s="4"/>
    </row>
    <row r="855" ht="14.25" customHeight="1">
      <c r="H855" s="4"/>
    </row>
    <row r="856" ht="14.25" customHeight="1">
      <c r="H856" s="4"/>
    </row>
    <row r="857" ht="14.25" customHeight="1">
      <c r="H857" s="4"/>
    </row>
    <row r="858" ht="14.25" customHeight="1">
      <c r="H858" s="4"/>
    </row>
    <row r="859" ht="14.25" customHeight="1">
      <c r="H859" s="4"/>
    </row>
    <row r="860" ht="14.25" customHeight="1">
      <c r="H860" s="4"/>
    </row>
    <row r="861" ht="14.25" customHeight="1">
      <c r="H861" s="4"/>
    </row>
    <row r="862" ht="14.25" customHeight="1">
      <c r="H862" s="4"/>
    </row>
    <row r="863" ht="14.25" customHeight="1">
      <c r="H863" s="4"/>
    </row>
    <row r="864" ht="14.25" customHeight="1">
      <c r="H864" s="4"/>
    </row>
    <row r="865" ht="14.25" customHeight="1">
      <c r="H865" s="4"/>
    </row>
    <row r="866" ht="14.25" customHeight="1">
      <c r="H866" s="4"/>
    </row>
    <row r="867" ht="14.25" customHeight="1">
      <c r="H867" s="4"/>
    </row>
    <row r="868" ht="14.25" customHeight="1">
      <c r="H868" s="4"/>
    </row>
    <row r="869" ht="14.25" customHeight="1">
      <c r="H869" s="4"/>
    </row>
    <row r="870" ht="14.25" customHeight="1">
      <c r="H870" s="4"/>
    </row>
    <row r="871" ht="14.25" customHeight="1">
      <c r="H871" s="4"/>
    </row>
    <row r="872" ht="14.25" customHeight="1">
      <c r="H872" s="4"/>
    </row>
    <row r="873" ht="14.25" customHeight="1">
      <c r="H873" s="4"/>
    </row>
    <row r="874" ht="14.25" customHeight="1">
      <c r="H874" s="4"/>
    </row>
    <row r="875" ht="14.25" customHeight="1">
      <c r="H875" s="4"/>
    </row>
    <row r="876" ht="14.25" customHeight="1">
      <c r="H876" s="4"/>
    </row>
    <row r="877" ht="14.25" customHeight="1">
      <c r="H877" s="4"/>
    </row>
    <row r="878" ht="14.25" customHeight="1">
      <c r="H878" s="4"/>
    </row>
    <row r="879" ht="14.25" customHeight="1">
      <c r="H879" s="4"/>
    </row>
    <row r="880" ht="14.25" customHeight="1">
      <c r="H880" s="4"/>
    </row>
    <row r="881" ht="14.25" customHeight="1">
      <c r="H881" s="4"/>
    </row>
    <row r="882" ht="14.25" customHeight="1">
      <c r="H882" s="4"/>
    </row>
    <row r="883" ht="14.25" customHeight="1">
      <c r="H883" s="4"/>
    </row>
    <row r="884" ht="14.25" customHeight="1">
      <c r="H884" s="4"/>
    </row>
    <row r="885" ht="14.25" customHeight="1">
      <c r="H885" s="4"/>
    </row>
    <row r="886" ht="14.25" customHeight="1">
      <c r="H886" s="4"/>
    </row>
    <row r="887" ht="14.25" customHeight="1">
      <c r="H887" s="4"/>
    </row>
    <row r="888" ht="14.25" customHeight="1">
      <c r="H888" s="4"/>
    </row>
    <row r="889" ht="14.25" customHeight="1">
      <c r="H889" s="4"/>
    </row>
    <row r="890" ht="14.25" customHeight="1">
      <c r="H890" s="4"/>
    </row>
    <row r="891" ht="14.25" customHeight="1">
      <c r="H891" s="4"/>
    </row>
    <row r="892" ht="14.25" customHeight="1">
      <c r="H892" s="4"/>
    </row>
    <row r="893" ht="14.25" customHeight="1">
      <c r="H893" s="4"/>
    </row>
    <row r="894" ht="14.25" customHeight="1">
      <c r="H894" s="4"/>
    </row>
    <row r="895" ht="14.25" customHeight="1">
      <c r="H895" s="4"/>
    </row>
    <row r="896" ht="14.25" customHeight="1">
      <c r="H896" s="4"/>
    </row>
    <row r="897" ht="14.25" customHeight="1">
      <c r="H897" s="4"/>
    </row>
    <row r="898" ht="14.25" customHeight="1">
      <c r="H898" s="4"/>
    </row>
    <row r="899" ht="14.25" customHeight="1">
      <c r="H899" s="4"/>
    </row>
    <row r="900" ht="14.25" customHeight="1">
      <c r="H900" s="4"/>
    </row>
    <row r="901" ht="14.25" customHeight="1">
      <c r="H901" s="4"/>
    </row>
    <row r="902" ht="14.25" customHeight="1">
      <c r="H902" s="4"/>
    </row>
    <row r="903" ht="14.25" customHeight="1">
      <c r="H903" s="4"/>
    </row>
    <row r="904" ht="14.25" customHeight="1">
      <c r="H904" s="4"/>
    </row>
    <row r="905" ht="14.25" customHeight="1">
      <c r="H905" s="4"/>
    </row>
    <row r="906" ht="14.25" customHeight="1">
      <c r="H906" s="4"/>
    </row>
    <row r="907" ht="14.25" customHeight="1">
      <c r="H907" s="4"/>
    </row>
    <row r="908" ht="14.25" customHeight="1">
      <c r="H908" s="4"/>
    </row>
    <row r="909" ht="14.25" customHeight="1">
      <c r="H909" s="4"/>
    </row>
    <row r="910" ht="14.25" customHeight="1">
      <c r="H910" s="4"/>
    </row>
    <row r="911" ht="14.25" customHeight="1">
      <c r="H911" s="4"/>
    </row>
    <row r="912" ht="14.25" customHeight="1">
      <c r="H912" s="4"/>
    </row>
    <row r="913" ht="14.25" customHeight="1">
      <c r="H913" s="4"/>
    </row>
    <row r="914" ht="14.25" customHeight="1">
      <c r="H914" s="4"/>
    </row>
    <row r="915" ht="14.25" customHeight="1">
      <c r="H915" s="4"/>
    </row>
    <row r="916" ht="14.25" customHeight="1">
      <c r="H916" s="4"/>
    </row>
    <row r="917" ht="14.25" customHeight="1">
      <c r="H917" s="4"/>
    </row>
    <row r="918" ht="14.25" customHeight="1">
      <c r="H918" s="4"/>
    </row>
    <row r="919" ht="14.25" customHeight="1">
      <c r="H919" s="4"/>
    </row>
    <row r="920" ht="14.25" customHeight="1">
      <c r="H920" s="4"/>
    </row>
    <row r="921" ht="14.25" customHeight="1">
      <c r="H921" s="4"/>
    </row>
    <row r="922" ht="14.25" customHeight="1">
      <c r="H922" s="4"/>
    </row>
    <row r="923" ht="14.25" customHeight="1">
      <c r="H923" s="4"/>
    </row>
    <row r="924" ht="14.25" customHeight="1">
      <c r="H924" s="4"/>
    </row>
    <row r="925" ht="14.25" customHeight="1">
      <c r="H925" s="4"/>
    </row>
    <row r="926" ht="14.25" customHeight="1">
      <c r="H926" s="4"/>
    </row>
    <row r="927" ht="14.25" customHeight="1">
      <c r="H927" s="4"/>
    </row>
    <row r="928" ht="14.25" customHeight="1">
      <c r="H928" s="4"/>
    </row>
    <row r="929" ht="14.25" customHeight="1">
      <c r="H929" s="4"/>
    </row>
    <row r="930" ht="14.25" customHeight="1">
      <c r="H930" s="4"/>
    </row>
    <row r="931" ht="14.25" customHeight="1">
      <c r="H931" s="4"/>
    </row>
    <row r="932" ht="14.25" customHeight="1">
      <c r="H932" s="4"/>
    </row>
    <row r="933" ht="14.25" customHeight="1">
      <c r="H933" s="4"/>
    </row>
    <row r="934" ht="14.25" customHeight="1">
      <c r="H934" s="4"/>
    </row>
    <row r="935" ht="14.25" customHeight="1">
      <c r="H935" s="4"/>
    </row>
    <row r="936" ht="14.25" customHeight="1">
      <c r="H936" s="4"/>
    </row>
    <row r="937" ht="14.25" customHeight="1">
      <c r="H937" s="4"/>
    </row>
    <row r="938" ht="14.25" customHeight="1">
      <c r="H938" s="4"/>
    </row>
    <row r="939" ht="14.25" customHeight="1">
      <c r="H939" s="4"/>
    </row>
    <row r="940" ht="14.25" customHeight="1">
      <c r="H940" s="4"/>
    </row>
    <row r="941" ht="14.25" customHeight="1">
      <c r="H941" s="4"/>
    </row>
    <row r="942" ht="14.25" customHeight="1">
      <c r="H942" s="4"/>
    </row>
    <row r="943" ht="14.25" customHeight="1">
      <c r="H943" s="4"/>
    </row>
    <row r="944" ht="14.25" customHeight="1">
      <c r="H944" s="4"/>
    </row>
    <row r="945" ht="14.25" customHeight="1">
      <c r="H945" s="4"/>
    </row>
    <row r="946" ht="14.25" customHeight="1">
      <c r="H946" s="4"/>
    </row>
    <row r="947" ht="14.25" customHeight="1">
      <c r="H947" s="4"/>
    </row>
    <row r="948" ht="14.25" customHeight="1">
      <c r="H948" s="4"/>
    </row>
    <row r="949" ht="14.25" customHeight="1">
      <c r="H949" s="4"/>
    </row>
    <row r="950" ht="14.25" customHeight="1">
      <c r="H950" s="4"/>
    </row>
    <row r="951" ht="14.25" customHeight="1">
      <c r="H951" s="4"/>
    </row>
    <row r="952" ht="14.25" customHeight="1">
      <c r="H952" s="4"/>
    </row>
    <row r="953" ht="14.25" customHeight="1">
      <c r="H953" s="4"/>
    </row>
    <row r="954" ht="14.25" customHeight="1">
      <c r="H954" s="4"/>
    </row>
    <row r="955" ht="14.25" customHeight="1">
      <c r="H955" s="4"/>
    </row>
    <row r="956" ht="14.25" customHeight="1">
      <c r="H956" s="4"/>
    </row>
    <row r="957" ht="14.25" customHeight="1">
      <c r="H957" s="4"/>
    </row>
    <row r="958" ht="14.25" customHeight="1">
      <c r="H958" s="4"/>
    </row>
    <row r="959" ht="14.25" customHeight="1">
      <c r="H959" s="4"/>
    </row>
    <row r="960" ht="14.25" customHeight="1">
      <c r="H960" s="4"/>
    </row>
    <row r="961" ht="14.25" customHeight="1">
      <c r="H961" s="4"/>
    </row>
    <row r="962" ht="14.25" customHeight="1">
      <c r="H962" s="4"/>
    </row>
    <row r="963" ht="14.25" customHeight="1">
      <c r="H963" s="4"/>
    </row>
    <row r="964" ht="14.25" customHeight="1">
      <c r="H964" s="4"/>
    </row>
    <row r="965" ht="14.25" customHeight="1">
      <c r="H965" s="4"/>
    </row>
    <row r="966" ht="14.25" customHeight="1">
      <c r="H966" s="4"/>
    </row>
    <row r="967" ht="14.25" customHeight="1">
      <c r="H967" s="4"/>
    </row>
    <row r="968" ht="14.25" customHeight="1">
      <c r="H968" s="4"/>
    </row>
    <row r="969" ht="14.25" customHeight="1">
      <c r="H969" s="4"/>
    </row>
    <row r="970" ht="14.25" customHeight="1">
      <c r="H970" s="4"/>
    </row>
    <row r="971" ht="14.25" customHeight="1">
      <c r="H971" s="4"/>
    </row>
    <row r="972" ht="14.25" customHeight="1">
      <c r="H972" s="4"/>
    </row>
    <row r="973" ht="14.25" customHeight="1">
      <c r="H973" s="4"/>
    </row>
    <row r="974" ht="14.25" customHeight="1">
      <c r="H974" s="4"/>
    </row>
    <row r="975" ht="14.25" customHeight="1">
      <c r="H975" s="4"/>
    </row>
    <row r="976" ht="14.25" customHeight="1">
      <c r="H976" s="4"/>
    </row>
    <row r="977" ht="14.25" customHeight="1">
      <c r="H977" s="4"/>
    </row>
    <row r="978" ht="14.25" customHeight="1">
      <c r="H978" s="4"/>
    </row>
    <row r="979" ht="14.25" customHeight="1">
      <c r="H979" s="4"/>
    </row>
    <row r="980" ht="14.25" customHeight="1">
      <c r="H980" s="4"/>
    </row>
    <row r="981" ht="14.25" customHeight="1">
      <c r="H981" s="4"/>
    </row>
    <row r="982" ht="14.25" customHeight="1">
      <c r="H982" s="4"/>
    </row>
    <row r="983" ht="14.25" customHeight="1">
      <c r="H983" s="4"/>
    </row>
    <row r="984" ht="14.25" customHeight="1">
      <c r="H984" s="4"/>
    </row>
    <row r="985" ht="14.25" customHeight="1">
      <c r="H985" s="4"/>
    </row>
    <row r="986" ht="14.25" customHeight="1">
      <c r="H986" s="4"/>
    </row>
    <row r="987" ht="14.25" customHeight="1">
      <c r="H987" s="4"/>
    </row>
    <row r="988" ht="14.25" customHeight="1">
      <c r="H988" s="4"/>
    </row>
    <row r="989" ht="14.25" customHeight="1">
      <c r="H989" s="4"/>
    </row>
    <row r="990" ht="14.25" customHeight="1">
      <c r="H990" s="4"/>
    </row>
    <row r="991" ht="14.25" customHeight="1">
      <c r="H991" s="4"/>
    </row>
    <row r="992" ht="14.25" customHeight="1">
      <c r="H992" s="4"/>
    </row>
    <row r="993" ht="14.25" customHeight="1">
      <c r="H993" s="4"/>
    </row>
    <row r="994" ht="14.25" customHeight="1">
      <c r="H994" s="4"/>
    </row>
    <row r="995" ht="14.25" customHeight="1">
      <c r="H995" s="4"/>
    </row>
    <row r="996" ht="14.25" customHeight="1">
      <c r="H996" s="4"/>
    </row>
    <row r="997" ht="14.25" customHeight="1">
      <c r="H997" s="4"/>
    </row>
    <row r="998" ht="14.25" customHeight="1">
      <c r="H998" s="4"/>
    </row>
    <row r="999" ht="14.25" customHeight="1">
      <c r="H999" s="4"/>
    </row>
    <row r="1000" ht="14.25" customHeight="1">
      <c r="H1000" s="4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5"/>
  </cols>
  <sheetData>
    <row r="1" ht="14.25" customHeight="1">
      <c r="A1" s="8" t="str">
        <f>"RB"&amp;Scoring!C40*Scoring!$A$40+1</f>
        <v>RB21</v>
      </c>
      <c r="B1" s="116">
        <f>VLOOKUP(A1,ECR!Q:R,2,FALSE)</f>
        <v>155.6635294</v>
      </c>
      <c r="C1" s="8" t="str">
        <f t="array" ref="C1">LEFT(INDEX($A$1:$A$52,MATCH(LARGE($B$1:$B$52,1),$B$1:$B$52,0)),2)</f>
        <v>RB</v>
      </c>
      <c r="D1" s="6" t="s">
        <v>28</v>
      </c>
      <c r="E1" s="6">
        <f t="array" ref="E1">COUNTIF(INDEX($C$1:$C$50,1):INDEX($C$1:$C$50,Scoring!F41),"RB")</f>
        <v>20</v>
      </c>
      <c r="F1" s="6" t="s">
        <v>29</v>
      </c>
      <c r="G1" s="6">
        <f t="array" ref="G1">COUNTIF(INDEX($C$1:$C$50,1):INDEX($C$1:$C$50,Scoring!F41),"WR")</f>
        <v>20</v>
      </c>
      <c r="H1" s="6" t="s">
        <v>30</v>
      </c>
      <c r="I1" s="6">
        <f t="array" ref="I1">COUNTIF(INDEX($C$1:$C$50,1):INDEX($C$1:$C$50,Scoring!F41),"TE")</f>
        <v>10</v>
      </c>
    </row>
    <row r="2" ht="14.25" customHeight="1">
      <c r="A2" s="8" t="str">
        <f>"RB"&amp;Scoring!C40*Scoring!$A$40+2</f>
        <v>RB22</v>
      </c>
      <c r="B2" s="116">
        <f>VLOOKUP(A2,ECR!Q:R,2,FALSE)</f>
        <v>152.0464706</v>
      </c>
      <c r="C2" s="8" t="str">
        <f t="array" ref="C2">LEFT(INDEX($A$1:$A$52,MATCH(LARGE($B$1:$B$52,2),$B$1:$B$52,0)),2)</f>
        <v>RB</v>
      </c>
      <c r="D2" s="8"/>
      <c r="E2" s="8"/>
      <c r="F2" s="8"/>
      <c r="G2" s="8"/>
      <c r="H2" s="8"/>
    </row>
    <row r="3" ht="14.25" customHeight="1">
      <c r="A3" s="8" t="str">
        <f>"RB"&amp;Scoring!C40*Scoring!$A$40+3</f>
        <v>RB23</v>
      </c>
      <c r="B3" s="116">
        <f>VLOOKUP(A3,ECR!Q:R,2,FALSE)</f>
        <v>150.1237235</v>
      </c>
      <c r="C3" s="8" t="str">
        <f t="array" ref="C3">LEFT(INDEX($A$1:$A$52,MATCH(LARGE($B$1:$B$52,3),$B$1:$B$52,0)),2)</f>
        <v>RB</v>
      </c>
      <c r="D3" s="8"/>
      <c r="E3" s="8"/>
      <c r="F3" s="8"/>
      <c r="G3" s="8"/>
      <c r="H3" s="8"/>
    </row>
    <row r="4" ht="14.25" customHeight="1">
      <c r="A4" s="8" t="str">
        <f>"RB"&amp;Scoring!C40*Scoring!$A$40+4</f>
        <v>RB24</v>
      </c>
      <c r="B4" s="116">
        <f>VLOOKUP(A4,ECR!Q:R,2,FALSE)</f>
        <v>147.1592644</v>
      </c>
      <c r="C4" s="8" t="str">
        <f t="array" ref="C4">LEFT(INDEX($A$1:$A$52,MATCH(LARGE($B$1:$B$52,4),$B$1:$B$52,0)),2)</f>
        <v>RB</v>
      </c>
      <c r="D4" s="8"/>
      <c r="E4" s="8"/>
      <c r="F4" s="8"/>
      <c r="G4" s="8"/>
      <c r="H4" s="8"/>
    </row>
    <row r="5" ht="14.25" customHeight="1">
      <c r="A5" s="8" t="str">
        <f>"RB"&amp;Scoring!C40*Scoring!$A$40+5</f>
        <v>RB25</v>
      </c>
      <c r="B5" s="116">
        <f>VLOOKUP(A5,ECR!Q:R,2,FALSE)</f>
        <v>138.4348712</v>
      </c>
      <c r="C5" s="8" t="str">
        <f t="array" ref="C5">LEFT(INDEX($A$1:$A$52,MATCH(LARGE($B$1:$B$52,5),$B$1:$B$52,0)),2)</f>
        <v>RB</v>
      </c>
      <c r="D5" s="8"/>
      <c r="E5" s="8"/>
      <c r="F5" s="8"/>
      <c r="G5" s="8"/>
      <c r="H5" s="8"/>
    </row>
    <row r="6" ht="14.25" customHeight="1">
      <c r="A6" s="8" t="str">
        <f>"RB"&amp;Scoring!C40*Scoring!$A$40+6</f>
        <v>RB26</v>
      </c>
      <c r="B6" s="116">
        <f>VLOOKUP(A6,ECR!Q:R,2,FALSE)</f>
        <v>133.2649353</v>
      </c>
      <c r="C6" s="8" t="str">
        <f t="array" ref="C6">LEFT(INDEX($A$1:$A$52,MATCH(LARGE($B$1:$B$52,6),$B$1:$B$52,0)),2)</f>
        <v>RB</v>
      </c>
      <c r="D6" s="8"/>
      <c r="E6" s="8"/>
      <c r="F6" s="8"/>
      <c r="G6" s="8"/>
      <c r="H6" s="8"/>
    </row>
    <row r="7" ht="14.25" customHeight="1">
      <c r="A7" s="8" t="str">
        <f>"RB"&amp;Scoring!C40*Scoring!$A$40+7</f>
        <v>RB27</v>
      </c>
      <c r="B7" s="116">
        <f>VLOOKUP(A7,ECR!Q:R,2,FALSE)</f>
        <v>130.8193205</v>
      </c>
      <c r="C7" s="8" t="str">
        <f t="array" ref="C7">LEFT(INDEX($A$1:$A$52,MATCH(LARGE($B$1:$B$52,7),$B$1:$B$52,0)),2)</f>
        <v>RB</v>
      </c>
      <c r="D7" s="8"/>
      <c r="E7" s="8"/>
      <c r="F7" s="8"/>
      <c r="G7" s="8"/>
      <c r="H7" s="8"/>
    </row>
    <row r="8" ht="14.25" customHeight="1">
      <c r="A8" s="8" t="str">
        <f>"RB"&amp;Scoring!C40*Scoring!$A$40+8</f>
        <v>RB28</v>
      </c>
      <c r="B8" s="116">
        <f>VLOOKUP(A8,ECR!Q:R,2,FALSE)</f>
        <v>130.77045</v>
      </c>
      <c r="C8" s="8" t="str">
        <f t="array" ref="C8">LEFT(INDEX($A$1:$A$52,MATCH(LARGE($B$1:$B$52,8),$B$1:$B$52,0)),2)</f>
        <v>RB</v>
      </c>
      <c r="D8" s="8"/>
      <c r="E8" s="8"/>
      <c r="F8" s="8"/>
      <c r="G8" s="8"/>
      <c r="H8" s="8"/>
    </row>
    <row r="9" ht="14.25" customHeight="1">
      <c r="A9" s="8" t="str">
        <f>"RB"&amp;Scoring!C40*Scoring!$A$40+9</f>
        <v>RB29</v>
      </c>
      <c r="B9" s="116">
        <f>VLOOKUP(A9,ECR!Q:R,2,FALSE)</f>
        <v>130.4134456</v>
      </c>
      <c r="C9" s="8" t="str">
        <f t="array" ref="C9">LEFT(INDEX($A$1:$A$52,MATCH(LARGE($B$1:$B$52,9),$B$1:$B$52,0)),2)</f>
        <v>RB</v>
      </c>
      <c r="D9" s="8"/>
      <c r="E9" s="8"/>
      <c r="F9" s="8"/>
      <c r="G9" s="8"/>
      <c r="H9" s="8"/>
    </row>
    <row r="10" ht="14.25" customHeight="1">
      <c r="A10" s="8" t="str">
        <f>"RB"&amp;Scoring!C40*Scoring!$A$40+10</f>
        <v>RB30</v>
      </c>
      <c r="B10" s="116">
        <f>VLOOKUP(A10,ECR!Q:R,2,FALSE)</f>
        <v>125.501372</v>
      </c>
      <c r="C10" s="8" t="str">
        <f t="array" ref="C10">LEFT(INDEX($A$1:$A$52,MATCH(LARGE($B$1:$B$52,10),$B$1:$B$52,0)),2)</f>
        <v>RB</v>
      </c>
      <c r="D10" s="8"/>
      <c r="E10" s="8"/>
      <c r="F10" s="8"/>
      <c r="G10" s="8"/>
      <c r="H10" s="8"/>
    </row>
    <row r="11" ht="14.25" customHeight="1">
      <c r="A11" s="8" t="str">
        <f>"RB"&amp;Scoring!C40*Scoring!$A$40+11</f>
        <v>RB31</v>
      </c>
      <c r="B11" s="116">
        <f>VLOOKUP(A11,ECR!Q:R,2,FALSE)</f>
        <v>124.0165271</v>
      </c>
      <c r="C11" s="8" t="str">
        <f t="array" ref="C11">LEFT(INDEX($A$1:$A$52,MATCH(LARGE($B$1:$B$52,11),$B$1:$B$52,0)),2)</f>
        <v>RB</v>
      </c>
      <c r="D11" s="8"/>
      <c r="E11" s="8"/>
      <c r="F11" s="8"/>
      <c r="G11" s="8"/>
      <c r="H11" s="8"/>
    </row>
    <row r="12" ht="14.25" customHeight="1">
      <c r="A12" s="8" t="str">
        <f>"RB"&amp;Scoring!C40*Scoring!$A$40+12</f>
        <v>RB32</v>
      </c>
      <c r="B12" s="116">
        <f>VLOOKUP(A12,ECR!Q:R,2,FALSE)</f>
        <v>117.0613249</v>
      </c>
      <c r="C12" s="8" t="str">
        <f t="array" ref="C12">LEFT(INDEX($A$1:$A$52,MATCH(LARGE($B$1:$B$52,12),$B$1:$B$52,0)),2)</f>
        <v>WR</v>
      </c>
      <c r="D12" s="8"/>
      <c r="E12" s="8"/>
      <c r="F12" s="8"/>
      <c r="G12" s="8"/>
      <c r="H12" s="8"/>
    </row>
    <row r="13" ht="14.25" customHeight="1">
      <c r="A13" s="8" t="str">
        <f>"RB"&amp;Scoring!C40*Scoring!$A$40+13</f>
        <v>RB33</v>
      </c>
      <c r="B13" s="116">
        <f>VLOOKUP(A13,ECR!Q:R,2,FALSE)</f>
        <v>112.7395895</v>
      </c>
      <c r="C13" s="8" t="str">
        <f t="array" ref="C13">LEFT(INDEX($A$1:$A$52,MATCH(LARGE($B$1:$B$52,13),$B$1:$B$52,0)),2)</f>
        <v>WR</v>
      </c>
      <c r="D13" s="8"/>
      <c r="E13" s="8"/>
      <c r="F13" s="8"/>
      <c r="G13" s="8"/>
      <c r="H13" s="8"/>
    </row>
    <row r="14" ht="14.25" customHeight="1">
      <c r="A14" s="8" t="str">
        <f>"RB"&amp;Scoring!C40*Scoring!$A$40+14</f>
        <v>RB34</v>
      </c>
      <c r="B14" s="116">
        <f>VLOOKUP(A14,ECR!Q:R,2,FALSE)</f>
        <v>107.7063765</v>
      </c>
      <c r="C14" s="8" t="str">
        <f t="array" ref="C14">LEFT(INDEX($A$1:$A$52,MATCH(LARGE($B$1:$B$52,14),$B$1:$B$52,0)),2)</f>
        <v>WR</v>
      </c>
      <c r="D14" s="8"/>
      <c r="E14" s="8"/>
      <c r="F14" s="8"/>
      <c r="G14" s="8"/>
      <c r="H14" s="8"/>
    </row>
    <row r="15" ht="14.25" customHeight="1">
      <c r="A15" s="8" t="str">
        <f>"RB"&amp;Scoring!C40*Scoring!$A$40+15</f>
        <v>RB35</v>
      </c>
      <c r="B15" s="116">
        <f>VLOOKUP(A15,ECR!Q:R,2,FALSE)</f>
        <v>106.7404</v>
      </c>
      <c r="C15" s="8" t="str">
        <f t="array" ref="C15">LEFT(INDEX($A$1:$A$52,MATCH(LARGE($B$1:$B$52,15),$B$1:$B$52,0)),2)</f>
        <v>WR</v>
      </c>
      <c r="D15" s="8"/>
      <c r="E15" s="8"/>
      <c r="F15" s="8"/>
      <c r="G15" s="8"/>
      <c r="H15" s="8"/>
    </row>
    <row r="16" ht="14.25" customHeight="1">
      <c r="A16" s="8" t="str">
        <f>"RB"&amp;Scoring!C40*Scoring!$A$40+16</f>
        <v>RB36</v>
      </c>
      <c r="B16" s="116">
        <f>VLOOKUP(A16,ECR!Q:R,2,FALSE)</f>
        <v>106.6512329</v>
      </c>
      <c r="C16" s="8" t="str">
        <f t="array" ref="C16">LEFT(INDEX($A$1:$A$52,MATCH(LARGE($B$1:$B$52,16),$B$1:$B$52,0)),2)</f>
        <v>RB</v>
      </c>
      <c r="D16" s="8"/>
      <c r="E16" s="8"/>
      <c r="F16" s="8"/>
      <c r="G16" s="8"/>
      <c r="H16" s="8"/>
    </row>
    <row r="17" ht="14.25" customHeight="1">
      <c r="A17" s="8" t="str">
        <f>"RB"&amp;Scoring!C40*Scoring!$A$40+17</f>
        <v>RB37</v>
      </c>
      <c r="B17" s="116">
        <f>VLOOKUP(A17,ECR!Q:R,2,FALSE)</f>
        <v>105.5677</v>
      </c>
      <c r="C17" s="8" t="str">
        <f t="array" ref="C17">LEFT(INDEX($A$1:$A$52,MATCH(LARGE($B$1:$B$52,17),$B$1:$B$52,0)),2)</f>
        <v>RB</v>
      </c>
      <c r="D17" s="8"/>
      <c r="E17" s="8"/>
      <c r="F17" s="8"/>
      <c r="G17" s="8"/>
      <c r="H17" s="8"/>
    </row>
    <row r="18" ht="14.25" customHeight="1">
      <c r="A18" s="8" t="str">
        <f>"RB"&amp;Scoring!C40*Scoring!$A$40+18</f>
        <v>RB38</v>
      </c>
      <c r="B18" s="116">
        <f>VLOOKUP(A18,ECR!Q:R,2,FALSE)</f>
        <v>104.8456</v>
      </c>
      <c r="C18" s="8" t="str">
        <f t="array" ref="C18">LEFT(INDEX($A$1:$A$52,MATCH(LARGE($B$1:$B$52,18),$B$1:$B$52,0)),2)</f>
        <v>TE</v>
      </c>
      <c r="D18" s="8"/>
      <c r="E18" s="8"/>
      <c r="F18" s="8"/>
      <c r="G18" s="8"/>
      <c r="H18" s="8"/>
    </row>
    <row r="19" ht="14.25" customHeight="1">
      <c r="A19" s="8" t="str">
        <f>"RB"&amp;Scoring!C40*Scoring!$A$40+19</f>
        <v>RB39</v>
      </c>
      <c r="B19" s="116">
        <f>VLOOKUP(A19,ECR!Q:R,2,FALSE)</f>
        <v>104.1477311</v>
      </c>
      <c r="C19" s="8" t="str">
        <f t="array" ref="C19">LEFT(INDEX($A$1:$A$52,MATCH(LARGE($B$1:$B$52,19),$B$1:$B$52,0)),2)</f>
        <v>WR</v>
      </c>
      <c r="D19" s="8"/>
      <c r="E19" s="8"/>
      <c r="F19" s="8"/>
      <c r="G19" s="8"/>
      <c r="H19" s="8"/>
    </row>
    <row r="20" ht="14.25" customHeight="1">
      <c r="A20" s="8" t="str">
        <f>"RB"&amp;Scoring!C40*Scoring!$A$40+20</f>
        <v>RB40</v>
      </c>
      <c r="B20" s="116">
        <f>VLOOKUP(A20,ECR!Q:R,2,FALSE)</f>
        <v>102.52008</v>
      </c>
      <c r="C20" s="8" t="str">
        <f t="array" ref="C20">LEFT(INDEX($A$1:$A$52,MATCH(LARGE($B$1:$B$52,20),$B$1:$B$52,0)),2)</f>
        <v>WR</v>
      </c>
      <c r="D20" s="8"/>
      <c r="E20" s="8"/>
      <c r="F20" s="8"/>
      <c r="G20" s="8"/>
      <c r="H20" s="8"/>
    </row>
    <row r="21" ht="14.25" customHeight="1">
      <c r="A21" s="8" t="str">
        <f>"WR"&amp;Scoring!D40*Scoring!$A$40+1</f>
        <v>WR31</v>
      </c>
      <c r="B21" s="116">
        <f>VLOOKUP(A21,ECR!Q:R,2,FALSE)</f>
        <v>119.3317059</v>
      </c>
      <c r="C21" s="8" t="str">
        <f t="array" ref="C21">LEFT(INDEX($A$1:$A$52,MATCH(LARGE($B$1:$B$52,21),$B$1:$B$52,0)),2)</f>
        <v>WR</v>
      </c>
      <c r="D21" s="8"/>
      <c r="E21" s="8"/>
      <c r="F21" s="8"/>
      <c r="G21" s="8"/>
      <c r="H21" s="8"/>
    </row>
    <row r="22" ht="14.25" customHeight="1">
      <c r="A22" s="8" t="str">
        <f>"WR"&amp;Scoring!D40*Scoring!$A$40+2</f>
        <v>WR32</v>
      </c>
      <c r="B22" s="116">
        <f>VLOOKUP(A22,ECR!Q:R,2,FALSE)</f>
        <v>118.4996471</v>
      </c>
      <c r="C22" s="8" t="str">
        <f t="array" ref="C22">LEFT(INDEX($A$1:$A$52,MATCH(LARGE($B$1:$B$52,22),$B$1:$B$52,0)),2)</f>
        <v>WR</v>
      </c>
      <c r="D22" s="8"/>
      <c r="E22" s="8"/>
      <c r="F22" s="8"/>
      <c r="G22" s="8"/>
      <c r="H22" s="8"/>
    </row>
    <row r="23" ht="14.25" customHeight="1">
      <c r="A23" s="8" t="str">
        <f>"WR"&amp;Scoring!D40*Scoring!$A$40+3</f>
        <v>WR33</v>
      </c>
      <c r="B23" s="116">
        <f>VLOOKUP(A23,ECR!Q:R,2,FALSE)</f>
        <v>118.08</v>
      </c>
      <c r="C23" s="8" t="str">
        <f t="array" ref="C23">LEFT(INDEX($A$1:$A$52,MATCH(LARGE($B$1:$B$52,23),$B$1:$B$52,0)),2)</f>
        <v>RB</v>
      </c>
      <c r="D23" s="8"/>
      <c r="E23" s="8"/>
      <c r="F23" s="8"/>
      <c r="G23" s="8"/>
      <c r="H23" s="8"/>
    </row>
    <row r="24" ht="14.25" customHeight="1">
      <c r="A24" s="8" t="str">
        <f>"WR"&amp;Scoring!D40*Scoring!$A$40+4</f>
        <v>WR34</v>
      </c>
      <c r="B24" s="116">
        <f>VLOOKUP(A24,ECR!Q:R,2,FALSE)</f>
        <v>117.9591293</v>
      </c>
      <c r="C24" s="8" t="str">
        <f t="array" ref="C24">LEFT(INDEX($A$1:$A$52,MATCH(LARGE($B$1:$B$52,24),$B$1:$B$52,0)),2)</f>
        <v>RB</v>
      </c>
      <c r="D24" s="8"/>
      <c r="E24" s="8"/>
      <c r="F24" s="8"/>
      <c r="G24" s="8"/>
      <c r="H24" s="8"/>
    </row>
    <row r="25" ht="14.25" customHeight="1">
      <c r="A25" s="8" t="str">
        <f>"WR"&amp;Scoring!D40*Scoring!$A$40+5</f>
        <v>WR35</v>
      </c>
      <c r="B25" s="116">
        <f>VLOOKUP(A25,ECR!Q:R,2,FALSE)</f>
        <v>112.2693224</v>
      </c>
      <c r="C25" s="8" t="str">
        <f t="array" ref="C25">LEFT(INDEX($A$1:$A$52,MATCH(LARGE($B$1:$B$52,25),$B$1:$B$52,0)),2)</f>
        <v>WR</v>
      </c>
      <c r="D25" s="8"/>
      <c r="E25" s="8"/>
      <c r="F25" s="8"/>
      <c r="G25" s="8"/>
      <c r="H25" s="8"/>
    </row>
    <row r="26" ht="14.25" customHeight="1">
      <c r="A26" s="8" t="str">
        <f>"WR"&amp;Scoring!D40*Scoring!$A$40+6</f>
        <v>WR36</v>
      </c>
      <c r="B26" s="116">
        <f>VLOOKUP(A26,ECR!Q:R,2,FALSE)</f>
        <v>110.3487481</v>
      </c>
      <c r="C26" s="8" t="str">
        <f t="array" ref="C26">LEFT(INDEX($A$1:$A$52,MATCH(LARGE($B$1:$B$52,26),$B$1:$B$52,0)),2)</f>
        <v>RB</v>
      </c>
      <c r="D26" s="8"/>
      <c r="E26" s="8"/>
      <c r="F26" s="8"/>
      <c r="G26" s="8"/>
      <c r="H26" s="8"/>
    </row>
    <row r="27" ht="14.25" customHeight="1">
      <c r="A27" s="8" t="str">
        <f>"WR"&amp;Scoring!D40*Scoring!$A$40+7</f>
        <v>WR37</v>
      </c>
      <c r="B27" s="116">
        <f>VLOOKUP(A27,ECR!Q:R,2,FALSE)</f>
        <v>109.1597506</v>
      </c>
      <c r="C27" s="8" t="str">
        <f t="array" ref="C27">LEFT(INDEX($A$1:$A$52,MATCH(LARGE($B$1:$B$52,27),$B$1:$B$52,0)),2)</f>
        <v>TE</v>
      </c>
      <c r="D27" s="8"/>
      <c r="E27" s="8"/>
      <c r="F27" s="8"/>
      <c r="G27" s="8"/>
      <c r="H27" s="8"/>
    </row>
    <row r="28" ht="14.25" customHeight="1">
      <c r="A28" s="8" t="str">
        <f>"WR"&amp;Scoring!D40*Scoring!$A$40+8</f>
        <v>WR38</v>
      </c>
      <c r="B28" s="116">
        <f>VLOOKUP(A28,ECR!Q:R,2,FALSE)</f>
        <v>108.7175294</v>
      </c>
      <c r="C28" s="8" t="str">
        <f t="array" ref="C28">LEFT(INDEX($A$1:$A$52,MATCH(LARGE($B$1:$B$52,28),$B$1:$B$52,0)),2)</f>
        <v>WR</v>
      </c>
      <c r="D28" s="8"/>
      <c r="E28" s="8"/>
      <c r="F28" s="8"/>
      <c r="G28" s="8"/>
      <c r="H28" s="8"/>
    </row>
    <row r="29" ht="14.25" customHeight="1">
      <c r="A29" s="8" t="str">
        <f>"WR"&amp;Scoring!D40*Scoring!$A$40+9</f>
        <v>WR39</v>
      </c>
      <c r="B29" s="116">
        <f>VLOOKUP(A29,ECR!Q:R,2,FALSE)</f>
        <v>106.7321647</v>
      </c>
      <c r="C29" s="8" t="str">
        <f t="array" ref="C29">LEFT(INDEX($A$1:$A$52,MATCH(LARGE($B$1:$B$52,29),$B$1:$B$52,0)),2)</f>
        <v>RB</v>
      </c>
      <c r="D29" s="8"/>
      <c r="E29" s="8"/>
      <c r="F29" s="8"/>
      <c r="G29" s="8"/>
      <c r="H29" s="8"/>
    </row>
    <row r="30" ht="14.25" customHeight="1">
      <c r="A30" s="8" t="str">
        <f>"WR"&amp;Scoring!D40*Scoring!$A$40+10</f>
        <v>WR40</v>
      </c>
      <c r="B30" s="116">
        <f>VLOOKUP(A30,ECR!Q:R,2,FALSE)</f>
        <v>106.2737365</v>
      </c>
      <c r="C30" s="8" t="str">
        <f t="array" ref="C30">LEFT(INDEX($A$1:$A$52,MATCH(LARGE($B$1:$B$52,30),$B$1:$B$52,0)),2)</f>
        <v>WR</v>
      </c>
      <c r="D30" s="8"/>
      <c r="E30" s="8"/>
      <c r="F30" s="8"/>
      <c r="G30" s="8"/>
      <c r="H30" s="8"/>
    </row>
    <row r="31" ht="14.25" customHeight="1">
      <c r="A31" s="8" t="str">
        <f>"WR"&amp;Scoring!D40*Scoring!$A$40+11</f>
        <v>WR41</v>
      </c>
      <c r="B31" s="116">
        <f>VLOOKUP(A31,ECR!Q:R,2,FALSE)</f>
        <v>104.9870118</v>
      </c>
      <c r="C31" s="8" t="str">
        <f t="array" ref="C31">LEFT(INDEX($A$1:$A$52,MATCH(LARGE($B$1:$B$52,31),$B$1:$B$52,0)),2)</f>
        <v>RB</v>
      </c>
      <c r="D31" s="8"/>
      <c r="E31" s="8"/>
      <c r="F31" s="8"/>
      <c r="G31" s="8"/>
      <c r="H31" s="8"/>
    </row>
    <row r="32" ht="14.25" customHeight="1">
      <c r="A32" s="8" t="str">
        <f>"WR"&amp;Scoring!D40*Scoring!$A$40+12</f>
        <v>WR42</v>
      </c>
      <c r="B32" s="116">
        <f>VLOOKUP(A32,ECR!Q:R,2,FALSE)</f>
        <v>104.7598235</v>
      </c>
      <c r="C32" s="8" t="str">
        <f t="array" ref="C32">LEFT(INDEX($A$1:$A$52,MATCH(LARGE($B$1:$B$52,32),$B$1:$B$52,0)),2)</f>
        <v>WR</v>
      </c>
      <c r="D32" s="8"/>
      <c r="E32" s="8"/>
      <c r="F32" s="8"/>
      <c r="G32" s="8"/>
      <c r="H32" s="8"/>
    </row>
    <row r="33" ht="14.25" customHeight="1">
      <c r="A33" s="8" t="str">
        <f>"WR"&amp;Scoring!D40*Scoring!$A$40+13</f>
        <v>WR43</v>
      </c>
      <c r="B33" s="116">
        <f>VLOOKUP(A33,ECR!Q:R,2,FALSE)</f>
        <v>104.6295882</v>
      </c>
      <c r="C33" s="8" t="str">
        <f t="array" ref="C33">LEFT(INDEX($A$1:$A$52,MATCH(LARGE($B$1:$B$52,33),$B$1:$B$52,0)),2)</f>
        <v>WR</v>
      </c>
      <c r="D33" s="8"/>
      <c r="E33" s="8"/>
      <c r="F33" s="8"/>
      <c r="G33" s="8"/>
      <c r="H33" s="8"/>
    </row>
    <row r="34" ht="14.25" customHeight="1">
      <c r="A34" s="8" t="str">
        <f>"WR"&amp;Scoring!D40*Scoring!$A$40+14</f>
        <v>WR44</v>
      </c>
      <c r="B34" s="116">
        <f>VLOOKUP(A34,ECR!Q:R,2,FALSE)</f>
        <v>104.4776471</v>
      </c>
      <c r="C34" s="8" t="str">
        <f t="array" ref="C34">LEFT(INDEX($A$1:$A$52,MATCH(LARGE($B$1:$B$52,34),$B$1:$B$52,0)),2)</f>
        <v>WR</v>
      </c>
      <c r="D34" s="8"/>
      <c r="E34" s="8"/>
      <c r="F34" s="8"/>
      <c r="G34" s="8"/>
      <c r="H34" s="8"/>
    </row>
    <row r="35" ht="14.25" customHeight="1">
      <c r="A35" s="8" t="str">
        <f>"WR"&amp;Scoring!D40*Scoring!$A$40+15</f>
        <v>WR45</v>
      </c>
      <c r="B35" s="116">
        <f>VLOOKUP(A35,ECR!Q:R,2,FALSE)</f>
        <v>103.5515294</v>
      </c>
      <c r="C35" s="8" t="str">
        <f t="array" ref="C35">LEFT(INDEX($A$1:$A$52,MATCH(LARGE($B$1:$B$52,35),$B$1:$B$52,0)),2)</f>
        <v>RB</v>
      </c>
      <c r="D35" s="8"/>
      <c r="E35" s="8"/>
      <c r="F35" s="8"/>
      <c r="G35" s="8"/>
      <c r="H35" s="8"/>
    </row>
    <row r="36" ht="14.25" customHeight="1">
      <c r="A36" s="8" t="str">
        <f>"WR"&amp;Scoring!D40*Scoring!$A$40+16</f>
        <v>WR46</v>
      </c>
      <c r="B36" s="116">
        <f>VLOOKUP(A36,ECR!Q:R,2,FALSE)</f>
        <v>102.6832941</v>
      </c>
      <c r="C36" s="8" t="str">
        <f t="array" ref="C36">LEFT(INDEX($A$1:$A$52,MATCH(LARGE($B$1:$B$52,36),$B$1:$B$52,0)),2)</f>
        <v>WR</v>
      </c>
      <c r="D36" s="8"/>
      <c r="E36" s="8"/>
      <c r="F36" s="8"/>
      <c r="G36" s="8"/>
      <c r="H36" s="8"/>
    </row>
    <row r="37" ht="14.25" customHeight="1">
      <c r="A37" s="8" t="str">
        <f>"WR"&amp;Scoring!D40*Scoring!$A$40+17</f>
        <v>WR47</v>
      </c>
      <c r="B37" s="116">
        <f>VLOOKUP(A37,ECR!Q:R,2,FALSE)</f>
        <v>102.4155882</v>
      </c>
      <c r="C37" s="8" t="str">
        <f t="array" ref="C37">LEFT(INDEX($A$1:$A$52,MATCH(LARGE($B$1:$B$52,37),$B$1:$B$52,0)),2)</f>
        <v>TE</v>
      </c>
      <c r="D37" s="8"/>
      <c r="E37" s="8"/>
      <c r="F37" s="8"/>
      <c r="G37" s="8"/>
      <c r="H37" s="8"/>
    </row>
    <row r="38" ht="14.25" customHeight="1">
      <c r="A38" s="8" t="str">
        <f>"WR"&amp;Scoring!D40*Scoring!$A$40+18</f>
        <v>WR48</v>
      </c>
      <c r="B38" s="116">
        <f>VLOOKUP(A38,ECR!Q:R,2,FALSE)</f>
        <v>101.3013529</v>
      </c>
      <c r="C38" s="8" t="str">
        <f t="array" ref="C38">LEFT(INDEX($A$1:$A$52,MATCH(LARGE($B$1:$B$52,38),$B$1:$B$52,0)),2)</f>
        <v>WR</v>
      </c>
      <c r="D38" s="8"/>
      <c r="E38" s="8"/>
      <c r="F38" s="8"/>
      <c r="G38" s="8"/>
      <c r="H38" s="8"/>
    </row>
    <row r="39" ht="14.25" customHeight="1">
      <c r="A39" s="8" t="str">
        <f>"WR"&amp;Scoring!D40*Scoring!$A$40+19</f>
        <v>WR49</v>
      </c>
      <c r="B39" s="116">
        <f>VLOOKUP(A39,ECR!Q:R,2,FALSE)</f>
        <v>100.9974706</v>
      </c>
      <c r="C39" s="8" t="str">
        <f t="array" ref="C39">LEFT(INDEX($A$1:$A$52,MATCH(LARGE($B$1:$B$52,39),$B$1:$B$52,0)),2)</f>
        <v>RB</v>
      </c>
      <c r="D39" s="8"/>
      <c r="E39" s="8"/>
      <c r="F39" s="8"/>
      <c r="G39" s="8"/>
      <c r="H39" s="8"/>
    </row>
    <row r="40" ht="14.25" customHeight="1">
      <c r="A40" s="8" t="str">
        <f>"WR"&amp;Scoring!D40*Scoring!$A$40+20</f>
        <v>WR50</v>
      </c>
      <c r="B40" s="116">
        <f>VLOOKUP(A40,ECR!Q:R,2,FALSE)</f>
        <v>100.9034118</v>
      </c>
      <c r="C40" s="8" t="str">
        <f t="array" ref="C40">LEFT(INDEX($A$1:$A$52,MATCH(LARGE($B$1:$B$52,40),$B$1:$B$52,0)),2)</f>
        <v>TE</v>
      </c>
      <c r="D40" s="8"/>
      <c r="E40" s="8"/>
      <c r="F40" s="8"/>
      <c r="G40" s="8"/>
      <c r="H40" s="8"/>
    </row>
    <row r="41" ht="14.25" customHeight="1">
      <c r="A41" s="8" t="str">
        <f>"TE"&amp;Scoring!E40*Scoring!$A$40+1</f>
        <v>TE11</v>
      </c>
      <c r="B41" s="116">
        <f>VLOOKUP(A41,ECR!Q:R,2,FALSE)</f>
        <v>112.4097318</v>
      </c>
      <c r="C41" s="8" t="str">
        <f t="array" ref="C41">LEFT(INDEX($A$1:$A$52,MATCH(LARGE($B$1:$B$52,41),$B$1:$B$52,0)),2)</f>
        <v>WR</v>
      </c>
      <c r="D41" s="8"/>
      <c r="E41" s="8"/>
      <c r="F41" s="8"/>
      <c r="G41" s="8"/>
      <c r="H41" s="8"/>
    </row>
    <row r="42" ht="14.25" customHeight="1">
      <c r="A42" s="8" t="str">
        <f>"TE"&amp;Scoring!E40*Scoring!$A$40+2</f>
        <v>TE12</v>
      </c>
      <c r="B42" s="116">
        <f>VLOOKUP(A42,ECR!Q:R,2,FALSE)</f>
        <v>106.4821256</v>
      </c>
      <c r="C42" s="8" t="str">
        <f t="array" ref="C42">LEFT(INDEX($A$1:$A$52,MATCH(LARGE($B$1:$B$52,42),$B$1:$B$52,0)),2)</f>
        <v>WR</v>
      </c>
      <c r="D42" s="8"/>
      <c r="E42" s="8"/>
      <c r="F42" s="8"/>
      <c r="G42" s="8"/>
      <c r="H42" s="8"/>
    </row>
    <row r="43" ht="14.25" customHeight="1">
      <c r="A43" s="8" t="str">
        <f>"TE"&amp;Scoring!E40*Scoring!$A$40+3</f>
        <v>TE13</v>
      </c>
      <c r="B43" s="116">
        <f>VLOOKUP(A43,ECR!Q:R,2,FALSE)</f>
        <v>103.2671466</v>
      </c>
      <c r="C43" s="8" t="str">
        <f t="array" ref="C43">LEFT(INDEX($A$1:$A$52,MATCH(LARGE($B$1:$B$52,43),$B$1:$B$52,0)),2)</f>
        <v>WR</v>
      </c>
      <c r="D43" s="8"/>
      <c r="E43" s="8"/>
      <c r="F43" s="8"/>
      <c r="G43" s="8"/>
      <c r="H43" s="8"/>
    </row>
    <row r="44" ht="14.25" customHeight="1">
      <c r="A44" s="8" t="str">
        <f>"TE"&amp;Scoring!E40*Scoring!$A$40+4</f>
        <v>TE14</v>
      </c>
      <c r="B44" s="116">
        <f>VLOOKUP(A44,ECR!Q:R,2,FALSE)</f>
        <v>102.4357874</v>
      </c>
      <c r="C44" s="8" t="str">
        <f t="array" ref="C44">LEFT(INDEX($A$1:$A$52,MATCH(LARGE($B$1:$B$52,44),$B$1:$B$52,0)),2)</f>
        <v>TE</v>
      </c>
      <c r="D44" s="8"/>
      <c r="E44" s="8"/>
      <c r="F44" s="8"/>
      <c r="G44" s="8"/>
      <c r="H44" s="8"/>
    </row>
    <row r="45" ht="14.25" customHeight="1">
      <c r="A45" s="8" t="str">
        <f>"TE"&amp;Scoring!E40*Scoring!$A$40+5</f>
        <v>TE15</v>
      </c>
      <c r="B45" s="116">
        <f>VLOOKUP(A45,ECR!Q:R,2,FALSE)</f>
        <v>100.962345</v>
      </c>
      <c r="C45" s="8" t="str">
        <f t="array" ref="C45">LEFT(INDEX($A$1:$A$52,MATCH(LARGE($B$1:$B$52,45),$B$1:$B$52,0)),2)</f>
        <v>WR</v>
      </c>
      <c r="D45" s="8"/>
      <c r="E45" s="8"/>
      <c r="F45" s="8"/>
      <c r="G45" s="8"/>
      <c r="H45" s="8"/>
    </row>
    <row r="46" ht="14.25" customHeight="1">
      <c r="A46" s="8" t="str">
        <f>"TE"&amp;Scoring!E40*Scoring!$A$40+6</f>
        <v>TE16</v>
      </c>
      <c r="B46" s="116">
        <f>VLOOKUP(A46,ECR!Q:R,2,FALSE)</f>
        <v>97.13980459</v>
      </c>
      <c r="C46" s="8" t="str">
        <f t="array" ref="C46">LEFT(INDEX($A$1:$A$52,MATCH(LARGE($B$1:$B$52,46),$B$1:$B$52,0)),2)</f>
        <v>TE</v>
      </c>
      <c r="D46" s="8"/>
      <c r="E46" s="8"/>
      <c r="F46" s="8"/>
      <c r="G46" s="8"/>
      <c r="H46" s="8"/>
    </row>
    <row r="47" ht="14.25" customHeight="1">
      <c r="A47" s="8" t="str">
        <f>"TE"&amp;Scoring!E40*Scoring!$A$40+7</f>
        <v>TE17</v>
      </c>
      <c r="B47" s="116">
        <f>VLOOKUP(A47,ECR!Q:R,2,FALSE)</f>
        <v>95.12929059</v>
      </c>
      <c r="C47" s="8" t="str">
        <f t="array" ref="C47">LEFT(INDEX($A$1:$A$52,MATCH(LARGE($B$1:$B$52,47),$B$1:$B$52,0)),2)</f>
        <v>TE</v>
      </c>
      <c r="D47" s="8"/>
      <c r="E47" s="8"/>
      <c r="F47" s="8"/>
      <c r="G47" s="8"/>
      <c r="H47" s="8"/>
    </row>
    <row r="48" ht="14.25" customHeight="1">
      <c r="A48" s="8" t="str">
        <f>"TE"&amp;Scoring!E40*Scoring!$A$40+8</f>
        <v>TE18</v>
      </c>
      <c r="B48" s="116">
        <f>VLOOKUP(A48,ECR!Q:R,2,FALSE)</f>
        <v>94.57973082</v>
      </c>
      <c r="C48" s="8" t="str">
        <f t="array" ref="C48">LEFT(INDEX($A$1:$A$52,MATCH(LARGE($B$1:$B$52,48),$B$1:$B$52,0)),2)</f>
        <v>TE</v>
      </c>
      <c r="D48" s="8"/>
      <c r="E48" s="8"/>
      <c r="F48" s="8"/>
      <c r="G48" s="8"/>
      <c r="H48" s="8"/>
    </row>
    <row r="49" ht="14.25" customHeight="1">
      <c r="A49" s="8" t="str">
        <f>"TE"&amp;Scoring!E40*Scoring!$A$40+9</f>
        <v>TE19</v>
      </c>
      <c r="B49" s="116">
        <f>VLOOKUP(A49,ECR!Q:R,2,FALSE)</f>
        <v>90.48420588</v>
      </c>
      <c r="C49" s="8" t="str">
        <f t="array" ref="C49">LEFT(INDEX($A$1:$A$52,MATCH(LARGE($B$1:$B$52,49),$B$1:$B$52,0)),2)</f>
        <v>TE</v>
      </c>
      <c r="D49" s="8"/>
      <c r="E49" s="8"/>
      <c r="F49" s="8"/>
      <c r="G49" s="8"/>
      <c r="H49" s="8"/>
    </row>
    <row r="50" ht="14.25" customHeight="1">
      <c r="A50" s="8" t="str">
        <f>"TE"&amp;Scoring!E40*Scoring!$A$40+10</f>
        <v>TE20</v>
      </c>
      <c r="B50" s="116">
        <f>VLOOKUP(A50,ECR!Q:R,2,FALSE)</f>
        <v>87.62876353</v>
      </c>
      <c r="C50" s="8" t="str">
        <f t="array" ref="C50">LEFT(INDEX($A$1:$A$52,MATCH(LARGE($B$1:$B$52,50),$B$1:$B$52,0)),2)</f>
        <v>TE</v>
      </c>
      <c r="D50" s="8"/>
      <c r="E50" s="8"/>
      <c r="F50" s="8"/>
      <c r="G50" s="8"/>
      <c r="H50" s="8"/>
    </row>
    <row r="51" ht="14.25" customHeight="1">
      <c r="A51" s="8" t="str">
        <f>"TE"&amp;Scoring!E40*Scoring!$A$40+11</f>
        <v>TE21</v>
      </c>
      <c r="B51" s="116">
        <f>VLOOKUP(A51,ECR!Q:R,2,FALSE)</f>
        <v>86.16693059</v>
      </c>
      <c r="C51" s="8" t="str">
        <f t="array" ref="C51">LEFT(INDEX($A$1:$A$52,MATCH(LARGE($B$1:$B$52,51),$B$1:$B$52,0)),2)</f>
        <v>TE</v>
      </c>
      <c r="D51" s="8"/>
      <c r="E51" s="8"/>
      <c r="F51" s="8"/>
      <c r="G51" s="8"/>
      <c r="H51" s="8"/>
    </row>
    <row r="52" ht="14.25" customHeight="1">
      <c r="A52" s="8" t="str">
        <f>"TE"&amp;Scoring!E40*Scoring!$A$40+12</f>
        <v>TE22</v>
      </c>
      <c r="B52" s="116">
        <f>VLOOKUP(A52,ECR!Q:R,2,FALSE)</f>
        <v>85.66016</v>
      </c>
      <c r="C52" s="8" t="str">
        <f t="array" ref="C52">LEFT(INDEX($A$1:$A$52,MATCH(LARGE($B$1:$B$52,52),$B$1:$B$52,0)),2)</f>
        <v>TE</v>
      </c>
      <c r="D52" s="8"/>
      <c r="E52" s="8"/>
      <c r="F52" s="8"/>
      <c r="G52" s="8"/>
      <c r="H52" s="8"/>
    </row>
    <row r="53" ht="14.25" customHeight="1">
      <c r="A53" s="8"/>
      <c r="B53" s="8"/>
      <c r="C53" s="8"/>
      <c r="D53" s="8"/>
      <c r="E53" s="8"/>
      <c r="F53" s="8"/>
      <c r="G53" s="8"/>
      <c r="H53" s="8"/>
    </row>
    <row r="54" ht="14.25" customHeight="1">
      <c r="A54" s="8"/>
      <c r="B54" s="8"/>
      <c r="C54" s="8"/>
      <c r="D54" s="8"/>
      <c r="E54" s="8"/>
      <c r="F54" s="8"/>
      <c r="G54" s="8"/>
      <c r="H54" s="8"/>
    </row>
    <row r="55" ht="14.25" customHeight="1">
      <c r="A55" s="8"/>
      <c r="B55" s="8"/>
      <c r="C55" s="8"/>
      <c r="D55" s="8"/>
      <c r="E55" s="8"/>
      <c r="F55" s="8"/>
      <c r="G55" s="8"/>
      <c r="H55" s="8"/>
    </row>
    <row r="56" ht="14.25" customHeight="1">
      <c r="A56" s="8"/>
      <c r="B56" s="8"/>
      <c r="C56" s="8"/>
      <c r="D56" s="8"/>
      <c r="E56" s="8"/>
      <c r="F56" s="8"/>
      <c r="G56" s="8"/>
      <c r="H56" s="8"/>
    </row>
    <row r="57" ht="14.25" customHeight="1">
      <c r="A57" s="8"/>
      <c r="B57" s="8"/>
      <c r="C57" s="8"/>
      <c r="D57" s="8"/>
      <c r="E57" s="8"/>
      <c r="F57" s="8"/>
      <c r="G57" s="8"/>
      <c r="H57" s="8"/>
    </row>
    <row r="58" ht="14.25" customHeight="1">
      <c r="A58" s="8"/>
      <c r="B58" s="8"/>
      <c r="C58" s="8"/>
      <c r="D58" s="8"/>
      <c r="E58" s="8"/>
      <c r="F58" s="8"/>
      <c r="G58" s="8"/>
      <c r="H58" s="8"/>
    </row>
    <row r="59" ht="14.25" customHeight="1">
      <c r="A59" s="8"/>
      <c r="B59" s="8"/>
      <c r="C59" s="8"/>
      <c r="D59" s="8"/>
      <c r="E59" s="8"/>
      <c r="F59" s="8"/>
      <c r="G59" s="8"/>
      <c r="H59" s="8"/>
    </row>
    <row r="60" ht="14.25" customHeight="1">
      <c r="A60" s="8"/>
      <c r="B60" s="8"/>
      <c r="C60" s="8"/>
      <c r="D60" s="8"/>
      <c r="E60" s="8"/>
      <c r="F60" s="8"/>
      <c r="G60" s="8"/>
      <c r="H60" s="8"/>
    </row>
    <row r="61" ht="14.25" customHeight="1">
      <c r="A61" s="8"/>
      <c r="B61" s="8"/>
      <c r="C61" s="8"/>
      <c r="D61" s="8"/>
      <c r="E61" s="8"/>
      <c r="F61" s="8"/>
      <c r="G61" s="8"/>
      <c r="H61" s="8"/>
    </row>
    <row r="62" ht="14.25" customHeight="1">
      <c r="A62" s="8"/>
      <c r="B62" s="8"/>
      <c r="C62" s="8"/>
      <c r="D62" s="8"/>
      <c r="E62" s="8"/>
      <c r="F62" s="8"/>
      <c r="G62" s="8"/>
      <c r="H62" s="8"/>
    </row>
    <row r="63" ht="14.25" customHeight="1">
      <c r="A63" s="8"/>
      <c r="B63" s="8"/>
      <c r="C63" s="8"/>
      <c r="D63" s="8"/>
      <c r="E63" s="8"/>
      <c r="F63" s="8"/>
      <c r="G63" s="8"/>
      <c r="H63" s="8"/>
    </row>
    <row r="64" ht="14.25" customHeight="1">
      <c r="A64" s="8"/>
      <c r="B64" s="8"/>
      <c r="C64" s="8"/>
      <c r="D64" s="8"/>
      <c r="E64" s="8"/>
      <c r="F64" s="8"/>
      <c r="G64" s="8"/>
      <c r="H64" s="8"/>
    </row>
    <row r="65" ht="14.25" customHeight="1">
      <c r="A65" s="8"/>
      <c r="B65" s="8"/>
      <c r="C65" s="8"/>
      <c r="D65" s="8"/>
      <c r="E65" s="8"/>
      <c r="F65" s="8"/>
      <c r="G65" s="8"/>
      <c r="H65" s="8"/>
    </row>
    <row r="66" ht="14.25" customHeight="1">
      <c r="A66" s="8"/>
      <c r="B66" s="8"/>
      <c r="C66" s="8"/>
      <c r="D66" s="8"/>
      <c r="E66" s="8"/>
      <c r="F66" s="8"/>
      <c r="G66" s="8"/>
      <c r="H66" s="8"/>
    </row>
    <row r="67" ht="14.25" customHeight="1">
      <c r="A67" s="8"/>
      <c r="B67" s="8"/>
      <c r="C67" s="8"/>
      <c r="D67" s="8"/>
      <c r="E67" s="8"/>
      <c r="F67" s="8"/>
      <c r="G67" s="8"/>
      <c r="H67" s="8"/>
    </row>
    <row r="68" ht="14.25" customHeight="1">
      <c r="A68" s="8"/>
      <c r="B68" s="8"/>
      <c r="C68" s="8"/>
      <c r="D68" s="8"/>
      <c r="E68" s="8"/>
      <c r="F68" s="8"/>
      <c r="G68" s="8"/>
      <c r="H68" s="8"/>
    </row>
    <row r="69" ht="14.25" customHeight="1">
      <c r="A69" s="8"/>
      <c r="B69" s="8"/>
      <c r="C69" s="8"/>
      <c r="D69" s="8"/>
      <c r="E69" s="8"/>
      <c r="F69" s="8"/>
      <c r="G69" s="8"/>
      <c r="H69" s="8"/>
    </row>
    <row r="70" ht="14.25" customHeight="1">
      <c r="A70" s="8"/>
      <c r="B70" s="8"/>
      <c r="C70" s="8"/>
      <c r="D70" s="8"/>
      <c r="E70" s="8"/>
      <c r="F70" s="8"/>
      <c r="G70" s="8"/>
      <c r="H70" s="8"/>
    </row>
    <row r="71" ht="14.25" customHeight="1">
      <c r="A71" s="8"/>
      <c r="B71" s="8"/>
      <c r="C71" s="8"/>
      <c r="D71" s="8"/>
      <c r="E71" s="8"/>
      <c r="F71" s="8"/>
      <c r="G71" s="8"/>
      <c r="H71" s="8"/>
    </row>
    <row r="72" ht="14.25" customHeight="1">
      <c r="A72" s="8"/>
      <c r="B72" s="8"/>
      <c r="C72" s="8"/>
      <c r="D72" s="8"/>
      <c r="E72" s="8"/>
      <c r="F72" s="8"/>
      <c r="G72" s="8"/>
      <c r="H72" s="8"/>
    </row>
    <row r="73" ht="14.25" customHeight="1">
      <c r="A73" s="8"/>
      <c r="B73" s="8"/>
      <c r="C73" s="8"/>
      <c r="D73" s="8"/>
      <c r="E73" s="8"/>
      <c r="F73" s="8"/>
      <c r="G73" s="8"/>
      <c r="H73" s="8"/>
    </row>
    <row r="74" ht="14.25" customHeight="1">
      <c r="A74" s="8"/>
      <c r="B74" s="8"/>
      <c r="C74" s="8"/>
      <c r="D74" s="8"/>
      <c r="E74" s="8"/>
      <c r="F74" s="8"/>
      <c r="G74" s="8"/>
      <c r="H74" s="8"/>
    </row>
    <row r="75" ht="14.25" customHeight="1">
      <c r="A75" s="8"/>
      <c r="B75" s="8"/>
      <c r="C75" s="8"/>
      <c r="D75" s="8"/>
      <c r="E75" s="8"/>
      <c r="F75" s="8"/>
      <c r="G75" s="8"/>
      <c r="H75" s="8"/>
    </row>
    <row r="76" ht="14.25" customHeight="1">
      <c r="A76" s="8"/>
      <c r="B76" s="8"/>
      <c r="C76" s="8"/>
      <c r="D76" s="8"/>
      <c r="E76" s="8"/>
      <c r="F76" s="8"/>
      <c r="G76" s="8"/>
      <c r="H76" s="8"/>
    </row>
    <row r="77" ht="14.25" customHeight="1">
      <c r="A77" s="8"/>
      <c r="B77" s="8"/>
      <c r="C77" s="8"/>
      <c r="D77" s="8"/>
      <c r="E77" s="8"/>
      <c r="F77" s="8"/>
      <c r="G77" s="8"/>
      <c r="H77" s="8"/>
    </row>
    <row r="78" ht="14.25" customHeight="1">
      <c r="A78" s="8"/>
      <c r="B78" s="8"/>
      <c r="C78" s="8"/>
      <c r="D78" s="8"/>
      <c r="E78" s="8"/>
      <c r="F78" s="8"/>
      <c r="G78" s="8"/>
      <c r="H78" s="8"/>
    </row>
    <row r="79" ht="14.25" customHeight="1">
      <c r="A79" s="8"/>
      <c r="B79" s="8"/>
      <c r="C79" s="8"/>
      <c r="D79" s="8"/>
      <c r="E79" s="8"/>
      <c r="F79" s="8"/>
      <c r="G79" s="8"/>
      <c r="H79" s="8"/>
    </row>
    <row r="80" ht="14.25" customHeight="1">
      <c r="A80" s="8"/>
      <c r="B80" s="8"/>
      <c r="C80" s="8"/>
      <c r="D80" s="8"/>
      <c r="E80" s="8"/>
      <c r="F80" s="8"/>
      <c r="G80" s="8"/>
      <c r="H80" s="8"/>
    </row>
    <row r="81" ht="14.25" customHeight="1">
      <c r="A81" s="8"/>
      <c r="B81" s="8"/>
      <c r="C81" s="8"/>
      <c r="D81" s="8"/>
      <c r="E81" s="8"/>
      <c r="F81" s="8"/>
      <c r="G81" s="8"/>
      <c r="H81" s="8"/>
    </row>
    <row r="82" ht="14.25" customHeight="1">
      <c r="A82" s="8"/>
      <c r="B82" s="8"/>
      <c r="C82" s="8"/>
      <c r="D82" s="8"/>
      <c r="E82" s="8"/>
      <c r="F82" s="8"/>
      <c r="G82" s="8"/>
      <c r="H82" s="8"/>
    </row>
    <row r="83" ht="14.25" customHeight="1">
      <c r="A83" s="8"/>
      <c r="B83" s="8"/>
      <c r="C83" s="8"/>
      <c r="D83" s="8"/>
      <c r="E83" s="8"/>
      <c r="F83" s="8"/>
      <c r="G83" s="8"/>
      <c r="H83" s="8"/>
    </row>
    <row r="84" ht="14.25" customHeight="1">
      <c r="A84" s="8"/>
      <c r="B84" s="8"/>
      <c r="C84" s="8"/>
      <c r="D84" s="8"/>
      <c r="E84" s="8"/>
      <c r="F84" s="8"/>
      <c r="G84" s="8"/>
      <c r="H84" s="8"/>
    </row>
    <row r="85" ht="14.25" customHeight="1">
      <c r="A85" s="8"/>
      <c r="B85" s="8"/>
      <c r="C85" s="8"/>
      <c r="D85" s="8"/>
      <c r="E85" s="8"/>
      <c r="F85" s="8"/>
      <c r="G85" s="8"/>
      <c r="H85" s="8"/>
    </row>
    <row r="86" ht="14.25" customHeight="1">
      <c r="A86" s="8"/>
      <c r="B86" s="8"/>
      <c r="C86" s="8"/>
      <c r="D86" s="8"/>
      <c r="E86" s="8"/>
      <c r="F86" s="8"/>
      <c r="G86" s="8"/>
      <c r="H86" s="8"/>
    </row>
    <row r="87" ht="14.25" customHeight="1">
      <c r="A87" s="8"/>
      <c r="B87" s="8"/>
      <c r="C87" s="8"/>
      <c r="D87" s="8"/>
      <c r="E87" s="8"/>
      <c r="F87" s="8"/>
      <c r="G87" s="8"/>
      <c r="H87" s="8"/>
    </row>
    <row r="88" ht="14.25" customHeight="1">
      <c r="A88" s="8"/>
      <c r="B88" s="8"/>
      <c r="C88" s="8"/>
      <c r="D88" s="8"/>
      <c r="E88" s="8"/>
      <c r="F88" s="8"/>
      <c r="G88" s="8"/>
      <c r="H88" s="8"/>
    </row>
    <row r="89" ht="14.25" customHeight="1">
      <c r="A89" s="8"/>
      <c r="B89" s="8"/>
      <c r="C89" s="8"/>
      <c r="D89" s="8"/>
      <c r="E89" s="8"/>
      <c r="F89" s="8"/>
      <c r="G89" s="8"/>
      <c r="H89" s="8"/>
    </row>
    <row r="90" ht="14.25" customHeight="1">
      <c r="A90" s="8"/>
      <c r="B90" s="8"/>
      <c r="C90" s="8"/>
      <c r="D90" s="8"/>
      <c r="E90" s="8"/>
      <c r="F90" s="8"/>
      <c r="G90" s="8"/>
      <c r="H90" s="8"/>
    </row>
    <row r="91" ht="14.25" customHeight="1">
      <c r="A91" s="8"/>
      <c r="B91" s="8"/>
      <c r="C91" s="8"/>
      <c r="D91" s="8"/>
      <c r="E91" s="8"/>
      <c r="F91" s="8"/>
      <c r="G91" s="8"/>
      <c r="H91" s="8"/>
    </row>
    <row r="92" ht="14.25" customHeight="1">
      <c r="A92" s="8"/>
      <c r="B92" s="8"/>
      <c r="C92" s="8"/>
      <c r="D92" s="8"/>
      <c r="E92" s="8"/>
      <c r="F92" s="8"/>
      <c r="G92" s="8"/>
      <c r="H92" s="8"/>
    </row>
    <row r="93" ht="14.25" customHeight="1">
      <c r="A93" s="8"/>
      <c r="B93" s="8"/>
      <c r="C93" s="8"/>
      <c r="D93" s="8"/>
      <c r="E93" s="8"/>
      <c r="F93" s="8"/>
      <c r="G93" s="8"/>
      <c r="H93" s="8"/>
    </row>
    <row r="94" ht="14.25" customHeight="1">
      <c r="A94" s="8"/>
      <c r="B94" s="8"/>
      <c r="C94" s="8"/>
      <c r="D94" s="8"/>
      <c r="E94" s="8"/>
      <c r="F94" s="8"/>
      <c r="G94" s="8"/>
      <c r="H94" s="8"/>
    </row>
    <row r="95" ht="14.25" customHeight="1">
      <c r="A95" s="8"/>
      <c r="B95" s="8"/>
      <c r="C95" s="8"/>
      <c r="D95" s="8"/>
      <c r="E95" s="8"/>
      <c r="F95" s="8"/>
      <c r="G95" s="8"/>
      <c r="H95" s="8"/>
    </row>
    <row r="96" ht="14.25" customHeight="1">
      <c r="A96" s="8"/>
      <c r="B96" s="8"/>
      <c r="C96" s="8"/>
      <c r="D96" s="8"/>
      <c r="E96" s="8"/>
      <c r="F96" s="8"/>
      <c r="G96" s="8"/>
      <c r="H96" s="8"/>
    </row>
    <row r="97" ht="14.25" customHeight="1">
      <c r="A97" s="8"/>
      <c r="B97" s="8"/>
      <c r="C97" s="8"/>
      <c r="D97" s="8"/>
      <c r="E97" s="8"/>
      <c r="F97" s="8"/>
      <c r="G97" s="8"/>
      <c r="H97" s="8"/>
    </row>
    <row r="98" ht="14.25" customHeight="1">
      <c r="A98" s="8"/>
      <c r="B98" s="8"/>
      <c r="C98" s="8"/>
      <c r="D98" s="8"/>
      <c r="E98" s="8"/>
      <c r="F98" s="8"/>
      <c r="G98" s="8"/>
      <c r="H98" s="8"/>
    </row>
    <row r="99" ht="14.25" customHeight="1">
      <c r="A99" s="8"/>
      <c r="B99" s="8"/>
      <c r="C99" s="8"/>
      <c r="D99" s="8"/>
      <c r="E99" s="8"/>
      <c r="F99" s="8"/>
      <c r="G99" s="8"/>
      <c r="H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5.5"/>
    <col customWidth="1" min="3" max="3" width="22.0"/>
    <col customWidth="1" min="4" max="4" width="5.5"/>
    <col customWidth="1" min="5" max="5" width="6.75"/>
    <col customWidth="1" min="6" max="6" width="9.13"/>
    <col customWidth="1" min="7" max="8" width="8.13"/>
    <col customWidth="1" min="9" max="9" width="12.5"/>
    <col customWidth="1" min="10" max="10" width="11.13"/>
    <col customWidth="1" min="11" max="11" width="4.0"/>
    <col customWidth="1" min="12" max="12" width="22.0"/>
    <col customWidth="1" min="13" max="13" width="10.25"/>
    <col customWidth="1" min="14" max="14" width="5.13"/>
    <col customWidth="1" min="15" max="16" width="8.5"/>
    <col customWidth="1" min="17" max="17" width="6.75"/>
    <col customWidth="1" min="18" max="18" width="4.0"/>
    <col customWidth="1" min="19" max="26" width="8.5"/>
  </cols>
  <sheetData>
    <row r="1" ht="14.25" customHeight="1">
      <c r="A1" s="1" t="s">
        <v>986</v>
      </c>
      <c r="B1" s="1" t="s">
        <v>987</v>
      </c>
      <c r="C1" s="1" t="s">
        <v>988</v>
      </c>
      <c r="D1" s="1" t="s">
        <v>989</v>
      </c>
      <c r="E1" s="1" t="s">
        <v>990</v>
      </c>
      <c r="F1" s="1" t="s">
        <v>991</v>
      </c>
      <c r="G1" s="1" t="s">
        <v>992</v>
      </c>
      <c r="H1" s="1" t="s">
        <v>993</v>
      </c>
      <c r="I1" s="1" t="s">
        <v>994</v>
      </c>
      <c r="J1" s="1" t="s">
        <v>995</v>
      </c>
      <c r="K1" s="1" t="s">
        <v>986</v>
      </c>
      <c r="L1" s="1" t="s">
        <v>996</v>
      </c>
      <c r="M1" s="8" t="s">
        <v>998</v>
      </c>
      <c r="N1" s="8" t="s">
        <v>999</v>
      </c>
      <c r="Q1" s="8" t="s">
        <v>89</v>
      </c>
      <c r="R1" s="116">
        <f>Aggregate!BG3</f>
        <v>283.6423826</v>
      </c>
      <c r="S1" s="8"/>
      <c r="T1" s="8"/>
    </row>
    <row r="2" ht="14.25" customHeight="1">
      <c r="A2" s="1">
        <v>1.0</v>
      </c>
      <c r="B2" s="1">
        <v>1.0</v>
      </c>
      <c r="C2" s="1" t="s">
        <v>386</v>
      </c>
      <c r="D2" s="1" t="s">
        <v>179</v>
      </c>
      <c r="E2" s="1" t="s">
        <v>103</v>
      </c>
      <c r="F2" s="1">
        <v>6.0</v>
      </c>
      <c r="G2" s="1" t="s">
        <v>1000</v>
      </c>
      <c r="H2" s="1" t="s">
        <v>1001</v>
      </c>
      <c r="I2" s="1" t="s">
        <v>1002</v>
      </c>
      <c r="J2" s="1">
        <v>0.0</v>
      </c>
      <c r="K2" s="1">
        <v>1.0</v>
      </c>
      <c r="L2" s="1" t="str">
        <f t="shared" ref="L2:L825" si="1">C2</f>
        <v>Jahmyr Gibbs</v>
      </c>
      <c r="M2" s="124">
        <f>IFERROR(VLOOKUP(E2,RISK!A:B,2,FALSE()),"")</f>
        <v>3</v>
      </c>
      <c r="N2" s="116">
        <f t="shared" ref="N2:N886" si="2">VLOOKUP(E2,Q:R,2,FALSE)</f>
        <v>257.8588235</v>
      </c>
      <c r="Q2" s="8" t="s">
        <v>141</v>
      </c>
      <c r="R2" s="116">
        <f>Aggregate!BG4</f>
        <v>249.9434784</v>
      </c>
      <c r="S2" s="8"/>
      <c r="T2" s="8"/>
    </row>
    <row r="3" ht="14.25" customHeight="1">
      <c r="A3" s="1">
        <v>2.0</v>
      </c>
      <c r="B3" s="1">
        <v>1.0</v>
      </c>
      <c r="C3" s="1" t="s">
        <v>388</v>
      </c>
      <c r="D3" s="1" t="s">
        <v>229</v>
      </c>
      <c r="E3" s="1" t="s">
        <v>147</v>
      </c>
      <c r="F3" s="1">
        <v>11.0</v>
      </c>
      <c r="G3" s="1" t="s">
        <v>1000</v>
      </c>
      <c r="H3" s="1" t="s">
        <v>1001</v>
      </c>
      <c r="I3" s="1" t="s">
        <v>1003</v>
      </c>
      <c r="J3" s="1">
        <v>0.0</v>
      </c>
      <c r="K3" s="1">
        <v>2.0</v>
      </c>
      <c r="L3" s="1" t="str">
        <f t="shared" si="1"/>
        <v>Bijan Robinson</v>
      </c>
      <c r="M3" s="124">
        <f>IFERROR(VLOOKUP(E3,RISK!A:B,2,FALSE()),"")</f>
        <v>3</v>
      </c>
      <c r="N3" s="116">
        <f t="shared" si="2"/>
        <v>243.62</v>
      </c>
      <c r="Q3" s="8" t="s">
        <v>166</v>
      </c>
      <c r="R3" s="116">
        <f>Aggregate!BG5</f>
        <v>243.8018853</v>
      </c>
      <c r="S3" s="8"/>
      <c r="T3" s="8"/>
    </row>
    <row r="4" ht="14.25" customHeight="1">
      <c r="A4" s="1">
        <v>3.0</v>
      </c>
      <c r="B4" s="1">
        <v>1.0</v>
      </c>
      <c r="C4" s="1" t="s">
        <v>556</v>
      </c>
      <c r="D4" s="1" t="s">
        <v>127</v>
      </c>
      <c r="E4" s="1" t="s">
        <v>118</v>
      </c>
      <c r="F4" s="1">
        <v>6.0</v>
      </c>
      <c r="G4" s="1" t="s">
        <v>1000</v>
      </c>
      <c r="H4" s="1" t="s">
        <v>1001</v>
      </c>
      <c r="I4" s="1" t="s">
        <v>1004</v>
      </c>
      <c r="J4" s="1">
        <v>0.0</v>
      </c>
      <c r="K4" s="1">
        <v>3.0</v>
      </c>
      <c r="L4" s="1" t="str">
        <f t="shared" si="1"/>
        <v>Ja'Marr Chase</v>
      </c>
      <c r="M4" s="124">
        <f>IFERROR(VLOOKUP(E4,RISK!A:B,2,FALSE()),"")</f>
        <v>1.5955</v>
      </c>
      <c r="N4" s="116">
        <f t="shared" si="2"/>
        <v>237.0664024</v>
      </c>
      <c r="Q4" s="8" t="s">
        <v>184</v>
      </c>
      <c r="R4" s="116">
        <f>Aggregate!BG6</f>
        <v>241.6046135</v>
      </c>
      <c r="S4" s="8"/>
      <c r="T4" s="8"/>
    </row>
    <row r="5" ht="14.25" customHeight="1">
      <c r="A5" s="1">
        <v>4.0</v>
      </c>
      <c r="B5" s="1">
        <v>1.0</v>
      </c>
      <c r="C5" s="1" t="s">
        <v>552</v>
      </c>
      <c r="D5" s="1" t="s">
        <v>176</v>
      </c>
      <c r="E5" s="1" t="s">
        <v>152</v>
      </c>
      <c r="F5" s="1">
        <v>11.0</v>
      </c>
      <c r="G5" s="1" t="s">
        <v>1000</v>
      </c>
      <c r="H5" s="1" t="s">
        <v>1005</v>
      </c>
      <c r="I5" s="1" t="s">
        <v>1006</v>
      </c>
      <c r="J5" s="1">
        <v>0.0</v>
      </c>
      <c r="K5" s="1">
        <v>4.0</v>
      </c>
      <c r="L5" s="1" t="str">
        <f t="shared" si="1"/>
        <v>Puka Nacua</v>
      </c>
      <c r="M5" s="124">
        <f>IFERROR(VLOOKUP(E5,RISK!A:B,2,FALSE()),"")</f>
        <v>1.6732</v>
      </c>
      <c r="N5" s="116">
        <f t="shared" si="2"/>
        <v>233.0393903</v>
      </c>
      <c r="Q5" s="8" t="s">
        <v>197</v>
      </c>
      <c r="R5" s="116">
        <f>Aggregate!BG7</f>
        <v>239.0489096</v>
      </c>
      <c r="S5" s="8"/>
      <c r="T5" s="8"/>
    </row>
    <row r="6" ht="14.25" customHeight="1">
      <c r="A6" s="1">
        <v>5.0</v>
      </c>
      <c r="B6" s="1">
        <v>1.0</v>
      </c>
      <c r="C6" s="1" t="s">
        <v>559</v>
      </c>
      <c r="D6" s="1" t="s">
        <v>202</v>
      </c>
      <c r="E6" s="1" t="s">
        <v>177</v>
      </c>
      <c r="F6" s="1">
        <v>11.0</v>
      </c>
      <c r="G6" s="1" t="s">
        <v>1000</v>
      </c>
      <c r="H6" s="1" t="s">
        <v>1005</v>
      </c>
      <c r="I6" s="1" t="s">
        <v>1007</v>
      </c>
      <c r="J6" s="1">
        <v>1.0</v>
      </c>
      <c r="K6" s="1">
        <v>5.0</v>
      </c>
      <c r="L6" s="1" t="str">
        <f t="shared" si="1"/>
        <v>Jaxon Smith-Njigba</v>
      </c>
      <c r="M6" s="124">
        <f>IFERROR(VLOOKUP(E6,RISK!A:B,2,FALSE()),"")</f>
        <v>1.7501</v>
      </c>
      <c r="N6" s="116">
        <f t="shared" si="2"/>
        <v>227.0679654</v>
      </c>
      <c r="Q6" s="8" t="s">
        <v>211</v>
      </c>
      <c r="R6" s="116">
        <f>Aggregate!BG8</f>
        <v>237.250604</v>
      </c>
      <c r="S6" s="8"/>
      <c r="T6" s="8"/>
    </row>
    <row r="7" ht="14.25" customHeight="1">
      <c r="A7" s="1">
        <v>6.0</v>
      </c>
      <c r="B7" s="1">
        <v>1.0</v>
      </c>
      <c r="C7" s="1" t="s">
        <v>563</v>
      </c>
      <c r="D7" s="1" t="s">
        <v>179</v>
      </c>
      <c r="E7" s="1" t="s">
        <v>191</v>
      </c>
      <c r="F7" s="1">
        <v>6.0</v>
      </c>
      <c r="G7" s="1" t="s">
        <v>1000</v>
      </c>
      <c r="H7" s="1" t="s">
        <v>1001</v>
      </c>
      <c r="I7" s="1" t="s">
        <v>1004</v>
      </c>
      <c r="J7" s="1">
        <v>2.0</v>
      </c>
      <c r="K7" s="1">
        <v>6.0</v>
      </c>
      <c r="L7" s="1" t="str">
        <f t="shared" si="1"/>
        <v>Amon-Ra St. Brown</v>
      </c>
      <c r="M7" s="124">
        <f>IFERROR(VLOOKUP(E7,RISK!A:B,2,FALSE()),"")</f>
        <v>1.8262</v>
      </c>
      <c r="N7" s="116">
        <f t="shared" si="2"/>
        <v>217.7512556</v>
      </c>
      <c r="Q7" s="8" t="s">
        <v>223</v>
      </c>
      <c r="R7" s="116">
        <f>Aggregate!BG9</f>
        <v>226.1493522</v>
      </c>
      <c r="S7" s="8"/>
      <c r="T7" s="8"/>
    </row>
    <row r="8" ht="14.25" customHeight="1">
      <c r="A8" s="1">
        <v>7.0</v>
      </c>
      <c r="B8" s="1">
        <v>1.0</v>
      </c>
      <c r="C8" s="1" t="s">
        <v>390</v>
      </c>
      <c r="D8" s="1" t="s">
        <v>140</v>
      </c>
      <c r="E8" s="1" t="s">
        <v>172</v>
      </c>
      <c r="F8" s="1">
        <v>8.0</v>
      </c>
      <c r="G8" s="1" t="s">
        <v>1009</v>
      </c>
      <c r="H8" s="1" t="s">
        <v>1009</v>
      </c>
      <c r="I8" s="1" t="s">
        <v>1003</v>
      </c>
      <c r="J8" s="1">
        <v>-2.0</v>
      </c>
      <c r="K8" s="1">
        <v>7.0</v>
      </c>
      <c r="L8" s="1" t="str">
        <f t="shared" si="1"/>
        <v>Christian McCaffrey</v>
      </c>
      <c r="M8" s="124">
        <f>IFERROR(VLOOKUP(E8,RISK!A:B,2,FALSE()),"")</f>
        <v>3</v>
      </c>
      <c r="N8" s="116">
        <f t="shared" si="2"/>
        <v>225.9858824</v>
      </c>
      <c r="Q8" s="8" t="s">
        <v>233</v>
      </c>
      <c r="R8" s="116">
        <f>Aggregate!BG10</f>
        <v>225.379812</v>
      </c>
      <c r="S8" s="8"/>
      <c r="T8" s="8"/>
    </row>
    <row r="9" ht="14.25" customHeight="1">
      <c r="A9" s="1">
        <v>8.0</v>
      </c>
      <c r="B9" s="1">
        <v>1.0</v>
      </c>
      <c r="C9" s="1" t="s">
        <v>392</v>
      </c>
      <c r="D9" s="1" t="s">
        <v>193</v>
      </c>
      <c r="E9" s="1" t="s">
        <v>187</v>
      </c>
      <c r="F9" s="1">
        <v>13.0</v>
      </c>
      <c r="G9" s="1" t="s">
        <v>1009</v>
      </c>
      <c r="H9" s="1" t="s">
        <v>1010</v>
      </c>
      <c r="I9" s="1" t="s">
        <v>1004</v>
      </c>
      <c r="J9" s="1">
        <v>-1.0</v>
      </c>
      <c r="K9" s="1">
        <v>8.0</v>
      </c>
      <c r="L9" s="1" t="str">
        <f t="shared" si="1"/>
        <v>Jonathan Taylor</v>
      </c>
      <c r="M9" s="124">
        <f>IFERROR(VLOOKUP(E9,RISK!A:B,2,FALSE()),"")</f>
        <v>3</v>
      </c>
      <c r="N9" s="116">
        <f t="shared" si="2"/>
        <v>221.0458824</v>
      </c>
      <c r="Q9" s="8" t="s">
        <v>241</v>
      </c>
      <c r="R9" s="116">
        <f>Aggregate!BG11</f>
        <v>224.7224085</v>
      </c>
      <c r="S9" s="8"/>
      <c r="T9" s="8"/>
    </row>
    <row r="10" ht="14.25" customHeight="1">
      <c r="A10" s="1">
        <v>9.0</v>
      </c>
      <c r="B10" s="1">
        <v>2.0</v>
      </c>
      <c r="C10" s="1" t="s">
        <v>572</v>
      </c>
      <c r="D10" s="1" t="s">
        <v>150</v>
      </c>
      <c r="E10" s="1" t="s">
        <v>203</v>
      </c>
      <c r="F10" s="1">
        <v>14.0</v>
      </c>
      <c r="G10" s="1" t="s">
        <v>1009</v>
      </c>
      <c r="H10" s="1" t="s">
        <v>1005</v>
      </c>
      <c r="I10" s="1" t="s">
        <v>1003</v>
      </c>
      <c r="J10" s="1">
        <v>1.0</v>
      </c>
      <c r="K10" s="1">
        <v>9.0</v>
      </c>
      <c r="L10" s="1" t="str">
        <f t="shared" si="1"/>
        <v>CeeDee Lamb</v>
      </c>
      <c r="M10" s="125">
        <f>IFERROR(VLOOKUP(E10,RISK!A:B,2,FALSE()),"")</f>
        <v>1.9015</v>
      </c>
      <c r="N10" s="116">
        <f t="shared" si="2"/>
        <v>185.7352976</v>
      </c>
      <c r="Q10" s="8" t="s">
        <v>249</v>
      </c>
      <c r="R10" s="116">
        <f>Aggregate!BG12</f>
        <v>224.3623209</v>
      </c>
      <c r="S10" s="8"/>
      <c r="T10" s="8"/>
    </row>
    <row r="11" ht="14.25" customHeight="1">
      <c r="A11" s="1">
        <v>10.0</v>
      </c>
      <c r="B11" s="1">
        <v>2.0</v>
      </c>
      <c r="C11" s="1" t="s">
        <v>401</v>
      </c>
      <c r="D11" s="1" t="s">
        <v>18</v>
      </c>
      <c r="E11" s="1" t="s">
        <v>200</v>
      </c>
      <c r="F11" s="1">
        <v>7.0</v>
      </c>
      <c r="G11" s="1" t="s">
        <v>1000</v>
      </c>
      <c r="H11" s="1" t="s">
        <v>1005</v>
      </c>
      <c r="I11" s="1" t="s">
        <v>1003</v>
      </c>
      <c r="J11" s="1">
        <v>-1.0</v>
      </c>
      <c r="K11" s="1">
        <v>10.0</v>
      </c>
      <c r="L11" s="1" t="str">
        <f t="shared" si="1"/>
        <v>James Cook III</v>
      </c>
      <c r="M11" s="125">
        <f>IFERROR(VLOOKUP(E11,RISK!A:B,2,FALSE()),"")</f>
        <v>3</v>
      </c>
      <c r="N11" s="116">
        <f t="shared" si="2"/>
        <v>202.4482353</v>
      </c>
      <c r="Q11" s="8" t="s">
        <v>257</v>
      </c>
      <c r="R11" s="116">
        <f>Aggregate!BG13</f>
        <v>220.2411092</v>
      </c>
      <c r="S11" s="8"/>
      <c r="T11" s="8"/>
    </row>
    <row r="12" ht="14.25" customHeight="1">
      <c r="A12" s="1">
        <v>11.0</v>
      </c>
      <c r="B12" s="1">
        <v>2.0</v>
      </c>
      <c r="C12" s="1" t="s">
        <v>575</v>
      </c>
      <c r="D12" s="1" t="s">
        <v>189</v>
      </c>
      <c r="E12" s="1" t="s">
        <v>215</v>
      </c>
      <c r="F12" s="1">
        <v>6.0</v>
      </c>
      <c r="G12" s="1" t="s">
        <v>1009</v>
      </c>
      <c r="H12" s="1" t="s">
        <v>1005</v>
      </c>
      <c r="I12" s="1" t="s">
        <v>1002</v>
      </c>
      <c r="J12" s="1">
        <v>1.0</v>
      </c>
      <c r="K12" s="1">
        <v>11.0</v>
      </c>
      <c r="L12" s="1" t="str">
        <f t="shared" si="1"/>
        <v>Justin Jefferson</v>
      </c>
      <c r="M12" s="124">
        <f>IFERROR(VLOOKUP(E12,RISK!A:B,2,FALSE()),"")</f>
        <v>1.976</v>
      </c>
      <c r="N12" s="116">
        <f t="shared" si="2"/>
        <v>184.0361271</v>
      </c>
      <c r="Q12" s="8" t="s">
        <v>265</v>
      </c>
      <c r="R12" s="116">
        <f>Aggregate!BG14</f>
        <v>220.233685</v>
      </c>
      <c r="S12" s="8"/>
      <c r="T12" s="8"/>
    </row>
    <row r="13" ht="14.25" customHeight="1">
      <c r="A13" s="1">
        <v>12.0</v>
      </c>
      <c r="B13" s="1">
        <v>2.0</v>
      </c>
      <c r="C13" s="1" t="s">
        <v>396</v>
      </c>
      <c r="D13" s="1" t="s">
        <v>127</v>
      </c>
      <c r="E13" s="1" t="s">
        <v>212</v>
      </c>
      <c r="F13" s="1">
        <v>6.0</v>
      </c>
      <c r="G13" s="1" t="s">
        <v>1000</v>
      </c>
      <c r="H13" s="1" t="s">
        <v>1005</v>
      </c>
      <c r="I13" s="1" t="s">
        <v>1003</v>
      </c>
      <c r="J13" s="1">
        <v>3.0</v>
      </c>
      <c r="K13" s="1">
        <v>12.0</v>
      </c>
      <c r="L13" s="1" t="str">
        <f t="shared" si="1"/>
        <v>Chase Brown</v>
      </c>
      <c r="M13" s="124">
        <f>IFERROR(VLOOKUP(E13,RISK!A:B,2,FALSE()),"")</f>
        <v>3</v>
      </c>
      <c r="N13" s="116">
        <f t="shared" si="2"/>
        <v>198.6247059</v>
      </c>
      <c r="Q13" s="8" t="s">
        <v>274</v>
      </c>
      <c r="R13" s="116">
        <f>Aggregate!BG15</f>
        <v>219.4846642</v>
      </c>
      <c r="S13" s="8"/>
      <c r="T13" s="8"/>
    </row>
    <row r="14" ht="14.25" customHeight="1">
      <c r="A14" s="1">
        <v>13.0</v>
      </c>
      <c r="B14" s="1">
        <v>2.0</v>
      </c>
      <c r="C14" s="1" t="s">
        <v>566</v>
      </c>
      <c r="D14" s="1" t="s">
        <v>229</v>
      </c>
      <c r="E14" s="1" t="s">
        <v>227</v>
      </c>
      <c r="F14" s="1">
        <v>11.0</v>
      </c>
      <c r="G14" s="1" t="s">
        <v>1009</v>
      </c>
      <c r="H14" s="1" t="s">
        <v>1010</v>
      </c>
      <c r="I14" s="1" t="s">
        <v>1007</v>
      </c>
      <c r="J14" s="1">
        <v>7.0</v>
      </c>
      <c r="K14" s="1">
        <v>13.0</v>
      </c>
      <c r="L14" s="1" t="str">
        <f t="shared" si="1"/>
        <v>Drake London</v>
      </c>
      <c r="M14" s="125">
        <f>IFERROR(VLOOKUP(E14,RISK!A:B,2,FALSE()),"")</f>
        <v>2.0497</v>
      </c>
      <c r="N14" s="116">
        <f t="shared" si="2"/>
        <v>182.5766028</v>
      </c>
      <c r="Q14" s="8" t="s">
        <v>282</v>
      </c>
      <c r="R14" s="116">
        <f>Aggregate!BG16</f>
        <v>218.8280826</v>
      </c>
      <c r="S14" s="8"/>
      <c r="T14" s="8"/>
    </row>
    <row r="15" ht="14.25" customHeight="1">
      <c r="A15" s="1">
        <v>14.0</v>
      </c>
      <c r="B15" s="1">
        <v>2.0</v>
      </c>
      <c r="C15" s="1" t="s">
        <v>403</v>
      </c>
      <c r="D15" s="1" t="s">
        <v>117</v>
      </c>
      <c r="E15" s="1" t="s">
        <v>224</v>
      </c>
      <c r="F15" s="1">
        <v>10.0</v>
      </c>
      <c r="G15" s="1" t="s">
        <v>1009</v>
      </c>
      <c r="H15" s="1" t="s">
        <v>1010</v>
      </c>
      <c r="I15" s="1" t="s">
        <v>1004</v>
      </c>
      <c r="J15" s="1">
        <v>-1.0</v>
      </c>
      <c r="K15" s="1">
        <v>14.0</v>
      </c>
      <c r="L15" s="1" t="str">
        <f t="shared" si="1"/>
        <v>Saquon Barkley</v>
      </c>
      <c r="M15" s="124">
        <f>IFERROR(VLOOKUP(E15,RISK!A:B,2,FALSE()),"")</f>
        <v>3</v>
      </c>
      <c r="N15" s="116">
        <f t="shared" si="2"/>
        <v>194.1817647</v>
      </c>
      <c r="Q15" s="8" t="s">
        <v>290</v>
      </c>
      <c r="R15" s="116">
        <f>Aggregate!BG17</f>
        <v>218.6925464</v>
      </c>
      <c r="S15" s="8"/>
      <c r="T15" s="8"/>
    </row>
    <row r="16" ht="14.25" customHeight="1">
      <c r="A16" s="1">
        <v>15.0</v>
      </c>
      <c r="B16" s="1">
        <v>2.0</v>
      </c>
      <c r="C16" s="1" t="s">
        <v>581</v>
      </c>
      <c r="D16" s="1" t="s">
        <v>94</v>
      </c>
      <c r="E16" s="1" t="s">
        <v>237</v>
      </c>
      <c r="F16" s="1">
        <v>11.0</v>
      </c>
      <c r="G16" s="1" t="s">
        <v>1000</v>
      </c>
      <c r="H16" s="1" t="s">
        <v>1005</v>
      </c>
      <c r="I16" s="1" t="s">
        <v>1003</v>
      </c>
      <c r="J16" s="1">
        <v>6.0</v>
      </c>
      <c r="K16" s="1">
        <v>15.0</v>
      </c>
      <c r="L16" s="1" t="str">
        <f t="shared" si="1"/>
        <v>A.J. Brown</v>
      </c>
      <c r="M16" s="124">
        <f>IFERROR(VLOOKUP(E16,RISK!A:B,2,FALSE()),"")</f>
        <v>2.1226</v>
      </c>
      <c r="N16" s="116">
        <f t="shared" si="2"/>
        <v>178.6957523</v>
      </c>
      <c r="Q16" s="8" t="s">
        <v>298</v>
      </c>
      <c r="R16" s="116">
        <f>Aggregate!BG18</f>
        <v>205.51388</v>
      </c>
      <c r="S16" s="8"/>
      <c r="T16" s="8"/>
    </row>
    <row r="17" ht="14.25" customHeight="1">
      <c r="A17" s="1">
        <v>16.0</v>
      </c>
      <c r="B17" s="1">
        <v>2.0</v>
      </c>
      <c r="C17" s="1" t="s">
        <v>395</v>
      </c>
      <c r="D17" s="1" t="s">
        <v>196</v>
      </c>
      <c r="E17" s="1" t="s">
        <v>235</v>
      </c>
      <c r="F17" s="1">
        <v>6.0</v>
      </c>
      <c r="G17" s="1" t="s">
        <v>1009</v>
      </c>
      <c r="H17" s="1" t="s">
        <v>1009</v>
      </c>
      <c r="I17" s="1" t="s">
        <v>1007</v>
      </c>
      <c r="J17" s="1">
        <v>-2.0</v>
      </c>
      <c r="K17" s="1">
        <v>16.0</v>
      </c>
      <c r="L17" s="1" t="str">
        <f t="shared" si="1"/>
        <v>De'Von Achane</v>
      </c>
      <c r="M17" s="124">
        <f>IFERROR(VLOOKUP(E17,RISK!A:B,2,FALSE()),"")</f>
        <v>3</v>
      </c>
      <c r="N17" s="116">
        <f t="shared" si="2"/>
        <v>188.89</v>
      </c>
      <c r="Q17" s="8" t="s">
        <v>306</v>
      </c>
      <c r="R17" s="116">
        <f>Aggregate!BG19</f>
        <v>195.2884192</v>
      </c>
      <c r="S17" s="8"/>
      <c r="T17" s="8"/>
    </row>
    <row r="18" ht="14.25" customHeight="1">
      <c r="A18" s="1">
        <v>17.0</v>
      </c>
      <c r="B18" s="1">
        <v>2.0</v>
      </c>
      <c r="C18" s="1" t="s">
        <v>587</v>
      </c>
      <c r="D18" s="1" t="s">
        <v>205</v>
      </c>
      <c r="E18" s="1" t="s">
        <v>245</v>
      </c>
      <c r="F18" s="1">
        <v>8.0</v>
      </c>
      <c r="G18" s="1" t="s">
        <v>1009</v>
      </c>
      <c r="H18" s="1" t="s">
        <v>1005</v>
      </c>
      <c r="I18" s="1" t="s">
        <v>1007</v>
      </c>
      <c r="J18" s="1">
        <v>7.0</v>
      </c>
      <c r="K18" s="1">
        <v>17.0</v>
      </c>
      <c r="L18" s="1" t="str">
        <f t="shared" si="1"/>
        <v>Nico Collins</v>
      </c>
      <c r="M18" s="124">
        <f>IFERROR(VLOOKUP(E18,RISK!A:B,2,FALSE()),"")</f>
        <v>2.1947</v>
      </c>
      <c r="N18" s="116">
        <f t="shared" si="2"/>
        <v>173.5409686</v>
      </c>
      <c r="Q18" s="8" t="s">
        <v>315</v>
      </c>
      <c r="R18" s="116">
        <f>Aggregate!BG20</f>
        <v>192.923489</v>
      </c>
      <c r="S18" s="8"/>
      <c r="T18" s="8"/>
    </row>
    <row r="19" ht="14.25" customHeight="1">
      <c r="A19" s="1">
        <v>18.0</v>
      </c>
      <c r="B19" s="1">
        <v>2.0</v>
      </c>
      <c r="C19" s="1" t="s">
        <v>736</v>
      </c>
      <c r="D19" s="1" t="s">
        <v>222</v>
      </c>
      <c r="E19" s="1" t="s">
        <v>130</v>
      </c>
      <c r="F19" s="1">
        <v>13.0</v>
      </c>
      <c r="G19" s="1" t="s">
        <v>1000</v>
      </c>
      <c r="H19" s="1" t="s">
        <v>1005</v>
      </c>
      <c r="I19" s="1" t="s">
        <v>1007</v>
      </c>
      <c r="J19" s="1">
        <v>4.0</v>
      </c>
      <c r="K19" s="1">
        <v>18.0</v>
      </c>
      <c r="L19" s="1" t="str">
        <f t="shared" si="1"/>
        <v>Brock Bowers</v>
      </c>
      <c r="M19" s="124">
        <f>IFERROR(VLOOKUP(E19,RISK!A:B,2,FALSE()),"")</f>
        <v>2.2775</v>
      </c>
      <c r="N19" s="116">
        <f t="shared" si="2"/>
        <v>165.3964853</v>
      </c>
      <c r="Q19" s="8" t="s">
        <v>323</v>
      </c>
      <c r="R19" s="116">
        <f>Aggregate!BG21</f>
        <v>185.8035812</v>
      </c>
      <c r="S19" s="8"/>
      <c r="T19" s="8"/>
    </row>
    <row r="20" ht="14.25" customHeight="1">
      <c r="A20" s="1">
        <v>19.0</v>
      </c>
      <c r="B20" s="1">
        <v>2.0</v>
      </c>
      <c r="C20" s="1" t="s">
        <v>411</v>
      </c>
      <c r="D20" s="1" t="s">
        <v>164</v>
      </c>
      <c r="E20" s="1" t="s">
        <v>243</v>
      </c>
      <c r="F20" s="1">
        <v>7.0</v>
      </c>
      <c r="G20" s="1" t="s">
        <v>1000</v>
      </c>
      <c r="H20" s="1" t="s">
        <v>1005</v>
      </c>
      <c r="I20" s="1" t="s">
        <v>1007</v>
      </c>
      <c r="J20" s="1">
        <v>-3.0</v>
      </c>
      <c r="K20" s="1">
        <v>19.0</v>
      </c>
      <c r="L20" s="1" t="str">
        <f t="shared" si="1"/>
        <v>Omarion Hampton</v>
      </c>
      <c r="M20" s="124">
        <f>IFERROR(VLOOKUP(E20,RISK!A:B,2,FALSE()),"")</f>
        <v>3</v>
      </c>
      <c r="N20" s="116">
        <f t="shared" si="2"/>
        <v>186.2823529</v>
      </c>
      <c r="Q20" s="8" t="s">
        <v>330</v>
      </c>
      <c r="R20" s="116">
        <f>Aggregate!BG22</f>
        <v>183.5151071</v>
      </c>
      <c r="S20" s="8"/>
      <c r="T20" s="8"/>
    </row>
    <row r="21" ht="14.25" customHeight="1">
      <c r="A21" s="1">
        <v>20.0</v>
      </c>
      <c r="B21" s="1">
        <v>2.0</v>
      </c>
      <c r="C21" s="1" t="s">
        <v>398</v>
      </c>
      <c r="D21" s="1" t="s">
        <v>61</v>
      </c>
      <c r="E21" s="1" t="s">
        <v>251</v>
      </c>
      <c r="F21" s="1">
        <v>13.0</v>
      </c>
      <c r="G21" s="1" t="s">
        <v>1009</v>
      </c>
      <c r="H21" s="1" t="s">
        <v>1005</v>
      </c>
      <c r="I21" s="1" t="s">
        <v>1007</v>
      </c>
      <c r="J21" s="1">
        <v>-2.0</v>
      </c>
      <c r="K21" s="1">
        <v>20.0</v>
      </c>
      <c r="L21" s="1" t="str">
        <f t="shared" si="1"/>
        <v>Derrick Henry</v>
      </c>
      <c r="M21" s="124">
        <f>IFERROR(VLOOKUP(E21,RISK!A:B,2,FALSE()),"")</f>
        <v>3</v>
      </c>
      <c r="N21" s="116">
        <f t="shared" si="2"/>
        <v>179.7211765</v>
      </c>
      <c r="Q21" s="8" t="s">
        <v>334</v>
      </c>
      <c r="R21" s="116">
        <f>Aggregate!BG23</f>
        <v>176.8658824</v>
      </c>
      <c r="S21" s="8"/>
      <c r="T21" s="8"/>
    </row>
    <row r="22" ht="14.25" customHeight="1">
      <c r="A22" s="1">
        <v>21.0</v>
      </c>
      <c r="B22" s="1">
        <v>2.0</v>
      </c>
      <c r="C22" s="1" t="s">
        <v>407</v>
      </c>
      <c r="D22" s="1" t="s">
        <v>155</v>
      </c>
      <c r="E22" s="1" t="s">
        <v>259</v>
      </c>
      <c r="F22" s="1">
        <v>5.0</v>
      </c>
      <c r="G22" s="1" t="s">
        <v>1000</v>
      </c>
      <c r="H22" s="1" t="s">
        <v>1010</v>
      </c>
      <c r="I22" s="1" t="s">
        <v>1007</v>
      </c>
      <c r="J22" s="1">
        <v>-4.0</v>
      </c>
      <c r="K22" s="1">
        <v>21.0</v>
      </c>
      <c r="L22" s="1" t="str">
        <f t="shared" si="1"/>
        <v>Kenneth Walker III</v>
      </c>
      <c r="M22" s="124">
        <f>IFERROR(VLOOKUP(E22,RISK!A:B,2,FALSE()),"")</f>
        <v>3</v>
      </c>
      <c r="N22" s="116">
        <f t="shared" si="2"/>
        <v>179.6565588</v>
      </c>
      <c r="Q22" s="8" t="s">
        <v>338</v>
      </c>
      <c r="R22" s="116">
        <f>Aggregate!BG24</f>
        <v>173.0145579</v>
      </c>
      <c r="S22" s="8"/>
      <c r="T22" s="8"/>
    </row>
    <row r="23" ht="14.25" customHeight="1">
      <c r="A23" s="1">
        <v>22.0</v>
      </c>
      <c r="B23" s="1">
        <v>3.0</v>
      </c>
      <c r="C23" s="1" t="s">
        <v>405</v>
      </c>
      <c r="D23" s="1" t="s">
        <v>222</v>
      </c>
      <c r="E23" s="1" t="s">
        <v>267</v>
      </c>
      <c r="F23" s="1">
        <v>13.0</v>
      </c>
      <c r="G23" s="1" t="s">
        <v>1009</v>
      </c>
      <c r="H23" s="1" t="s">
        <v>1009</v>
      </c>
      <c r="I23" s="1" t="s">
        <v>1003</v>
      </c>
      <c r="J23" s="1">
        <v>-11.0</v>
      </c>
      <c r="K23" s="1">
        <v>22.0</v>
      </c>
      <c r="L23" s="1" t="str">
        <f t="shared" si="1"/>
        <v>Ashton Jeanty</v>
      </c>
      <c r="M23" s="124">
        <f>IFERROR(VLOOKUP(E23,RISK!A:B,2,FALSE()),"")</f>
        <v>3</v>
      </c>
      <c r="N23" s="116">
        <f t="shared" si="2"/>
        <v>178.4058824</v>
      </c>
      <c r="Q23" s="8" t="s">
        <v>342</v>
      </c>
      <c r="R23" s="116">
        <f>Aggregate!BG25</f>
        <v>171.6249431</v>
      </c>
      <c r="S23" s="8"/>
      <c r="T23" s="8"/>
    </row>
    <row r="24" ht="14.25" customHeight="1">
      <c r="A24" s="1">
        <v>23.0</v>
      </c>
      <c r="B24" s="1">
        <v>3.0</v>
      </c>
      <c r="C24" s="1" t="s">
        <v>584</v>
      </c>
      <c r="D24" s="1" t="s">
        <v>150</v>
      </c>
      <c r="E24" s="1" t="s">
        <v>253</v>
      </c>
      <c r="F24" s="1">
        <v>14.0</v>
      </c>
      <c r="G24" s="1" t="s">
        <v>1009</v>
      </c>
      <c r="H24" s="1" t="s">
        <v>1009</v>
      </c>
      <c r="I24" s="1" t="s">
        <v>1003</v>
      </c>
      <c r="J24" s="1">
        <v>2.0</v>
      </c>
      <c r="K24" s="1">
        <v>23.0</v>
      </c>
      <c r="L24" s="1" t="str">
        <f t="shared" si="1"/>
        <v>George Pickens</v>
      </c>
      <c r="M24" s="124">
        <f>IFERROR(VLOOKUP(E24,RISK!A:B,2,FALSE()),"")</f>
        <v>2.266</v>
      </c>
      <c r="N24" s="116">
        <f t="shared" si="2"/>
        <v>172.2002868</v>
      </c>
      <c r="Q24" s="8" t="s">
        <v>346</v>
      </c>
      <c r="R24" s="116">
        <f>Aggregate!BG26</f>
        <v>165.7419294</v>
      </c>
      <c r="S24" s="8"/>
      <c r="T24" s="8"/>
    </row>
    <row r="25" ht="14.25" customHeight="1">
      <c r="A25" s="1">
        <v>24.0</v>
      </c>
      <c r="B25" s="1">
        <v>3.0</v>
      </c>
      <c r="C25" s="1" t="s">
        <v>579</v>
      </c>
      <c r="D25" s="1" t="s">
        <v>182</v>
      </c>
      <c r="E25" s="1" t="s">
        <v>261</v>
      </c>
      <c r="F25" s="1">
        <v>8.0</v>
      </c>
      <c r="G25" s="1" t="s">
        <v>1009</v>
      </c>
      <c r="H25" s="1" t="s">
        <v>1009</v>
      </c>
      <c r="I25" s="1" t="s">
        <v>1007</v>
      </c>
      <c r="J25" s="1">
        <v>4.0</v>
      </c>
      <c r="K25" s="1">
        <v>24.0</v>
      </c>
      <c r="L25" s="1" t="str">
        <f t="shared" si="1"/>
        <v>Chris Olave</v>
      </c>
      <c r="M25" s="124">
        <f>IFERROR(VLOOKUP(E25,RISK!A:B,2,FALSE()),"")</f>
        <v>2.3365</v>
      </c>
      <c r="N25" s="116">
        <f t="shared" si="2"/>
        <v>170.3823882</v>
      </c>
      <c r="Q25" s="8" t="s">
        <v>350</v>
      </c>
      <c r="R25" s="116">
        <f>Aggregate!BG27</f>
        <v>164.6185412</v>
      </c>
      <c r="S25" s="8"/>
      <c r="T25" s="8"/>
    </row>
    <row r="26" ht="14.25" customHeight="1">
      <c r="A26" s="1">
        <v>25.0</v>
      </c>
      <c r="B26" s="1">
        <v>3.0</v>
      </c>
      <c r="C26" s="1" t="s">
        <v>734</v>
      </c>
      <c r="D26" s="1" t="s">
        <v>217</v>
      </c>
      <c r="E26" s="1" t="s">
        <v>156</v>
      </c>
      <c r="F26" s="1">
        <v>14.0</v>
      </c>
      <c r="G26" s="1" t="s">
        <v>1009</v>
      </c>
      <c r="H26" s="1" t="s">
        <v>1005</v>
      </c>
      <c r="I26" s="1" t="s">
        <v>1003</v>
      </c>
      <c r="J26" s="1">
        <v>-2.0</v>
      </c>
      <c r="K26" s="1">
        <v>25.0</v>
      </c>
      <c r="L26" s="1" t="str">
        <f t="shared" si="1"/>
        <v>Trey McBride</v>
      </c>
      <c r="M26" s="124">
        <f>IFERROR(VLOOKUP(E26,RISK!A:B,2,FALSE()),"")</f>
        <v>2.3576</v>
      </c>
      <c r="N26" s="116">
        <f t="shared" si="2"/>
        <v>161.9112132</v>
      </c>
      <c r="Q26" s="8" t="s">
        <v>354</v>
      </c>
      <c r="R26" s="116">
        <f>Aggregate!BG28</f>
        <v>146.7166118</v>
      </c>
      <c r="S26" s="8"/>
      <c r="T26" s="8"/>
    </row>
    <row r="27" ht="14.25" customHeight="1">
      <c r="A27" s="1">
        <v>26.0</v>
      </c>
      <c r="B27" s="1">
        <v>3.0</v>
      </c>
      <c r="C27" s="1" t="s">
        <v>17</v>
      </c>
      <c r="D27" s="1" t="s">
        <v>18</v>
      </c>
      <c r="E27" s="1" t="s">
        <v>89</v>
      </c>
      <c r="F27" s="1">
        <v>7.0</v>
      </c>
      <c r="G27" s="1" t="s">
        <v>1000</v>
      </c>
      <c r="H27" s="1" t="s">
        <v>1001</v>
      </c>
      <c r="I27" s="1" t="s">
        <v>1007</v>
      </c>
      <c r="J27" s="1">
        <v>-7.0</v>
      </c>
      <c r="K27" s="1">
        <v>26.0</v>
      </c>
      <c r="L27" s="1" t="str">
        <f t="shared" si="1"/>
        <v>Josh Allen</v>
      </c>
      <c r="M27" s="124">
        <f>IFERROR(VLOOKUP(E27,RISK!A:B,2,FALSE()),"")</f>
        <v>1.7985</v>
      </c>
      <c r="N27" s="116">
        <f t="shared" si="2"/>
        <v>283.6423826</v>
      </c>
      <c r="Q27" s="8" t="s">
        <v>358</v>
      </c>
      <c r="R27" s="116">
        <f>Aggregate!BG29</f>
        <v>143.1205647</v>
      </c>
      <c r="S27" s="8"/>
      <c r="T27" s="8"/>
    </row>
    <row r="28" ht="14.25" customHeight="1">
      <c r="B28" s="1">
        <v>3.0</v>
      </c>
      <c r="K28" s="1">
        <v>27.0</v>
      </c>
      <c r="L28" s="1" t="str">
        <f t="shared" si="1"/>
        <v/>
      </c>
      <c r="M28" s="124" t="str">
        <f>IFERROR(VLOOKUP(E28,RISK!A:B,2,FALSE()),"")</f>
        <v/>
      </c>
      <c r="N28" s="116" t="str">
        <f t="shared" si="2"/>
        <v>#N/A</v>
      </c>
      <c r="Q28" s="8" t="s">
        <v>362</v>
      </c>
      <c r="R28" s="116">
        <f>Aggregate!BG30</f>
        <v>141.2291765</v>
      </c>
      <c r="S28" s="8"/>
      <c r="T28" s="8"/>
    </row>
    <row r="29" ht="14.25" customHeight="1">
      <c r="A29" s="1">
        <v>27.0</v>
      </c>
      <c r="B29" s="1">
        <v>3.0</v>
      </c>
      <c r="C29" s="1" t="s">
        <v>597</v>
      </c>
      <c r="D29" s="1" t="s">
        <v>134</v>
      </c>
      <c r="E29" s="1" t="s">
        <v>269</v>
      </c>
      <c r="F29" s="1">
        <v>8.0</v>
      </c>
      <c r="G29" s="1" t="s">
        <v>1009</v>
      </c>
      <c r="H29" s="1" t="s">
        <v>1009</v>
      </c>
      <c r="I29" s="1" t="s">
        <v>1004</v>
      </c>
      <c r="J29" s="1">
        <v>2.0</v>
      </c>
      <c r="K29" s="1">
        <v>28.0</v>
      </c>
      <c r="L29" s="1" t="str">
        <f t="shared" si="1"/>
        <v>Malik Nabers</v>
      </c>
      <c r="M29" s="124">
        <f>IFERROR(VLOOKUP(E29,RISK!A:B,2,FALSE()),"")</f>
        <v>2.4062</v>
      </c>
      <c r="N29" s="116">
        <f t="shared" si="2"/>
        <v>168.5221092</v>
      </c>
      <c r="Q29" s="8" t="s">
        <v>366</v>
      </c>
      <c r="R29" s="116">
        <f>Aggregate!BG31</f>
        <v>140.8346353</v>
      </c>
      <c r="S29" s="8"/>
      <c r="T29" s="8"/>
    </row>
    <row r="30" ht="14.25" customHeight="1">
      <c r="A30" s="1">
        <v>28.0</v>
      </c>
      <c r="B30" s="1">
        <v>3.0</v>
      </c>
      <c r="C30" s="1" t="s">
        <v>569</v>
      </c>
      <c r="D30" s="1" t="s">
        <v>155</v>
      </c>
      <c r="E30" s="1" t="s">
        <v>277</v>
      </c>
      <c r="F30" s="1">
        <v>5.0</v>
      </c>
      <c r="G30" s="1" t="s">
        <v>1009</v>
      </c>
      <c r="H30" s="1" t="s">
        <v>1009</v>
      </c>
      <c r="I30" s="1" t="s">
        <v>1003</v>
      </c>
      <c r="J30" s="1">
        <v>4.0</v>
      </c>
      <c r="K30" s="1">
        <v>29.0</v>
      </c>
      <c r="L30" s="1" t="str">
        <f t="shared" si="1"/>
        <v>Rashee Rice</v>
      </c>
      <c r="M30" s="124">
        <f>IFERROR(VLOOKUP(E30,RISK!A:B,2,FALSE()),"")</f>
        <v>2.4751</v>
      </c>
      <c r="N30" s="116">
        <f t="shared" si="2"/>
        <v>159.8311026</v>
      </c>
      <c r="Q30" s="8" t="s">
        <v>370</v>
      </c>
      <c r="R30" s="116">
        <f>Aggregate!BG32</f>
        <v>115.3355294</v>
      </c>
      <c r="S30" s="8"/>
      <c r="T30" s="8"/>
    </row>
    <row r="31" ht="14.25" customHeight="1">
      <c r="A31" s="1">
        <v>29.0</v>
      </c>
      <c r="B31" s="1">
        <v>3.0</v>
      </c>
      <c r="C31" s="1" t="s">
        <v>600</v>
      </c>
      <c r="D31" s="1" t="s">
        <v>117</v>
      </c>
      <c r="E31" s="1" t="s">
        <v>286</v>
      </c>
      <c r="F31" s="1">
        <v>10.0</v>
      </c>
      <c r="G31" s="1" t="s">
        <v>1009</v>
      </c>
      <c r="H31" s="1" t="s">
        <v>1005</v>
      </c>
      <c r="I31" s="1" t="s">
        <v>1004</v>
      </c>
      <c r="J31" s="1">
        <v>4.0</v>
      </c>
      <c r="K31" s="1">
        <v>30.0</v>
      </c>
      <c r="L31" s="1" t="str">
        <f t="shared" si="1"/>
        <v>DeVonta Smith</v>
      </c>
      <c r="M31" s="124">
        <f>IFERROR(VLOOKUP(E31,RISK!A:B,2,FALSE()),"")</f>
        <v>2.5432</v>
      </c>
      <c r="N31" s="116">
        <f t="shared" si="2"/>
        <v>158.4922991</v>
      </c>
      <c r="Q31" s="8" t="s">
        <v>374</v>
      </c>
      <c r="R31" s="116">
        <f>Aggregate!BG33</f>
        <v>91.2384</v>
      </c>
      <c r="S31" s="8"/>
      <c r="T31" s="8"/>
    </row>
    <row r="32" ht="14.25" customHeight="1">
      <c r="A32" s="1">
        <v>30.0</v>
      </c>
      <c r="B32" s="1">
        <v>3.0</v>
      </c>
      <c r="C32" s="1" t="s">
        <v>594</v>
      </c>
      <c r="D32" s="1" t="s">
        <v>61</v>
      </c>
      <c r="E32" s="1" t="s">
        <v>294</v>
      </c>
      <c r="F32" s="1">
        <v>13.0</v>
      </c>
      <c r="G32" s="1" t="s">
        <v>1009</v>
      </c>
      <c r="H32" s="1" t="s">
        <v>1005</v>
      </c>
      <c r="I32" s="1" t="s">
        <v>1004</v>
      </c>
      <c r="J32" s="1">
        <v>5.0</v>
      </c>
      <c r="K32" s="1">
        <v>31.0</v>
      </c>
      <c r="L32" s="1" t="str">
        <f t="shared" si="1"/>
        <v>Zay Flowers</v>
      </c>
      <c r="M32" s="124">
        <f>IFERROR(VLOOKUP(E32,RISK!A:B,2,FALSE()),"")</f>
        <v>2.6105</v>
      </c>
      <c r="N32" s="116">
        <f t="shared" si="2"/>
        <v>152.6159435</v>
      </c>
      <c r="Q32" s="8" t="s">
        <v>378</v>
      </c>
      <c r="R32" s="116">
        <f>Aggregate!BG34</f>
        <v>73.77769412</v>
      </c>
      <c r="S32" s="8"/>
      <c r="T32" s="8"/>
    </row>
    <row r="33" ht="14.25" customHeight="1">
      <c r="A33" s="1">
        <v>31.0</v>
      </c>
      <c r="B33" s="1">
        <v>3.0</v>
      </c>
      <c r="C33" s="1" t="s">
        <v>418</v>
      </c>
      <c r="D33" s="1" t="s">
        <v>176</v>
      </c>
      <c r="E33" s="1" t="s">
        <v>276</v>
      </c>
      <c r="F33" s="1">
        <v>11.0</v>
      </c>
      <c r="G33" s="1" t="s">
        <v>1009</v>
      </c>
      <c r="H33" s="1" t="s">
        <v>1005</v>
      </c>
      <c r="I33" s="1" t="s">
        <v>1002</v>
      </c>
      <c r="J33" s="1">
        <v>-5.0</v>
      </c>
      <c r="K33" s="1">
        <v>32.0</v>
      </c>
      <c r="L33" s="1" t="str">
        <f t="shared" si="1"/>
        <v>Kyren Williams</v>
      </c>
      <c r="M33" s="124">
        <f>IFERROR(VLOOKUP(E33,RISK!A:B,2,FALSE()),"")</f>
        <v>3</v>
      </c>
      <c r="N33" s="116">
        <f t="shared" si="2"/>
        <v>176.3947059</v>
      </c>
      <c r="Q33" s="8" t="s">
        <v>382</v>
      </c>
      <c r="R33" s="116">
        <f>Aggregate!BG35</f>
        <v>72.02936471</v>
      </c>
      <c r="S33" s="8"/>
      <c r="T33" s="8"/>
    </row>
    <row r="34" ht="14.25" customHeight="1">
      <c r="A34" s="1">
        <v>32.0</v>
      </c>
      <c r="B34" s="1">
        <v>3.0</v>
      </c>
      <c r="C34" s="1" t="s">
        <v>612</v>
      </c>
      <c r="D34" s="1" t="s">
        <v>127</v>
      </c>
      <c r="E34" s="1" t="s">
        <v>302</v>
      </c>
      <c r="F34" s="1">
        <v>6.0</v>
      </c>
      <c r="G34" s="1" t="s">
        <v>1000</v>
      </c>
      <c r="H34" s="1" t="s">
        <v>1005</v>
      </c>
      <c r="I34" s="1" t="s">
        <v>1004</v>
      </c>
      <c r="J34" s="1">
        <v>6.0</v>
      </c>
      <c r="K34" s="1">
        <v>33.0</v>
      </c>
      <c r="L34" s="1" t="str">
        <f t="shared" si="1"/>
        <v>Tee Higgins</v>
      </c>
      <c r="M34" s="124">
        <f>IFERROR(VLOOKUP(E34,RISK!A:B,2,FALSE()),"")</f>
        <v>2.677</v>
      </c>
      <c r="N34" s="116">
        <f t="shared" si="2"/>
        <v>150.9831379</v>
      </c>
      <c r="Q34" s="8" t="s">
        <v>389</v>
      </c>
      <c r="R34" s="116">
        <f>Aggregate!BG36</f>
        <v>53.99491765</v>
      </c>
      <c r="S34" s="8"/>
      <c r="T34" s="8"/>
    </row>
    <row r="35" ht="14.25" customHeight="1">
      <c r="A35" s="1">
        <v>33.0</v>
      </c>
      <c r="B35" s="1">
        <v>3.0</v>
      </c>
      <c r="C35" s="1" t="s">
        <v>424</v>
      </c>
      <c r="D35" s="1" t="s">
        <v>150</v>
      </c>
      <c r="E35" s="1" t="s">
        <v>284</v>
      </c>
      <c r="F35" s="1">
        <v>14.0</v>
      </c>
      <c r="G35" s="1" t="s">
        <v>1009</v>
      </c>
      <c r="H35" s="1" t="s">
        <v>1009</v>
      </c>
      <c r="I35" s="1" t="s">
        <v>1004</v>
      </c>
      <c r="J35" s="1">
        <v>-2.0</v>
      </c>
      <c r="K35" s="1">
        <v>34.0</v>
      </c>
      <c r="L35" s="1" t="str">
        <f t="shared" si="1"/>
        <v>Javonte Williams</v>
      </c>
      <c r="M35" s="124">
        <f>IFERROR(VLOOKUP(E35,RISK!A:B,2,FALSE()),"")</f>
        <v>3</v>
      </c>
      <c r="N35" s="116">
        <f t="shared" si="2"/>
        <v>175.3164706</v>
      </c>
      <c r="Q35" s="8" t="s">
        <v>397</v>
      </c>
      <c r="R35" s="116">
        <f>Aggregate!BG37</f>
        <v>28.24734118</v>
      </c>
      <c r="S35" s="8"/>
      <c r="T35" s="8"/>
    </row>
    <row r="36" ht="14.25" customHeight="1">
      <c r="A36" s="1">
        <v>34.0</v>
      </c>
      <c r="B36" s="1">
        <v>3.0</v>
      </c>
      <c r="C36" s="1" t="s">
        <v>604</v>
      </c>
      <c r="D36" s="1" t="s">
        <v>208</v>
      </c>
      <c r="E36" s="1" t="s">
        <v>310</v>
      </c>
      <c r="F36" s="1">
        <v>5.0</v>
      </c>
      <c r="G36" s="1" t="s">
        <v>1009</v>
      </c>
      <c r="H36" s="1" t="s">
        <v>1010</v>
      </c>
      <c r="I36" s="1" t="s">
        <v>1003</v>
      </c>
      <c r="J36" s="1">
        <v>5.0</v>
      </c>
      <c r="K36" s="1">
        <v>35.0</v>
      </c>
      <c r="L36" s="1" t="str">
        <f t="shared" si="1"/>
        <v>Tetairoa McMillan</v>
      </c>
      <c r="M36" s="124">
        <f>IFERROR(VLOOKUP(E36,RISK!A:B,2,FALSE()),"")</f>
        <v>2.7427</v>
      </c>
      <c r="N36" s="116">
        <f t="shared" si="2"/>
        <v>150.5639359</v>
      </c>
      <c r="Q36" s="8" t="s">
        <v>404</v>
      </c>
      <c r="R36" s="116">
        <f>Aggregate!BG38</f>
        <v>16.26654118</v>
      </c>
      <c r="S36" s="8"/>
      <c r="T36" s="8"/>
    </row>
    <row r="37" ht="14.25" customHeight="1">
      <c r="A37" s="1">
        <v>35.0</v>
      </c>
      <c r="B37" s="1">
        <v>3.0</v>
      </c>
      <c r="C37" s="1" t="s">
        <v>415</v>
      </c>
      <c r="D37" s="1" t="s">
        <v>210</v>
      </c>
      <c r="E37" s="1" t="s">
        <v>292</v>
      </c>
      <c r="F37" s="1">
        <v>13.0</v>
      </c>
      <c r="G37" s="1" t="s">
        <v>1009</v>
      </c>
      <c r="H37" s="1" t="s">
        <v>1009</v>
      </c>
      <c r="I37" s="1" t="s">
        <v>1007</v>
      </c>
      <c r="J37" s="1">
        <v>-1.0</v>
      </c>
      <c r="K37" s="1">
        <v>36.0</v>
      </c>
      <c r="L37" s="1" t="str">
        <f t="shared" si="1"/>
        <v>Breece Hall</v>
      </c>
      <c r="M37" s="124">
        <f>IFERROR(VLOOKUP(E37,RISK!A:B,2,FALSE()),"")</f>
        <v>3</v>
      </c>
      <c r="N37" s="116">
        <f t="shared" si="2"/>
        <v>170.9117647</v>
      </c>
      <c r="Q37" s="8" t="s">
        <v>412</v>
      </c>
      <c r="R37" s="116">
        <f>Aggregate!BG39</f>
        <v>14.88865882</v>
      </c>
      <c r="S37" s="8"/>
      <c r="T37" s="8"/>
    </row>
    <row r="38" ht="14.25" customHeight="1">
      <c r="A38" s="1">
        <v>36.0</v>
      </c>
      <c r="B38" s="1">
        <v>3.0</v>
      </c>
      <c r="C38" s="1" t="s">
        <v>60</v>
      </c>
      <c r="D38" s="1" t="s">
        <v>61</v>
      </c>
      <c r="E38" s="1" t="s">
        <v>141</v>
      </c>
      <c r="F38" s="1">
        <v>13.0</v>
      </c>
      <c r="G38" s="1" t="s">
        <v>1009</v>
      </c>
      <c r="H38" s="1" t="s">
        <v>1010</v>
      </c>
      <c r="I38" s="1" t="s">
        <v>1007</v>
      </c>
      <c r="J38" s="1">
        <v>1.0</v>
      </c>
      <c r="K38" s="1">
        <v>37.0</v>
      </c>
      <c r="L38" s="1" t="str">
        <f t="shared" si="1"/>
        <v>Lamar Jackson</v>
      </c>
      <c r="M38" s="124">
        <f>IFERROR(VLOOKUP(E38,RISK!A:B,2,FALSE()),"")</f>
        <v>1.7646</v>
      </c>
      <c r="N38" s="116">
        <f t="shared" si="2"/>
        <v>249.9434784</v>
      </c>
      <c r="Q38" s="8" t="s">
        <v>420</v>
      </c>
      <c r="R38" s="116">
        <f>Aggregate!BG40</f>
        <v>13.48668235</v>
      </c>
      <c r="S38" s="8"/>
      <c r="T38" s="8"/>
    </row>
    <row r="39" ht="14.25" customHeight="1">
      <c r="A39" s="1">
        <v>37.0</v>
      </c>
      <c r="B39" s="1">
        <v>3.0</v>
      </c>
      <c r="C39" s="1" t="s">
        <v>413</v>
      </c>
      <c r="D39" s="1" t="s">
        <v>199</v>
      </c>
      <c r="E39" s="1" t="s">
        <v>300</v>
      </c>
      <c r="F39" s="1">
        <v>11.0</v>
      </c>
      <c r="G39" s="1" t="s">
        <v>1009</v>
      </c>
      <c r="H39" s="1" t="s">
        <v>1010</v>
      </c>
      <c r="I39" s="1" t="s">
        <v>1004</v>
      </c>
      <c r="J39" s="1">
        <v>-7.0</v>
      </c>
      <c r="K39" s="1">
        <v>38.0</v>
      </c>
      <c r="L39" s="1" t="str">
        <f t="shared" si="1"/>
        <v>Josh Jacobs</v>
      </c>
      <c r="M39" s="124">
        <f>IFERROR(VLOOKUP(E39,RISK!A:B,2,FALSE()),"")</f>
        <v>3</v>
      </c>
      <c r="N39" s="116">
        <f t="shared" si="2"/>
        <v>170.2311765</v>
      </c>
      <c r="Q39" s="8" t="s">
        <v>427</v>
      </c>
      <c r="R39" s="116">
        <f>Aggregate!BG41</f>
        <v>12.09976471</v>
      </c>
      <c r="S39" s="8"/>
      <c r="T39" s="8"/>
    </row>
    <row r="40" ht="14.25" customHeight="1">
      <c r="A40" s="1">
        <v>38.0</v>
      </c>
      <c r="B40" s="1">
        <v>3.0</v>
      </c>
      <c r="C40" s="1" t="s">
        <v>591</v>
      </c>
      <c r="D40" s="1" t="s">
        <v>210</v>
      </c>
      <c r="E40" s="1" t="s">
        <v>319</v>
      </c>
      <c r="F40" s="1">
        <v>13.0</v>
      </c>
      <c r="G40" s="1" t="s">
        <v>1009</v>
      </c>
      <c r="H40" s="1" t="s">
        <v>1010</v>
      </c>
      <c r="I40" s="1" t="s">
        <v>1004</v>
      </c>
      <c r="J40" s="1">
        <v>6.0</v>
      </c>
      <c r="K40" s="1">
        <v>39.0</v>
      </c>
      <c r="L40" s="1" t="str">
        <f t="shared" si="1"/>
        <v>Garrett Wilson</v>
      </c>
      <c r="M40" s="124">
        <f>IFERROR(VLOOKUP(E40,RISK!A:B,2,FALSE()),"")</f>
        <v>2.8076</v>
      </c>
      <c r="N40" s="116">
        <f t="shared" si="2"/>
        <v>146.4769868</v>
      </c>
      <c r="Q40" s="8" t="s">
        <v>435</v>
      </c>
      <c r="R40" s="116">
        <f>Aggregate!BG42</f>
        <v>7.985694118</v>
      </c>
      <c r="S40" s="8"/>
      <c r="T40" s="8"/>
    </row>
    <row r="41" ht="14.25" customHeight="1">
      <c r="A41" s="1">
        <v>39.0</v>
      </c>
      <c r="B41" s="1">
        <v>4.0</v>
      </c>
      <c r="C41" s="1" t="s">
        <v>622</v>
      </c>
      <c r="D41" s="1" t="s">
        <v>170</v>
      </c>
      <c r="E41" s="1" t="s">
        <v>328</v>
      </c>
      <c r="F41" s="1">
        <v>10.0</v>
      </c>
      <c r="G41" s="1" t="s">
        <v>1009</v>
      </c>
      <c r="H41" s="1" t="s">
        <v>1010</v>
      </c>
      <c r="I41" s="1" t="s">
        <v>1003</v>
      </c>
      <c r="J41" s="1">
        <v>7.0</v>
      </c>
      <c r="K41" s="1">
        <v>40.0</v>
      </c>
      <c r="L41" s="1" t="str">
        <f t="shared" si="1"/>
        <v>Jaylen Waddle</v>
      </c>
      <c r="M41" s="124">
        <f>IFERROR(VLOOKUP(E41,RISK!A:B,2,FALSE()),"")</f>
        <v>2.8717</v>
      </c>
      <c r="N41" s="116">
        <f t="shared" si="2"/>
        <v>145.8790129</v>
      </c>
      <c r="Q41" s="8" t="s">
        <v>443</v>
      </c>
      <c r="R41" s="116">
        <f>Aggregate!BG43</f>
        <v>7.664941176</v>
      </c>
      <c r="S41" s="8"/>
      <c r="T41" s="8"/>
    </row>
    <row r="42" ht="14.25" customHeight="1">
      <c r="A42" s="1">
        <v>40.0</v>
      </c>
      <c r="B42" s="1">
        <v>4.0</v>
      </c>
      <c r="C42" s="1" t="s">
        <v>615</v>
      </c>
      <c r="D42" s="1" t="s">
        <v>164</v>
      </c>
      <c r="E42" s="1" t="s">
        <v>332</v>
      </c>
      <c r="F42" s="1">
        <v>7.0</v>
      </c>
      <c r="G42" s="1" t="s">
        <v>1009</v>
      </c>
      <c r="H42" s="1" t="s">
        <v>1009</v>
      </c>
      <c r="I42" s="1" t="s">
        <v>1003</v>
      </c>
      <c r="J42" s="1">
        <v>3.0</v>
      </c>
      <c r="K42" s="1">
        <v>41.0</v>
      </c>
      <c r="L42" s="1" t="str">
        <f t="shared" si="1"/>
        <v>Ladd McConkey</v>
      </c>
      <c r="M42" s="124">
        <f>IFERROR(VLOOKUP(E42,RISK!A:B,2,FALSE()),"")</f>
        <v>2.935</v>
      </c>
      <c r="N42" s="116">
        <f t="shared" si="2"/>
        <v>142.1865196</v>
      </c>
      <c r="Q42" s="8" t="s">
        <v>450</v>
      </c>
      <c r="R42" s="116">
        <f>Aggregate!BG44</f>
        <v>7.637835294</v>
      </c>
      <c r="S42" s="8"/>
      <c r="T42" s="8"/>
    </row>
    <row r="43" ht="14.25" customHeight="1">
      <c r="A43" s="1">
        <v>41.0</v>
      </c>
      <c r="B43" s="1">
        <v>4.0</v>
      </c>
      <c r="C43" s="1" t="s">
        <v>738</v>
      </c>
      <c r="D43" s="1" t="s">
        <v>159</v>
      </c>
      <c r="E43" s="1" t="s">
        <v>180</v>
      </c>
      <c r="F43" s="1">
        <v>10.0</v>
      </c>
      <c r="G43" s="1" t="s">
        <v>1000</v>
      </c>
      <c r="H43" s="1" t="s">
        <v>1005</v>
      </c>
      <c r="I43" s="1" t="s">
        <v>1003</v>
      </c>
      <c r="J43" s="1">
        <v>1.0</v>
      </c>
      <c r="K43" s="1">
        <v>42.0</v>
      </c>
      <c r="L43" s="1" t="str">
        <f t="shared" si="1"/>
        <v>Colston Loveland</v>
      </c>
      <c r="M43" s="124">
        <f>IFERROR(VLOOKUP(E43,RISK!A:B,2,FALSE()),"")</f>
        <v>2.4313</v>
      </c>
      <c r="N43" s="116">
        <f t="shared" si="2"/>
        <v>137.3312072</v>
      </c>
      <c r="Q43" s="8" t="s">
        <v>458</v>
      </c>
      <c r="R43" s="116">
        <f>Aggregate!BG45</f>
        <v>7.3216</v>
      </c>
      <c r="S43" s="8"/>
      <c r="T43" s="8"/>
    </row>
    <row r="44" ht="14.25" customHeight="1">
      <c r="A44" s="1">
        <v>42.0</v>
      </c>
      <c r="B44" s="1">
        <v>4.0</v>
      </c>
      <c r="C44" s="1" t="s">
        <v>607</v>
      </c>
      <c r="D44" s="1" t="s">
        <v>186</v>
      </c>
      <c r="E44" s="1" t="s">
        <v>336</v>
      </c>
      <c r="F44" s="1">
        <v>10.0</v>
      </c>
      <c r="G44" s="1" t="s">
        <v>1000</v>
      </c>
      <c r="H44" s="1" t="s">
        <v>1010</v>
      </c>
      <c r="I44" s="1" t="s">
        <v>1004</v>
      </c>
      <c r="J44" s="1">
        <v>-1.0</v>
      </c>
      <c r="K44" s="1">
        <v>43.0</v>
      </c>
      <c r="L44" s="1" t="str">
        <f t="shared" si="1"/>
        <v>Emeka Egbuka</v>
      </c>
      <c r="M44" s="124">
        <f>IFERROR(VLOOKUP(E44,RISK!A:B,2,FALSE()),"")</f>
        <v>2.9975</v>
      </c>
      <c r="N44" s="116">
        <f t="shared" si="2"/>
        <v>138.9693512</v>
      </c>
      <c r="Q44" s="8" t="s">
        <v>466</v>
      </c>
      <c r="R44" s="116">
        <f>Aggregate!BG46</f>
        <v>6.764423529</v>
      </c>
      <c r="S44" s="8"/>
      <c r="T44" s="8"/>
    </row>
    <row r="45" ht="14.25" customHeight="1">
      <c r="A45" s="1">
        <v>43.0</v>
      </c>
      <c r="B45" s="1">
        <v>4.0</v>
      </c>
      <c r="C45" s="1" t="s">
        <v>409</v>
      </c>
      <c r="D45" s="1" t="s">
        <v>217</v>
      </c>
      <c r="E45" s="1" t="s">
        <v>308</v>
      </c>
      <c r="F45" s="1">
        <v>14.0</v>
      </c>
      <c r="G45" s="1" t="s">
        <v>1000</v>
      </c>
      <c r="H45" s="1" t="s">
        <v>1010</v>
      </c>
      <c r="I45" s="1" t="s">
        <v>1003</v>
      </c>
      <c r="J45" s="1">
        <v>-16.0</v>
      </c>
      <c r="K45" s="1">
        <v>44.0</v>
      </c>
      <c r="L45" s="1" t="str">
        <f t="shared" si="1"/>
        <v>Jeremiyah Love</v>
      </c>
      <c r="M45" s="124">
        <f>IFERROR(VLOOKUP(E45,RISK!A:B,2,FALSE()),"")</f>
        <v>3</v>
      </c>
      <c r="N45" s="116">
        <f t="shared" si="2"/>
        <v>166.8129412</v>
      </c>
      <c r="Q45" s="8" t="s">
        <v>473</v>
      </c>
      <c r="R45" s="116">
        <f>Aggregate!BG47</f>
        <v>6.659011765</v>
      </c>
      <c r="S45" s="8"/>
      <c r="T45" s="8"/>
    </row>
    <row r="46" ht="14.25" customHeight="1">
      <c r="A46" s="1">
        <v>44.0</v>
      </c>
      <c r="B46" s="1">
        <v>4.0</v>
      </c>
      <c r="C46" s="1" t="s">
        <v>93</v>
      </c>
      <c r="D46" s="1" t="s">
        <v>94</v>
      </c>
      <c r="E46" s="1" t="s">
        <v>166</v>
      </c>
      <c r="F46" s="1">
        <v>11.0</v>
      </c>
      <c r="G46" s="1" t="s">
        <v>1000</v>
      </c>
      <c r="H46" s="1" t="s">
        <v>1005</v>
      </c>
      <c r="I46" s="1" t="s">
        <v>1003</v>
      </c>
      <c r="J46" s="1">
        <v>8.0</v>
      </c>
      <c r="K46" s="1">
        <v>45.0</v>
      </c>
      <c r="L46" s="1" t="str">
        <f t="shared" si="1"/>
        <v>Drake Maye</v>
      </c>
      <c r="M46" s="124">
        <f>IFERROR(VLOOKUP(E46,RISK!A:B,2,FALSE()),"")</f>
        <v>1.7403</v>
      </c>
      <c r="N46" s="116">
        <f t="shared" si="2"/>
        <v>243.8018853</v>
      </c>
      <c r="Q46" s="8" t="s">
        <v>481</v>
      </c>
      <c r="R46" s="116">
        <f>Aggregate!BG48</f>
        <v>6.511435294</v>
      </c>
      <c r="S46" s="8"/>
      <c r="T46" s="8"/>
    </row>
    <row r="47" ht="14.25" customHeight="1">
      <c r="A47" s="1">
        <v>45.0</v>
      </c>
      <c r="B47" s="1">
        <v>4.0</v>
      </c>
      <c r="C47" s="1" t="s">
        <v>419</v>
      </c>
      <c r="D47" s="1" t="s">
        <v>182</v>
      </c>
      <c r="E47" s="1" t="s">
        <v>317</v>
      </c>
      <c r="F47" s="1">
        <v>8.0</v>
      </c>
      <c r="G47" s="1" t="s">
        <v>1009</v>
      </c>
      <c r="H47" s="1" t="s">
        <v>1010</v>
      </c>
      <c r="I47" s="1" t="s">
        <v>1007</v>
      </c>
      <c r="J47" s="1">
        <v>-5.0</v>
      </c>
      <c r="K47" s="1">
        <v>46.0</v>
      </c>
      <c r="L47" s="1" t="str">
        <f t="shared" si="1"/>
        <v>Travis Etienne Jr.</v>
      </c>
      <c r="M47" s="124">
        <f>IFERROR(VLOOKUP(E47,RISK!A:B,2,FALSE()),"")</f>
        <v>3</v>
      </c>
      <c r="N47" s="116">
        <f t="shared" si="2"/>
        <v>163.1576471</v>
      </c>
      <c r="Q47" s="8" t="s">
        <v>489</v>
      </c>
      <c r="R47" s="116">
        <f>Aggregate!BG49</f>
        <v>5.689223529</v>
      </c>
      <c r="S47" s="8"/>
      <c r="T47" s="8"/>
    </row>
    <row r="48" ht="14.25" customHeight="1">
      <c r="A48" s="1">
        <v>46.0</v>
      </c>
      <c r="B48" s="1">
        <v>4.0</v>
      </c>
      <c r="C48" s="1" t="s">
        <v>625</v>
      </c>
      <c r="D48" s="1" t="s">
        <v>106</v>
      </c>
      <c r="E48" s="1" t="s">
        <v>340</v>
      </c>
      <c r="F48" s="1">
        <v>7.0</v>
      </c>
      <c r="G48" s="1" t="s">
        <v>1009</v>
      </c>
      <c r="H48" s="1" t="s">
        <v>1005</v>
      </c>
      <c r="I48" s="1" t="s">
        <v>1003</v>
      </c>
      <c r="J48" s="1">
        <v>10.0</v>
      </c>
      <c r="K48" s="1">
        <v>47.0</v>
      </c>
      <c r="L48" s="1" t="str">
        <f t="shared" si="1"/>
        <v>Terry McLaurin</v>
      </c>
      <c r="M48" s="124">
        <f>IFERROR(VLOOKUP(E48,RISK!A:B,2,FALSE()),"")</f>
        <v>3.0592</v>
      </c>
      <c r="N48" s="116">
        <f t="shared" si="2"/>
        <v>138.9578029</v>
      </c>
      <c r="Q48" s="8" t="s">
        <v>497</v>
      </c>
      <c r="R48" s="116">
        <f>Aggregate!BG50</f>
        <v>5.583811765</v>
      </c>
      <c r="S48" s="8"/>
      <c r="T48" s="8"/>
    </row>
    <row r="49" ht="14.25" customHeight="1">
      <c r="A49" s="1">
        <v>47.0</v>
      </c>
      <c r="B49" s="1">
        <v>4.0</v>
      </c>
      <c r="C49" s="1" t="s">
        <v>610</v>
      </c>
      <c r="D49" s="1" t="s">
        <v>176</v>
      </c>
      <c r="E49" s="1" t="s">
        <v>344</v>
      </c>
      <c r="F49" s="1">
        <v>11.0</v>
      </c>
      <c r="G49" s="1" t="s">
        <v>1010</v>
      </c>
      <c r="H49" s="1" t="s">
        <v>1009</v>
      </c>
      <c r="I49" s="1" t="s">
        <v>1006</v>
      </c>
      <c r="J49" s="1">
        <v>10.0</v>
      </c>
      <c r="K49" s="1">
        <v>48.0</v>
      </c>
      <c r="L49" s="1" t="str">
        <f t="shared" si="1"/>
        <v>Davante Adams</v>
      </c>
      <c r="M49" s="124">
        <f>IFERROR(VLOOKUP(E49,RISK!A:B,2,FALSE()),"")</f>
        <v>3.1201</v>
      </c>
      <c r="N49" s="116">
        <f t="shared" si="2"/>
        <v>133.6251784</v>
      </c>
      <c r="Q49" s="8" t="s">
        <v>103</v>
      </c>
      <c r="R49" s="116">
        <f>Aggregate!BL3</f>
        <v>257.8588235</v>
      </c>
      <c r="S49" s="8"/>
      <c r="T49" s="8"/>
    </row>
    <row r="50" ht="14.25" customHeight="1">
      <c r="A50" s="1">
        <v>48.0</v>
      </c>
      <c r="B50" s="1">
        <v>4.0</v>
      </c>
      <c r="C50" s="1" t="s">
        <v>428</v>
      </c>
      <c r="D50" s="1" t="s">
        <v>159</v>
      </c>
      <c r="E50" s="1" t="s">
        <v>325</v>
      </c>
      <c r="F50" s="1">
        <v>10.0</v>
      </c>
      <c r="G50" s="1" t="s">
        <v>1010</v>
      </c>
      <c r="H50" s="1" t="s">
        <v>1010</v>
      </c>
      <c r="I50" s="1" t="s">
        <v>1003</v>
      </c>
      <c r="J50" s="1">
        <v>1.0</v>
      </c>
      <c r="K50" s="1">
        <v>49.0</v>
      </c>
      <c r="L50" s="1" t="str">
        <f t="shared" si="1"/>
        <v>D'Andre Swift</v>
      </c>
      <c r="M50" s="124">
        <f>IFERROR(VLOOKUP(E50,RISK!A:B,2,FALSE()),"")</f>
        <v>3</v>
      </c>
      <c r="N50" s="116">
        <f t="shared" si="2"/>
        <v>162.3164706</v>
      </c>
      <c r="Q50" s="8" t="s">
        <v>147</v>
      </c>
      <c r="R50" s="116">
        <f>Aggregate!BL4</f>
        <v>243.62</v>
      </c>
      <c r="S50" s="8"/>
      <c r="T50" s="8"/>
    </row>
    <row r="51" ht="14.25" customHeight="1">
      <c r="A51" s="1">
        <v>49.0</v>
      </c>
      <c r="B51" s="1">
        <v>4.0</v>
      </c>
      <c r="C51" s="1" t="s">
        <v>126</v>
      </c>
      <c r="D51" s="1" t="s">
        <v>127</v>
      </c>
      <c r="E51" s="1" t="s">
        <v>184</v>
      </c>
      <c r="F51" s="1">
        <v>6.0</v>
      </c>
      <c r="G51" s="1" t="s">
        <v>1009</v>
      </c>
      <c r="H51" s="1" t="s">
        <v>1010</v>
      </c>
      <c r="I51" s="1" t="s">
        <v>1007</v>
      </c>
      <c r="J51" s="1">
        <v>4.0</v>
      </c>
      <c r="K51" s="1">
        <v>50.0</v>
      </c>
      <c r="L51" s="1" t="str">
        <f t="shared" si="1"/>
        <v>Joe Burrow</v>
      </c>
      <c r="M51" s="124">
        <f>IFERROR(VLOOKUP(E51,RISK!A:B,2,FALSE()),"")</f>
        <v>1.7256</v>
      </c>
      <c r="N51" s="116">
        <f t="shared" si="2"/>
        <v>241.6046135</v>
      </c>
      <c r="Q51" s="8" t="s">
        <v>172</v>
      </c>
      <c r="R51" s="116">
        <f>Aggregate!BL5</f>
        <v>225.9858824</v>
      </c>
      <c r="S51" s="8"/>
      <c r="T51" s="8"/>
    </row>
    <row r="52" ht="14.25" customHeight="1">
      <c r="A52" s="1">
        <v>50.0</v>
      </c>
      <c r="B52" s="1">
        <v>4.0</v>
      </c>
      <c r="C52" s="1" t="s">
        <v>632</v>
      </c>
      <c r="D52" s="1" t="s">
        <v>159</v>
      </c>
      <c r="E52" s="1" t="s">
        <v>348</v>
      </c>
      <c r="F52" s="1">
        <v>10.0</v>
      </c>
      <c r="G52" s="1" t="s">
        <v>1009</v>
      </c>
      <c r="H52" s="1" t="s">
        <v>1009</v>
      </c>
      <c r="I52" s="1" t="s">
        <v>1007</v>
      </c>
      <c r="J52" s="1">
        <v>4.0</v>
      </c>
      <c r="K52" s="1">
        <v>51.0</v>
      </c>
      <c r="L52" s="1" t="str">
        <f t="shared" si="1"/>
        <v>Luther Burden III</v>
      </c>
      <c r="M52" s="124">
        <f>IFERROR(VLOOKUP(E52,RISK!A:B,2,FALSE()),"")</f>
        <v>3.1802</v>
      </c>
      <c r="N52" s="116">
        <f t="shared" si="2"/>
        <v>133.5457011</v>
      </c>
      <c r="Q52" s="8" t="s">
        <v>187</v>
      </c>
      <c r="R52" s="116">
        <f>Aggregate!BL6</f>
        <v>221.0458824</v>
      </c>
      <c r="S52" s="8"/>
      <c r="T52" s="8"/>
    </row>
    <row r="53" ht="14.25" customHeight="1">
      <c r="A53" s="1">
        <v>51.0</v>
      </c>
      <c r="B53" s="1">
        <v>4.0</v>
      </c>
      <c r="C53" s="1" t="s">
        <v>422</v>
      </c>
      <c r="D53" s="1" t="s">
        <v>134</v>
      </c>
      <c r="E53" s="1" t="s">
        <v>331</v>
      </c>
      <c r="F53" s="1">
        <v>8.0</v>
      </c>
      <c r="G53" s="1" t="s">
        <v>1009</v>
      </c>
      <c r="H53" s="1" t="s">
        <v>1009</v>
      </c>
      <c r="I53" s="1" t="s">
        <v>1004</v>
      </c>
      <c r="J53" s="1">
        <v>-15.0</v>
      </c>
      <c r="K53" s="1">
        <v>52.0</v>
      </c>
      <c r="L53" s="1" t="str">
        <f t="shared" si="1"/>
        <v>Cam Skattebo</v>
      </c>
      <c r="M53" s="124">
        <f>IFERROR(VLOOKUP(E53,RISK!A:B,2,FALSE()),"")</f>
        <v>3</v>
      </c>
      <c r="N53" s="116">
        <f t="shared" si="2"/>
        <v>157.0247059</v>
      </c>
      <c r="Q53" s="8" t="s">
        <v>200</v>
      </c>
      <c r="R53" s="116">
        <f>Aggregate!BL7</f>
        <v>202.4482353</v>
      </c>
      <c r="S53" s="8"/>
      <c r="T53" s="8"/>
    </row>
    <row r="54" ht="14.25" customHeight="1">
      <c r="A54" s="1">
        <v>52.0</v>
      </c>
      <c r="B54" s="1">
        <v>4.0</v>
      </c>
      <c r="C54" s="1" t="s">
        <v>740</v>
      </c>
      <c r="D54" s="1" t="s">
        <v>193</v>
      </c>
      <c r="E54" s="1" t="s">
        <v>194</v>
      </c>
      <c r="F54" s="1">
        <v>13.0</v>
      </c>
      <c r="G54" s="1" t="s">
        <v>1000</v>
      </c>
      <c r="H54" s="1" t="s">
        <v>1005</v>
      </c>
      <c r="I54" s="1" t="s">
        <v>1007</v>
      </c>
      <c r="J54" s="1">
        <v>-1.0</v>
      </c>
      <c r="K54" s="1">
        <v>53.0</v>
      </c>
      <c r="L54" s="1" t="str">
        <f t="shared" si="1"/>
        <v>Tyler Warren</v>
      </c>
      <c r="M54" s="124">
        <f>IFERROR(VLOOKUP(E54,RISK!A:B,2,FALSE()),"")</f>
        <v>2.4986</v>
      </c>
      <c r="N54" s="116">
        <f t="shared" si="2"/>
        <v>126.87345</v>
      </c>
      <c r="Q54" s="8" t="s">
        <v>212</v>
      </c>
      <c r="R54" s="116">
        <f>Aggregate!BL8</f>
        <v>198.6247059</v>
      </c>
      <c r="S54" s="8"/>
      <c r="T54" s="8"/>
    </row>
    <row r="55" ht="14.25" customHeight="1">
      <c r="A55" s="1">
        <v>53.0</v>
      </c>
      <c r="B55" s="1">
        <v>4.0</v>
      </c>
      <c r="C55" s="1" t="s">
        <v>619</v>
      </c>
      <c r="D55" s="1" t="s">
        <v>179</v>
      </c>
      <c r="E55" s="1" t="s">
        <v>352</v>
      </c>
      <c r="F55" s="1">
        <v>6.0</v>
      </c>
      <c r="G55" s="1" t="s">
        <v>1009</v>
      </c>
      <c r="H55" s="1" t="s">
        <v>1010</v>
      </c>
      <c r="I55" s="1" t="s">
        <v>1004</v>
      </c>
      <c r="J55" s="1">
        <v>7.0</v>
      </c>
      <c r="K55" s="1">
        <v>54.0</v>
      </c>
      <c r="L55" s="1" t="str">
        <f t="shared" si="1"/>
        <v>Jameson Williams</v>
      </c>
      <c r="M55" s="124">
        <f>IFERROR(VLOOKUP(E55,RISK!A:B,2,FALSE()),"")</f>
        <v>3.2395</v>
      </c>
      <c r="N55" s="116">
        <f t="shared" si="2"/>
        <v>130.0161776</v>
      </c>
      <c r="Q55" s="8" t="s">
        <v>224</v>
      </c>
      <c r="R55" s="116">
        <f>Aggregate!BL9</f>
        <v>194.1817647</v>
      </c>
      <c r="S55" s="8"/>
      <c r="T55" s="8"/>
    </row>
    <row r="56" ht="14.25" customHeight="1">
      <c r="A56" s="1">
        <v>54.0</v>
      </c>
      <c r="B56" s="1">
        <v>4.0</v>
      </c>
      <c r="C56" s="1" t="s">
        <v>426</v>
      </c>
      <c r="D56" s="1" t="s">
        <v>186</v>
      </c>
      <c r="E56" s="1" t="s">
        <v>335</v>
      </c>
      <c r="F56" s="1">
        <v>10.0</v>
      </c>
      <c r="G56" s="1" t="s">
        <v>1010</v>
      </c>
      <c r="H56" s="1" t="s">
        <v>1009</v>
      </c>
      <c r="I56" s="1" t="s">
        <v>1003</v>
      </c>
      <c r="J56" s="1">
        <v>-7.0</v>
      </c>
      <c r="K56" s="1">
        <v>55.0</v>
      </c>
      <c r="L56" s="1" t="str">
        <f t="shared" si="1"/>
        <v>Bucky Irving</v>
      </c>
      <c r="M56" s="124">
        <f>IFERROR(VLOOKUP(E56,RISK!A:B,2,FALSE()),"")</f>
        <v>3</v>
      </c>
      <c r="N56" s="116">
        <f t="shared" si="2"/>
        <v>155.6635294</v>
      </c>
      <c r="Q56" s="8" t="s">
        <v>235</v>
      </c>
      <c r="R56" s="116">
        <f>Aggregate!BL10</f>
        <v>188.89</v>
      </c>
      <c r="S56" s="8"/>
      <c r="T56" s="8"/>
    </row>
    <row r="57" ht="14.25" customHeight="1">
      <c r="A57" s="1">
        <v>55.0</v>
      </c>
      <c r="B57" s="1">
        <v>4.0</v>
      </c>
      <c r="C57" s="1" t="s">
        <v>430</v>
      </c>
      <c r="D57" s="1" t="s">
        <v>226</v>
      </c>
      <c r="E57" s="1" t="s">
        <v>339</v>
      </c>
      <c r="F57" s="1">
        <v>11.0</v>
      </c>
      <c r="G57" s="1" t="s">
        <v>1009</v>
      </c>
      <c r="H57" s="1" t="s">
        <v>1009</v>
      </c>
      <c r="I57" s="1" t="s">
        <v>1007</v>
      </c>
      <c r="J57" s="1">
        <v>-10.0</v>
      </c>
      <c r="K57" s="1">
        <v>56.0</v>
      </c>
      <c r="L57" s="1" t="str">
        <f t="shared" si="1"/>
        <v>Quinshon Judkins</v>
      </c>
      <c r="M57" s="124">
        <f>IFERROR(VLOOKUP(E57,RISK!A:B,2,FALSE()),"")</f>
        <v>3</v>
      </c>
      <c r="N57" s="116">
        <f t="shared" si="2"/>
        <v>152.0464706</v>
      </c>
      <c r="Q57" s="8" t="s">
        <v>243</v>
      </c>
      <c r="R57" s="116">
        <f>Aggregate!BL11</f>
        <v>186.2823529</v>
      </c>
      <c r="S57" s="8"/>
      <c r="T57" s="8"/>
    </row>
    <row r="58" ht="14.25" customHeight="1">
      <c r="A58" s="1">
        <v>56.0</v>
      </c>
      <c r="B58" s="1">
        <v>4.0</v>
      </c>
      <c r="C58" s="1" t="s">
        <v>434</v>
      </c>
      <c r="D58" s="1" t="s">
        <v>205</v>
      </c>
      <c r="E58" s="1" t="s">
        <v>343</v>
      </c>
      <c r="F58" s="1">
        <v>8.0</v>
      </c>
      <c r="G58" s="1" t="s">
        <v>1009</v>
      </c>
      <c r="H58" s="1" t="s">
        <v>1005</v>
      </c>
      <c r="I58" s="1" t="s">
        <v>1004</v>
      </c>
      <c r="J58" s="1">
        <v>-8.0</v>
      </c>
      <c r="K58" s="1">
        <v>57.0</v>
      </c>
      <c r="L58" s="1" t="str">
        <f t="shared" si="1"/>
        <v>David Montgomery</v>
      </c>
      <c r="M58" s="124">
        <f>IFERROR(VLOOKUP(E58,RISK!A:B,2,FALSE()),"")</f>
        <v>2.9582</v>
      </c>
      <c r="N58" s="116">
        <f t="shared" si="2"/>
        <v>150.1237235</v>
      </c>
      <c r="Q58" s="8" t="s">
        <v>251</v>
      </c>
      <c r="R58" s="116">
        <f>Aggregate!BL12</f>
        <v>179.7211765</v>
      </c>
      <c r="S58" s="8"/>
      <c r="T58" s="8"/>
    </row>
    <row r="59" ht="14.25" customHeight="1">
      <c r="A59" s="1">
        <v>57.0</v>
      </c>
      <c r="B59" s="1">
        <v>4.0</v>
      </c>
      <c r="C59" s="1" t="s">
        <v>628</v>
      </c>
      <c r="D59" s="1" t="s">
        <v>18</v>
      </c>
      <c r="E59" s="1" t="s">
        <v>356</v>
      </c>
      <c r="F59" s="1">
        <v>7.0</v>
      </c>
      <c r="G59" s="1" t="s">
        <v>1009</v>
      </c>
      <c r="H59" s="1" t="s">
        <v>1005</v>
      </c>
      <c r="I59" s="1" t="s">
        <v>1004</v>
      </c>
      <c r="J59" s="1">
        <v>-7.0</v>
      </c>
      <c r="K59" s="1">
        <v>58.0</v>
      </c>
      <c r="L59" s="1" t="str">
        <f t="shared" si="1"/>
        <v>DJ Moore</v>
      </c>
      <c r="M59" s="124">
        <f>IFERROR(VLOOKUP(E59,RISK!A:B,2,FALSE()),"")</f>
        <v>3.298</v>
      </c>
      <c r="N59" s="116">
        <f t="shared" si="2"/>
        <v>129.4347336</v>
      </c>
      <c r="Q59" s="8" t="s">
        <v>259</v>
      </c>
      <c r="R59" s="116">
        <f>Aggregate!BL13</f>
        <v>179.6565588</v>
      </c>
      <c r="S59" s="8"/>
      <c r="T59" s="8"/>
    </row>
    <row r="60" ht="14.25" customHeight="1">
      <c r="A60" s="1">
        <v>58.0</v>
      </c>
      <c r="B60" s="1">
        <v>4.0</v>
      </c>
      <c r="C60" s="1" t="s">
        <v>648</v>
      </c>
      <c r="D60" s="1" t="s">
        <v>199</v>
      </c>
      <c r="E60" s="1" t="s">
        <v>360</v>
      </c>
      <c r="F60" s="1">
        <v>11.0</v>
      </c>
      <c r="G60" s="1" t="s">
        <v>1009</v>
      </c>
      <c r="H60" s="1" t="s">
        <v>1009</v>
      </c>
      <c r="I60" s="1" t="s">
        <v>1002</v>
      </c>
      <c r="J60" s="1">
        <v>8.0</v>
      </c>
      <c r="K60" s="1">
        <v>59.0</v>
      </c>
      <c r="L60" s="1" t="str">
        <f t="shared" si="1"/>
        <v>Christian Watson</v>
      </c>
      <c r="M60" s="124">
        <f>IFERROR(VLOOKUP(E60,RISK!A:B,2,FALSE()),"")</f>
        <v>3.3557</v>
      </c>
      <c r="N60" s="116">
        <f t="shared" si="2"/>
        <v>128.1583422</v>
      </c>
      <c r="Q60" s="8" t="s">
        <v>267</v>
      </c>
      <c r="R60" s="116">
        <f>Aggregate!BL14</f>
        <v>178.4058824</v>
      </c>
      <c r="S60" s="8"/>
      <c r="T60" s="8"/>
    </row>
    <row r="61" ht="14.25" customHeight="1">
      <c r="A61" s="1">
        <v>59.0</v>
      </c>
      <c r="B61" s="1">
        <v>4.0</v>
      </c>
      <c r="C61" s="1" t="s">
        <v>105</v>
      </c>
      <c r="D61" s="1" t="s">
        <v>106</v>
      </c>
      <c r="E61" s="1" t="s">
        <v>197</v>
      </c>
      <c r="F61" s="1">
        <v>7.0</v>
      </c>
      <c r="G61" s="1" t="s">
        <v>1009</v>
      </c>
      <c r="H61" s="1" t="s">
        <v>1009</v>
      </c>
      <c r="I61" s="1" t="s">
        <v>1003</v>
      </c>
      <c r="J61" s="1">
        <v>2.0</v>
      </c>
      <c r="K61" s="1">
        <v>60.0</v>
      </c>
      <c r="L61" s="1" t="str">
        <f t="shared" si="1"/>
        <v>Jayden Daniels</v>
      </c>
      <c r="M61" s="124">
        <f>IFERROR(VLOOKUP(E61,RISK!A:B,2,FALSE()),"")</f>
        <v>1.7205</v>
      </c>
      <c r="N61" s="116">
        <f t="shared" si="2"/>
        <v>239.0489096</v>
      </c>
      <c r="Q61" s="8" t="s">
        <v>276</v>
      </c>
      <c r="R61" s="116">
        <f>Aggregate!BL15</f>
        <v>176.3947059</v>
      </c>
      <c r="S61" s="8"/>
      <c r="T61" s="8"/>
    </row>
    <row r="62" ht="14.25" customHeight="1">
      <c r="A62" s="1">
        <v>60.0</v>
      </c>
      <c r="B62" s="1">
        <v>4.0</v>
      </c>
      <c r="C62" s="1" t="s">
        <v>638</v>
      </c>
      <c r="D62" s="1" t="s">
        <v>140</v>
      </c>
      <c r="E62" s="1" t="s">
        <v>364</v>
      </c>
      <c r="F62" s="1">
        <v>8.0</v>
      </c>
      <c r="G62" s="1" t="s">
        <v>1009</v>
      </c>
      <c r="H62" s="1" t="s">
        <v>1010</v>
      </c>
      <c r="I62" s="1" t="s">
        <v>1003</v>
      </c>
      <c r="J62" s="1">
        <v>4.0</v>
      </c>
      <c r="K62" s="1">
        <v>61.0</v>
      </c>
      <c r="L62" s="1" t="str">
        <f t="shared" si="1"/>
        <v>Mike Evans</v>
      </c>
      <c r="M62" s="124">
        <f>IFERROR(VLOOKUP(E62,RISK!A:B,2,FALSE()),"")</f>
        <v>3.4126</v>
      </c>
      <c r="N62" s="116">
        <f t="shared" si="2"/>
        <v>125.999874</v>
      </c>
      <c r="Q62" s="8" t="s">
        <v>284</v>
      </c>
      <c r="R62" s="116">
        <f>Aggregate!BL16</f>
        <v>175.3164706</v>
      </c>
      <c r="S62" s="8"/>
      <c r="T62" s="8"/>
    </row>
    <row r="63" ht="14.25" customHeight="1">
      <c r="A63" s="1">
        <v>61.0</v>
      </c>
      <c r="B63" s="1">
        <v>4.0</v>
      </c>
      <c r="C63" s="1" t="s">
        <v>635</v>
      </c>
      <c r="D63" s="1" t="s">
        <v>159</v>
      </c>
      <c r="E63" s="1" t="s">
        <v>368</v>
      </c>
      <c r="F63" s="1">
        <v>10.0</v>
      </c>
      <c r="G63" s="1" t="s">
        <v>1009</v>
      </c>
      <c r="H63" s="1" t="s">
        <v>1010</v>
      </c>
      <c r="I63" s="1" t="s">
        <v>1007</v>
      </c>
      <c r="J63" s="1">
        <v>2.0</v>
      </c>
      <c r="K63" s="1">
        <v>62.0</v>
      </c>
      <c r="L63" s="1" t="str">
        <f t="shared" si="1"/>
        <v>Rome Odunze</v>
      </c>
      <c r="M63" s="124">
        <f>IFERROR(VLOOKUP(E63,RISK!A:B,2,FALSE()),"")</f>
        <v>3.4687</v>
      </c>
      <c r="N63" s="116">
        <f t="shared" si="2"/>
        <v>123.4306815</v>
      </c>
      <c r="Q63" s="8" t="s">
        <v>292</v>
      </c>
      <c r="R63" s="116">
        <f>Aggregate!BL17</f>
        <v>170.9117647</v>
      </c>
      <c r="S63" s="8"/>
      <c r="T63" s="8"/>
    </row>
    <row r="64" ht="14.25" customHeight="1">
      <c r="A64" s="1">
        <v>62.0</v>
      </c>
      <c r="B64" s="1">
        <v>4.0</v>
      </c>
      <c r="C64" s="1" t="s">
        <v>116</v>
      </c>
      <c r="D64" s="1" t="s">
        <v>117</v>
      </c>
      <c r="E64" s="1" t="s">
        <v>211</v>
      </c>
      <c r="F64" s="1">
        <v>10.0</v>
      </c>
      <c r="G64" s="1" t="s">
        <v>1009</v>
      </c>
      <c r="H64" s="1" t="s">
        <v>1010</v>
      </c>
      <c r="I64" s="1" t="s">
        <v>1002</v>
      </c>
      <c r="J64" s="1">
        <v>0.0</v>
      </c>
      <c r="K64" s="1">
        <v>63.0</v>
      </c>
      <c r="L64" s="1" t="str">
        <f t="shared" si="1"/>
        <v>Jalen Hurts</v>
      </c>
      <c r="M64" s="124">
        <f>IFERROR(VLOOKUP(E64,RISK!A:B,2,FALSE()),"")</f>
        <v>1.725</v>
      </c>
      <c r="N64" s="116">
        <f t="shared" si="2"/>
        <v>237.250604</v>
      </c>
      <c r="Q64" s="8" t="s">
        <v>300</v>
      </c>
      <c r="R64" s="116">
        <f>Aggregate!BL18</f>
        <v>170.2311765</v>
      </c>
      <c r="S64" s="8"/>
      <c r="T64" s="8"/>
    </row>
    <row r="65" ht="14.25" customHeight="1">
      <c r="A65" s="1">
        <v>63.0</v>
      </c>
      <c r="B65" s="1">
        <v>5.0</v>
      </c>
      <c r="C65" s="1" t="s">
        <v>432</v>
      </c>
      <c r="D65" s="1" t="s">
        <v>145</v>
      </c>
      <c r="E65" s="1" t="s">
        <v>347</v>
      </c>
      <c r="F65" s="1">
        <v>7.0</v>
      </c>
      <c r="G65" s="1" t="s">
        <v>1009</v>
      </c>
      <c r="H65" s="1" t="s">
        <v>1010</v>
      </c>
      <c r="I65" s="1" t="s">
        <v>1004</v>
      </c>
      <c r="J65" s="1">
        <v>-5.0</v>
      </c>
      <c r="K65" s="1">
        <v>64.0</v>
      </c>
      <c r="L65" s="1" t="str">
        <f t="shared" si="1"/>
        <v>Bhayshul Tuten</v>
      </c>
      <c r="M65" s="124">
        <f>IFERROR(VLOOKUP(E65,RISK!A:B,2,FALSE()),"")</f>
        <v>2.9818</v>
      </c>
      <c r="N65" s="116">
        <f t="shared" si="2"/>
        <v>147.1592644</v>
      </c>
      <c r="Q65" s="8" t="s">
        <v>308</v>
      </c>
      <c r="R65" s="116">
        <f>Aggregate!BL19</f>
        <v>166.8129412</v>
      </c>
      <c r="S65" s="8"/>
      <c r="T65" s="8"/>
    </row>
    <row r="66" ht="14.25" customHeight="1">
      <c r="A66" s="1">
        <v>64.0</v>
      </c>
      <c r="B66" s="1">
        <v>5.0</v>
      </c>
      <c r="C66" s="1" t="s">
        <v>438</v>
      </c>
      <c r="D66" s="1" t="s">
        <v>94</v>
      </c>
      <c r="E66" s="1" t="s">
        <v>351</v>
      </c>
      <c r="F66" s="1">
        <v>11.0</v>
      </c>
      <c r="G66" s="1" t="s">
        <v>1009</v>
      </c>
      <c r="H66" s="1" t="s">
        <v>1009</v>
      </c>
      <c r="I66" s="1" t="s">
        <v>1003</v>
      </c>
      <c r="J66" s="1">
        <v>-9.0</v>
      </c>
      <c r="K66" s="1">
        <v>65.0</v>
      </c>
      <c r="L66" s="1" t="str">
        <f t="shared" si="1"/>
        <v>TreVeyon Henderson</v>
      </c>
      <c r="M66" s="124">
        <f>IFERROR(VLOOKUP(E66,RISK!A:B,2,FALSE()),"")</f>
        <v>3.006</v>
      </c>
      <c r="N66" s="116">
        <f t="shared" si="2"/>
        <v>138.4348712</v>
      </c>
      <c r="Q66" s="8" t="s">
        <v>317</v>
      </c>
      <c r="R66" s="116">
        <f>Aggregate!BL20</f>
        <v>163.1576471</v>
      </c>
      <c r="S66" s="8"/>
      <c r="T66" s="8"/>
    </row>
    <row r="67" ht="14.25" customHeight="1">
      <c r="A67" s="1">
        <v>65.0</v>
      </c>
      <c r="B67" s="1">
        <v>5.0</v>
      </c>
      <c r="C67" s="1" t="s">
        <v>442</v>
      </c>
      <c r="D67" s="1" t="s">
        <v>202</v>
      </c>
      <c r="E67" s="1" t="s">
        <v>355</v>
      </c>
      <c r="F67" s="1">
        <v>11.0</v>
      </c>
      <c r="G67" s="1" t="s">
        <v>1009</v>
      </c>
      <c r="H67" s="1" t="s">
        <v>1009</v>
      </c>
      <c r="I67" s="1" t="s">
        <v>1004</v>
      </c>
      <c r="J67" s="1">
        <v>-6.0</v>
      </c>
      <c r="K67" s="1">
        <v>66.0</v>
      </c>
      <c r="L67" s="1" t="str">
        <f t="shared" si="1"/>
        <v>Jadarian Price</v>
      </c>
      <c r="M67" s="124">
        <f>IFERROR(VLOOKUP(E67,RISK!A:B,2,FALSE()),"")</f>
        <v>3.0308</v>
      </c>
      <c r="N67" s="116">
        <f t="shared" si="2"/>
        <v>133.2649353</v>
      </c>
      <c r="Q67" s="8" t="s">
        <v>325</v>
      </c>
      <c r="R67" s="116">
        <f>Aggregate!BL21</f>
        <v>162.3164706</v>
      </c>
      <c r="S67" s="8"/>
      <c r="T67" s="8"/>
    </row>
    <row r="68" ht="14.25" customHeight="1">
      <c r="A68" s="1">
        <v>66.0</v>
      </c>
      <c r="B68" s="1">
        <v>5.0</v>
      </c>
      <c r="C68" s="1" t="s">
        <v>158</v>
      </c>
      <c r="D68" s="1" t="s">
        <v>159</v>
      </c>
      <c r="E68" s="1" t="s">
        <v>223</v>
      </c>
      <c r="F68" s="1">
        <v>10.0</v>
      </c>
      <c r="G68" s="1" t="s">
        <v>1000</v>
      </c>
      <c r="H68" s="1" t="s">
        <v>1005</v>
      </c>
      <c r="I68" s="1" t="s">
        <v>1007</v>
      </c>
      <c r="J68" s="1">
        <v>5.0</v>
      </c>
      <c r="K68" s="1">
        <v>67.0</v>
      </c>
      <c r="L68" s="1" t="str">
        <f t="shared" si="1"/>
        <v>Caleb Williams</v>
      </c>
      <c r="M68" s="124">
        <f>IFERROR(VLOOKUP(E68,RISK!A:B,2,FALSE()),"")</f>
        <v>1.7391</v>
      </c>
      <c r="N68" s="116">
        <f t="shared" si="2"/>
        <v>226.1493522</v>
      </c>
      <c r="Q68" s="8" t="s">
        <v>331</v>
      </c>
      <c r="R68" s="116">
        <f>Aggregate!BL22</f>
        <v>157.0247059</v>
      </c>
      <c r="S68" s="8"/>
      <c r="T68" s="8"/>
    </row>
    <row r="69" ht="14.25" customHeight="1">
      <c r="A69" s="1">
        <v>67.0</v>
      </c>
      <c r="B69" s="1">
        <v>5.0</v>
      </c>
      <c r="C69" s="1" t="s">
        <v>660</v>
      </c>
      <c r="D69" s="1" t="s">
        <v>145</v>
      </c>
      <c r="E69" s="1" t="s">
        <v>372</v>
      </c>
      <c r="F69" s="1">
        <v>7.0</v>
      </c>
      <c r="G69" s="1" t="s">
        <v>1009</v>
      </c>
      <c r="H69" s="1" t="s">
        <v>1010</v>
      </c>
      <c r="I69" s="1" t="s">
        <v>1004</v>
      </c>
      <c r="J69" s="1">
        <v>2.0</v>
      </c>
      <c r="K69" s="1">
        <v>68.0</v>
      </c>
      <c r="L69" s="1" t="str">
        <f t="shared" si="1"/>
        <v>Parker Washington</v>
      </c>
      <c r="M69" s="124">
        <f>IFERROR(VLOOKUP(E69,RISK!A:B,2,FALSE()),"")</f>
        <v>3.524</v>
      </c>
      <c r="N69" s="116">
        <f t="shared" si="2"/>
        <v>120.7004462</v>
      </c>
      <c r="Q69" s="8" t="s">
        <v>335</v>
      </c>
      <c r="R69" s="116">
        <f>Aggregate!BL23</f>
        <v>155.6635294</v>
      </c>
      <c r="S69" s="8"/>
      <c r="T69" s="8"/>
    </row>
    <row r="70" ht="14.25" customHeight="1">
      <c r="A70" s="1">
        <v>68.0</v>
      </c>
      <c r="B70" s="1">
        <v>5.0</v>
      </c>
      <c r="C70" s="1" t="s">
        <v>755</v>
      </c>
      <c r="D70" s="1" t="s">
        <v>199</v>
      </c>
      <c r="E70" s="1" t="s">
        <v>206</v>
      </c>
      <c r="F70" s="1">
        <v>11.0</v>
      </c>
      <c r="G70" s="1" t="s">
        <v>1000</v>
      </c>
      <c r="H70" s="1" t="s">
        <v>1005</v>
      </c>
      <c r="I70" s="1" t="s">
        <v>1003</v>
      </c>
      <c r="J70" s="1">
        <v>-3.0</v>
      </c>
      <c r="K70" s="1">
        <v>69.0</v>
      </c>
      <c r="L70" s="1" t="str">
        <f t="shared" si="1"/>
        <v>Tucker Kraft</v>
      </c>
      <c r="M70" s="124">
        <f>IFERROR(VLOOKUP(E70,RISK!A:B,2,FALSE()),"")</f>
        <v>2.5595</v>
      </c>
      <c r="N70" s="116">
        <f t="shared" si="2"/>
        <v>119.9070635</v>
      </c>
      <c r="Q70" s="8" t="s">
        <v>339</v>
      </c>
      <c r="R70" s="116">
        <f>Aggregate!BL24</f>
        <v>152.0464706</v>
      </c>
      <c r="S70" s="8"/>
      <c r="T70" s="8"/>
    </row>
    <row r="71" ht="14.25" customHeight="1">
      <c r="A71" s="1">
        <v>69.0</v>
      </c>
      <c r="B71" s="1">
        <v>5.0</v>
      </c>
      <c r="C71" s="1" t="s">
        <v>163</v>
      </c>
      <c r="D71" s="1" t="s">
        <v>164</v>
      </c>
      <c r="E71" s="1" t="s">
        <v>233</v>
      </c>
      <c r="F71" s="1">
        <v>7.0</v>
      </c>
      <c r="G71" s="1" t="s">
        <v>1009</v>
      </c>
      <c r="H71" s="1" t="s">
        <v>1005</v>
      </c>
      <c r="I71" s="1" t="s">
        <v>1003</v>
      </c>
      <c r="J71" s="1">
        <v>10.0</v>
      </c>
      <c r="K71" s="1">
        <v>70.0</v>
      </c>
      <c r="L71" s="1" t="str">
        <f t="shared" si="1"/>
        <v>Justin Herbert</v>
      </c>
      <c r="M71" s="124">
        <f>IFERROR(VLOOKUP(E71,RISK!A:B,2,FALSE()),"")</f>
        <v>1.7628</v>
      </c>
      <c r="N71" s="116">
        <f t="shared" si="2"/>
        <v>225.379812</v>
      </c>
      <c r="Q71" s="8" t="s">
        <v>343</v>
      </c>
      <c r="R71" s="116">
        <f>Aggregate!BL25</f>
        <v>150.1237235</v>
      </c>
      <c r="S71" s="8"/>
      <c r="T71" s="8"/>
    </row>
    <row r="72" ht="14.25" customHeight="1">
      <c r="A72" s="1">
        <v>70.0</v>
      </c>
      <c r="B72" s="1">
        <v>5.0</v>
      </c>
      <c r="C72" s="1" t="s">
        <v>441</v>
      </c>
      <c r="D72" s="1" t="s">
        <v>94</v>
      </c>
      <c r="E72" s="1" t="s">
        <v>359</v>
      </c>
      <c r="F72" s="1">
        <v>11.0</v>
      </c>
      <c r="G72" s="1" t="s">
        <v>1009</v>
      </c>
      <c r="H72" s="1" t="s">
        <v>1010</v>
      </c>
      <c r="I72" s="1" t="s">
        <v>1003</v>
      </c>
      <c r="J72" s="1">
        <v>2.0</v>
      </c>
      <c r="K72" s="1">
        <v>71.0</v>
      </c>
      <c r="L72" s="1" t="str">
        <f t="shared" si="1"/>
        <v>Rhamondre Stevenson</v>
      </c>
      <c r="M72" s="124">
        <f>IFERROR(VLOOKUP(E72,RISK!A:B,2,FALSE()),"")</f>
        <v>3.0562</v>
      </c>
      <c r="N72" s="116">
        <f t="shared" si="2"/>
        <v>130.8193205</v>
      </c>
      <c r="Q72" s="8" t="s">
        <v>347</v>
      </c>
      <c r="R72" s="116">
        <f>Aggregate!BL26</f>
        <v>147.1592644</v>
      </c>
      <c r="S72" s="8"/>
      <c r="T72" s="8"/>
    </row>
    <row r="73" ht="14.25" customHeight="1">
      <c r="A73" s="1">
        <v>71.0</v>
      </c>
      <c r="B73" s="1">
        <v>5.0</v>
      </c>
      <c r="C73" s="1" t="s">
        <v>641</v>
      </c>
      <c r="D73" s="1" t="s">
        <v>217</v>
      </c>
      <c r="E73" s="1" t="s">
        <v>376</v>
      </c>
      <c r="F73" s="1">
        <v>14.0</v>
      </c>
      <c r="G73" s="1" t="s">
        <v>1009</v>
      </c>
      <c r="H73" s="1" t="s">
        <v>1009</v>
      </c>
      <c r="I73" s="1" t="s">
        <v>1003</v>
      </c>
      <c r="J73" s="1">
        <v>5.0</v>
      </c>
      <c r="K73" s="1">
        <v>72.0</v>
      </c>
      <c r="L73" s="1" t="str">
        <f t="shared" si="1"/>
        <v>Marvin Harrison Jr.</v>
      </c>
      <c r="M73" s="124">
        <f>IFERROR(VLOOKUP(E73,RISK!A:B,2,FALSE()),"")</f>
        <v>3.5785</v>
      </c>
      <c r="N73" s="116">
        <f t="shared" si="2"/>
        <v>119.3317059</v>
      </c>
      <c r="Q73" s="8" t="s">
        <v>351</v>
      </c>
      <c r="R73" s="116">
        <f>Aggregate!BL27</f>
        <v>138.4348712</v>
      </c>
      <c r="S73" s="8"/>
      <c r="T73" s="8"/>
    </row>
    <row r="74" ht="14.25" customHeight="1">
      <c r="A74" s="1">
        <v>72.0</v>
      </c>
      <c r="B74" s="1">
        <v>5.0</v>
      </c>
      <c r="C74" s="1" t="s">
        <v>673</v>
      </c>
      <c r="D74" s="1" t="s">
        <v>214</v>
      </c>
      <c r="E74" s="1" t="s">
        <v>380</v>
      </c>
      <c r="F74" s="1">
        <v>9.0</v>
      </c>
      <c r="G74" s="1" t="s">
        <v>1009</v>
      </c>
      <c r="H74" s="1" t="s">
        <v>1010</v>
      </c>
      <c r="I74" s="1" t="s">
        <v>1007</v>
      </c>
      <c r="J74" s="1">
        <v>1.0</v>
      </c>
      <c r="K74" s="1">
        <v>73.0</v>
      </c>
      <c r="L74" s="1" t="str">
        <f t="shared" si="1"/>
        <v>Carnell Tate</v>
      </c>
      <c r="M74" s="124">
        <f>IFERROR(VLOOKUP(E74,RISK!A:B,2,FALSE()),"")</f>
        <v>3.6322</v>
      </c>
      <c r="N74" s="116">
        <f t="shared" si="2"/>
        <v>118.4996471</v>
      </c>
      <c r="Q74" s="8" t="s">
        <v>355</v>
      </c>
      <c r="R74" s="116">
        <f>Aggregate!BL28</f>
        <v>133.2649353</v>
      </c>
      <c r="S74" s="8"/>
      <c r="T74" s="8"/>
    </row>
    <row r="75" ht="14.25" customHeight="1">
      <c r="A75" s="1">
        <v>73.0</v>
      </c>
      <c r="B75" s="1">
        <v>5.0</v>
      </c>
      <c r="C75" s="1" t="s">
        <v>436</v>
      </c>
      <c r="D75" s="1" t="s">
        <v>220</v>
      </c>
      <c r="E75" s="1" t="s">
        <v>363</v>
      </c>
      <c r="F75" s="1">
        <v>9.0</v>
      </c>
      <c r="G75" s="1" t="s">
        <v>1009</v>
      </c>
      <c r="H75" s="1" t="s">
        <v>1009</v>
      </c>
      <c r="I75" s="1" t="s">
        <v>1003</v>
      </c>
      <c r="J75" s="1">
        <v>-5.0</v>
      </c>
      <c r="K75" s="1">
        <v>74.0</v>
      </c>
      <c r="L75" s="1" t="str">
        <f t="shared" si="1"/>
        <v>Jaylen Warren</v>
      </c>
      <c r="M75" s="124">
        <f>IFERROR(VLOOKUP(E75,RISK!A:B,2,FALSE()),"")</f>
        <v>3.0822</v>
      </c>
      <c r="N75" s="116">
        <f t="shared" si="2"/>
        <v>130.77045</v>
      </c>
      <c r="Q75" s="8" t="s">
        <v>359</v>
      </c>
      <c r="R75" s="116">
        <f>Aggregate!BL29</f>
        <v>130.8193205</v>
      </c>
      <c r="S75" s="8"/>
      <c r="T75" s="8"/>
    </row>
    <row r="76" ht="14.25" customHeight="1">
      <c r="A76" s="1">
        <v>74.0</v>
      </c>
      <c r="B76" s="1">
        <v>5.0</v>
      </c>
      <c r="C76" s="1" t="s">
        <v>144</v>
      </c>
      <c r="D76" s="1" t="s">
        <v>145</v>
      </c>
      <c r="E76" s="1" t="s">
        <v>241</v>
      </c>
      <c r="F76" s="1">
        <v>7.0</v>
      </c>
      <c r="G76" s="1" t="s">
        <v>1000</v>
      </c>
      <c r="H76" s="1" t="s">
        <v>1005</v>
      </c>
      <c r="I76" s="1" t="s">
        <v>1004</v>
      </c>
      <c r="J76" s="1">
        <v>11.0</v>
      </c>
      <c r="K76" s="1">
        <v>75.0</v>
      </c>
      <c r="L76" s="1" t="str">
        <f t="shared" si="1"/>
        <v>Trevor Lawrence</v>
      </c>
      <c r="M76" s="124">
        <f>IFERROR(VLOOKUP(E76,RISK!A:B,2,FALSE()),"")</f>
        <v>1.7961</v>
      </c>
      <c r="N76" s="116">
        <f t="shared" si="2"/>
        <v>224.7224085</v>
      </c>
      <c r="Q76" s="8" t="s">
        <v>363</v>
      </c>
      <c r="R76" s="116">
        <f>Aggregate!BL30</f>
        <v>130.77045</v>
      </c>
      <c r="S76" s="8"/>
      <c r="T76" s="8"/>
    </row>
    <row r="77" ht="14.25" customHeight="1">
      <c r="A77" s="1">
        <v>75.0</v>
      </c>
      <c r="B77" s="1">
        <v>5.0</v>
      </c>
      <c r="C77" s="1" t="s">
        <v>663</v>
      </c>
      <c r="D77" s="1" t="s">
        <v>145</v>
      </c>
      <c r="E77" s="1" t="s">
        <v>385</v>
      </c>
      <c r="F77" s="1">
        <v>7.0</v>
      </c>
      <c r="G77" s="1" t="s">
        <v>1010</v>
      </c>
      <c r="H77" s="1" t="s">
        <v>1009</v>
      </c>
      <c r="I77" s="1" t="s">
        <v>1004</v>
      </c>
      <c r="J77" s="1">
        <v>0.0</v>
      </c>
      <c r="K77" s="1">
        <v>76.0</v>
      </c>
      <c r="L77" s="1" t="str">
        <f t="shared" si="1"/>
        <v>Brian Thomas Jr.</v>
      </c>
      <c r="M77" s="124">
        <f>IFERROR(VLOOKUP(E77,RISK!A:B,2,FALSE()),"")</f>
        <v>3.6851</v>
      </c>
      <c r="N77" s="116">
        <f t="shared" si="2"/>
        <v>118.08</v>
      </c>
      <c r="Q77" s="8" t="s">
        <v>367</v>
      </c>
      <c r="R77" s="116">
        <f>Aggregate!BL31</f>
        <v>130.4134456</v>
      </c>
      <c r="S77" s="8"/>
      <c r="T77" s="8"/>
    </row>
    <row r="78" ht="14.25" customHeight="1">
      <c r="A78" s="1">
        <v>76.0</v>
      </c>
      <c r="B78" s="1">
        <v>5.0</v>
      </c>
      <c r="C78" s="1" t="s">
        <v>149</v>
      </c>
      <c r="D78" s="1" t="s">
        <v>150</v>
      </c>
      <c r="E78" s="1" t="s">
        <v>249</v>
      </c>
      <c r="F78" s="1">
        <v>14.0</v>
      </c>
      <c r="G78" s="1" t="s">
        <v>1009</v>
      </c>
      <c r="H78" s="1" t="s">
        <v>1005</v>
      </c>
      <c r="I78" s="1" t="s">
        <v>1003</v>
      </c>
      <c r="J78" s="1">
        <v>1.0</v>
      </c>
      <c r="K78" s="1">
        <v>77.0</v>
      </c>
      <c r="L78" s="1" t="str">
        <f t="shared" si="1"/>
        <v>Dak Prescott</v>
      </c>
      <c r="M78" s="124">
        <f>IFERROR(VLOOKUP(E78,RISK!A:B,2,FALSE()),"")</f>
        <v>1.839</v>
      </c>
      <c r="N78" s="116">
        <f t="shared" si="2"/>
        <v>224.3623209</v>
      </c>
      <c r="Q78" s="8" t="s">
        <v>371</v>
      </c>
      <c r="R78" s="116">
        <f>Aggregate!BL32</f>
        <v>125.501372</v>
      </c>
      <c r="S78" s="8"/>
      <c r="T78" s="8"/>
    </row>
    <row r="79" ht="14.25" customHeight="1">
      <c r="A79" s="1">
        <v>77.0</v>
      </c>
      <c r="B79" s="1">
        <v>5.0</v>
      </c>
      <c r="C79" s="1" t="s">
        <v>651</v>
      </c>
      <c r="D79" s="1" t="s">
        <v>220</v>
      </c>
      <c r="E79" s="1" t="s">
        <v>393</v>
      </c>
      <c r="F79" s="1">
        <v>9.0</v>
      </c>
      <c r="G79" s="1" t="s">
        <v>1009</v>
      </c>
      <c r="H79" s="1" t="s">
        <v>1010</v>
      </c>
      <c r="I79" s="1" t="s">
        <v>1007</v>
      </c>
      <c r="J79" s="1">
        <v>5.0</v>
      </c>
      <c r="K79" s="1">
        <v>78.0</v>
      </c>
      <c r="L79" s="1" t="str">
        <f t="shared" si="1"/>
        <v>DK Metcalf</v>
      </c>
      <c r="M79" s="124">
        <f>IFERROR(VLOOKUP(E79,RISK!A:B,2,FALSE()),"")</f>
        <v>3.7</v>
      </c>
      <c r="N79" s="116">
        <f t="shared" si="2"/>
        <v>117.9591293</v>
      </c>
      <c r="Q79" s="8" t="s">
        <v>375</v>
      </c>
      <c r="R79" s="116">
        <f>Aggregate!BL33</f>
        <v>124.0165271</v>
      </c>
      <c r="S79" s="8"/>
      <c r="T79" s="8"/>
    </row>
    <row r="80" ht="14.25" customHeight="1">
      <c r="A80" s="1">
        <v>78.0</v>
      </c>
      <c r="B80" s="1">
        <v>5.0</v>
      </c>
      <c r="C80" s="1" t="s">
        <v>445</v>
      </c>
      <c r="D80" s="1" t="s">
        <v>214</v>
      </c>
      <c r="E80" s="1" t="s">
        <v>367</v>
      </c>
      <c r="F80" s="1">
        <v>9.0</v>
      </c>
      <c r="G80" s="1" t="s">
        <v>1009</v>
      </c>
      <c r="H80" s="1" t="s">
        <v>1005</v>
      </c>
      <c r="I80" s="1" t="s">
        <v>1007</v>
      </c>
      <c r="J80" s="1">
        <v>2.0</v>
      </c>
      <c r="K80" s="1">
        <v>79.0</v>
      </c>
      <c r="L80" s="1" t="str">
        <f t="shared" si="1"/>
        <v>Tony Pollard</v>
      </c>
      <c r="M80" s="124">
        <f>IFERROR(VLOOKUP(E80,RISK!A:B,2,FALSE()),"")</f>
        <v>3.1088</v>
      </c>
      <c r="N80" s="116">
        <f t="shared" si="2"/>
        <v>130.4134456</v>
      </c>
      <c r="Q80" s="8" t="s">
        <v>379</v>
      </c>
      <c r="R80" s="116">
        <f>Aggregate!BL34</f>
        <v>117.0613249</v>
      </c>
      <c r="S80" s="8"/>
      <c r="T80" s="8"/>
    </row>
    <row r="81" ht="14.25" customHeight="1">
      <c r="A81" s="1">
        <v>79.0</v>
      </c>
      <c r="B81" s="1">
        <v>5.0</v>
      </c>
      <c r="C81" s="1" t="s">
        <v>742</v>
      </c>
      <c r="D81" s="1" t="s">
        <v>226</v>
      </c>
      <c r="E81" s="1" t="s">
        <v>218</v>
      </c>
      <c r="F81" s="1">
        <v>11.0</v>
      </c>
      <c r="G81" s="1" t="s">
        <v>1009</v>
      </c>
      <c r="H81" s="1" t="s">
        <v>1010</v>
      </c>
      <c r="I81" s="1" t="s">
        <v>1007</v>
      </c>
      <c r="J81" s="1">
        <v>-12.0</v>
      </c>
      <c r="K81" s="1">
        <v>80.0</v>
      </c>
      <c r="L81" s="1" t="str">
        <f t="shared" si="1"/>
        <v>Harold Fannin Jr.</v>
      </c>
      <c r="M81" s="124">
        <f>IFERROR(VLOOKUP(E81,RISK!A:B,2,FALSE()),"")</f>
        <v>2.614</v>
      </c>
      <c r="N81" s="116">
        <f t="shared" si="2"/>
        <v>117.0518412</v>
      </c>
      <c r="Q81" s="8" t="s">
        <v>383</v>
      </c>
      <c r="R81" s="116">
        <f>Aggregate!BL35</f>
        <v>112.7395895</v>
      </c>
      <c r="S81" s="8"/>
      <c r="T81" s="8"/>
    </row>
    <row r="82" ht="14.25" customHeight="1">
      <c r="A82" s="1">
        <v>80.0</v>
      </c>
      <c r="B82" s="1">
        <v>5.0</v>
      </c>
      <c r="C82" s="1" t="s">
        <v>747</v>
      </c>
      <c r="D82" s="1" t="s">
        <v>179</v>
      </c>
      <c r="E82" s="1" t="s">
        <v>230</v>
      </c>
      <c r="F82" s="1">
        <v>6.0</v>
      </c>
      <c r="G82" s="1" t="s">
        <v>1009</v>
      </c>
      <c r="H82" s="1" t="s">
        <v>1009</v>
      </c>
      <c r="I82" s="1" t="s">
        <v>1007</v>
      </c>
      <c r="J82" s="1">
        <v>-10.0</v>
      </c>
      <c r="K82" s="1">
        <v>81.0</v>
      </c>
      <c r="L82" s="1" t="str">
        <f t="shared" si="1"/>
        <v>Sam LaPorta</v>
      </c>
      <c r="M82" s="124">
        <f>IFERROR(VLOOKUP(E82,RISK!A:B,2,FALSE()),"")</f>
        <v>2.6621</v>
      </c>
      <c r="N82" s="116">
        <f t="shared" si="2"/>
        <v>116.9560685</v>
      </c>
      <c r="Q82" s="8" t="s">
        <v>391</v>
      </c>
      <c r="R82" s="116">
        <f>Aggregate!BL36</f>
        <v>107.7063765</v>
      </c>
      <c r="S82" s="8"/>
      <c r="T82" s="8"/>
    </row>
    <row r="83" ht="14.25" customHeight="1">
      <c r="A83" s="1">
        <v>81.0</v>
      </c>
      <c r="B83" s="1">
        <v>5.0</v>
      </c>
      <c r="C83" s="1" t="s">
        <v>447</v>
      </c>
      <c r="D83" s="1" t="s">
        <v>220</v>
      </c>
      <c r="E83" s="1" t="s">
        <v>371</v>
      </c>
      <c r="F83" s="1">
        <v>9.0</v>
      </c>
      <c r="G83" s="1" t="s">
        <v>1009</v>
      </c>
      <c r="H83" s="1" t="s">
        <v>1009</v>
      </c>
      <c r="I83" s="1" t="s">
        <v>1003</v>
      </c>
      <c r="J83" s="1">
        <v>-3.0</v>
      </c>
      <c r="K83" s="1">
        <v>82.0</v>
      </c>
      <c r="L83" s="1" t="str">
        <f t="shared" si="1"/>
        <v>Rico Dowdle</v>
      </c>
      <c r="M83" s="124">
        <f>IFERROR(VLOOKUP(E83,RISK!A:B,2,FALSE()),"")</f>
        <v>3.136</v>
      </c>
      <c r="N83" s="116">
        <f t="shared" si="2"/>
        <v>125.501372</v>
      </c>
      <c r="Q83" s="8" t="s">
        <v>399</v>
      </c>
      <c r="R83" s="116">
        <f>Aggregate!BL37</f>
        <v>106.7404</v>
      </c>
      <c r="S83" s="8"/>
      <c r="T83" s="8"/>
    </row>
    <row r="84" ht="14.25" customHeight="1">
      <c r="A84" s="1">
        <v>82.0</v>
      </c>
      <c r="B84" s="1">
        <v>5.0</v>
      </c>
      <c r="C84" s="1" t="s">
        <v>683</v>
      </c>
      <c r="D84" s="1" t="s">
        <v>186</v>
      </c>
      <c r="E84" s="1" t="s">
        <v>400</v>
      </c>
      <c r="F84" s="1">
        <v>10.0</v>
      </c>
      <c r="G84" s="1" t="s">
        <v>1009</v>
      </c>
      <c r="H84" s="1" t="s">
        <v>1010</v>
      </c>
      <c r="I84" s="1" t="s">
        <v>1004</v>
      </c>
      <c r="J84" s="1">
        <v>7.0</v>
      </c>
      <c r="K84" s="1">
        <v>83.0</v>
      </c>
      <c r="L84" s="1" t="str">
        <f t="shared" si="1"/>
        <v>Chris Godwin Jr.</v>
      </c>
      <c r="M84" s="124">
        <f>IFERROR(VLOOKUP(E84,RISK!A:B,2,FALSE()),"")</f>
        <v>3.7</v>
      </c>
      <c r="N84" s="116">
        <f t="shared" si="2"/>
        <v>112.2693224</v>
      </c>
      <c r="Q84" s="8" t="s">
        <v>406</v>
      </c>
      <c r="R84" s="116">
        <f>Aggregate!BL38</f>
        <v>106.6512329</v>
      </c>
      <c r="S84" s="8"/>
      <c r="T84" s="8"/>
    </row>
    <row r="85" ht="14.25" customHeight="1">
      <c r="A85" s="1">
        <v>83.0</v>
      </c>
      <c r="B85" s="1">
        <v>5.0</v>
      </c>
      <c r="C85" s="1" t="s">
        <v>744</v>
      </c>
      <c r="D85" s="1" t="s">
        <v>229</v>
      </c>
      <c r="E85" s="1" t="s">
        <v>239</v>
      </c>
      <c r="F85" s="1">
        <v>11.0</v>
      </c>
      <c r="G85" s="1" t="s">
        <v>1009</v>
      </c>
      <c r="H85" s="1" t="s">
        <v>1009</v>
      </c>
      <c r="I85" s="1" t="s">
        <v>1007</v>
      </c>
      <c r="J85" s="1">
        <v>-9.0</v>
      </c>
      <c r="K85" s="1">
        <v>84.0</v>
      </c>
      <c r="L85" s="1" t="str">
        <f t="shared" si="1"/>
        <v>Kyle Pitts Sr.</v>
      </c>
      <c r="M85" s="124">
        <f>IFERROR(VLOOKUP(E85,RISK!A:B,2,FALSE()),"")</f>
        <v>2.7038</v>
      </c>
      <c r="N85" s="116">
        <f t="shared" si="2"/>
        <v>116.7875638</v>
      </c>
      <c r="Q85" s="8" t="s">
        <v>414</v>
      </c>
      <c r="R85" s="116">
        <f>Aggregate!BL39</f>
        <v>105.5677</v>
      </c>
      <c r="S85" s="8"/>
      <c r="T85" s="8"/>
    </row>
    <row r="86" ht="14.25" customHeight="1">
      <c r="A86" s="1">
        <v>84.0</v>
      </c>
      <c r="B86" s="1">
        <v>5.0</v>
      </c>
      <c r="C86" s="1" t="s">
        <v>455</v>
      </c>
      <c r="D86" s="1" t="s">
        <v>208</v>
      </c>
      <c r="E86" s="1" t="s">
        <v>375</v>
      </c>
      <c r="F86" s="1">
        <v>5.0</v>
      </c>
      <c r="G86" s="1" t="s">
        <v>1009</v>
      </c>
      <c r="H86" s="1" t="s">
        <v>1010</v>
      </c>
      <c r="I86" s="1" t="s">
        <v>1006</v>
      </c>
      <c r="J86" s="1">
        <v>-1.0</v>
      </c>
      <c r="K86" s="1">
        <v>85.0</v>
      </c>
      <c r="L86" s="1" t="str">
        <f t="shared" si="1"/>
        <v>Jonathon Brooks</v>
      </c>
      <c r="M86" s="124">
        <f>IFERROR(VLOOKUP(E86,RISK!A:B,2,FALSE()),"")</f>
        <v>3.1638</v>
      </c>
      <c r="N86" s="116">
        <f t="shared" si="2"/>
        <v>124.0165271</v>
      </c>
      <c r="Q86" s="8" t="s">
        <v>421</v>
      </c>
      <c r="R86" s="116">
        <f>Aggregate!BL40</f>
        <v>104.8456</v>
      </c>
      <c r="S86" s="8"/>
      <c r="T86" s="8"/>
    </row>
    <row r="87" ht="14.25" customHeight="1">
      <c r="A87" s="1">
        <v>85.0</v>
      </c>
      <c r="B87" s="1">
        <v>5.0</v>
      </c>
      <c r="C87" s="1" t="s">
        <v>644</v>
      </c>
      <c r="D87" s="1" t="s">
        <v>170</v>
      </c>
      <c r="E87" s="1" t="s">
        <v>408</v>
      </c>
      <c r="F87" s="1">
        <v>10.0</v>
      </c>
      <c r="G87" s="1" t="s">
        <v>1005</v>
      </c>
      <c r="H87" s="1" t="s">
        <v>1009</v>
      </c>
      <c r="I87" s="1" t="s">
        <v>1003</v>
      </c>
      <c r="J87" s="1">
        <v>1.0</v>
      </c>
      <c r="K87" s="1">
        <v>86.0</v>
      </c>
      <c r="L87" s="1" t="str">
        <f t="shared" si="1"/>
        <v>Courtland Sutton</v>
      </c>
      <c r="M87" s="124">
        <f>IFERROR(VLOOKUP(E87,RISK!A:B,2,FALSE()),"")</f>
        <v>3.7</v>
      </c>
      <c r="N87" s="116">
        <f t="shared" si="2"/>
        <v>110.3487481</v>
      </c>
      <c r="Q87" s="8" t="s">
        <v>429</v>
      </c>
      <c r="R87" s="116">
        <f>Aggregate!BL41</f>
        <v>104.1477311</v>
      </c>
      <c r="S87" s="8"/>
      <c r="T87" s="8"/>
    </row>
    <row r="88" ht="14.25" customHeight="1">
      <c r="A88" s="1">
        <v>86.0</v>
      </c>
      <c r="B88" s="1">
        <v>5.0</v>
      </c>
      <c r="C88" s="1" t="s">
        <v>449</v>
      </c>
      <c r="D88" s="1" t="s">
        <v>170</v>
      </c>
      <c r="E88" s="1" t="s">
        <v>379</v>
      </c>
      <c r="F88" s="1">
        <v>10.0</v>
      </c>
      <c r="G88" s="1" t="s">
        <v>1009</v>
      </c>
      <c r="H88" s="1" t="s">
        <v>1009</v>
      </c>
      <c r="I88" s="1" t="s">
        <v>1003</v>
      </c>
      <c r="J88" s="1">
        <v>2.0</v>
      </c>
      <c r="K88" s="1">
        <v>87.0</v>
      </c>
      <c r="L88" s="1" t="str">
        <f t="shared" si="1"/>
        <v>J.K. Dobbins</v>
      </c>
      <c r="M88" s="124">
        <f>IFERROR(VLOOKUP(E88,RISK!A:B,2,FALSE()),"")</f>
        <v>3.1922</v>
      </c>
      <c r="N88" s="116">
        <f t="shared" si="2"/>
        <v>117.0613249</v>
      </c>
      <c r="Q88" s="8" t="s">
        <v>437</v>
      </c>
      <c r="R88" s="116">
        <f>Aggregate!BL42</f>
        <v>102.52008</v>
      </c>
      <c r="S88" s="8"/>
      <c r="T88" s="8"/>
    </row>
    <row r="89" ht="14.25" customHeight="1">
      <c r="A89" s="1">
        <v>87.0</v>
      </c>
      <c r="B89" s="1">
        <v>6.0</v>
      </c>
      <c r="C89" s="1" t="s">
        <v>656</v>
      </c>
      <c r="D89" s="1" t="s">
        <v>220</v>
      </c>
      <c r="E89" s="1" t="s">
        <v>416</v>
      </c>
      <c r="F89" s="1">
        <v>9.0</v>
      </c>
      <c r="G89" s="1" t="s">
        <v>1010</v>
      </c>
      <c r="H89" s="1" t="s">
        <v>1010</v>
      </c>
      <c r="I89" s="1" t="s">
        <v>1007</v>
      </c>
      <c r="J89" s="1">
        <v>23.0</v>
      </c>
      <c r="K89" s="1">
        <v>88.0</v>
      </c>
      <c r="L89" s="1" t="str">
        <f t="shared" si="1"/>
        <v>Michael Pittman Jr.</v>
      </c>
      <c r="M89" s="124">
        <f>IFERROR(VLOOKUP(E89,RISK!A:B,2,FALSE()),"")</f>
        <v>3.7</v>
      </c>
      <c r="N89" s="116">
        <f t="shared" si="2"/>
        <v>109.1597506</v>
      </c>
      <c r="Q89" s="8" t="s">
        <v>444</v>
      </c>
      <c r="R89" s="116">
        <f>Aggregate!BL43</f>
        <v>99.24877224</v>
      </c>
      <c r="S89" s="8"/>
      <c r="T89" s="8"/>
    </row>
    <row r="90" ht="14.25" customHeight="1">
      <c r="A90" s="1">
        <v>88.0</v>
      </c>
      <c r="B90" s="1">
        <v>6.0</v>
      </c>
      <c r="C90" s="1" t="s">
        <v>676</v>
      </c>
      <c r="D90" s="1" t="s">
        <v>217</v>
      </c>
      <c r="E90" s="1" t="s">
        <v>423</v>
      </c>
      <c r="F90" s="1">
        <v>14.0</v>
      </c>
      <c r="G90" s="1" t="s">
        <v>1023</v>
      </c>
      <c r="H90" s="1" t="s">
        <v>1023</v>
      </c>
      <c r="I90" s="1" t="s">
        <v>1003</v>
      </c>
      <c r="J90" s="1">
        <v>-1.0</v>
      </c>
      <c r="K90" s="1">
        <v>89.0</v>
      </c>
      <c r="L90" s="1" t="str">
        <f t="shared" si="1"/>
        <v>Michael Wilson</v>
      </c>
      <c r="M90" s="124">
        <f>IFERROR(VLOOKUP(E90,RISK!A:B,2,FALSE()),"")</f>
        <v>3.7</v>
      </c>
      <c r="N90" s="116">
        <f t="shared" si="2"/>
        <v>108.7175294</v>
      </c>
      <c r="Q90" s="8" t="s">
        <v>452</v>
      </c>
      <c r="R90" s="116">
        <f>Aggregate!BL44</f>
        <v>99.12421053</v>
      </c>
      <c r="S90" s="8"/>
      <c r="T90" s="8"/>
    </row>
    <row r="91" ht="14.25" customHeight="1">
      <c r="A91" s="1">
        <v>89.0</v>
      </c>
      <c r="B91" s="1">
        <v>6.0</v>
      </c>
      <c r="C91" s="1" t="s">
        <v>686</v>
      </c>
      <c r="D91" s="1" t="s">
        <v>164</v>
      </c>
      <c r="E91" s="1" t="s">
        <v>431</v>
      </c>
      <c r="F91" s="1">
        <v>7.0</v>
      </c>
      <c r="G91" s="1" t="s">
        <v>1009</v>
      </c>
      <c r="H91" s="1" t="s">
        <v>1009</v>
      </c>
      <c r="I91" s="1" t="s">
        <v>1003</v>
      </c>
      <c r="J91" s="1">
        <v>17.0</v>
      </c>
      <c r="K91" s="1">
        <v>90.0</v>
      </c>
      <c r="L91" s="1" t="str">
        <f t="shared" si="1"/>
        <v>Quentin Johnston</v>
      </c>
      <c r="M91" s="124">
        <f>IFERROR(VLOOKUP(E91,RISK!A:B,2,FALSE()),"")</f>
        <v>3.7</v>
      </c>
      <c r="N91" s="116">
        <f t="shared" si="2"/>
        <v>106.7321647</v>
      </c>
      <c r="Q91" s="8" t="s">
        <v>460</v>
      </c>
      <c r="R91" s="116">
        <f>Aggregate!BL45</f>
        <v>94.58108944</v>
      </c>
      <c r="S91" s="8"/>
      <c r="T91" s="8"/>
    </row>
    <row r="92" ht="14.25" customHeight="1">
      <c r="A92" s="1">
        <v>90.0</v>
      </c>
      <c r="B92" s="1">
        <v>6.0</v>
      </c>
      <c r="C92" s="1" t="s">
        <v>139</v>
      </c>
      <c r="D92" s="1" t="s">
        <v>140</v>
      </c>
      <c r="E92" s="1" t="s">
        <v>257</v>
      </c>
      <c r="F92" s="1">
        <v>8.0</v>
      </c>
      <c r="G92" s="1" t="s">
        <v>1009</v>
      </c>
      <c r="H92" s="1" t="s">
        <v>1005</v>
      </c>
      <c r="I92" s="1" t="s">
        <v>1006</v>
      </c>
      <c r="J92" s="1">
        <v>17.0</v>
      </c>
      <c r="K92" s="1">
        <v>91.0</v>
      </c>
      <c r="L92" s="1" t="str">
        <f t="shared" si="1"/>
        <v>Brock Purdy</v>
      </c>
      <c r="M92" s="124">
        <f>IFERROR(VLOOKUP(E92,RISK!A:B,2,FALSE()),"")</f>
        <v>1.8915</v>
      </c>
      <c r="N92" s="116">
        <f t="shared" si="2"/>
        <v>220.2411092</v>
      </c>
      <c r="Q92" s="8" t="s">
        <v>467</v>
      </c>
      <c r="R92" s="116">
        <f>Aggregate!BL46</f>
        <v>85.68954353</v>
      </c>
      <c r="S92" s="8"/>
      <c r="T92" s="8"/>
    </row>
    <row r="93" ht="14.25" customHeight="1">
      <c r="B93" s="1">
        <v>6.0</v>
      </c>
      <c r="K93" s="1">
        <v>92.0</v>
      </c>
      <c r="L93" s="1" t="str">
        <f t="shared" si="1"/>
        <v/>
      </c>
      <c r="M93" s="124" t="str">
        <f>IFERROR(VLOOKUP(E93,RISK!A:B,2,FALSE()),"")</f>
        <v/>
      </c>
      <c r="N93" s="116" t="str">
        <f t="shared" si="2"/>
        <v>#N/A</v>
      </c>
      <c r="Q93" s="8" t="s">
        <v>475</v>
      </c>
      <c r="R93" s="116">
        <f>Aggregate!BL47</f>
        <v>84.61820132</v>
      </c>
      <c r="S93" s="8"/>
      <c r="T93" s="8"/>
    </row>
    <row r="94" ht="14.25" customHeight="1">
      <c r="A94" s="1">
        <v>91.0</v>
      </c>
      <c r="B94" s="1">
        <v>6.0</v>
      </c>
      <c r="C94" s="1" t="s">
        <v>451</v>
      </c>
      <c r="D94" s="1" t="s">
        <v>208</v>
      </c>
      <c r="E94" s="1" t="s">
        <v>383</v>
      </c>
      <c r="F94" s="1">
        <v>5.0</v>
      </c>
      <c r="G94" s="1" t="s">
        <v>1005</v>
      </c>
      <c r="H94" s="1" t="s">
        <v>1009</v>
      </c>
      <c r="I94" s="1" t="s">
        <v>1006</v>
      </c>
      <c r="J94" s="1">
        <v>-10.0</v>
      </c>
      <c r="K94" s="1">
        <v>93.0</v>
      </c>
      <c r="L94" s="1" t="str">
        <f t="shared" si="1"/>
        <v>Chuba Hubbard</v>
      </c>
      <c r="M94" s="124">
        <f>IFERROR(VLOOKUP(E94,RISK!A:B,2,FALSE()),"")</f>
        <v>3.2212</v>
      </c>
      <c r="N94" s="116">
        <f t="shared" si="2"/>
        <v>112.7395895</v>
      </c>
      <c r="Q94" s="8" t="s">
        <v>483</v>
      </c>
      <c r="R94" s="116">
        <f>Aggregate!BL48</f>
        <v>84.03995294</v>
      </c>
      <c r="S94" s="8"/>
      <c r="T94" s="8"/>
    </row>
    <row r="95" ht="14.25" customHeight="1">
      <c r="A95" s="1">
        <v>92.0</v>
      </c>
      <c r="B95" s="1">
        <v>6.0</v>
      </c>
      <c r="C95" s="1" t="s">
        <v>470</v>
      </c>
      <c r="D95" s="1" t="s">
        <v>176</v>
      </c>
      <c r="E95" s="1" t="s">
        <v>391</v>
      </c>
      <c r="F95" s="1">
        <v>11.0</v>
      </c>
      <c r="G95" s="1" t="s">
        <v>1009</v>
      </c>
      <c r="H95" s="1" t="s">
        <v>1009</v>
      </c>
      <c r="I95" s="1" t="s">
        <v>1002</v>
      </c>
      <c r="J95" s="1">
        <v>-1.0</v>
      </c>
      <c r="K95" s="1">
        <v>94.0</v>
      </c>
      <c r="L95" s="1" t="str">
        <f t="shared" si="1"/>
        <v>Blake Corum</v>
      </c>
      <c r="M95" s="124">
        <f>IFERROR(VLOOKUP(E95,RISK!A:B,2,FALSE()),"")</f>
        <v>3.2508</v>
      </c>
      <c r="N95" s="116">
        <f t="shared" si="2"/>
        <v>107.7063765</v>
      </c>
      <c r="Q95" s="8" t="s">
        <v>491</v>
      </c>
      <c r="R95" s="116">
        <f>Aggregate!BL49</f>
        <v>83.77245176</v>
      </c>
      <c r="S95" s="8"/>
      <c r="T95" s="8"/>
    </row>
    <row r="96" ht="14.25" customHeight="1">
      <c r="A96" s="1">
        <v>93.0</v>
      </c>
      <c r="B96" s="1">
        <v>6.0</v>
      </c>
      <c r="C96" s="1" t="s">
        <v>751</v>
      </c>
      <c r="D96" s="1" t="s">
        <v>140</v>
      </c>
      <c r="E96" s="1" t="s">
        <v>247</v>
      </c>
      <c r="F96" s="1">
        <v>8.0</v>
      </c>
      <c r="G96" s="1" t="s">
        <v>1009</v>
      </c>
      <c r="H96" s="1" t="s">
        <v>1009</v>
      </c>
      <c r="I96" s="1" t="s">
        <v>1007</v>
      </c>
      <c r="J96" s="1">
        <v>-3.0</v>
      </c>
      <c r="K96" s="1">
        <v>95.0</v>
      </c>
      <c r="L96" s="1" t="str">
        <f t="shared" si="1"/>
        <v>George Kittle</v>
      </c>
      <c r="M96" s="124">
        <f>IFERROR(VLOOKUP(E96,RISK!A:B,2,FALSE()),"")</f>
        <v>2.7391</v>
      </c>
      <c r="N96" s="116">
        <f t="shared" si="2"/>
        <v>114.8705961</v>
      </c>
      <c r="Q96" s="8" t="s">
        <v>498</v>
      </c>
      <c r="R96" s="116">
        <f>Aggregate!BL50</f>
        <v>82.66642357</v>
      </c>
      <c r="S96" s="8"/>
      <c r="T96" s="8"/>
    </row>
    <row r="97" ht="14.25" customHeight="1">
      <c r="A97" s="1">
        <v>94.0</v>
      </c>
      <c r="B97" s="1">
        <v>6.0</v>
      </c>
      <c r="C97" s="1" t="s">
        <v>706</v>
      </c>
      <c r="D97" s="1" t="s">
        <v>193</v>
      </c>
      <c r="E97" s="1" t="s">
        <v>439</v>
      </c>
      <c r="F97" s="1">
        <v>13.0</v>
      </c>
      <c r="G97" s="1" t="s">
        <v>1010</v>
      </c>
      <c r="H97" s="1" t="s">
        <v>1009</v>
      </c>
      <c r="I97" s="1" t="s">
        <v>1004</v>
      </c>
      <c r="J97" s="1">
        <v>11.0</v>
      </c>
      <c r="K97" s="1">
        <v>96.0</v>
      </c>
      <c r="L97" s="1" t="str">
        <f t="shared" si="1"/>
        <v>Josh Downs</v>
      </c>
      <c r="M97" s="124">
        <f>IFERROR(VLOOKUP(E97,RISK!A:B,2,FALSE()),"")</f>
        <v>3.7</v>
      </c>
      <c r="N97" s="116">
        <f t="shared" si="2"/>
        <v>106.2737365</v>
      </c>
      <c r="Q97" s="8" t="s">
        <v>504</v>
      </c>
      <c r="R97" s="116">
        <f>Aggregate!BL51</f>
        <v>78.3184</v>
      </c>
      <c r="S97" s="8"/>
      <c r="T97" s="8"/>
    </row>
    <row r="98" ht="14.25" customHeight="1">
      <c r="A98" s="1">
        <v>95.0</v>
      </c>
      <c r="B98" s="1">
        <v>6.0</v>
      </c>
      <c r="C98" s="1" t="s">
        <v>654</v>
      </c>
      <c r="D98" s="1" t="s">
        <v>193</v>
      </c>
      <c r="E98" s="1" t="s">
        <v>446</v>
      </c>
      <c r="F98" s="1">
        <v>13.0</v>
      </c>
      <c r="G98" s="1" t="s">
        <v>1009</v>
      </c>
      <c r="H98" s="1" t="s">
        <v>1009</v>
      </c>
      <c r="I98" s="1" t="s">
        <v>1004</v>
      </c>
      <c r="J98" s="1">
        <v>0.0</v>
      </c>
      <c r="K98" s="1">
        <v>97.0</v>
      </c>
      <c r="L98" s="1" t="str">
        <f t="shared" si="1"/>
        <v>Alec Pierce</v>
      </c>
      <c r="M98" s="124">
        <f>IFERROR(VLOOKUP(E98,RISK!A:B,2,FALSE()),"")</f>
        <v>3.7</v>
      </c>
      <c r="N98" s="116">
        <f t="shared" si="2"/>
        <v>104.9870118</v>
      </c>
      <c r="Q98" s="8" t="s">
        <v>511</v>
      </c>
      <c r="R98" s="116">
        <f>Aggregate!BL52</f>
        <v>77.96916235</v>
      </c>
      <c r="S98" s="8"/>
      <c r="T98" s="8"/>
    </row>
    <row r="99" ht="14.25" customHeight="1">
      <c r="A99" s="1">
        <v>96.0</v>
      </c>
      <c r="B99" s="1">
        <v>6.0</v>
      </c>
      <c r="C99" s="1" t="s">
        <v>133</v>
      </c>
      <c r="D99" s="1" t="s">
        <v>134</v>
      </c>
      <c r="E99" s="1" t="s">
        <v>265</v>
      </c>
      <c r="F99" s="1">
        <v>8.0</v>
      </c>
      <c r="G99" s="1" t="s">
        <v>1009</v>
      </c>
      <c r="H99" s="1" t="s">
        <v>1009</v>
      </c>
      <c r="I99" s="1" t="s">
        <v>1004</v>
      </c>
      <c r="J99" s="1">
        <v>-4.0</v>
      </c>
      <c r="K99" s="1">
        <v>98.0</v>
      </c>
      <c r="L99" s="1" t="str">
        <f t="shared" si="1"/>
        <v>Jaxson Dart</v>
      </c>
      <c r="M99" s="124">
        <f>IFERROR(VLOOKUP(E99,RISK!A:B,2,FALSE()),"")</f>
        <v>1.9536</v>
      </c>
      <c r="N99" s="116">
        <f t="shared" si="2"/>
        <v>220.233685</v>
      </c>
      <c r="Q99" s="8" t="s">
        <v>517</v>
      </c>
      <c r="R99" s="116">
        <f>Aggregate!BL53</f>
        <v>71.08100706</v>
      </c>
      <c r="S99" s="8"/>
      <c r="T99" s="8"/>
    </row>
    <row r="100" ht="14.25" customHeight="1">
      <c r="A100" s="1">
        <v>97.0</v>
      </c>
      <c r="B100" s="1">
        <v>6.0</v>
      </c>
      <c r="C100" s="1" t="s">
        <v>465</v>
      </c>
      <c r="D100" s="1" t="s">
        <v>106</v>
      </c>
      <c r="E100" s="1" t="s">
        <v>399</v>
      </c>
      <c r="F100" s="1">
        <v>7.0</v>
      </c>
      <c r="G100" s="1" t="s">
        <v>1009</v>
      </c>
      <c r="H100" s="1" t="s">
        <v>1009</v>
      </c>
      <c r="I100" s="1" t="s">
        <v>1004</v>
      </c>
      <c r="J100" s="1">
        <v>0.0</v>
      </c>
      <c r="K100" s="1">
        <v>99.0</v>
      </c>
      <c r="L100" s="1" t="str">
        <f t="shared" si="1"/>
        <v>Jacory Croskey-Merritt</v>
      </c>
      <c r="M100" s="124">
        <f>IFERROR(VLOOKUP(E100,RISK!A:B,2,FALSE()),"")</f>
        <v>3.281</v>
      </c>
      <c r="N100" s="116">
        <f t="shared" si="2"/>
        <v>106.7404</v>
      </c>
      <c r="Q100" s="8" t="s">
        <v>522</v>
      </c>
      <c r="R100" s="116">
        <f>Aggregate!BL54</f>
        <v>69.14905412</v>
      </c>
      <c r="S100" s="8"/>
      <c r="T100" s="8"/>
    </row>
    <row r="101" ht="14.25" customHeight="1">
      <c r="A101" s="1">
        <v>98.0</v>
      </c>
      <c r="B101" s="1">
        <v>6.0</v>
      </c>
      <c r="C101" s="1" t="s">
        <v>457</v>
      </c>
      <c r="D101" s="1" t="s">
        <v>170</v>
      </c>
      <c r="E101" s="1" t="s">
        <v>406</v>
      </c>
      <c r="F101" s="1">
        <v>10.0</v>
      </c>
      <c r="G101" s="1" t="s">
        <v>1005</v>
      </c>
      <c r="H101" s="1" t="s">
        <v>1009</v>
      </c>
      <c r="I101" s="1" t="s">
        <v>1003</v>
      </c>
      <c r="J101" s="1">
        <v>-14.0</v>
      </c>
      <c r="K101" s="1">
        <v>100.0</v>
      </c>
      <c r="L101" s="1" t="str">
        <f t="shared" si="1"/>
        <v>RJ Harvey</v>
      </c>
      <c r="M101" s="124">
        <f>IFERROR(VLOOKUP(E101,RISK!A:B,2,FALSE()),"")</f>
        <v>3.3118</v>
      </c>
      <c r="N101" s="116">
        <f t="shared" si="2"/>
        <v>106.6512329</v>
      </c>
      <c r="Q101" s="8" t="s">
        <v>528</v>
      </c>
      <c r="R101" s="116">
        <f>Aggregate!BL55</f>
        <v>67.49203294</v>
      </c>
      <c r="S101" s="8"/>
      <c r="T101" s="8"/>
    </row>
    <row r="102" ht="14.25" customHeight="1">
      <c r="A102" s="1">
        <v>99.0</v>
      </c>
      <c r="B102" s="1">
        <v>6.0</v>
      </c>
      <c r="C102" s="1" t="s">
        <v>666</v>
      </c>
      <c r="D102" s="1" t="s">
        <v>214</v>
      </c>
      <c r="E102" s="1" t="s">
        <v>454</v>
      </c>
      <c r="F102" s="1">
        <v>9.0</v>
      </c>
      <c r="G102" s="1" t="s">
        <v>1010</v>
      </c>
      <c r="H102" s="1" t="s">
        <v>1010</v>
      </c>
      <c r="I102" s="1" t="s">
        <v>1007</v>
      </c>
      <c r="J102" s="1">
        <v>24.0</v>
      </c>
      <c r="K102" s="1">
        <v>101.0</v>
      </c>
      <c r="L102" s="1" t="str">
        <f t="shared" si="1"/>
        <v>Wan'Dale Robinson</v>
      </c>
      <c r="M102" s="124">
        <f>IFERROR(VLOOKUP(E102,RISK!A:B,2,FALSE()),"")</f>
        <v>3.7</v>
      </c>
      <c r="N102" s="116">
        <f t="shared" si="2"/>
        <v>104.7598235</v>
      </c>
      <c r="Q102" s="8" t="s">
        <v>533</v>
      </c>
      <c r="R102" s="116">
        <f>Aggregate!BL56</f>
        <v>67.33599059</v>
      </c>
      <c r="S102" s="8"/>
      <c r="T102" s="8"/>
    </row>
    <row r="103" ht="14.25" customHeight="1">
      <c r="A103" s="1">
        <v>100.0</v>
      </c>
      <c r="B103" s="1">
        <v>6.0</v>
      </c>
      <c r="C103" s="1" t="s">
        <v>699</v>
      </c>
      <c r="D103" s="1" t="s">
        <v>106</v>
      </c>
      <c r="E103" s="1" t="s">
        <v>462</v>
      </c>
      <c r="F103" s="1">
        <v>7.0</v>
      </c>
      <c r="G103" s="1" t="s">
        <v>1009</v>
      </c>
      <c r="H103" s="1" t="s">
        <v>1005</v>
      </c>
      <c r="I103" s="1" t="s">
        <v>1003</v>
      </c>
      <c r="J103" s="1">
        <v>11.0</v>
      </c>
      <c r="K103" s="1">
        <v>102.0</v>
      </c>
      <c r="L103" s="1" t="str">
        <f t="shared" si="1"/>
        <v>Stefon Diggs</v>
      </c>
      <c r="M103" s="124">
        <f>IFERROR(VLOOKUP(E103,RISK!A:B,2,FALSE()),"")</f>
        <v>3.7</v>
      </c>
      <c r="N103" s="116">
        <f t="shared" si="2"/>
        <v>104.6295882</v>
      </c>
      <c r="Q103" s="8" t="s">
        <v>538</v>
      </c>
      <c r="R103" s="116">
        <f>Aggregate!BL57</f>
        <v>67.15022588</v>
      </c>
      <c r="S103" s="8"/>
      <c r="T103" s="8"/>
    </row>
    <row r="104" ht="14.25" customHeight="1">
      <c r="A104" s="1">
        <v>101.0</v>
      </c>
      <c r="B104" s="1">
        <v>6.0</v>
      </c>
      <c r="C104" s="1" t="s">
        <v>169</v>
      </c>
      <c r="D104" s="1" t="s">
        <v>170</v>
      </c>
      <c r="E104" s="1" t="s">
        <v>274</v>
      </c>
      <c r="F104" s="1">
        <v>10.0</v>
      </c>
      <c r="G104" s="1" t="s">
        <v>1009</v>
      </c>
      <c r="H104" s="1" t="s">
        <v>1005</v>
      </c>
      <c r="I104" s="1" t="s">
        <v>1007</v>
      </c>
      <c r="J104" s="1">
        <v>0.0</v>
      </c>
      <c r="K104" s="1">
        <v>103.0</v>
      </c>
      <c r="L104" s="1" t="str">
        <f t="shared" si="1"/>
        <v>Bo Nix</v>
      </c>
      <c r="M104" s="124">
        <f>IFERROR(VLOOKUP(E104,RISK!A:B,2,FALSE()),"")</f>
        <v>2.0253</v>
      </c>
      <c r="N104" s="116">
        <f t="shared" si="2"/>
        <v>219.4846642</v>
      </c>
      <c r="Q104" s="8" t="s">
        <v>544</v>
      </c>
      <c r="R104" s="116">
        <f>Aggregate!BL58</f>
        <v>66.67466824</v>
      </c>
      <c r="S104" s="8"/>
      <c r="T104" s="8"/>
    </row>
    <row r="105" ht="14.25" customHeight="1">
      <c r="A105" s="1">
        <v>102.0</v>
      </c>
      <c r="B105" s="1">
        <v>6.0</v>
      </c>
      <c r="C105" s="1" t="s">
        <v>154</v>
      </c>
      <c r="D105" s="1" t="s">
        <v>155</v>
      </c>
      <c r="E105" s="1" t="s">
        <v>282</v>
      </c>
      <c r="F105" s="1">
        <v>5.0</v>
      </c>
      <c r="G105" s="1" t="s">
        <v>1005</v>
      </c>
      <c r="H105" s="1" t="s">
        <v>1009</v>
      </c>
      <c r="I105" s="1" t="s">
        <v>1003</v>
      </c>
      <c r="J105" s="1">
        <v>2.0</v>
      </c>
      <c r="K105" s="1">
        <v>104.0</v>
      </c>
      <c r="L105" s="1" t="str">
        <f t="shared" si="1"/>
        <v>Patrick Mahomes II</v>
      </c>
      <c r="M105" s="124">
        <f>IFERROR(VLOOKUP(E105,RISK!A:B,2,FALSE()),"")</f>
        <v>2.1066</v>
      </c>
      <c r="N105" s="116">
        <f t="shared" si="2"/>
        <v>218.8280826</v>
      </c>
      <c r="Q105" s="8" t="s">
        <v>549</v>
      </c>
      <c r="R105" s="116">
        <f>Aggregate!BL59</f>
        <v>66.41814947</v>
      </c>
      <c r="S105" s="8"/>
      <c r="T105" s="8"/>
    </row>
    <row r="106" ht="14.25" customHeight="1">
      <c r="A106" s="1">
        <v>103.0</v>
      </c>
      <c r="B106" s="1">
        <v>6.0</v>
      </c>
      <c r="C106" s="1" t="s">
        <v>748</v>
      </c>
      <c r="D106" s="1" t="s">
        <v>155</v>
      </c>
      <c r="E106" s="1" t="s">
        <v>255</v>
      </c>
      <c r="F106" s="1">
        <v>5.0</v>
      </c>
      <c r="G106" s="1" t="s">
        <v>1010</v>
      </c>
      <c r="H106" s="1" t="s">
        <v>1010</v>
      </c>
      <c r="I106" s="1" t="s">
        <v>1004</v>
      </c>
      <c r="J106" s="1">
        <v>-10.0</v>
      </c>
      <c r="K106" s="1">
        <v>105.0</v>
      </c>
      <c r="L106" s="1" t="str">
        <f t="shared" si="1"/>
        <v>Travis Kelce</v>
      </c>
      <c r="M106" s="124">
        <f>IFERROR(VLOOKUP(E106,RISK!A:B,2,FALSE()),"")</f>
        <v>2.768</v>
      </c>
      <c r="N106" s="116">
        <f t="shared" si="2"/>
        <v>113.9832152</v>
      </c>
      <c r="Q106" s="8" t="s">
        <v>557</v>
      </c>
      <c r="R106" s="116">
        <f>Aggregate!BL60</f>
        <v>65.01764706</v>
      </c>
      <c r="S106" s="8"/>
      <c r="T106" s="8"/>
    </row>
    <row r="107" ht="14.25" customHeight="1">
      <c r="A107" s="1">
        <v>104.0</v>
      </c>
      <c r="B107" s="1">
        <v>6.0</v>
      </c>
      <c r="C107" s="1" t="s">
        <v>689</v>
      </c>
      <c r="D107" s="1" t="s">
        <v>189</v>
      </c>
      <c r="E107" s="1" t="s">
        <v>469</v>
      </c>
      <c r="F107" s="1">
        <v>6.0</v>
      </c>
      <c r="G107" s="1" t="s">
        <v>1009</v>
      </c>
      <c r="H107" s="1" t="s">
        <v>1009</v>
      </c>
      <c r="I107" s="1" t="s">
        <v>1002</v>
      </c>
      <c r="J107" s="1">
        <v>4.0</v>
      </c>
      <c r="K107" s="1">
        <v>106.0</v>
      </c>
      <c r="L107" s="1" t="str">
        <f t="shared" si="1"/>
        <v>Jordan Addison</v>
      </c>
      <c r="M107" s="124">
        <f>IFERROR(VLOOKUP(E107,RISK!A:B,2,FALSE()),"")</f>
        <v>3.7</v>
      </c>
      <c r="N107" s="116">
        <f t="shared" si="2"/>
        <v>104.4776471</v>
      </c>
      <c r="Q107" s="8" t="s">
        <v>565</v>
      </c>
      <c r="R107" s="116">
        <f>Aggregate!BL61</f>
        <v>62.25346824</v>
      </c>
      <c r="S107" s="8"/>
      <c r="T107" s="8"/>
    </row>
    <row r="108" ht="14.25" customHeight="1">
      <c r="A108" s="1">
        <v>105.0</v>
      </c>
      <c r="B108" s="1">
        <v>6.0</v>
      </c>
      <c r="C108" s="1" t="s">
        <v>468</v>
      </c>
      <c r="D108" s="1" t="s">
        <v>189</v>
      </c>
      <c r="E108" s="1" t="s">
        <v>414</v>
      </c>
      <c r="F108" s="1">
        <v>6.0</v>
      </c>
      <c r="G108" s="1" t="s">
        <v>1009</v>
      </c>
      <c r="H108" s="1" t="s">
        <v>1010</v>
      </c>
      <c r="I108" s="1" t="s">
        <v>1004</v>
      </c>
      <c r="J108" s="1">
        <v>-9.0</v>
      </c>
      <c r="K108" s="1">
        <v>107.0</v>
      </c>
      <c r="L108" s="1" t="str">
        <f t="shared" si="1"/>
        <v>Jordan Mason</v>
      </c>
      <c r="M108" s="124">
        <f>IFERROR(VLOOKUP(E108,RISK!A:B,2,FALSE()),"")</f>
        <v>3.3432</v>
      </c>
      <c r="N108" s="116">
        <f t="shared" si="2"/>
        <v>105.5677</v>
      </c>
      <c r="Q108" s="8" t="s">
        <v>573</v>
      </c>
      <c r="R108" s="116">
        <f>Aggregate!BL62</f>
        <v>60.93082353</v>
      </c>
      <c r="S108" s="8"/>
      <c r="T108" s="8"/>
    </row>
    <row r="109" ht="14.25" customHeight="1">
      <c r="A109" s="1">
        <v>106.0</v>
      </c>
      <c r="B109" s="1">
        <v>6.0</v>
      </c>
      <c r="C109" s="1" t="s">
        <v>679</v>
      </c>
      <c r="D109" s="1" t="s">
        <v>199</v>
      </c>
      <c r="E109" s="1" t="s">
        <v>477</v>
      </c>
      <c r="F109" s="1">
        <v>11.0</v>
      </c>
      <c r="G109" s="1" t="s">
        <v>1009</v>
      </c>
      <c r="H109" s="1" t="s">
        <v>1009</v>
      </c>
      <c r="I109" s="1" t="s">
        <v>1002</v>
      </c>
      <c r="J109" s="1">
        <v>6.0</v>
      </c>
      <c r="K109" s="1">
        <v>108.0</v>
      </c>
      <c r="L109" s="1" t="str">
        <f t="shared" si="1"/>
        <v>Jayden Reed</v>
      </c>
      <c r="M109" s="124">
        <f>IFERROR(VLOOKUP(E109,RISK!A:B,2,FALSE()),"")</f>
        <v>3.7</v>
      </c>
      <c r="N109" s="116">
        <f t="shared" si="2"/>
        <v>103.5515294</v>
      </c>
      <c r="Q109" s="8" t="s">
        <v>582</v>
      </c>
      <c r="R109" s="116">
        <f>Aggregate!BL63</f>
        <v>60.56281622</v>
      </c>
      <c r="S109" s="8"/>
      <c r="T109" s="8"/>
    </row>
    <row r="110" ht="14.25" customHeight="1">
      <c r="A110" s="1">
        <v>107.0</v>
      </c>
      <c r="B110" s="1">
        <v>6.0</v>
      </c>
      <c r="C110" s="1" t="s">
        <v>453</v>
      </c>
      <c r="D110" s="1" t="s">
        <v>186</v>
      </c>
      <c r="E110" s="1" t="s">
        <v>421</v>
      </c>
      <c r="F110" s="1">
        <v>10.0</v>
      </c>
      <c r="G110" s="1" t="s">
        <v>1009</v>
      </c>
      <c r="H110" s="1" t="s">
        <v>1010</v>
      </c>
      <c r="I110" s="1" t="s">
        <v>1003</v>
      </c>
      <c r="J110" s="1">
        <v>2.0</v>
      </c>
      <c r="K110" s="1">
        <v>109.0</v>
      </c>
      <c r="L110" s="1" t="str">
        <f t="shared" si="1"/>
        <v>Kenny Gainwell</v>
      </c>
      <c r="M110" s="124">
        <f>IFERROR(VLOOKUP(E110,RISK!A:B,2,FALSE()),"")</f>
        <v>3.368</v>
      </c>
      <c r="N110" s="116">
        <f t="shared" si="2"/>
        <v>104.8456</v>
      </c>
      <c r="Q110" s="8" t="s">
        <v>590</v>
      </c>
      <c r="R110" s="116">
        <f>Aggregate!BL64</f>
        <v>59.86824941</v>
      </c>
      <c r="S110" s="8"/>
      <c r="T110" s="8"/>
    </row>
    <row r="111" ht="14.25" customHeight="1">
      <c r="A111" s="1">
        <v>108.0</v>
      </c>
      <c r="B111" s="1">
        <v>6.0</v>
      </c>
      <c r="C111" s="1" t="s">
        <v>175</v>
      </c>
      <c r="D111" s="1" t="s">
        <v>176</v>
      </c>
      <c r="E111" s="1" t="s">
        <v>290</v>
      </c>
      <c r="F111" s="1">
        <v>11.0</v>
      </c>
      <c r="G111" s="1" t="s">
        <v>1009</v>
      </c>
      <c r="H111" s="1" t="s">
        <v>1005</v>
      </c>
      <c r="I111" s="1" t="s">
        <v>1007</v>
      </c>
      <c r="J111" s="1">
        <v>-8.0</v>
      </c>
      <c r="K111" s="1">
        <v>110.0</v>
      </c>
      <c r="L111" s="1" t="str">
        <f t="shared" si="1"/>
        <v>Matthew Stafford</v>
      </c>
      <c r="M111" s="124">
        <f>IFERROR(VLOOKUP(E111,RISK!A:B,2,FALSE()),"")</f>
        <v>2.1975</v>
      </c>
      <c r="N111" s="116">
        <f t="shared" si="2"/>
        <v>218.6925464</v>
      </c>
      <c r="Q111" s="8" t="s">
        <v>598</v>
      </c>
      <c r="R111" s="116">
        <f>Aggregate!BL65</f>
        <v>59.56487336</v>
      </c>
      <c r="S111" s="8"/>
      <c r="T111" s="8"/>
    </row>
    <row r="112" ht="14.25" customHeight="1">
      <c r="A112" s="1">
        <v>109.0</v>
      </c>
      <c r="B112" s="1">
        <v>6.0</v>
      </c>
      <c r="C112" s="1" t="s">
        <v>464</v>
      </c>
      <c r="D112" s="1" t="s">
        <v>159</v>
      </c>
      <c r="E112" s="1" t="s">
        <v>429</v>
      </c>
      <c r="F112" s="1">
        <v>10.0</v>
      </c>
      <c r="G112" s="1" t="s">
        <v>1009</v>
      </c>
      <c r="H112" s="1" t="s">
        <v>1009</v>
      </c>
      <c r="I112" s="1" t="s">
        <v>1003</v>
      </c>
      <c r="J112" s="1">
        <v>-15.0</v>
      </c>
      <c r="K112" s="1">
        <v>111.0</v>
      </c>
      <c r="L112" s="1" t="str">
        <f t="shared" si="1"/>
        <v>Kyle Monangai</v>
      </c>
      <c r="M112" s="124">
        <f>IFERROR(VLOOKUP(E112,RISK!A:B,2,FALSE()),"")</f>
        <v>3.368</v>
      </c>
      <c r="N112" s="116">
        <f t="shared" si="2"/>
        <v>104.1477311</v>
      </c>
      <c r="Q112" s="8" t="s">
        <v>605</v>
      </c>
      <c r="R112" s="116">
        <f>Aggregate!BL66</f>
        <v>58.80401084</v>
      </c>
      <c r="S112" s="8"/>
      <c r="T112" s="8"/>
    </row>
    <row r="113" ht="14.25" customHeight="1">
      <c r="A113" s="1">
        <v>110.0</v>
      </c>
      <c r="B113" s="1">
        <v>6.0</v>
      </c>
      <c r="C113" s="1" t="s">
        <v>178</v>
      </c>
      <c r="D113" s="1" t="s">
        <v>179</v>
      </c>
      <c r="E113" s="1" t="s">
        <v>298</v>
      </c>
      <c r="F113" s="1">
        <v>6.0</v>
      </c>
      <c r="G113" s="1" t="s">
        <v>1010</v>
      </c>
      <c r="H113" s="1" t="s">
        <v>1005</v>
      </c>
      <c r="I113" s="1" t="s">
        <v>1002</v>
      </c>
      <c r="J113" s="1">
        <v>9.0</v>
      </c>
      <c r="K113" s="1">
        <v>112.0</v>
      </c>
      <c r="L113" s="1" t="str">
        <f t="shared" si="1"/>
        <v>Jared Goff</v>
      </c>
      <c r="M113" s="124">
        <f>IFERROR(VLOOKUP(E113,RISK!A:B,2,FALSE()),"")</f>
        <v>2.298</v>
      </c>
      <c r="N113" s="116">
        <f t="shared" si="2"/>
        <v>205.51388</v>
      </c>
      <c r="Q113" s="8" t="s">
        <v>614</v>
      </c>
      <c r="R113" s="116">
        <f>Aggregate!BL67</f>
        <v>58.561417</v>
      </c>
      <c r="S113" s="8"/>
      <c r="T113" s="8"/>
    </row>
    <row r="114" ht="14.25" customHeight="1">
      <c r="A114" s="1">
        <v>111.0</v>
      </c>
      <c r="B114" s="1">
        <v>6.0</v>
      </c>
      <c r="C114" s="1" t="s">
        <v>669</v>
      </c>
      <c r="D114" s="1" t="s">
        <v>145</v>
      </c>
      <c r="E114" s="1" t="s">
        <v>485</v>
      </c>
      <c r="F114" s="1">
        <v>7.0</v>
      </c>
      <c r="G114" s="1" t="s">
        <v>1010</v>
      </c>
      <c r="H114" s="1" t="s">
        <v>1010</v>
      </c>
      <c r="I114" s="1" t="s">
        <v>1004</v>
      </c>
      <c r="J114" s="1">
        <v>17.0</v>
      </c>
      <c r="K114" s="1">
        <v>113.0</v>
      </c>
      <c r="L114" s="1" t="str">
        <f t="shared" si="1"/>
        <v>Jakobi Meyers</v>
      </c>
      <c r="M114" s="124">
        <f>IFERROR(VLOOKUP(E114,RISK!A:B,2,FALSE()),"")</f>
        <v>3.7</v>
      </c>
      <c r="N114" s="116">
        <f t="shared" si="2"/>
        <v>102.6832941</v>
      </c>
      <c r="Q114" s="8" t="s">
        <v>621</v>
      </c>
      <c r="R114" s="116">
        <f>Aggregate!BL68</f>
        <v>56.97775059</v>
      </c>
      <c r="S114" s="8"/>
      <c r="T114" s="8"/>
    </row>
    <row r="115" ht="14.25" customHeight="1">
      <c r="A115" s="1">
        <v>112.0</v>
      </c>
      <c r="B115" s="1">
        <v>6.0</v>
      </c>
      <c r="C115" s="1" t="s">
        <v>459</v>
      </c>
      <c r="D115" s="1" t="s">
        <v>106</v>
      </c>
      <c r="E115" s="1" t="s">
        <v>437</v>
      </c>
      <c r="F115" s="1">
        <v>7.0</v>
      </c>
      <c r="G115" s="1" t="s">
        <v>1009</v>
      </c>
      <c r="H115" s="1" t="s">
        <v>1010</v>
      </c>
      <c r="I115" s="1" t="s">
        <v>1004</v>
      </c>
      <c r="J115" s="1">
        <v>2.0</v>
      </c>
      <c r="K115" s="1">
        <v>114.0</v>
      </c>
      <c r="L115" s="1" t="str">
        <f t="shared" si="1"/>
        <v>Rachaad White</v>
      </c>
      <c r="M115" s="124">
        <f>IFERROR(VLOOKUP(E115,RISK!A:B,2,FALSE()),"")</f>
        <v>3.368</v>
      </c>
      <c r="N115" s="116">
        <f t="shared" si="2"/>
        <v>102.52008</v>
      </c>
      <c r="Q115" s="8" t="s">
        <v>629</v>
      </c>
      <c r="R115" s="116">
        <f>Aggregate!BL69</f>
        <v>55.37274353</v>
      </c>
      <c r="S115" s="8"/>
      <c r="T115" s="8"/>
    </row>
    <row r="116" ht="14.25" customHeight="1">
      <c r="A116" s="1">
        <v>113.0</v>
      </c>
      <c r="B116" s="1">
        <v>6.0</v>
      </c>
      <c r="C116" s="1" t="s">
        <v>763</v>
      </c>
      <c r="D116" s="1" t="s">
        <v>18</v>
      </c>
      <c r="E116" s="1" t="s">
        <v>263</v>
      </c>
      <c r="F116" s="1">
        <v>7.0</v>
      </c>
      <c r="G116" s="1" t="s">
        <v>1010</v>
      </c>
      <c r="H116" s="1" t="s">
        <v>1009</v>
      </c>
      <c r="I116" s="1" t="s">
        <v>1007</v>
      </c>
      <c r="J116" s="1">
        <v>-14.0</v>
      </c>
      <c r="K116" s="1">
        <v>115.0</v>
      </c>
      <c r="L116" s="1" t="str">
        <f t="shared" si="1"/>
        <v>Dalton Kincaid</v>
      </c>
      <c r="M116" s="124">
        <f>IFERROR(VLOOKUP(E116,RISK!A:B,2,FALSE()),"")</f>
        <v>2.7905</v>
      </c>
      <c r="N116" s="116">
        <f t="shared" si="2"/>
        <v>112.4097318</v>
      </c>
      <c r="Q116" s="8" t="s">
        <v>637</v>
      </c>
      <c r="R116" s="116">
        <f>Aggregate!BL70</f>
        <v>51.13730824</v>
      </c>
      <c r="S116" s="8"/>
      <c r="T116" s="8"/>
    </row>
    <row r="117" ht="14.25" customHeight="1">
      <c r="A117" s="1">
        <v>114.0</v>
      </c>
      <c r="B117" s="1">
        <v>6.0</v>
      </c>
      <c r="C117" s="1" t="s">
        <v>725</v>
      </c>
      <c r="D117" s="1" t="s">
        <v>117</v>
      </c>
      <c r="E117" s="1" t="s">
        <v>492</v>
      </c>
      <c r="F117" s="1">
        <v>10.0</v>
      </c>
      <c r="G117" s="1" t="s">
        <v>1009</v>
      </c>
      <c r="H117" s="1" t="s">
        <v>1010</v>
      </c>
      <c r="I117" s="1" t="s">
        <v>1004</v>
      </c>
      <c r="J117" s="1">
        <v>-12.0</v>
      </c>
      <c r="K117" s="1">
        <v>116.0</v>
      </c>
      <c r="L117" s="1" t="str">
        <f t="shared" si="1"/>
        <v>Makai Lemon</v>
      </c>
      <c r="M117" s="124">
        <f>IFERROR(VLOOKUP(E117,RISK!A:B,2,FALSE()),"")</f>
        <v>3.7</v>
      </c>
      <c r="N117" s="116">
        <f t="shared" si="2"/>
        <v>102.4155882</v>
      </c>
      <c r="Q117" s="8" t="s">
        <v>645</v>
      </c>
      <c r="R117" s="116">
        <f>Aggregate!BL71</f>
        <v>41.82678118</v>
      </c>
      <c r="S117" s="8"/>
      <c r="T117" s="8"/>
    </row>
    <row r="118" ht="14.25" customHeight="1">
      <c r="A118" s="1">
        <v>115.0</v>
      </c>
      <c r="B118" s="1">
        <v>6.0</v>
      </c>
      <c r="C118" s="1" t="s">
        <v>461</v>
      </c>
      <c r="D118" s="1" t="s">
        <v>189</v>
      </c>
      <c r="E118" s="1" t="s">
        <v>444</v>
      </c>
      <c r="F118" s="1">
        <v>6.0</v>
      </c>
      <c r="G118" s="1" t="s">
        <v>1001</v>
      </c>
      <c r="H118" s="1" t="s">
        <v>1009</v>
      </c>
      <c r="I118" s="1" t="s">
        <v>1004</v>
      </c>
      <c r="J118" s="1">
        <v>5.0</v>
      </c>
      <c r="K118" s="1">
        <v>117.0</v>
      </c>
      <c r="L118" s="1" t="str">
        <f t="shared" si="1"/>
        <v>Aaron Jones Sr.</v>
      </c>
      <c r="M118" s="124">
        <f>IFERROR(VLOOKUP(E118,RISK!A:B,2,FALSE()),"")</f>
        <v>3.368</v>
      </c>
      <c r="N118" s="116">
        <f t="shared" si="2"/>
        <v>99.24877224</v>
      </c>
      <c r="Q118" s="8" t="s">
        <v>652</v>
      </c>
      <c r="R118" s="116">
        <f>Aggregate!BL72</f>
        <v>41.02427765</v>
      </c>
      <c r="S118" s="8"/>
      <c r="T118" s="8"/>
    </row>
    <row r="119" ht="14.25" customHeight="1">
      <c r="A119" s="1">
        <v>116.0</v>
      </c>
      <c r="B119" s="1">
        <v>6.0</v>
      </c>
      <c r="C119" s="1" t="s">
        <v>752</v>
      </c>
      <c r="D119" s="1" t="s">
        <v>117</v>
      </c>
      <c r="E119" s="1" t="s">
        <v>271</v>
      </c>
      <c r="F119" s="1">
        <v>10.0</v>
      </c>
      <c r="G119" s="1" t="s">
        <v>1009</v>
      </c>
      <c r="H119" s="1" t="s">
        <v>1010</v>
      </c>
      <c r="I119" s="1" t="s">
        <v>1004</v>
      </c>
      <c r="J119" s="1">
        <v>6.0</v>
      </c>
      <c r="K119" s="1">
        <v>118.0</v>
      </c>
      <c r="L119" s="1" t="str">
        <f t="shared" si="1"/>
        <v>Dallas Goedert</v>
      </c>
      <c r="M119" s="124">
        <f>IFERROR(VLOOKUP(E119,RISK!A:B,2,FALSE()),"")</f>
        <v>2.8066</v>
      </c>
      <c r="N119" s="116">
        <f t="shared" si="2"/>
        <v>106.4821256</v>
      </c>
      <c r="Q119" s="8" t="s">
        <v>659</v>
      </c>
      <c r="R119" s="116">
        <f>Aggregate!BL73</f>
        <v>39.65704941</v>
      </c>
      <c r="S119" s="8"/>
      <c r="T119" s="8"/>
    </row>
    <row r="120" ht="14.25" customHeight="1">
      <c r="A120" s="1">
        <v>117.0</v>
      </c>
      <c r="B120" s="1">
        <v>6.0</v>
      </c>
      <c r="C120" s="1" t="s">
        <v>761</v>
      </c>
      <c r="D120" s="1" t="s">
        <v>134</v>
      </c>
      <c r="E120" s="1" t="s">
        <v>279</v>
      </c>
      <c r="F120" s="1">
        <v>8.0</v>
      </c>
      <c r="G120" s="1" t="s">
        <v>1009</v>
      </c>
      <c r="H120" s="1" t="s">
        <v>1009</v>
      </c>
      <c r="I120" s="1" t="s">
        <v>1007</v>
      </c>
      <c r="J120" s="1">
        <v>-14.0</v>
      </c>
      <c r="K120" s="1">
        <v>119.0</v>
      </c>
      <c r="L120" s="1" t="str">
        <f t="shared" si="1"/>
        <v>Isaiah Likely</v>
      </c>
      <c r="M120" s="124">
        <f>IFERROR(VLOOKUP(E120,RISK!A:B,2,FALSE()),"")</f>
        <v>2.8163</v>
      </c>
      <c r="N120" s="116">
        <f t="shared" si="2"/>
        <v>103.2671466</v>
      </c>
      <c r="Q120" s="8" t="s">
        <v>668</v>
      </c>
      <c r="R120" s="116">
        <f>Aggregate!BL74</f>
        <v>39.49357647</v>
      </c>
      <c r="S120" s="8"/>
      <c r="T120" s="8"/>
    </row>
    <row r="121" ht="14.25" customHeight="1">
      <c r="A121" s="1">
        <v>118.0</v>
      </c>
      <c r="B121" s="1">
        <v>6.0</v>
      </c>
      <c r="C121" s="1" t="s">
        <v>185</v>
      </c>
      <c r="D121" s="1" t="s">
        <v>186</v>
      </c>
      <c r="E121" s="1" t="s">
        <v>306</v>
      </c>
      <c r="F121" s="1">
        <v>10.0</v>
      </c>
      <c r="G121" s="1" t="s">
        <v>1010</v>
      </c>
      <c r="H121" s="1" t="s">
        <v>1009</v>
      </c>
      <c r="I121" s="1" t="s">
        <v>1003</v>
      </c>
      <c r="J121" s="1">
        <v>12.0</v>
      </c>
      <c r="K121" s="1">
        <v>120.0</v>
      </c>
      <c r="L121" s="1" t="str">
        <f t="shared" si="1"/>
        <v>Baker Mayfield</v>
      </c>
      <c r="M121" s="124">
        <f>IFERROR(VLOOKUP(E121,RISK!A:B,2,FALSE()),"")</f>
        <v>2.4081</v>
      </c>
      <c r="N121" s="116">
        <f t="shared" si="2"/>
        <v>195.2884192</v>
      </c>
      <c r="Q121" s="8" t="s">
        <v>675</v>
      </c>
      <c r="R121" s="116">
        <f>Aggregate!BL75</f>
        <v>37.16780235</v>
      </c>
      <c r="S121" s="8"/>
      <c r="T121" s="8"/>
    </row>
    <row r="122" ht="14.25" customHeight="1">
      <c r="A122" s="1">
        <v>119.0</v>
      </c>
      <c r="B122" s="1">
        <v>6.0</v>
      </c>
      <c r="C122" s="1" t="s">
        <v>715</v>
      </c>
      <c r="D122" s="1" t="s">
        <v>226</v>
      </c>
      <c r="E122" s="1" t="s">
        <v>500</v>
      </c>
      <c r="F122" s="1">
        <v>11.0</v>
      </c>
      <c r="G122" s="1" t="s">
        <v>1009</v>
      </c>
      <c r="H122" s="1" t="s">
        <v>1010</v>
      </c>
      <c r="I122" s="1" t="s">
        <v>1007</v>
      </c>
      <c r="J122" s="1">
        <v>8.0</v>
      </c>
      <c r="K122" s="1">
        <v>121.0</v>
      </c>
      <c r="L122" s="1" t="str">
        <f t="shared" si="1"/>
        <v>KC Concepcion</v>
      </c>
      <c r="M122" s="124">
        <f>IFERROR(VLOOKUP(E122,RISK!A:B,2,FALSE()),"")</f>
        <v>3.7</v>
      </c>
      <c r="N122" s="116">
        <f t="shared" si="2"/>
        <v>101.3013529</v>
      </c>
      <c r="Q122" s="8" t="s">
        <v>682</v>
      </c>
      <c r="R122" s="116">
        <f>Aggregate!BL76</f>
        <v>37.03405176</v>
      </c>
      <c r="S122" s="8"/>
      <c r="T122" s="8"/>
    </row>
    <row r="123" ht="14.25" customHeight="1">
      <c r="A123" s="1">
        <v>120.0</v>
      </c>
      <c r="B123" s="1">
        <v>6.0</v>
      </c>
      <c r="C123" s="1" t="s">
        <v>188</v>
      </c>
      <c r="D123" s="1" t="s">
        <v>189</v>
      </c>
      <c r="E123" s="1" t="s">
        <v>315</v>
      </c>
      <c r="F123" s="1">
        <v>6.0</v>
      </c>
      <c r="G123" s="1" t="s">
        <v>1009</v>
      </c>
      <c r="H123" s="1" t="s">
        <v>1010</v>
      </c>
      <c r="I123" s="1" t="s">
        <v>1002</v>
      </c>
      <c r="J123" s="1">
        <v>4.0</v>
      </c>
      <c r="K123" s="1">
        <v>122.0</v>
      </c>
      <c r="L123" s="1" t="str">
        <f t="shared" si="1"/>
        <v>Kyler Murray</v>
      </c>
      <c r="M123" s="124">
        <f>IFERROR(VLOOKUP(E123,RISK!A:B,2,FALSE()),"")</f>
        <v>2.5278</v>
      </c>
      <c r="N123" s="116">
        <f t="shared" si="2"/>
        <v>192.923489</v>
      </c>
      <c r="Q123" s="8" t="s">
        <v>691</v>
      </c>
      <c r="R123" s="116">
        <f>Aggregate!BL77</f>
        <v>35.15411294</v>
      </c>
      <c r="S123" s="8"/>
      <c r="T123" s="8"/>
    </row>
    <row r="124" ht="14.25" customHeight="1">
      <c r="A124" s="1">
        <v>121.0</v>
      </c>
      <c r="B124" s="1">
        <v>6.0</v>
      </c>
      <c r="C124" s="1" t="s">
        <v>198</v>
      </c>
      <c r="D124" s="1" t="s">
        <v>199</v>
      </c>
      <c r="E124" s="1" t="s">
        <v>323</v>
      </c>
      <c r="F124" s="1">
        <v>11.0</v>
      </c>
      <c r="G124" s="1" t="s">
        <v>1009</v>
      </c>
      <c r="H124" s="1" t="s">
        <v>1010</v>
      </c>
      <c r="I124" s="1" t="s">
        <v>1004</v>
      </c>
      <c r="J124" s="1">
        <v>16.0</v>
      </c>
      <c r="K124" s="1">
        <v>123.0</v>
      </c>
      <c r="L124" s="1" t="str">
        <f t="shared" si="1"/>
        <v>Jordan Love</v>
      </c>
      <c r="M124" s="124">
        <f>IFERROR(VLOOKUP(E124,RISK!A:B,2,FALSE()),"")</f>
        <v>2.6571</v>
      </c>
      <c r="N124" s="116">
        <f t="shared" si="2"/>
        <v>185.8035812</v>
      </c>
      <c r="Q124" s="8" t="s">
        <v>698</v>
      </c>
      <c r="R124" s="116">
        <f>Aggregate!BL78</f>
        <v>34.87918118</v>
      </c>
      <c r="S124" s="8"/>
      <c r="T124" s="8"/>
    </row>
    <row r="125" ht="14.25" customHeight="1">
      <c r="A125" s="1">
        <v>122.0</v>
      </c>
      <c r="B125" s="1">
        <v>6.0</v>
      </c>
      <c r="C125" s="1" t="s">
        <v>499</v>
      </c>
      <c r="D125" s="1" t="s">
        <v>145</v>
      </c>
      <c r="E125" s="1" t="s">
        <v>452</v>
      </c>
      <c r="F125" s="1">
        <v>7.0</v>
      </c>
      <c r="G125" s="1" t="s">
        <v>1005</v>
      </c>
      <c r="H125" s="1" t="s">
        <v>1009</v>
      </c>
      <c r="I125" s="1" t="s">
        <v>1004</v>
      </c>
      <c r="J125" s="1">
        <v>24.0</v>
      </c>
      <c r="K125" s="1">
        <v>124.0</v>
      </c>
      <c r="L125" s="1" t="str">
        <f t="shared" si="1"/>
        <v>Chris Rodriguez Jr.</v>
      </c>
      <c r="M125" s="124">
        <f>IFERROR(VLOOKUP(E125,RISK!A:B,2,FALSE()),"")</f>
        <v>3.368</v>
      </c>
      <c r="N125" s="116">
        <f t="shared" si="2"/>
        <v>99.12421053</v>
      </c>
      <c r="Q125" s="8" t="s">
        <v>705</v>
      </c>
      <c r="R125" s="116">
        <f>Aggregate!BL79</f>
        <v>33.21472941</v>
      </c>
      <c r="S125" s="8"/>
      <c r="T125" s="8"/>
    </row>
    <row r="126" ht="14.25" customHeight="1">
      <c r="A126" s="1">
        <v>123.0</v>
      </c>
      <c r="B126" s="1">
        <v>6.0</v>
      </c>
      <c r="C126" s="1" t="s">
        <v>759</v>
      </c>
      <c r="D126" s="1" t="s">
        <v>61</v>
      </c>
      <c r="E126" s="1" t="s">
        <v>287</v>
      </c>
      <c r="F126" s="1">
        <v>13.0</v>
      </c>
      <c r="G126" s="1" t="s">
        <v>1009</v>
      </c>
      <c r="H126" s="1" t="s">
        <v>1009</v>
      </c>
      <c r="I126" s="1" t="s">
        <v>1004</v>
      </c>
      <c r="J126" s="1">
        <v>-5.0</v>
      </c>
      <c r="K126" s="1">
        <v>125.0</v>
      </c>
      <c r="L126" s="1" t="str">
        <f t="shared" si="1"/>
        <v>Mark Andrews</v>
      </c>
      <c r="M126" s="124">
        <f>IFERROR(VLOOKUP(E126,RISK!A:B,2,FALSE()),"")</f>
        <v>2.8196</v>
      </c>
      <c r="N126" s="116">
        <f t="shared" si="2"/>
        <v>102.4357874</v>
      </c>
      <c r="Q126" s="8" t="s">
        <v>714</v>
      </c>
      <c r="R126" s="116">
        <f>Aggregate!BL80</f>
        <v>28.60033412</v>
      </c>
      <c r="S126" s="8"/>
      <c r="T126" s="8"/>
    </row>
    <row r="127" ht="14.25" customHeight="1">
      <c r="A127" s="1">
        <v>124.0</v>
      </c>
      <c r="B127" s="1">
        <v>6.0</v>
      </c>
      <c r="C127" s="1" t="s">
        <v>696</v>
      </c>
      <c r="D127" s="1" t="s">
        <v>155</v>
      </c>
      <c r="E127" s="1" t="s">
        <v>506</v>
      </c>
      <c r="F127" s="1">
        <v>5.0</v>
      </c>
      <c r="G127" s="1" t="s">
        <v>1009</v>
      </c>
      <c r="H127" s="1" t="s">
        <v>1009</v>
      </c>
      <c r="I127" s="1" t="s">
        <v>1003</v>
      </c>
      <c r="J127" s="1">
        <v>8.0</v>
      </c>
      <c r="K127" s="1">
        <v>126.0</v>
      </c>
      <c r="L127" s="1" t="str">
        <f t="shared" si="1"/>
        <v>Xavier Worthy</v>
      </c>
      <c r="M127" s="124">
        <f>IFERROR(VLOOKUP(E127,RISK!A:B,2,FALSE()),"")</f>
        <v>3.7</v>
      </c>
      <c r="N127" s="116">
        <f t="shared" si="2"/>
        <v>100.9974706</v>
      </c>
      <c r="Q127" s="8" t="s">
        <v>720</v>
      </c>
      <c r="R127" s="116">
        <f>Aggregate!BL81</f>
        <v>27.51546824</v>
      </c>
      <c r="S127" s="8"/>
      <c r="T127" s="8"/>
    </row>
    <row r="128" ht="14.25" customHeight="1">
      <c r="A128" s="1">
        <v>125.0</v>
      </c>
      <c r="B128" s="1">
        <v>6.0</v>
      </c>
      <c r="C128" s="1" t="s">
        <v>181</v>
      </c>
      <c r="D128" s="1" t="s">
        <v>182</v>
      </c>
      <c r="E128" s="1" t="s">
        <v>330</v>
      </c>
      <c r="F128" s="1">
        <v>8.0</v>
      </c>
      <c r="G128" s="1" t="s">
        <v>1009</v>
      </c>
      <c r="H128" s="1" t="s">
        <v>1005</v>
      </c>
      <c r="I128" s="1" t="s">
        <v>1007</v>
      </c>
      <c r="J128" s="1">
        <v>32.0</v>
      </c>
      <c r="K128" s="1">
        <v>127.0</v>
      </c>
      <c r="L128" s="1" t="str">
        <f t="shared" si="1"/>
        <v>Tyler Shough</v>
      </c>
      <c r="M128" s="124">
        <f>IFERROR(VLOOKUP(E128,RISK!A:B,2,FALSE()),"")</f>
        <v>2.796</v>
      </c>
      <c r="N128" s="116">
        <f t="shared" si="2"/>
        <v>183.5151071</v>
      </c>
      <c r="Q128" s="8" t="s">
        <v>726</v>
      </c>
      <c r="R128" s="116">
        <f>Aggregate!BL82</f>
        <v>26.72039529</v>
      </c>
      <c r="S128" s="8"/>
      <c r="T128" s="8"/>
    </row>
    <row r="129" ht="14.25" customHeight="1">
      <c r="A129" s="1">
        <v>126.0</v>
      </c>
      <c r="B129" s="1">
        <v>6.0</v>
      </c>
      <c r="C129" s="1" t="s">
        <v>719</v>
      </c>
      <c r="D129" s="1" t="s">
        <v>208</v>
      </c>
      <c r="E129" s="1" t="s">
        <v>513</v>
      </c>
      <c r="F129" s="1">
        <v>5.0</v>
      </c>
      <c r="G129" s="1" t="s">
        <v>1009</v>
      </c>
      <c r="H129" s="1" t="s">
        <v>1010</v>
      </c>
      <c r="I129" s="1" t="s">
        <v>1003</v>
      </c>
      <c r="J129" s="1">
        <v>32.0</v>
      </c>
      <c r="K129" s="1">
        <v>128.0</v>
      </c>
      <c r="L129" s="1" t="str">
        <f t="shared" si="1"/>
        <v>Jalen Coker</v>
      </c>
      <c r="M129" s="124">
        <f>IFERROR(VLOOKUP(E129,RISK!A:B,2,FALSE()),"")</f>
        <v>3.7</v>
      </c>
      <c r="N129" s="116">
        <f t="shared" si="2"/>
        <v>100.9034118</v>
      </c>
      <c r="Q129" s="8" t="s">
        <v>731</v>
      </c>
      <c r="R129" s="116">
        <f>Aggregate!BL83</f>
        <v>24.12712</v>
      </c>
      <c r="S129" s="8"/>
      <c r="T129" s="8"/>
    </row>
    <row r="130" ht="14.25" customHeight="1">
      <c r="A130" s="1">
        <v>127.0</v>
      </c>
      <c r="B130" s="1">
        <v>6.0</v>
      </c>
      <c r="C130" s="1" t="s">
        <v>712</v>
      </c>
      <c r="D130" s="1" t="s">
        <v>199</v>
      </c>
      <c r="E130" s="1" t="s">
        <v>518</v>
      </c>
      <c r="F130" s="1">
        <v>11.0</v>
      </c>
      <c r="G130" s="1" t="s">
        <v>1010</v>
      </c>
      <c r="H130" s="1" t="s">
        <v>1009</v>
      </c>
      <c r="I130" s="1" t="s">
        <v>1002</v>
      </c>
      <c r="J130" s="1">
        <v>2.0</v>
      </c>
      <c r="K130" s="1">
        <v>129.0</v>
      </c>
      <c r="L130" s="1" t="str">
        <f t="shared" si="1"/>
        <v>Matthew Golden</v>
      </c>
      <c r="M130" s="124">
        <f>IFERROR(VLOOKUP(E130,RISK!A:B,2,FALSE()),"")</f>
        <v>3.7</v>
      </c>
      <c r="N130" s="116">
        <f t="shared" si="2"/>
        <v>97.55347059</v>
      </c>
      <c r="Q130" s="8" t="s">
        <v>739</v>
      </c>
      <c r="R130" s="116">
        <f>Aggregate!BL84</f>
        <v>23.99336941</v>
      </c>
      <c r="S130" s="8"/>
      <c r="T130" s="8"/>
    </row>
    <row r="131" ht="14.25" customHeight="1">
      <c r="A131" s="1">
        <v>128.0</v>
      </c>
      <c r="B131" s="1">
        <v>6.0</v>
      </c>
      <c r="C131" s="1" t="s">
        <v>474</v>
      </c>
      <c r="D131" s="1" t="s">
        <v>205</v>
      </c>
      <c r="E131" s="1" t="s">
        <v>460</v>
      </c>
      <c r="F131" s="1">
        <v>8.0</v>
      </c>
      <c r="G131" s="1" t="s">
        <v>1010</v>
      </c>
      <c r="H131" s="1" t="s">
        <v>1009</v>
      </c>
      <c r="I131" s="1" t="s">
        <v>1004</v>
      </c>
      <c r="J131" s="1">
        <v>15.0</v>
      </c>
      <c r="K131" s="1">
        <v>130.0</v>
      </c>
      <c r="L131" s="1" t="str">
        <f t="shared" si="1"/>
        <v>Woody Marks</v>
      </c>
      <c r="M131" s="124">
        <f>IFERROR(VLOOKUP(E131,RISK!A:B,2,FALSE()),"")</f>
        <v>3.368</v>
      </c>
      <c r="N131" s="116">
        <f t="shared" si="2"/>
        <v>94.58108944</v>
      </c>
      <c r="Q131" s="8" t="s">
        <v>750</v>
      </c>
      <c r="R131" s="116">
        <f>Aggregate!BL85</f>
        <v>23.39149176</v>
      </c>
      <c r="S131" s="8"/>
      <c r="T131" s="8"/>
    </row>
    <row r="132" ht="14.25" customHeight="1">
      <c r="A132" s="1">
        <v>129.0</v>
      </c>
      <c r="B132" s="1">
        <v>6.0</v>
      </c>
      <c r="C132" s="1" t="s">
        <v>493</v>
      </c>
      <c r="D132" s="1" t="s">
        <v>217</v>
      </c>
      <c r="E132" s="1" t="s">
        <v>467</v>
      </c>
      <c r="F132" s="1">
        <v>14.0</v>
      </c>
      <c r="G132" s="1" t="s">
        <v>1010</v>
      </c>
      <c r="H132" s="1" t="s">
        <v>1009</v>
      </c>
      <c r="I132" s="1" t="s">
        <v>1003</v>
      </c>
      <c r="J132" s="1">
        <v>7.0</v>
      </c>
      <c r="K132" s="1">
        <v>131.0</v>
      </c>
      <c r="L132" s="1" t="str">
        <f t="shared" si="1"/>
        <v>Tyler Allgeier</v>
      </c>
      <c r="M132" s="124">
        <f>IFERROR(VLOOKUP(E132,RISK!A:B,2,FALSE()),"")</f>
        <v>3.368</v>
      </c>
      <c r="N132" s="116">
        <f t="shared" si="2"/>
        <v>85.68954353</v>
      </c>
      <c r="Q132" s="8" t="s">
        <v>760</v>
      </c>
      <c r="R132" s="116">
        <f>Aggregate!BL86</f>
        <v>23.13142118</v>
      </c>
      <c r="S132" s="8"/>
      <c r="T132" s="8"/>
    </row>
    <row r="133" ht="14.25" customHeight="1">
      <c r="A133" s="1">
        <v>130.0</v>
      </c>
      <c r="B133" s="1">
        <v>6.0</v>
      </c>
      <c r="C133" s="1" t="s">
        <v>757</v>
      </c>
      <c r="D133" s="1" t="s">
        <v>150</v>
      </c>
      <c r="E133" s="1" t="s">
        <v>296</v>
      </c>
      <c r="F133" s="1">
        <v>14.0</v>
      </c>
      <c r="G133" s="1" t="s">
        <v>1005</v>
      </c>
      <c r="H133" s="1" t="s">
        <v>1009</v>
      </c>
      <c r="I133" s="1" t="s">
        <v>1003</v>
      </c>
      <c r="J133" s="1">
        <v>-17.0</v>
      </c>
      <c r="K133" s="1">
        <v>132.0</v>
      </c>
      <c r="L133" s="1" t="str">
        <f t="shared" si="1"/>
        <v>Jake Ferguson</v>
      </c>
      <c r="M133" s="124">
        <f>IFERROR(VLOOKUP(E133,RISK!A:B,2,FALSE()),"")</f>
        <v>2.8165</v>
      </c>
      <c r="N133" s="116">
        <f t="shared" si="2"/>
        <v>100.962345</v>
      </c>
      <c r="Q133" s="8" t="s">
        <v>770</v>
      </c>
      <c r="R133" s="116">
        <f>Aggregate!BL87</f>
        <v>20.28550588</v>
      </c>
      <c r="S133" s="8"/>
      <c r="T133" s="8"/>
    </row>
    <row r="134" ht="14.25" customHeight="1">
      <c r="A134" s="1">
        <v>131.0</v>
      </c>
      <c r="B134" s="1">
        <v>6.0</v>
      </c>
      <c r="C134" s="1" t="s">
        <v>702</v>
      </c>
      <c r="D134" s="1" t="s">
        <v>18</v>
      </c>
      <c r="E134" s="1" t="s">
        <v>524</v>
      </c>
      <c r="F134" s="1">
        <v>7.0</v>
      </c>
      <c r="G134" s="1" t="s">
        <v>1005</v>
      </c>
      <c r="H134" s="1" t="s">
        <v>1009</v>
      </c>
      <c r="I134" s="1" t="s">
        <v>1004</v>
      </c>
      <c r="J134" s="1">
        <v>24.0</v>
      </c>
      <c r="K134" s="1">
        <v>133.0</v>
      </c>
      <c r="L134" s="1" t="str">
        <f t="shared" si="1"/>
        <v>Khalil Shakir</v>
      </c>
      <c r="M134" s="124">
        <f>IFERROR(VLOOKUP(E134,RISK!A:B,2,FALSE()),"")</f>
        <v>3.7</v>
      </c>
      <c r="N134" s="116">
        <f t="shared" si="2"/>
        <v>96.91676471</v>
      </c>
      <c r="Q134" s="8" t="s">
        <v>781</v>
      </c>
      <c r="R134" s="116">
        <f>Aggregate!BL88</f>
        <v>16.31757176</v>
      </c>
      <c r="S134" s="8"/>
      <c r="T134" s="8"/>
    </row>
    <row r="135" ht="14.25" customHeight="1">
      <c r="A135" s="1">
        <v>132.0</v>
      </c>
      <c r="B135" s="1">
        <v>7.0</v>
      </c>
      <c r="C135" s="1" t="s">
        <v>811</v>
      </c>
      <c r="D135" s="1" t="s">
        <v>182</v>
      </c>
      <c r="E135" s="1" t="s">
        <v>530</v>
      </c>
      <c r="F135" s="1">
        <v>8.0</v>
      </c>
      <c r="G135" s="1" t="s">
        <v>1010</v>
      </c>
      <c r="H135" s="1" t="s">
        <v>1009</v>
      </c>
      <c r="I135" s="1" t="s">
        <v>1007</v>
      </c>
      <c r="J135" s="1">
        <v>-34.0</v>
      </c>
      <c r="K135" s="1">
        <v>134.0</v>
      </c>
      <c r="L135" s="1" t="str">
        <f t="shared" si="1"/>
        <v>Jordyn Tyson</v>
      </c>
      <c r="M135" s="124">
        <f>IFERROR(VLOOKUP(E135,RISK!A:B,2,FALSE()),"")</f>
        <v>3.7</v>
      </c>
      <c r="N135" s="116">
        <f t="shared" si="2"/>
        <v>96.79781647</v>
      </c>
      <c r="Q135" s="8" t="s">
        <v>791</v>
      </c>
      <c r="R135" s="116">
        <f>Aggregate!BL89</f>
        <v>16.18382118</v>
      </c>
      <c r="S135" s="8"/>
      <c r="T135" s="8"/>
    </row>
    <row r="136" ht="14.25" customHeight="1">
      <c r="A136" s="1">
        <v>133.0</v>
      </c>
      <c r="B136" s="1">
        <v>7.0</v>
      </c>
      <c r="C136" s="1" t="s">
        <v>709</v>
      </c>
      <c r="D136" s="1" t="s">
        <v>94</v>
      </c>
      <c r="E136" s="1" t="s">
        <v>535</v>
      </c>
      <c r="F136" s="1">
        <v>11.0</v>
      </c>
      <c r="G136" s="1" t="s">
        <v>1009</v>
      </c>
      <c r="H136" s="1" t="s">
        <v>1010</v>
      </c>
      <c r="I136" s="1" t="s">
        <v>1003</v>
      </c>
      <c r="J136" s="1">
        <v>14.0</v>
      </c>
      <c r="K136" s="1">
        <v>135.0</v>
      </c>
      <c r="L136" s="1" t="str">
        <f t="shared" si="1"/>
        <v>Romeo Doubs</v>
      </c>
      <c r="M136" s="124">
        <f>IFERROR(VLOOKUP(E136,RISK!A:B,2,FALSE()),"")</f>
        <v>3.7</v>
      </c>
      <c r="N136" s="116">
        <f t="shared" si="2"/>
        <v>96.28729412</v>
      </c>
      <c r="Q136" s="8" t="s">
        <v>804</v>
      </c>
      <c r="R136" s="116">
        <f>Aggregate!BL90</f>
        <v>13.40478118</v>
      </c>
      <c r="S136" s="8"/>
      <c r="T136" s="8"/>
    </row>
    <row r="137" ht="14.25" customHeight="1">
      <c r="A137" s="1">
        <v>134.0</v>
      </c>
      <c r="B137" s="1">
        <v>7.0</v>
      </c>
      <c r="C137" s="1" t="s">
        <v>472</v>
      </c>
      <c r="D137" s="1" t="s">
        <v>214</v>
      </c>
      <c r="E137" s="1" t="s">
        <v>475</v>
      </c>
      <c r="F137" s="1">
        <v>9.0</v>
      </c>
      <c r="G137" s="1" t="s">
        <v>1010</v>
      </c>
      <c r="H137" s="1" t="s">
        <v>1009</v>
      </c>
      <c r="I137" s="1" t="s">
        <v>1007</v>
      </c>
      <c r="J137" s="1">
        <v>25.0</v>
      </c>
      <c r="K137" s="1">
        <v>136.0</v>
      </c>
      <c r="L137" s="1" t="str">
        <f t="shared" si="1"/>
        <v>Tyjae Spears</v>
      </c>
      <c r="M137" s="124">
        <f>IFERROR(VLOOKUP(E137,RISK!A:B,2,FALSE()),"")</f>
        <v>3.368</v>
      </c>
      <c r="N137" s="116">
        <f t="shared" si="2"/>
        <v>84.61820132</v>
      </c>
      <c r="Q137" s="8" t="s">
        <v>814</v>
      </c>
      <c r="R137" s="116">
        <f>Aggregate!BL91</f>
        <v>13.37505882</v>
      </c>
      <c r="S137" s="8"/>
      <c r="T137" s="8"/>
    </row>
    <row r="138" ht="14.25" customHeight="1">
      <c r="A138" s="1">
        <v>135.0</v>
      </c>
      <c r="B138" s="1">
        <v>7.0</v>
      </c>
      <c r="C138" s="1" t="s">
        <v>195</v>
      </c>
      <c r="D138" s="1" t="s">
        <v>196</v>
      </c>
      <c r="E138" s="1" t="s">
        <v>334</v>
      </c>
      <c r="F138" s="1">
        <v>6.0</v>
      </c>
      <c r="G138" s="1" t="s">
        <v>1009</v>
      </c>
      <c r="H138" s="1" t="s">
        <v>1009</v>
      </c>
      <c r="I138" s="1" t="s">
        <v>1007</v>
      </c>
      <c r="J138" s="1">
        <v>19.0</v>
      </c>
      <c r="K138" s="1">
        <v>137.0</v>
      </c>
      <c r="L138" s="1" t="str">
        <f t="shared" si="1"/>
        <v>Malik Willis</v>
      </c>
      <c r="M138" s="124">
        <f>IFERROR(VLOOKUP(E138,RISK!A:B,2,FALSE()),"")</f>
        <v>2.9445</v>
      </c>
      <c r="N138" s="116">
        <f t="shared" si="2"/>
        <v>176.8658824</v>
      </c>
      <c r="Q138" s="8" t="s">
        <v>825</v>
      </c>
      <c r="R138" s="116">
        <f>Aggregate!BL92</f>
        <v>12.632</v>
      </c>
      <c r="S138" s="8"/>
      <c r="T138" s="8"/>
    </row>
    <row r="139" ht="14.25" customHeight="1">
      <c r="A139" s="1">
        <v>136.0</v>
      </c>
      <c r="B139" s="1">
        <v>7.0</v>
      </c>
      <c r="C139" s="1" t="s">
        <v>693</v>
      </c>
      <c r="D139" s="1" t="s">
        <v>140</v>
      </c>
      <c r="E139" s="1" t="s">
        <v>540</v>
      </c>
      <c r="F139" s="1">
        <v>8.0</v>
      </c>
      <c r="G139" s="1" t="s">
        <v>1009</v>
      </c>
      <c r="H139" s="1" t="s">
        <v>1010</v>
      </c>
      <c r="I139" s="1" t="s">
        <v>1003</v>
      </c>
      <c r="J139" s="1">
        <v>-5.0</v>
      </c>
      <c r="K139" s="1">
        <v>138.0</v>
      </c>
      <c r="L139" s="1" t="str">
        <f t="shared" si="1"/>
        <v>Deebo Samuel Sr.</v>
      </c>
      <c r="M139" s="124">
        <f>IFERROR(VLOOKUP(E139,RISK!A:B,2,FALSE()),"")</f>
        <v>3.7</v>
      </c>
      <c r="N139" s="116">
        <f t="shared" si="2"/>
        <v>95.80976471</v>
      </c>
      <c r="Q139" s="8" t="s">
        <v>835</v>
      </c>
      <c r="R139" s="116">
        <f>Aggregate!BL93</f>
        <v>10.29136471</v>
      </c>
      <c r="S139" s="8"/>
      <c r="T139" s="8"/>
    </row>
    <row r="140" ht="14.25" customHeight="1">
      <c r="A140" s="1">
        <v>137.0</v>
      </c>
      <c r="B140" s="1">
        <v>7.0</v>
      </c>
      <c r="C140" s="1" t="s">
        <v>507</v>
      </c>
      <c r="D140" s="1" t="s">
        <v>164</v>
      </c>
      <c r="E140" s="1" t="s">
        <v>483</v>
      </c>
      <c r="F140" s="1">
        <v>7.0</v>
      </c>
      <c r="G140" s="1" t="s">
        <v>1009</v>
      </c>
      <c r="H140" s="1" t="s">
        <v>1010</v>
      </c>
      <c r="I140" s="1" t="s">
        <v>1007</v>
      </c>
      <c r="J140" s="1">
        <v>23.0</v>
      </c>
      <c r="K140" s="1">
        <v>139.0</v>
      </c>
      <c r="L140" s="1" t="str">
        <f t="shared" si="1"/>
        <v>Keaton Mitchell</v>
      </c>
      <c r="M140" s="124">
        <f>IFERROR(VLOOKUP(E140,RISK!A:B,2,FALSE()),"")</f>
        <v>3.368</v>
      </c>
      <c r="N140" s="116">
        <f t="shared" si="2"/>
        <v>84.03995294</v>
      </c>
      <c r="Q140" s="8" t="s">
        <v>845</v>
      </c>
      <c r="R140" s="116">
        <f>Aggregate!BL94</f>
        <v>9.228790588</v>
      </c>
      <c r="S140" s="8"/>
      <c r="T140" s="8"/>
    </row>
    <row r="141" ht="14.25" customHeight="1">
      <c r="A141" s="1">
        <v>138.0</v>
      </c>
      <c r="B141" s="1">
        <v>7.0</v>
      </c>
      <c r="C141" s="1" t="s">
        <v>765</v>
      </c>
      <c r="D141" s="1" t="s">
        <v>182</v>
      </c>
      <c r="E141" s="1" t="s">
        <v>304</v>
      </c>
      <c r="F141" s="1">
        <v>8.0</v>
      </c>
      <c r="G141" s="1" t="s">
        <v>1009</v>
      </c>
      <c r="H141" s="1" t="s">
        <v>1005</v>
      </c>
      <c r="I141" s="1" t="s">
        <v>1003</v>
      </c>
      <c r="J141" s="1">
        <v>15.0</v>
      </c>
      <c r="K141" s="1">
        <v>140.0</v>
      </c>
      <c r="L141" s="1" t="str">
        <f t="shared" si="1"/>
        <v>Juwan Johnson</v>
      </c>
      <c r="M141" s="124">
        <f>IFERROR(VLOOKUP(E141,RISK!A:B,2,FALSE()),"")</f>
        <v>2.807</v>
      </c>
      <c r="N141" s="116">
        <f t="shared" si="2"/>
        <v>97.13980459</v>
      </c>
      <c r="Q141" s="8" t="s">
        <v>857</v>
      </c>
      <c r="R141" s="116">
        <f>Aggregate!BL95</f>
        <v>3.559251765</v>
      </c>
      <c r="S141" s="8"/>
      <c r="T141" s="8"/>
    </row>
    <row r="142" ht="14.25" customHeight="1">
      <c r="A142" s="1">
        <v>139.0</v>
      </c>
      <c r="B142" s="1">
        <v>7.0</v>
      </c>
      <c r="C142" s="1" t="s">
        <v>510</v>
      </c>
      <c r="D142" s="1" t="s">
        <v>117</v>
      </c>
      <c r="E142" s="1" t="s">
        <v>491</v>
      </c>
      <c r="F142" s="1">
        <v>10.0</v>
      </c>
      <c r="G142" s="1" t="s">
        <v>1009</v>
      </c>
      <c r="H142" s="1" t="s">
        <v>1010</v>
      </c>
      <c r="I142" s="1" t="s">
        <v>1004</v>
      </c>
      <c r="J142" s="1">
        <v>22.0</v>
      </c>
      <c r="K142" s="1">
        <v>141.0</v>
      </c>
      <c r="L142" s="1" t="str">
        <f t="shared" si="1"/>
        <v>Tank Bigsby</v>
      </c>
      <c r="M142" s="124">
        <f>IFERROR(VLOOKUP(E142,RISK!A:B,2,FALSE()),"")</f>
        <v>3.368</v>
      </c>
      <c r="N142" s="116">
        <f t="shared" si="2"/>
        <v>83.77245176</v>
      </c>
      <c r="Q142" s="8" t="s">
        <v>866</v>
      </c>
      <c r="R142" s="116">
        <f>Aggregate!BL96</f>
        <v>0</v>
      </c>
      <c r="S142" s="8"/>
      <c r="T142" s="8"/>
    </row>
    <row r="143" ht="14.25" customHeight="1">
      <c r="A143" s="1">
        <v>140.0</v>
      </c>
      <c r="B143" s="1">
        <v>7.0</v>
      </c>
      <c r="C143" s="1" t="s">
        <v>201</v>
      </c>
      <c r="D143" s="1" t="s">
        <v>202</v>
      </c>
      <c r="E143" s="1" t="s">
        <v>338</v>
      </c>
      <c r="F143" s="1">
        <v>11.0</v>
      </c>
      <c r="G143" s="1" t="s">
        <v>1005</v>
      </c>
      <c r="H143" s="1" t="s">
        <v>1009</v>
      </c>
      <c r="I143" s="1" t="s">
        <v>1004</v>
      </c>
      <c r="J143" s="1">
        <v>5.0</v>
      </c>
      <c r="K143" s="1">
        <v>142.0</v>
      </c>
      <c r="L143" s="1" t="str">
        <f t="shared" si="1"/>
        <v>Sam Darnold</v>
      </c>
      <c r="M143" s="124">
        <f>IFERROR(VLOOKUP(E143,RISK!A:B,2,FALSE()),"")</f>
        <v>3.1026</v>
      </c>
      <c r="N143" s="116">
        <f t="shared" si="2"/>
        <v>173.0145579</v>
      </c>
      <c r="Q143" s="8" t="s">
        <v>875</v>
      </c>
      <c r="R143" s="116">
        <f>Aggregate!BL97</f>
        <v>0</v>
      </c>
      <c r="S143" s="8"/>
      <c r="T143" s="8"/>
    </row>
    <row r="144" ht="14.25" customHeight="1">
      <c r="A144" s="1">
        <v>141.0</v>
      </c>
      <c r="B144" s="1">
        <v>7.0</v>
      </c>
      <c r="C144" s="1" t="s">
        <v>515</v>
      </c>
      <c r="D144" s="1" t="s">
        <v>170</v>
      </c>
      <c r="E144" s="1" t="s">
        <v>498</v>
      </c>
      <c r="F144" s="1">
        <v>10.0</v>
      </c>
      <c r="G144" s="1" t="s">
        <v>1009</v>
      </c>
      <c r="H144" s="1" t="s">
        <v>1009</v>
      </c>
      <c r="I144" s="1" t="s">
        <v>1003</v>
      </c>
      <c r="J144" s="1">
        <v>8.0</v>
      </c>
      <c r="K144" s="1">
        <v>143.0</v>
      </c>
      <c r="L144" s="1" t="str">
        <f t="shared" si="1"/>
        <v>Jonah Coleman</v>
      </c>
      <c r="M144" s="124">
        <f>IFERROR(VLOOKUP(E144,RISK!A:B,2,FALSE()),"")</f>
        <v>3.368</v>
      </c>
      <c r="N144" s="116">
        <f t="shared" si="2"/>
        <v>82.66642357</v>
      </c>
      <c r="Q144" s="8" t="s">
        <v>887</v>
      </c>
      <c r="R144" s="116">
        <f>Aggregate!BL98</f>
        <v>0</v>
      </c>
      <c r="S144" s="8"/>
      <c r="T144" s="8"/>
    </row>
    <row r="145" ht="14.25" customHeight="1">
      <c r="A145" s="1">
        <v>142.0</v>
      </c>
      <c r="B145" s="1">
        <v>7.0</v>
      </c>
      <c r="C145" s="1" t="s">
        <v>768</v>
      </c>
      <c r="D145" s="1" t="s">
        <v>94</v>
      </c>
      <c r="E145" s="1" t="s">
        <v>312</v>
      </c>
      <c r="F145" s="1">
        <v>11.0</v>
      </c>
      <c r="G145" s="1" t="s">
        <v>1005</v>
      </c>
      <c r="H145" s="1" t="s">
        <v>1009</v>
      </c>
      <c r="I145" s="1" t="s">
        <v>1004</v>
      </c>
      <c r="J145" s="1">
        <v>9.0</v>
      </c>
      <c r="K145" s="1">
        <v>144.0</v>
      </c>
      <c r="L145" s="1" t="str">
        <f t="shared" si="1"/>
        <v>Hunter Henry</v>
      </c>
      <c r="M145" s="124">
        <f>IFERROR(VLOOKUP(E145,RISK!A:B,2,FALSE()),"")</f>
        <v>2.7911</v>
      </c>
      <c r="N145" s="116">
        <f t="shared" si="2"/>
        <v>95.12929059</v>
      </c>
      <c r="Q145" s="8" t="s">
        <v>897</v>
      </c>
      <c r="R145" s="116">
        <f>Aggregate!BL99</f>
        <v>0</v>
      </c>
      <c r="S145" s="8"/>
      <c r="T145" s="8"/>
    </row>
    <row r="146" ht="14.25" customHeight="1">
      <c r="A146" s="1">
        <v>143.0</v>
      </c>
      <c r="B146" s="1">
        <v>7.0</v>
      </c>
      <c r="C146" s="1" t="s">
        <v>476</v>
      </c>
      <c r="D146" s="1" t="s">
        <v>202</v>
      </c>
      <c r="E146" s="1" t="s">
        <v>504</v>
      </c>
      <c r="F146" s="1">
        <v>11.0</v>
      </c>
      <c r="G146" s="1" t="s">
        <v>1010</v>
      </c>
      <c r="H146" s="1" t="s">
        <v>1009</v>
      </c>
      <c r="I146" s="1" t="s">
        <v>1004</v>
      </c>
      <c r="J146" s="1">
        <v>-9.0</v>
      </c>
      <c r="K146" s="1">
        <v>145.0</v>
      </c>
      <c r="L146" s="1" t="str">
        <f t="shared" si="1"/>
        <v>Zach Charbonnet</v>
      </c>
      <c r="M146" s="124">
        <f>IFERROR(VLOOKUP(E146,RISK!A:B,2,FALSE()),"")</f>
        <v>3.368</v>
      </c>
      <c r="N146" s="116">
        <f t="shared" si="2"/>
        <v>78.3184</v>
      </c>
      <c r="Q146" s="8" t="s">
        <v>909</v>
      </c>
      <c r="R146" s="116">
        <f>Aggregate!BL100</f>
        <v>0</v>
      </c>
      <c r="S146" s="8"/>
      <c r="T146" s="8"/>
    </row>
    <row r="147" ht="14.25" customHeight="1">
      <c r="A147" s="1">
        <v>144.0</v>
      </c>
      <c r="B147" s="1">
        <v>7.0</v>
      </c>
      <c r="C147" s="1" t="s">
        <v>728</v>
      </c>
      <c r="D147" s="1" t="s">
        <v>140</v>
      </c>
      <c r="E147" s="1" t="s">
        <v>546</v>
      </c>
      <c r="F147" s="1">
        <v>8.0</v>
      </c>
      <c r="G147" s="1" t="s">
        <v>1010</v>
      </c>
      <c r="H147" s="1" t="s">
        <v>1009</v>
      </c>
      <c r="I147" s="1" t="s">
        <v>1003</v>
      </c>
      <c r="J147" s="1">
        <v>-28.0</v>
      </c>
      <c r="K147" s="1">
        <v>146.0</v>
      </c>
      <c r="L147" s="1" t="str">
        <f t="shared" si="1"/>
        <v>De'Zhaun Stribling</v>
      </c>
      <c r="M147" s="124">
        <f>IFERROR(VLOOKUP(E147,RISK!A:B,2,FALSE()),"")</f>
        <v>3.7</v>
      </c>
      <c r="N147" s="116">
        <f t="shared" si="2"/>
        <v>93.93582353</v>
      </c>
      <c r="Q147" s="8" t="s">
        <v>919</v>
      </c>
      <c r="R147" s="116">
        <f>Aggregate!BL101</f>
        <v>0</v>
      </c>
      <c r="S147" s="8"/>
      <c r="T147" s="8"/>
    </row>
    <row r="148" ht="14.25" customHeight="1">
      <c r="A148" s="1">
        <v>145.0</v>
      </c>
      <c r="B148" s="1">
        <v>7.0</v>
      </c>
      <c r="C148" s="1" t="s">
        <v>204</v>
      </c>
      <c r="D148" s="1" t="s">
        <v>205</v>
      </c>
      <c r="E148" s="1" t="s">
        <v>342</v>
      </c>
      <c r="F148" s="1">
        <v>8.0</v>
      </c>
      <c r="G148" s="1" t="s">
        <v>1010</v>
      </c>
      <c r="H148" s="1" t="s">
        <v>1009</v>
      </c>
      <c r="I148" s="1" t="s">
        <v>1004</v>
      </c>
      <c r="J148" s="1">
        <v>25.0</v>
      </c>
      <c r="K148" s="1">
        <v>147.0</v>
      </c>
      <c r="L148" s="1" t="str">
        <f t="shared" si="1"/>
        <v>C.J. Stroud</v>
      </c>
      <c r="M148" s="124">
        <f>IFERROR(VLOOKUP(E148,RISK!A:B,2,FALSE()),"")</f>
        <v>3.2</v>
      </c>
      <c r="N148" s="116">
        <f t="shared" si="2"/>
        <v>171.6249431</v>
      </c>
      <c r="Q148" s="8" t="s">
        <v>929</v>
      </c>
      <c r="R148" s="116">
        <f>Aggregate!BL102</f>
        <v>0</v>
      </c>
      <c r="S148" s="8"/>
      <c r="T148" s="8"/>
    </row>
    <row r="149" ht="14.25" customHeight="1">
      <c r="A149" s="1">
        <v>146.0</v>
      </c>
      <c r="B149" s="1">
        <v>7.0</v>
      </c>
      <c r="C149" s="1" t="s">
        <v>484</v>
      </c>
      <c r="D149" s="1" t="s">
        <v>226</v>
      </c>
      <c r="E149" s="1" t="s">
        <v>511</v>
      </c>
      <c r="F149" s="1">
        <v>11.0</v>
      </c>
      <c r="G149" s="1" t="s">
        <v>1009</v>
      </c>
      <c r="H149" s="1" t="s">
        <v>1005</v>
      </c>
      <c r="I149" s="1" t="s">
        <v>1007</v>
      </c>
      <c r="J149" s="1">
        <v>59.0</v>
      </c>
      <c r="K149" s="1">
        <v>148.0</v>
      </c>
      <c r="L149" s="1" t="str">
        <f t="shared" si="1"/>
        <v>Dylan Sampson</v>
      </c>
      <c r="M149" s="124">
        <f>IFERROR(VLOOKUP(E149,RISK!A:B,2,FALSE()),"")</f>
        <v>3.368</v>
      </c>
      <c r="N149" s="116">
        <f t="shared" si="2"/>
        <v>77.96916235</v>
      </c>
      <c r="Q149" s="8" t="s">
        <v>118</v>
      </c>
      <c r="R149" s="116">
        <f>Aggregate!BQ3</f>
        <v>237.0664024</v>
      </c>
      <c r="S149" s="8"/>
      <c r="T149" s="8"/>
    </row>
    <row r="150" ht="14.25" customHeight="1">
      <c r="A150" s="1">
        <v>147.0</v>
      </c>
      <c r="B150" s="1">
        <v>7.0</v>
      </c>
      <c r="C150" s="1" t="s">
        <v>486</v>
      </c>
      <c r="D150" s="1" t="s">
        <v>134</v>
      </c>
      <c r="E150" s="1" t="s">
        <v>517</v>
      </c>
      <c r="F150" s="1">
        <v>8.0</v>
      </c>
      <c r="G150" s="1" t="s">
        <v>1005</v>
      </c>
      <c r="H150" s="1" t="s">
        <v>1009</v>
      </c>
      <c r="I150" s="1" t="s">
        <v>1004</v>
      </c>
      <c r="J150" s="1">
        <v>-3.0</v>
      </c>
      <c r="K150" s="1">
        <v>149.0</v>
      </c>
      <c r="L150" s="1" t="str">
        <f t="shared" si="1"/>
        <v>Tyrone Tracy Jr.</v>
      </c>
      <c r="M150" s="124">
        <f>IFERROR(VLOOKUP(E150,RISK!A:B,2,FALSE()),"")</f>
        <v>3.368</v>
      </c>
      <c r="N150" s="116">
        <f t="shared" si="2"/>
        <v>71.08100706</v>
      </c>
      <c r="Q150" s="8" t="s">
        <v>152</v>
      </c>
      <c r="R150" s="116">
        <f>Aggregate!BQ4</f>
        <v>233.0393903</v>
      </c>
      <c r="S150" s="8"/>
      <c r="T150" s="8"/>
    </row>
    <row r="151" ht="14.25" customHeight="1">
      <c r="A151" s="1">
        <v>148.0</v>
      </c>
      <c r="B151" s="1">
        <v>7.0</v>
      </c>
      <c r="C151" s="1" t="s">
        <v>769</v>
      </c>
      <c r="D151" s="1" t="s">
        <v>145</v>
      </c>
      <c r="E151" s="1" t="s">
        <v>320</v>
      </c>
      <c r="F151" s="1">
        <v>7.0</v>
      </c>
      <c r="G151" s="1" t="s">
        <v>1009</v>
      </c>
      <c r="H151" s="1" t="s">
        <v>1010</v>
      </c>
      <c r="I151" s="1" t="s">
        <v>1007</v>
      </c>
      <c r="J151" s="1">
        <v>8.0</v>
      </c>
      <c r="K151" s="1">
        <v>150.0</v>
      </c>
      <c r="L151" s="1" t="str">
        <f t="shared" si="1"/>
        <v>Brenton Strange</v>
      </c>
      <c r="M151" s="124">
        <f>IFERROR(VLOOKUP(E151,RISK!A:B,2,FALSE()),"")</f>
        <v>2.7688</v>
      </c>
      <c r="N151" s="116">
        <f t="shared" si="2"/>
        <v>94.57973082</v>
      </c>
      <c r="Q151" s="8" t="s">
        <v>177</v>
      </c>
      <c r="R151" s="116">
        <f>Aggregate!BQ5</f>
        <v>227.0679654</v>
      </c>
      <c r="S151" s="8"/>
      <c r="T151" s="8"/>
    </row>
    <row r="152" ht="14.25" customHeight="1">
      <c r="A152" s="1">
        <v>149.0</v>
      </c>
      <c r="B152" s="1">
        <v>7.0</v>
      </c>
      <c r="C152" s="1" t="s">
        <v>478</v>
      </c>
      <c r="D152" s="1" t="s">
        <v>182</v>
      </c>
      <c r="E152" s="1" t="s">
        <v>522</v>
      </c>
      <c r="F152" s="1">
        <v>8.0</v>
      </c>
      <c r="G152" s="1" t="s">
        <v>1005</v>
      </c>
      <c r="H152" s="1" t="s">
        <v>1009</v>
      </c>
      <c r="I152" s="1" t="s">
        <v>1007</v>
      </c>
      <c r="J152" s="1">
        <v>-9.0</v>
      </c>
      <c r="K152" s="1">
        <v>151.0</v>
      </c>
      <c r="L152" s="1" t="str">
        <f t="shared" si="1"/>
        <v>Alvin Kamara</v>
      </c>
      <c r="M152" s="124">
        <f>IFERROR(VLOOKUP(E152,RISK!A:B,2,FALSE()),"")</f>
        <v>3.368</v>
      </c>
      <c r="N152" s="116">
        <f t="shared" si="2"/>
        <v>69.14905412</v>
      </c>
      <c r="Q152" s="8" t="s">
        <v>191</v>
      </c>
      <c r="R152" s="116">
        <f>Aggregate!BQ6</f>
        <v>217.7512556</v>
      </c>
      <c r="S152" s="8"/>
      <c r="T152" s="8"/>
    </row>
    <row r="153" ht="14.25" customHeight="1">
      <c r="A153" s="1">
        <v>150.0</v>
      </c>
      <c r="B153" s="1">
        <v>7.0</v>
      </c>
      <c r="C153" s="1" t="s">
        <v>480</v>
      </c>
      <c r="D153" s="1" t="s">
        <v>179</v>
      </c>
      <c r="E153" s="1" t="s">
        <v>528</v>
      </c>
      <c r="F153" s="1">
        <v>6.0</v>
      </c>
      <c r="G153" s="1" t="s">
        <v>1010</v>
      </c>
      <c r="H153" s="1" t="s">
        <v>1009</v>
      </c>
      <c r="I153" s="1" t="s">
        <v>1002</v>
      </c>
      <c r="J153" s="1">
        <v>0.0</v>
      </c>
      <c r="K153" s="1">
        <v>152.0</v>
      </c>
      <c r="L153" s="1" t="str">
        <f t="shared" si="1"/>
        <v>Isiah Pacheco</v>
      </c>
      <c r="M153" s="124">
        <f>IFERROR(VLOOKUP(E153,RISK!A:B,2,FALSE()),"")</f>
        <v>3.368</v>
      </c>
      <c r="N153" s="116">
        <f t="shared" si="2"/>
        <v>67.49203294</v>
      </c>
      <c r="Q153" s="8" t="s">
        <v>203</v>
      </c>
      <c r="R153" s="116">
        <f>Aggregate!BQ7</f>
        <v>185.7352976</v>
      </c>
      <c r="S153" s="8"/>
      <c r="T153" s="8"/>
    </row>
    <row r="154" ht="14.25" customHeight="1">
      <c r="A154" s="1">
        <v>151.0</v>
      </c>
      <c r="B154" s="1">
        <v>7.0</v>
      </c>
      <c r="C154" s="1" t="s">
        <v>721</v>
      </c>
      <c r="D154" s="1" t="s">
        <v>202</v>
      </c>
      <c r="E154" s="1" t="s">
        <v>551</v>
      </c>
      <c r="F154" s="1">
        <v>11.0</v>
      </c>
      <c r="G154" s="1" t="s">
        <v>1010</v>
      </c>
      <c r="H154" s="1" t="s">
        <v>1009</v>
      </c>
      <c r="I154" s="1" t="s">
        <v>1007</v>
      </c>
      <c r="J154" s="1">
        <v>-13.0</v>
      </c>
      <c r="K154" s="1">
        <v>153.0</v>
      </c>
      <c r="L154" s="1" t="str">
        <f t="shared" si="1"/>
        <v>Rashid Shaheed</v>
      </c>
      <c r="M154" s="124">
        <f>IFERROR(VLOOKUP(E154,RISK!A:B,2,FALSE()),"")</f>
        <v>3.7</v>
      </c>
      <c r="N154" s="116">
        <f t="shared" si="2"/>
        <v>93.27017647</v>
      </c>
      <c r="Q154" s="8" t="s">
        <v>215</v>
      </c>
      <c r="R154" s="116">
        <f>Aggregate!BQ8</f>
        <v>184.0361271</v>
      </c>
      <c r="S154" s="8"/>
      <c r="T154" s="8"/>
    </row>
    <row r="155" ht="14.25" customHeight="1">
      <c r="A155" s="1">
        <v>152.0</v>
      </c>
      <c r="B155" s="1">
        <v>7.0</v>
      </c>
      <c r="C155" s="1" t="s">
        <v>783</v>
      </c>
      <c r="D155" s="1" t="s">
        <v>106</v>
      </c>
      <c r="E155" s="1" t="s">
        <v>329</v>
      </c>
      <c r="F155" s="1">
        <v>7.0</v>
      </c>
      <c r="G155" s="1" t="s">
        <v>1009</v>
      </c>
      <c r="H155" s="1" t="s">
        <v>1009</v>
      </c>
      <c r="I155" s="1" t="s">
        <v>1006</v>
      </c>
      <c r="J155" s="1">
        <v>12.0</v>
      </c>
      <c r="K155" s="1">
        <v>154.0</v>
      </c>
      <c r="L155" s="1" t="str">
        <f t="shared" si="1"/>
        <v>Chig Okonkwo</v>
      </c>
      <c r="M155" s="124">
        <f>IFERROR(VLOOKUP(E155,RISK!A:B,2,FALSE()),"")</f>
        <v>2.7401</v>
      </c>
      <c r="N155" s="116">
        <f t="shared" si="2"/>
        <v>90.48420588</v>
      </c>
      <c r="Q155" s="8" t="s">
        <v>227</v>
      </c>
      <c r="R155" s="116">
        <f>Aggregate!BQ9</f>
        <v>182.5766028</v>
      </c>
      <c r="S155" s="8"/>
      <c r="T155" s="8"/>
    </row>
    <row r="156" ht="14.25" customHeight="1">
      <c r="A156" s="1">
        <v>153.0</v>
      </c>
      <c r="B156" s="1">
        <v>7.0</v>
      </c>
      <c r="C156" s="1" t="s">
        <v>213</v>
      </c>
      <c r="D156" s="1" t="s">
        <v>214</v>
      </c>
      <c r="E156" s="1" t="s">
        <v>346</v>
      </c>
      <c r="F156" s="1">
        <v>9.0</v>
      </c>
      <c r="G156" s="1" t="s">
        <v>1009</v>
      </c>
      <c r="H156" s="1" t="s">
        <v>1009</v>
      </c>
      <c r="I156" s="1" t="s">
        <v>1007</v>
      </c>
      <c r="J156" s="1">
        <v>19.0</v>
      </c>
      <c r="K156" s="1">
        <v>155.0</v>
      </c>
      <c r="L156" s="1" t="str">
        <f t="shared" si="1"/>
        <v>Cam Ward</v>
      </c>
      <c r="M156" s="124">
        <f>IFERROR(VLOOKUP(E156,RISK!A:B,2,FALSE()),"")</f>
        <v>3.2</v>
      </c>
      <c r="N156" s="116">
        <f t="shared" si="2"/>
        <v>165.7419294</v>
      </c>
      <c r="Q156" s="8" t="s">
        <v>237</v>
      </c>
      <c r="R156" s="116">
        <f>Aggregate!BQ10</f>
        <v>178.6957523</v>
      </c>
      <c r="S156" s="8"/>
      <c r="T156" s="8"/>
    </row>
    <row r="157" ht="14.25" customHeight="1">
      <c r="A157" s="1">
        <v>154.0</v>
      </c>
      <c r="B157" s="1">
        <v>7.0</v>
      </c>
      <c r="C157" s="1" t="s">
        <v>772</v>
      </c>
      <c r="D157" s="1" t="s">
        <v>205</v>
      </c>
      <c r="E157" s="1" t="s">
        <v>333</v>
      </c>
      <c r="F157" s="1">
        <v>8.0</v>
      </c>
      <c r="G157" s="1" t="s">
        <v>1009</v>
      </c>
      <c r="H157" s="1" t="s">
        <v>1005</v>
      </c>
      <c r="I157" s="1" t="s">
        <v>1004</v>
      </c>
      <c r="J157" s="1">
        <v>28.0</v>
      </c>
      <c r="K157" s="1">
        <v>156.0</v>
      </c>
      <c r="L157" s="1" t="str">
        <f t="shared" si="1"/>
        <v>Dalton Schultz</v>
      </c>
      <c r="M157" s="124">
        <f>IFERROR(VLOOKUP(E157,RISK!A:B,2,FALSE()),"")</f>
        <v>2.705</v>
      </c>
      <c r="N157" s="116">
        <f t="shared" si="2"/>
        <v>87.62876353</v>
      </c>
      <c r="Q157" s="8" t="s">
        <v>245</v>
      </c>
      <c r="R157" s="116">
        <f>Aggregate!BQ11</f>
        <v>173.5409686</v>
      </c>
      <c r="S157" s="8"/>
      <c r="T157" s="8"/>
    </row>
    <row r="158" ht="14.25" customHeight="1">
      <c r="A158" s="1">
        <v>155.0</v>
      </c>
      <c r="B158" s="1">
        <v>7.0</v>
      </c>
      <c r="C158" s="1" t="s">
        <v>192</v>
      </c>
      <c r="D158" s="1" t="s">
        <v>193</v>
      </c>
      <c r="E158" s="1" t="s">
        <v>350</v>
      </c>
      <c r="F158" s="1">
        <v>13.0</v>
      </c>
      <c r="G158" s="1" t="s">
        <v>1009</v>
      </c>
      <c r="H158" s="1" t="s">
        <v>1009</v>
      </c>
      <c r="I158" s="1" t="s">
        <v>1004</v>
      </c>
      <c r="J158" s="1">
        <v>20.0</v>
      </c>
      <c r="K158" s="1">
        <v>157.0</v>
      </c>
      <c r="L158" s="1" t="str">
        <f t="shared" si="1"/>
        <v>Daniel Jones</v>
      </c>
      <c r="M158" s="124">
        <f>IFERROR(VLOOKUP(E158,RISK!A:B,2,FALSE()),"")</f>
        <v>3.2</v>
      </c>
      <c r="N158" s="116">
        <f t="shared" si="2"/>
        <v>164.6185412</v>
      </c>
      <c r="Q158" s="8" t="s">
        <v>253</v>
      </c>
      <c r="R158" s="116">
        <f>Aggregate!BQ12</f>
        <v>172.2002868</v>
      </c>
      <c r="S158" s="8"/>
      <c r="T158" s="8"/>
    </row>
    <row r="159" ht="14.25" customHeight="1">
      <c r="A159" s="1">
        <v>156.0</v>
      </c>
      <c r="B159" s="1">
        <v>7.0</v>
      </c>
      <c r="C159" s="1" t="s">
        <v>505</v>
      </c>
      <c r="D159" s="1" t="s">
        <v>229</v>
      </c>
      <c r="E159" s="1" t="s">
        <v>533</v>
      </c>
      <c r="F159" s="1">
        <v>11.0</v>
      </c>
      <c r="G159" s="1" t="s">
        <v>1005</v>
      </c>
      <c r="H159" s="1" t="s">
        <v>1009</v>
      </c>
      <c r="I159" s="1" t="s">
        <v>1003</v>
      </c>
      <c r="J159" s="1">
        <v>-14.0</v>
      </c>
      <c r="K159" s="1">
        <v>158.0</v>
      </c>
      <c r="L159" s="1" t="str">
        <f t="shared" si="1"/>
        <v>Brian Robinson Jr.</v>
      </c>
      <c r="M159" s="124">
        <f>IFERROR(VLOOKUP(E159,RISK!A:B,2,FALSE()),"")</f>
        <v>3.368</v>
      </c>
      <c r="N159" s="116">
        <f t="shared" si="2"/>
        <v>67.33599059</v>
      </c>
      <c r="Q159" s="8" t="s">
        <v>261</v>
      </c>
      <c r="R159" s="116">
        <f>Aggregate!BQ13</f>
        <v>170.3823882</v>
      </c>
      <c r="S159" s="8"/>
      <c r="T159" s="8"/>
    </row>
    <row r="160" ht="14.25" customHeight="1">
      <c r="A160" s="1">
        <v>157.0</v>
      </c>
      <c r="B160" s="1">
        <v>7.0</v>
      </c>
      <c r="C160" s="1" t="s">
        <v>780</v>
      </c>
      <c r="D160" s="1" t="s">
        <v>210</v>
      </c>
      <c r="E160" s="1" t="s">
        <v>560</v>
      </c>
      <c r="F160" s="1">
        <v>13.0</v>
      </c>
      <c r="G160" s="1" t="s">
        <v>1009</v>
      </c>
      <c r="H160" s="1" t="s">
        <v>1009</v>
      </c>
      <c r="I160" s="1" t="s">
        <v>1004</v>
      </c>
      <c r="J160" s="1">
        <v>76.0</v>
      </c>
      <c r="K160" s="1">
        <v>159.0</v>
      </c>
      <c r="L160" s="1" t="str">
        <f t="shared" si="1"/>
        <v>Adonai Mitchell</v>
      </c>
      <c r="M160" s="124">
        <f>IFERROR(VLOOKUP(E160,RISK!A:B,2,FALSE()),"")</f>
        <v>3.7</v>
      </c>
      <c r="N160" s="116">
        <f t="shared" si="2"/>
        <v>92.28617647</v>
      </c>
      <c r="Q160" s="8" t="s">
        <v>269</v>
      </c>
      <c r="R160" s="116">
        <f>Aggregate!BQ14</f>
        <v>168.5221092</v>
      </c>
      <c r="S160" s="8"/>
      <c r="T160" s="8"/>
    </row>
    <row r="161" ht="14.25" customHeight="1">
      <c r="A161" s="1">
        <v>158.0</v>
      </c>
      <c r="B161" s="1">
        <v>7.0</v>
      </c>
      <c r="C161" s="1" t="s">
        <v>495</v>
      </c>
      <c r="D161" s="1" t="s">
        <v>210</v>
      </c>
      <c r="E161" s="1" t="s">
        <v>538</v>
      </c>
      <c r="F161" s="1">
        <v>13.0</v>
      </c>
      <c r="G161" s="1" t="s">
        <v>1005</v>
      </c>
      <c r="H161" s="1" t="s">
        <v>1009</v>
      </c>
      <c r="I161" s="1" t="s">
        <v>1007</v>
      </c>
      <c r="J161" s="1">
        <v>48.0</v>
      </c>
      <c r="K161" s="1">
        <v>160.0</v>
      </c>
      <c r="L161" s="1" t="str">
        <f t="shared" si="1"/>
        <v>Braelon Allen</v>
      </c>
      <c r="M161" s="124">
        <f>IFERROR(VLOOKUP(E161,RISK!A:B,2,FALSE()),"")</f>
        <v>3.368</v>
      </c>
      <c r="N161" s="116">
        <f t="shared" si="2"/>
        <v>67.15022588</v>
      </c>
      <c r="Q161" s="8" t="s">
        <v>277</v>
      </c>
      <c r="R161" s="116">
        <f>Aggregate!BQ15</f>
        <v>159.8311026</v>
      </c>
      <c r="S161" s="8"/>
      <c r="T161" s="8"/>
    </row>
    <row r="162" ht="14.25" customHeight="1">
      <c r="A162" s="1">
        <v>159.0</v>
      </c>
      <c r="B162" s="1">
        <v>7.0</v>
      </c>
      <c r="C162" s="1" t="s">
        <v>723</v>
      </c>
      <c r="D162" s="1" t="s">
        <v>226</v>
      </c>
      <c r="E162" s="1" t="s">
        <v>567</v>
      </c>
      <c r="F162" s="1">
        <v>11.0</v>
      </c>
      <c r="G162" s="1" t="s">
        <v>1009</v>
      </c>
      <c r="H162" s="1" t="s">
        <v>1009</v>
      </c>
      <c r="I162" s="1" t="s">
        <v>1007</v>
      </c>
      <c r="J162" s="1">
        <v>9.0</v>
      </c>
      <c r="K162" s="1">
        <v>161.0</v>
      </c>
      <c r="L162" s="1" t="str">
        <f t="shared" si="1"/>
        <v>Denzel Boston</v>
      </c>
      <c r="M162" s="124">
        <f>IFERROR(VLOOKUP(E162,RISK!A:B,2,FALSE()),"")</f>
        <v>3.7</v>
      </c>
      <c r="N162" s="116">
        <f t="shared" si="2"/>
        <v>90.26029412</v>
      </c>
      <c r="Q162" s="8" t="s">
        <v>286</v>
      </c>
      <c r="R162" s="116">
        <f>Aggregate!BQ16</f>
        <v>158.4922991</v>
      </c>
      <c r="S162" s="8"/>
      <c r="T162" s="8"/>
    </row>
    <row r="163" ht="14.25" customHeight="1">
      <c r="A163" s="1">
        <v>160.0</v>
      </c>
      <c r="B163" s="1">
        <v>7.0</v>
      </c>
      <c r="C163" s="1" t="s">
        <v>532</v>
      </c>
      <c r="D163" s="1" t="s">
        <v>199</v>
      </c>
      <c r="E163" s="1" t="s">
        <v>544</v>
      </c>
      <c r="F163" s="1">
        <v>11.0</v>
      </c>
      <c r="G163" s="1" t="s">
        <v>1009</v>
      </c>
      <c r="H163" s="1" t="s">
        <v>1009</v>
      </c>
      <c r="I163" s="1" t="s">
        <v>1004</v>
      </c>
      <c r="J163" s="1">
        <v>9.0</v>
      </c>
      <c r="K163" s="1">
        <v>162.0</v>
      </c>
      <c r="L163" s="1" t="str">
        <f t="shared" si="1"/>
        <v>MarShawn Lloyd</v>
      </c>
      <c r="M163" s="124">
        <f>IFERROR(VLOOKUP(E163,RISK!A:B,2,FALSE()),"")</f>
        <v>3.368</v>
      </c>
      <c r="N163" s="116">
        <f t="shared" si="2"/>
        <v>66.67466824</v>
      </c>
      <c r="Q163" s="8" t="s">
        <v>294</v>
      </c>
      <c r="R163" s="116">
        <f>Aggregate!BQ17</f>
        <v>152.6159435</v>
      </c>
      <c r="S163" s="8"/>
      <c r="T163" s="8"/>
    </row>
    <row r="164" ht="14.25" customHeight="1">
      <c r="A164" s="1">
        <v>161.0</v>
      </c>
      <c r="B164" s="1">
        <v>7.0</v>
      </c>
      <c r="C164" s="1" t="s">
        <v>741</v>
      </c>
      <c r="D164" s="1" t="s">
        <v>222</v>
      </c>
      <c r="E164" s="1" t="s">
        <v>576</v>
      </c>
      <c r="F164" s="1">
        <v>13.0</v>
      </c>
      <c r="G164" s="1" t="s">
        <v>1009</v>
      </c>
      <c r="H164" s="1" t="s">
        <v>1005</v>
      </c>
      <c r="I164" s="1" t="s">
        <v>1003</v>
      </c>
      <c r="J164" s="1">
        <v>58.0</v>
      </c>
      <c r="K164" s="1">
        <v>163.0</v>
      </c>
      <c r="L164" s="1" t="str">
        <f t="shared" si="1"/>
        <v>Tre Tucker</v>
      </c>
      <c r="M164" s="124">
        <f>IFERROR(VLOOKUP(E164,RISK!A:B,2,FALSE()),"")</f>
        <v>3.7</v>
      </c>
      <c r="N164" s="116">
        <f t="shared" si="2"/>
        <v>87.55429412</v>
      </c>
      <c r="Q164" s="8" t="s">
        <v>302</v>
      </c>
      <c r="R164" s="116">
        <f>Aggregate!BQ18</f>
        <v>150.9831379</v>
      </c>
      <c r="S164" s="8"/>
      <c r="T164" s="8"/>
    </row>
    <row r="165" ht="14.25" customHeight="1">
      <c r="A165" s="1">
        <v>162.0</v>
      </c>
      <c r="B165" s="1">
        <v>7.0</v>
      </c>
      <c r="C165" s="1" t="s">
        <v>737</v>
      </c>
      <c r="D165" s="1" t="s">
        <v>226</v>
      </c>
      <c r="E165" s="1" t="s">
        <v>585</v>
      </c>
      <c r="F165" s="1">
        <v>11.0</v>
      </c>
      <c r="G165" s="1" t="s">
        <v>1005</v>
      </c>
      <c r="H165" s="1" t="s">
        <v>1009</v>
      </c>
      <c r="I165" s="1" t="s">
        <v>1007</v>
      </c>
      <c r="J165" s="1">
        <v>55.0</v>
      </c>
      <c r="K165" s="1">
        <v>164.0</v>
      </c>
      <c r="L165" s="1" t="str">
        <f t="shared" si="1"/>
        <v>Jerry Jeudy</v>
      </c>
      <c r="M165" s="124">
        <f>IFERROR(VLOOKUP(E165,RISK!A:B,2,FALSE()),"")</f>
        <v>3.7</v>
      </c>
      <c r="N165" s="116">
        <f t="shared" si="2"/>
        <v>87.43129412</v>
      </c>
      <c r="Q165" s="8" t="s">
        <v>310</v>
      </c>
      <c r="R165" s="116">
        <f>Aggregate!BQ19</f>
        <v>150.5639359</v>
      </c>
      <c r="S165" s="8"/>
      <c r="T165" s="8"/>
    </row>
    <row r="166" ht="14.25" customHeight="1">
      <c r="A166" s="1">
        <v>163.0</v>
      </c>
      <c r="B166" s="1">
        <v>7.0</v>
      </c>
      <c r="C166" s="1" t="s">
        <v>754</v>
      </c>
      <c r="D166" s="1" t="s">
        <v>189</v>
      </c>
      <c r="E166" s="1" t="s">
        <v>592</v>
      </c>
      <c r="F166" s="1">
        <v>6.0</v>
      </c>
      <c r="G166" s="1" t="s">
        <v>1005</v>
      </c>
      <c r="H166" s="1" t="s">
        <v>1009</v>
      </c>
      <c r="I166" s="1" t="s">
        <v>1002</v>
      </c>
      <c r="J166" s="1">
        <v>13.0</v>
      </c>
      <c r="K166" s="1">
        <v>165.0</v>
      </c>
      <c r="L166" s="1" t="str">
        <f t="shared" si="1"/>
        <v>Jauan Jennings</v>
      </c>
      <c r="M166" s="124">
        <f>IFERROR(VLOOKUP(E166,RISK!A:B,2,FALSE()),"")</f>
        <v>3.7</v>
      </c>
      <c r="N166" s="116">
        <f t="shared" si="2"/>
        <v>87.25417412</v>
      </c>
      <c r="Q166" s="8" t="s">
        <v>319</v>
      </c>
      <c r="R166" s="116">
        <f>Aggregate!BQ20</f>
        <v>146.4769868</v>
      </c>
      <c r="S166" s="8"/>
      <c r="T166" s="8"/>
    </row>
    <row r="167" ht="14.25" customHeight="1">
      <c r="A167" s="1">
        <v>164.0</v>
      </c>
      <c r="B167" s="1">
        <v>7.0</v>
      </c>
      <c r="C167" s="1" t="s">
        <v>758</v>
      </c>
      <c r="D167" s="1" t="s">
        <v>186</v>
      </c>
      <c r="E167" s="1" t="s">
        <v>601</v>
      </c>
      <c r="F167" s="1">
        <v>10.0</v>
      </c>
      <c r="G167" s="1" t="s">
        <v>1009</v>
      </c>
      <c r="H167" s="1" t="s">
        <v>1010</v>
      </c>
      <c r="I167" s="1" t="s">
        <v>1004</v>
      </c>
      <c r="J167" s="1">
        <v>19.0</v>
      </c>
      <c r="K167" s="1">
        <v>166.0</v>
      </c>
      <c r="L167" s="1" t="str">
        <f t="shared" si="1"/>
        <v>Jalen McMillan</v>
      </c>
      <c r="M167" s="124">
        <f>IFERROR(VLOOKUP(E167,RISK!A:B,2,FALSE()),"")</f>
        <v>3.7</v>
      </c>
      <c r="N167" s="116">
        <f t="shared" si="2"/>
        <v>86.17582588</v>
      </c>
      <c r="Q167" s="8" t="s">
        <v>328</v>
      </c>
      <c r="R167" s="116">
        <f>Aggregate!BQ21</f>
        <v>145.8790129</v>
      </c>
      <c r="S167" s="8"/>
      <c r="T167" s="8"/>
    </row>
    <row r="168" ht="14.25" customHeight="1">
      <c r="A168" s="1">
        <v>165.0</v>
      </c>
      <c r="B168" s="1">
        <v>7.0</v>
      </c>
      <c r="C168" s="1" t="s">
        <v>488</v>
      </c>
      <c r="D168" s="1" t="s">
        <v>222</v>
      </c>
      <c r="E168" s="1" t="s">
        <v>549</v>
      </c>
      <c r="F168" s="1">
        <v>13.0</v>
      </c>
      <c r="G168" s="1" t="s">
        <v>1010</v>
      </c>
      <c r="H168" s="1" t="s">
        <v>1009</v>
      </c>
      <c r="I168" s="1" t="s">
        <v>1003</v>
      </c>
      <c r="J168" s="1">
        <v>-32.0</v>
      </c>
      <c r="K168" s="1">
        <v>167.0</v>
      </c>
      <c r="L168" s="1" t="str">
        <f t="shared" si="1"/>
        <v>Mike Washington Jr.</v>
      </c>
      <c r="M168" s="124">
        <f>IFERROR(VLOOKUP(E168,RISK!A:B,2,FALSE()),"")</f>
        <v>3.368</v>
      </c>
      <c r="N168" s="116">
        <f t="shared" si="2"/>
        <v>66.41814947</v>
      </c>
      <c r="Q168" s="8" t="s">
        <v>332</v>
      </c>
      <c r="R168" s="116">
        <f>Aggregate!BQ22</f>
        <v>142.1865196</v>
      </c>
      <c r="S168" s="8"/>
      <c r="T168" s="8"/>
    </row>
    <row r="169" ht="14.25" customHeight="1">
      <c r="A169" s="1">
        <v>166.0</v>
      </c>
      <c r="B169" s="1">
        <v>8.0</v>
      </c>
      <c r="C169" s="1" t="s">
        <v>555</v>
      </c>
      <c r="D169" s="1" t="s">
        <v>18</v>
      </c>
      <c r="E169" s="1" t="s">
        <v>557</v>
      </c>
      <c r="F169" s="1">
        <v>7.0</v>
      </c>
      <c r="G169" s="1" t="s">
        <v>1009</v>
      </c>
      <c r="H169" s="1" t="s">
        <v>1009</v>
      </c>
      <c r="I169" s="1" t="s">
        <v>1003</v>
      </c>
      <c r="J169" s="1">
        <v>64.0</v>
      </c>
      <c r="K169" s="1">
        <v>168.0</v>
      </c>
      <c r="L169" s="1" t="str">
        <f t="shared" si="1"/>
        <v>Ray Davis</v>
      </c>
      <c r="M169" s="124">
        <f>IFERROR(VLOOKUP(E169,RISK!A:B,2,FALSE()),"")</f>
        <v>3.368</v>
      </c>
      <c r="N169" s="116">
        <f t="shared" si="2"/>
        <v>65.01764706</v>
      </c>
      <c r="Q169" s="8" t="s">
        <v>336</v>
      </c>
      <c r="R169" s="116">
        <f>Aggregate!BQ23</f>
        <v>138.9693512</v>
      </c>
      <c r="S169" s="8"/>
      <c r="T169" s="8"/>
    </row>
    <row r="170" ht="14.25" customHeight="1">
      <c r="A170" s="1">
        <v>167.0</v>
      </c>
      <c r="B170" s="1">
        <v>8.0</v>
      </c>
      <c r="C170" s="1" t="s">
        <v>786</v>
      </c>
      <c r="D170" s="1" t="s">
        <v>202</v>
      </c>
      <c r="E170" s="1" t="s">
        <v>337</v>
      </c>
      <c r="F170" s="1">
        <v>11.0</v>
      </c>
      <c r="G170" s="1" t="s">
        <v>1009</v>
      </c>
      <c r="H170" s="1" t="s">
        <v>1005</v>
      </c>
      <c r="I170" s="1" t="s">
        <v>1007</v>
      </c>
      <c r="J170" s="1">
        <v>21.0</v>
      </c>
      <c r="K170" s="1">
        <v>169.0</v>
      </c>
      <c r="L170" s="1" t="str">
        <f t="shared" si="1"/>
        <v>AJ Barner</v>
      </c>
      <c r="M170" s="124">
        <f>IFERROR(VLOOKUP(E170,RISK!A:B,2,FALSE()),"")</f>
        <v>2.6635</v>
      </c>
      <c r="N170" s="116">
        <f t="shared" si="2"/>
        <v>86.16693059</v>
      </c>
      <c r="Q170" s="8" t="s">
        <v>340</v>
      </c>
      <c r="R170" s="116">
        <f>Aggregate!BQ24</f>
        <v>138.9578029</v>
      </c>
      <c r="S170" s="8"/>
      <c r="T170" s="8"/>
    </row>
    <row r="171" ht="14.25" customHeight="1">
      <c r="A171" s="1">
        <v>168.0</v>
      </c>
      <c r="B171" s="1">
        <v>8.0</v>
      </c>
      <c r="C171" s="1" t="s">
        <v>868</v>
      </c>
      <c r="D171" s="1" t="s">
        <v>164</v>
      </c>
      <c r="E171" s="1" t="s">
        <v>608</v>
      </c>
      <c r="F171" s="1">
        <v>7.0</v>
      </c>
      <c r="G171" s="1" t="s">
        <v>1009</v>
      </c>
      <c r="H171" s="1" t="s">
        <v>1005</v>
      </c>
      <c r="I171" s="1" t="s">
        <v>1003</v>
      </c>
      <c r="J171" s="1">
        <v>55.0</v>
      </c>
      <c r="K171" s="1">
        <v>170.0</v>
      </c>
      <c r="L171" s="1" t="str">
        <f t="shared" si="1"/>
        <v>Tre' Harris</v>
      </c>
      <c r="M171" s="124">
        <f>IFERROR(VLOOKUP(E171,RISK!A:B,2,FALSE()),"")</f>
        <v>3.7</v>
      </c>
      <c r="N171" s="116">
        <f t="shared" si="2"/>
        <v>85.96744941</v>
      </c>
      <c r="Q171" s="8" t="s">
        <v>344</v>
      </c>
      <c r="R171" s="116">
        <f>Aggregate!BQ25</f>
        <v>133.6251784</v>
      </c>
      <c r="S171" s="8"/>
      <c r="T171" s="8"/>
    </row>
    <row r="172" ht="14.25" customHeight="1">
      <c r="A172" s="1">
        <v>169.0</v>
      </c>
      <c r="B172" s="1">
        <v>8.0</v>
      </c>
      <c r="C172" s="1" t="s">
        <v>806</v>
      </c>
      <c r="D172" s="1" t="s">
        <v>117</v>
      </c>
      <c r="E172" s="1" t="s">
        <v>616</v>
      </c>
      <c r="F172" s="1">
        <v>10.0</v>
      </c>
      <c r="G172" s="1" t="s">
        <v>1009</v>
      </c>
      <c r="H172" s="1" t="s">
        <v>1009</v>
      </c>
      <c r="I172" s="1" t="s">
        <v>1004</v>
      </c>
      <c r="J172" s="1">
        <v>53.0</v>
      </c>
      <c r="K172" s="1">
        <v>171.0</v>
      </c>
      <c r="L172" s="1" t="str">
        <f t="shared" si="1"/>
        <v>Dontayvion Wicks</v>
      </c>
      <c r="M172" s="124">
        <f>IFERROR(VLOOKUP(E172,RISK!A:B,2,FALSE()),"")</f>
        <v>3.7</v>
      </c>
      <c r="N172" s="116">
        <f t="shared" si="2"/>
        <v>85.91188235</v>
      </c>
      <c r="Q172" s="8" t="s">
        <v>348</v>
      </c>
      <c r="R172" s="116">
        <f>Aggregate!BQ26</f>
        <v>133.5457011</v>
      </c>
      <c r="S172" s="8"/>
      <c r="T172" s="8"/>
    </row>
    <row r="173" ht="14.25" customHeight="1">
      <c r="A173" s="1">
        <v>170.0</v>
      </c>
      <c r="B173" s="1">
        <v>8.0</v>
      </c>
      <c r="C173" s="1" t="s">
        <v>207</v>
      </c>
      <c r="D173" s="1" t="s">
        <v>208</v>
      </c>
      <c r="E173" s="1" t="s">
        <v>354</v>
      </c>
      <c r="F173" s="1">
        <v>5.0</v>
      </c>
      <c r="G173" s="1" t="s">
        <v>1005</v>
      </c>
      <c r="H173" s="1" t="s">
        <v>1009</v>
      </c>
      <c r="I173" s="1" t="s">
        <v>1003</v>
      </c>
      <c r="J173" s="1">
        <v>4.0</v>
      </c>
      <c r="K173" s="1">
        <v>172.0</v>
      </c>
      <c r="L173" s="1" t="str">
        <f t="shared" si="1"/>
        <v>Bryce Young</v>
      </c>
      <c r="M173" s="124">
        <f>IFERROR(VLOOKUP(E173,RISK!A:B,2,FALSE()),"")</f>
        <v>3.2</v>
      </c>
      <c r="N173" s="116">
        <f t="shared" si="2"/>
        <v>146.7166118</v>
      </c>
      <c r="Q173" s="8" t="s">
        <v>352</v>
      </c>
      <c r="R173" s="116">
        <f>Aggregate!BQ27</f>
        <v>130.0161776</v>
      </c>
      <c r="S173" s="8"/>
      <c r="T173" s="8"/>
    </row>
    <row r="174" ht="14.25" customHeight="1">
      <c r="A174" s="1">
        <v>171.0</v>
      </c>
      <c r="B174" s="1">
        <v>8.0</v>
      </c>
      <c r="C174" s="1" t="s">
        <v>773</v>
      </c>
      <c r="D174" s="1" t="s">
        <v>189</v>
      </c>
      <c r="E174" s="1" t="s">
        <v>341</v>
      </c>
      <c r="F174" s="1">
        <v>6.0</v>
      </c>
      <c r="G174" s="1" t="s">
        <v>1010</v>
      </c>
      <c r="H174" s="1" t="s">
        <v>1009</v>
      </c>
      <c r="I174" s="1" t="s">
        <v>1004</v>
      </c>
      <c r="J174" s="1">
        <v>0.0</v>
      </c>
      <c r="K174" s="1">
        <v>173.0</v>
      </c>
      <c r="L174" s="1" t="str">
        <f t="shared" si="1"/>
        <v>T.J. Hockenson</v>
      </c>
      <c r="M174" s="124">
        <f>IFERROR(VLOOKUP(E174,RISK!A:B,2,FALSE()),"")</f>
        <v>2.6156</v>
      </c>
      <c r="N174" s="116">
        <f t="shared" si="2"/>
        <v>85.66016</v>
      </c>
      <c r="Q174" s="8" t="s">
        <v>356</v>
      </c>
      <c r="R174" s="116">
        <f>Aggregate!BQ28</f>
        <v>129.4347336</v>
      </c>
      <c r="S174" s="8"/>
      <c r="T174" s="8"/>
    </row>
    <row r="175" ht="14.25" customHeight="1">
      <c r="A175" s="1">
        <v>172.0</v>
      </c>
      <c r="B175" s="1">
        <v>8.0</v>
      </c>
      <c r="C175" s="1" t="s">
        <v>787</v>
      </c>
      <c r="D175" s="1" t="s">
        <v>176</v>
      </c>
      <c r="E175" s="1" t="s">
        <v>345</v>
      </c>
      <c r="F175" s="1">
        <v>11.0</v>
      </c>
      <c r="G175" s="1" t="s">
        <v>1009</v>
      </c>
      <c r="H175" s="1" t="s">
        <v>1009</v>
      </c>
      <c r="I175" s="1" t="s">
        <v>1004</v>
      </c>
      <c r="J175" s="1">
        <v>17.0</v>
      </c>
      <c r="K175" s="1">
        <v>174.0</v>
      </c>
      <c r="L175" s="1" t="str">
        <f t="shared" si="1"/>
        <v>Terrance Ferguson</v>
      </c>
      <c r="M175" s="124">
        <f>IFERROR(VLOOKUP(E175,RISK!A:B,2,FALSE()),"")</f>
        <v>2.5613</v>
      </c>
      <c r="N175" s="116">
        <f t="shared" si="2"/>
        <v>81.96560088</v>
      </c>
      <c r="Q175" s="8" t="s">
        <v>360</v>
      </c>
      <c r="R175" s="116">
        <f>Aggregate!BQ29</f>
        <v>128.1583422</v>
      </c>
      <c r="S175" s="8"/>
      <c r="T175" s="8"/>
    </row>
    <row r="176" ht="14.25" customHeight="1">
      <c r="A176" s="1">
        <v>173.0</v>
      </c>
      <c r="B176" s="1">
        <v>8.0</v>
      </c>
      <c r="C176" s="1" t="s">
        <v>798</v>
      </c>
      <c r="D176" s="1" t="s">
        <v>205</v>
      </c>
      <c r="E176" s="1" t="s">
        <v>624</v>
      </c>
      <c r="F176" s="1">
        <v>8.0</v>
      </c>
      <c r="G176" s="1" t="s">
        <v>1010</v>
      </c>
      <c r="H176" s="1" t="s">
        <v>1009</v>
      </c>
      <c r="I176" s="1" t="s">
        <v>1007</v>
      </c>
      <c r="J176" s="1">
        <v>52.0</v>
      </c>
      <c r="K176" s="1">
        <v>175.0</v>
      </c>
      <c r="L176" s="1" t="str">
        <f t="shared" si="1"/>
        <v>Kayshon Boutte</v>
      </c>
      <c r="M176" s="124">
        <f>IFERROR(VLOOKUP(E176,RISK!A:B,2,FALSE()),"")</f>
        <v>3.7</v>
      </c>
      <c r="N176" s="116">
        <f t="shared" si="2"/>
        <v>85.02917647</v>
      </c>
      <c r="Q176" s="8" t="s">
        <v>364</v>
      </c>
      <c r="R176" s="116">
        <f>Aggregate!BQ30</f>
        <v>125.999874</v>
      </c>
      <c r="S176" s="8"/>
      <c r="T176" s="8"/>
    </row>
    <row r="177" ht="14.25" customHeight="1">
      <c r="A177" s="1">
        <v>174.0</v>
      </c>
      <c r="B177" s="1">
        <v>8.0</v>
      </c>
      <c r="C177" s="1" t="s">
        <v>561</v>
      </c>
      <c r="D177" s="1" t="s">
        <v>155</v>
      </c>
      <c r="E177" s="1" t="s">
        <v>565</v>
      </c>
      <c r="F177" s="1">
        <v>5.0</v>
      </c>
      <c r="G177" s="1" t="s">
        <v>1009</v>
      </c>
      <c r="H177" s="1" t="s">
        <v>1009</v>
      </c>
      <c r="I177" s="1" t="s">
        <v>1007</v>
      </c>
      <c r="J177" s="1">
        <v>47.0</v>
      </c>
      <c r="K177" s="1">
        <v>176.0</v>
      </c>
      <c r="L177" s="1" t="str">
        <f t="shared" si="1"/>
        <v>Emmett Johnson</v>
      </c>
      <c r="M177" s="124">
        <f>IFERROR(VLOOKUP(E177,RISK!A:B,2,FALSE()),"")</f>
        <v>3.368</v>
      </c>
      <c r="N177" s="116">
        <f t="shared" si="2"/>
        <v>62.25346824</v>
      </c>
      <c r="Q177" s="8" t="s">
        <v>368</v>
      </c>
      <c r="R177" s="116">
        <f>Aggregate!BQ31</f>
        <v>123.4306815</v>
      </c>
      <c r="S177" s="8"/>
      <c r="T177" s="8"/>
    </row>
    <row r="178" ht="14.25" customHeight="1">
      <c r="A178" s="1">
        <v>175.0</v>
      </c>
      <c r="B178" s="1">
        <v>8.0</v>
      </c>
      <c r="C178" s="1" t="s">
        <v>762</v>
      </c>
      <c r="D178" s="1" t="s">
        <v>222</v>
      </c>
      <c r="E178" s="1" t="s">
        <v>631</v>
      </c>
      <c r="F178" s="1">
        <v>13.0</v>
      </c>
      <c r="G178" s="1" t="s">
        <v>1023</v>
      </c>
      <c r="H178" s="1" t="s">
        <v>1023</v>
      </c>
      <c r="I178" s="1" t="s">
        <v>1003</v>
      </c>
      <c r="J178" s="1">
        <v>-13.0</v>
      </c>
      <c r="K178" s="1">
        <v>177.0</v>
      </c>
      <c r="L178" s="1" t="str">
        <f t="shared" si="1"/>
        <v>Jalen Nailor</v>
      </c>
      <c r="M178" s="124">
        <f>IFERROR(VLOOKUP(E178,RISK!A:B,2,FALSE()),"")</f>
        <v>3.7</v>
      </c>
      <c r="N178" s="116">
        <f t="shared" si="2"/>
        <v>83.10458824</v>
      </c>
      <c r="Q178" s="8" t="s">
        <v>372</v>
      </c>
      <c r="R178" s="116">
        <f>Aggregate!BQ32</f>
        <v>120.7004462</v>
      </c>
      <c r="S178" s="8"/>
      <c r="T178" s="8"/>
    </row>
    <row r="179" ht="14.25" customHeight="1">
      <c r="A179" s="1">
        <v>176.0</v>
      </c>
      <c r="B179" s="1">
        <v>8.0</v>
      </c>
      <c r="C179" s="1" t="s">
        <v>799</v>
      </c>
      <c r="D179" s="1" t="s">
        <v>164</v>
      </c>
      <c r="E179" s="1" t="s">
        <v>349</v>
      </c>
      <c r="F179" s="1">
        <v>7.0</v>
      </c>
      <c r="G179" s="1" t="s">
        <v>1010</v>
      </c>
      <c r="H179" s="1" t="s">
        <v>1009</v>
      </c>
      <c r="I179" s="1" t="s">
        <v>1004</v>
      </c>
      <c r="J179" s="1">
        <v>-10.0</v>
      </c>
      <c r="K179" s="1">
        <v>178.0</v>
      </c>
      <c r="L179" s="1" t="str">
        <f t="shared" si="1"/>
        <v>Oronde Gadsden II</v>
      </c>
      <c r="M179" s="124">
        <f>IFERROR(VLOOKUP(E179,RISK!A:B,2,FALSE()),"")</f>
        <v>2.5006</v>
      </c>
      <c r="N179" s="116">
        <f t="shared" si="2"/>
        <v>81.94815565</v>
      </c>
      <c r="Q179" s="8" t="s">
        <v>376</v>
      </c>
      <c r="R179" s="116">
        <f>Aggregate!BQ33</f>
        <v>119.3317059</v>
      </c>
      <c r="S179" s="8"/>
      <c r="T179" s="8"/>
    </row>
    <row r="180" ht="14.25" customHeight="1">
      <c r="A180" s="1">
        <v>177.0</v>
      </c>
      <c r="B180" s="1">
        <v>8.0</v>
      </c>
      <c r="C180" s="1" t="s">
        <v>927</v>
      </c>
      <c r="D180" s="1" t="s">
        <v>170</v>
      </c>
      <c r="E180" s="1" t="s">
        <v>639</v>
      </c>
      <c r="F180" s="1">
        <v>10.0</v>
      </c>
      <c r="G180" s="1" t="s">
        <v>1009</v>
      </c>
      <c r="H180" s="1" t="s">
        <v>1009</v>
      </c>
      <c r="I180" s="1" t="s">
        <v>1003</v>
      </c>
      <c r="J180" s="1">
        <v>63.0</v>
      </c>
      <c r="K180" s="1">
        <v>179.0</v>
      </c>
      <c r="L180" s="1" t="str">
        <f t="shared" si="1"/>
        <v>Pat Bryant</v>
      </c>
      <c r="M180" s="124">
        <f>IFERROR(VLOOKUP(E180,RISK!A:B,2,FALSE()),"")</f>
        <v>3.7</v>
      </c>
      <c r="N180" s="116">
        <f t="shared" si="2"/>
        <v>81.56549647</v>
      </c>
      <c r="Q180" s="8" t="s">
        <v>380</v>
      </c>
      <c r="R180" s="116">
        <f>Aggregate!BQ34</f>
        <v>118.4996471</v>
      </c>
      <c r="S180" s="8"/>
      <c r="T180" s="8"/>
    </row>
    <row r="181" ht="14.25" customHeight="1">
      <c r="A181" s="1">
        <v>178.0</v>
      </c>
      <c r="B181" s="1">
        <v>8.0</v>
      </c>
      <c r="C181" s="1" t="s">
        <v>877</v>
      </c>
      <c r="D181" s="1" t="s">
        <v>150</v>
      </c>
      <c r="E181" s="1" t="s">
        <v>647</v>
      </c>
      <c r="F181" s="1">
        <v>14.0</v>
      </c>
      <c r="G181" s="1" t="s">
        <v>1009</v>
      </c>
      <c r="H181" s="1" t="s">
        <v>1005</v>
      </c>
      <c r="I181" s="1" t="s">
        <v>1003</v>
      </c>
      <c r="J181" s="1">
        <v>76.0</v>
      </c>
      <c r="K181" s="1">
        <v>180.0</v>
      </c>
      <c r="L181" s="1" t="str">
        <f t="shared" si="1"/>
        <v>Ryan Flournoy</v>
      </c>
      <c r="M181" s="124">
        <f>IFERROR(VLOOKUP(E181,RISK!A:B,2,FALSE()),"")</f>
        <v>3.7</v>
      </c>
      <c r="N181" s="116">
        <f t="shared" si="2"/>
        <v>81.20170588</v>
      </c>
      <c r="Q181" s="8" t="s">
        <v>385</v>
      </c>
      <c r="R181" s="116">
        <f>Aggregate!BQ35</f>
        <v>118.08</v>
      </c>
      <c r="S181" s="8"/>
      <c r="T181" s="8"/>
    </row>
    <row r="182" ht="14.25" customHeight="1">
      <c r="A182" s="1">
        <v>179.0</v>
      </c>
      <c r="B182" s="1">
        <v>8.0</v>
      </c>
      <c r="C182" s="1" t="s">
        <v>851</v>
      </c>
      <c r="D182" s="1" t="s">
        <v>210</v>
      </c>
      <c r="E182" s="1" t="s">
        <v>655</v>
      </c>
      <c r="F182" s="1">
        <v>13.0</v>
      </c>
      <c r="G182" s="1" t="s">
        <v>1009</v>
      </c>
      <c r="H182" s="1" t="s">
        <v>1009</v>
      </c>
      <c r="I182" s="1" t="s">
        <v>1004</v>
      </c>
      <c r="J182" s="1">
        <v>5.0</v>
      </c>
      <c r="K182" s="1">
        <v>181.0</v>
      </c>
      <c r="L182" s="1" t="str">
        <f t="shared" si="1"/>
        <v>Omar Cooper Jr.</v>
      </c>
      <c r="M182" s="124">
        <f>IFERROR(VLOOKUP(E182,RISK!A:B,2,FALSE()),"")</f>
        <v>3.7</v>
      </c>
      <c r="N182" s="116">
        <f t="shared" si="2"/>
        <v>81.14353412</v>
      </c>
      <c r="Q182" s="8" t="s">
        <v>393</v>
      </c>
      <c r="R182" s="116">
        <f>Aggregate!BQ36</f>
        <v>117.9591293</v>
      </c>
      <c r="S182" s="8"/>
      <c r="T182" s="8"/>
    </row>
    <row r="183" ht="14.25" customHeight="1">
      <c r="A183" s="1">
        <v>180.0</v>
      </c>
      <c r="B183" s="1">
        <v>8.0</v>
      </c>
      <c r="C183" s="1" t="s">
        <v>785</v>
      </c>
      <c r="D183" s="1" t="s">
        <v>196</v>
      </c>
      <c r="E183" s="1" t="s">
        <v>662</v>
      </c>
      <c r="F183" s="1">
        <v>6.0</v>
      </c>
      <c r="G183" s="1" t="s">
        <v>1010</v>
      </c>
      <c r="H183" s="1" t="s">
        <v>1009</v>
      </c>
      <c r="I183" s="1" t="s">
        <v>1007</v>
      </c>
      <c r="J183" s="1">
        <v>31.0</v>
      </c>
      <c r="K183" s="1">
        <v>182.0</v>
      </c>
      <c r="L183" s="1" t="str">
        <f t="shared" si="1"/>
        <v>Malik Washington</v>
      </c>
      <c r="M183" s="124">
        <f>IFERROR(VLOOKUP(E183,RISK!A:B,2,FALSE()),"")</f>
        <v>3.7</v>
      </c>
      <c r="N183" s="116">
        <f t="shared" si="2"/>
        <v>79.81252941</v>
      </c>
      <c r="Q183" s="8" t="s">
        <v>400</v>
      </c>
      <c r="R183" s="116">
        <f>Aggregate!BQ37</f>
        <v>112.2693224</v>
      </c>
      <c r="S183" s="8"/>
      <c r="T183" s="8"/>
    </row>
    <row r="184" ht="14.25" customHeight="1">
      <c r="A184" s="1">
        <v>181.0</v>
      </c>
      <c r="B184" s="1">
        <v>8.0</v>
      </c>
      <c r="C184" s="1" t="s">
        <v>577</v>
      </c>
      <c r="D184" s="1" t="s">
        <v>186</v>
      </c>
      <c r="E184" s="1" t="s">
        <v>573</v>
      </c>
      <c r="F184" s="1">
        <v>10.0</v>
      </c>
      <c r="G184" s="1" t="s">
        <v>1009</v>
      </c>
      <c r="H184" s="1" t="s">
        <v>1009</v>
      </c>
      <c r="I184" s="1" t="s">
        <v>1003</v>
      </c>
      <c r="J184" s="1">
        <v>60.0</v>
      </c>
      <c r="K184" s="1">
        <v>183.0</v>
      </c>
      <c r="L184" s="1" t="str">
        <f t="shared" si="1"/>
        <v>Sean Tucker</v>
      </c>
      <c r="M184" s="124">
        <f>IFERROR(VLOOKUP(E184,RISK!A:B,2,FALSE()),"")</f>
        <v>3.368</v>
      </c>
      <c r="N184" s="116">
        <f t="shared" si="2"/>
        <v>60.93082353</v>
      </c>
      <c r="Q184" s="8" t="s">
        <v>408</v>
      </c>
      <c r="R184" s="116">
        <f>Aggregate!BQ38</f>
        <v>110.3487481</v>
      </c>
      <c r="S184" s="8"/>
      <c r="T184" s="8"/>
    </row>
    <row r="185" ht="14.25" customHeight="1">
      <c r="A185" s="1">
        <v>182.0</v>
      </c>
      <c r="B185" s="1">
        <v>8.0</v>
      </c>
      <c r="C185" s="1" t="s">
        <v>216</v>
      </c>
      <c r="D185" s="1" t="s">
        <v>217</v>
      </c>
      <c r="E185" s="1" t="s">
        <v>358</v>
      </c>
      <c r="F185" s="1">
        <v>14.0</v>
      </c>
      <c r="G185" s="1" t="s">
        <v>1005</v>
      </c>
      <c r="H185" s="1" t="s">
        <v>1009</v>
      </c>
      <c r="I185" s="1" t="s">
        <v>1003</v>
      </c>
      <c r="J185" s="1">
        <v>52.0</v>
      </c>
      <c r="K185" s="1">
        <v>184.0</v>
      </c>
      <c r="L185" s="1" t="str">
        <f t="shared" si="1"/>
        <v>Jacoby Brissett</v>
      </c>
      <c r="M185" s="124">
        <f>IFERROR(VLOOKUP(E185,RISK!A:B,2,FALSE()),"")</f>
        <v>3.2</v>
      </c>
      <c r="N185" s="116">
        <f t="shared" si="2"/>
        <v>143.1205647</v>
      </c>
      <c r="Q185" s="8" t="s">
        <v>416</v>
      </c>
      <c r="R185" s="116">
        <f>Aggregate!BQ39</f>
        <v>109.1597506</v>
      </c>
      <c r="S185" s="8"/>
      <c r="T185" s="8"/>
    </row>
    <row r="186" ht="14.25" customHeight="1">
      <c r="A186" s="1">
        <v>183.0</v>
      </c>
      <c r="B186" s="1">
        <v>8.0</v>
      </c>
      <c r="C186" s="1" t="s">
        <v>525</v>
      </c>
      <c r="D186" s="1" t="s">
        <v>164</v>
      </c>
      <c r="E186" s="1" t="s">
        <v>582</v>
      </c>
      <c r="F186" s="1">
        <v>7.0</v>
      </c>
      <c r="G186" s="1" t="s">
        <v>1001</v>
      </c>
      <c r="H186" s="1" t="s">
        <v>1009</v>
      </c>
      <c r="I186" s="1" t="s">
        <v>1007</v>
      </c>
      <c r="J186" s="1">
        <v>62.0</v>
      </c>
      <c r="K186" s="1">
        <v>185.0</v>
      </c>
      <c r="L186" s="1" t="str">
        <f t="shared" si="1"/>
        <v>Kimani Vidal</v>
      </c>
      <c r="M186" s="124">
        <f>IFERROR(VLOOKUP(E186,RISK!A:B,2,FALSE()),"")</f>
        <v>3.368</v>
      </c>
      <c r="N186" s="116">
        <f t="shared" si="2"/>
        <v>60.56281622</v>
      </c>
      <c r="Q186" s="8" t="s">
        <v>423</v>
      </c>
      <c r="R186" s="116">
        <f>Aggregate!BQ40</f>
        <v>108.7175294</v>
      </c>
      <c r="S186" s="8"/>
      <c r="T186" s="8"/>
    </row>
    <row r="187" ht="14.25" customHeight="1">
      <c r="A187" s="1">
        <v>184.0</v>
      </c>
      <c r="B187" s="1">
        <v>8.0</v>
      </c>
      <c r="C187" s="1" t="s">
        <v>730</v>
      </c>
      <c r="D187" s="1" t="s">
        <v>214</v>
      </c>
      <c r="E187" s="1" t="s">
        <v>670</v>
      </c>
      <c r="F187" s="1">
        <v>9.0</v>
      </c>
      <c r="G187" s="1" t="s">
        <v>1005</v>
      </c>
      <c r="H187" s="1" t="s">
        <v>1009</v>
      </c>
      <c r="I187" s="1" t="s">
        <v>1007</v>
      </c>
      <c r="J187" s="1">
        <v>40.0</v>
      </c>
      <c r="K187" s="1">
        <v>186.0</v>
      </c>
      <c r="L187" s="1" t="str">
        <f t="shared" si="1"/>
        <v>Calvin Ridley</v>
      </c>
      <c r="M187" s="124">
        <f>IFERROR(VLOOKUP(E187,RISK!A:B,2,FALSE()),"")</f>
        <v>3.7</v>
      </c>
      <c r="N187" s="116">
        <f t="shared" si="2"/>
        <v>79.53035294</v>
      </c>
      <c r="Q187" s="8" t="s">
        <v>431</v>
      </c>
      <c r="R187" s="116">
        <f>Aggregate!BQ41</f>
        <v>106.7321647</v>
      </c>
      <c r="S187" s="8"/>
      <c r="T187" s="8"/>
    </row>
    <row r="188" ht="14.25" customHeight="1">
      <c r="A188" s="1">
        <v>185.0</v>
      </c>
      <c r="B188" s="1">
        <v>8.0</v>
      </c>
      <c r="C188" s="1" t="s">
        <v>782</v>
      </c>
      <c r="D188" s="1" t="s">
        <v>210</v>
      </c>
      <c r="E188" s="1" t="s">
        <v>353</v>
      </c>
      <c r="F188" s="1">
        <v>13.0</v>
      </c>
      <c r="G188" s="1" t="s">
        <v>1010</v>
      </c>
      <c r="H188" s="1" t="s">
        <v>1009</v>
      </c>
      <c r="I188" s="1" t="s">
        <v>1004</v>
      </c>
      <c r="J188" s="1">
        <v>-12.0</v>
      </c>
      <c r="K188" s="1">
        <v>187.0</v>
      </c>
      <c r="L188" s="1" t="str">
        <f t="shared" si="1"/>
        <v>Kenyon Sadiq</v>
      </c>
      <c r="M188" s="124">
        <f>IFERROR(VLOOKUP(E188,RISK!A:B,2,FALSE()),"")</f>
        <v>2.4335</v>
      </c>
      <c r="N188" s="116">
        <f t="shared" si="2"/>
        <v>80.65591535</v>
      </c>
      <c r="Q188" s="8" t="s">
        <v>439</v>
      </c>
      <c r="R188" s="116">
        <f>Aggregate!BQ42</f>
        <v>106.2737365</v>
      </c>
      <c r="S188" s="8"/>
      <c r="T188" s="8"/>
    </row>
    <row r="189" ht="14.25" customHeight="1">
      <c r="A189" s="1">
        <v>186.0</v>
      </c>
      <c r="B189" s="1">
        <v>8.0</v>
      </c>
      <c r="C189" s="1" t="s">
        <v>745</v>
      </c>
      <c r="D189" s="1" t="s">
        <v>193</v>
      </c>
      <c r="E189" s="1" t="s">
        <v>678</v>
      </c>
      <c r="F189" s="1">
        <v>13.0</v>
      </c>
      <c r="G189" s="1" t="s">
        <v>1010</v>
      </c>
      <c r="H189" s="1" t="s">
        <v>1010</v>
      </c>
      <c r="I189" s="1" t="s">
        <v>1004</v>
      </c>
      <c r="J189" s="1">
        <v>-7.0</v>
      </c>
      <c r="K189" s="1">
        <v>188.0</v>
      </c>
      <c r="L189" s="1" t="str">
        <f t="shared" si="1"/>
        <v>Keenan Allen</v>
      </c>
      <c r="M189" s="124">
        <f>IFERROR(VLOOKUP(E189,RISK!A:B,2,FALSE()),"")</f>
        <v>3.7</v>
      </c>
      <c r="N189" s="116">
        <f t="shared" si="2"/>
        <v>77.00726118</v>
      </c>
      <c r="Q189" s="8" t="s">
        <v>446</v>
      </c>
      <c r="R189" s="116">
        <f>Aggregate!BQ43</f>
        <v>104.9870118</v>
      </c>
      <c r="S189" s="8"/>
      <c r="T189" s="8"/>
    </row>
    <row r="190" ht="14.25" customHeight="1">
      <c r="A190" s="1">
        <v>187.0</v>
      </c>
      <c r="B190" s="1">
        <v>8.0</v>
      </c>
      <c r="C190" s="1" t="s">
        <v>732</v>
      </c>
      <c r="D190" s="1" t="s">
        <v>205</v>
      </c>
      <c r="E190" s="1" t="s">
        <v>685</v>
      </c>
      <c r="F190" s="1">
        <v>8.0</v>
      </c>
      <c r="G190" s="1" t="s">
        <v>1009</v>
      </c>
      <c r="H190" s="1" t="s">
        <v>1009</v>
      </c>
      <c r="I190" s="1" t="s">
        <v>1007</v>
      </c>
      <c r="J190" s="1">
        <v>23.0</v>
      </c>
      <c r="K190" s="1">
        <v>189.0</v>
      </c>
      <c r="L190" s="1" t="str">
        <f t="shared" si="1"/>
        <v>Tank Dell</v>
      </c>
      <c r="M190" s="124">
        <f>IFERROR(VLOOKUP(E190,RISK!A:B,2,FALSE()),"")</f>
        <v>3.7</v>
      </c>
      <c r="N190" s="116">
        <f t="shared" si="2"/>
        <v>76.05741176</v>
      </c>
      <c r="Q190" s="8" t="s">
        <v>454</v>
      </c>
      <c r="R190" s="116">
        <f>Aggregate!BQ44</f>
        <v>104.7598235</v>
      </c>
      <c r="S190" s="8"/>
      <c r="T190" s="8"/>
    </row>
    <row r="191" ht="14.25" customHeight="1">
      <c r="A191" s="1">
        <v>188.0</v>
      </c>
      <c r="B191" s="1">
        <v>8.0</v>
      </c>
      <c r="C191" s="1" t="s">
        <v>623</v>
      </c>
      <c r="D191" s="1" t="s">
        <v>214</v>
      </c>
      <c r="E191" s="1" t="s">
        <v>590</v>
      </c>
      <c r="F191" s="1">
        <v>9.0</v>
      </c>
      <c r="G191" s="1" t="s">
        <v>1010</v>
      </c>
      <c r="H191" s="1" t="s">
        <v>1009</v>
      </c>
      <c r="I191" s="1" t="s">
        <v>1007</v>
      </c>
      <c r="J191" s="1">
        <v>41.0</v>
      </c>
      <c r="K191" s="1">
        <v>190.0</v>
      </c>
      <c r="L191" s="1" t="str">
        <f t="shared" si="1"/>
        <v>Nicholas Singleton</v>
      </c>
      <c r="M191" s="124">
        <f>IFERROR(VLOOKUP(E191,RISK!A:B,2,FALSE()),"")</f>
        <v>3.368</v>
      </c>
      <c r="N191" s="116">
        <f t="shared" si="2"/>
        <v>59.86824941</v>
      </c>
      <c r="Q191" s="8" t="s">
        <v>462</v>
      </c>
      <c r="R191" s="116">
        <f>Aggregate!BQ45</f>
        <v>104.6295882</v>
      </c>
      <c r="S191" s="8"/>
      <c r="T191" s="8"/>
    </row>
    <row r="192" ht="14.25" customHeight="1">
      <c r="A192" s="1">
        <v>189.0</v>
      </c>
      <c r="B192" s="1">
        <v>8.0</v>
      </c>
      <c r="C192" s="1" t="s">
        <v>793</v>
      </c>
      <c r="D192" s="1" t="s">
        <v>205</v>
      </c>
      <c r="E192" s="1" t="s">
        <v>692</v>
      </c>
      <c r="F192" s="1">
        <v>8.0</v>
      </c>
      <c r="G192" s="1" t="s">
        <v>1009</v>
      </c>
      <c r="H192" s="1" t="s">
        <v>1009</v>
      </c>
      <c r="I192" s="1" t="s">
        <v>1007</v>
      </c>
      <c r="J192" s="1">
        <v>108.0</v>
      </c>
      <c r="K192" s="1">
        <v>191.0</v>
      </c>
      <c r="L192" s="1" t="str">
        <f t="shared" si="1"/>
        <v>Jaylin Noel</v>
      </c>
      <c r="M192" s="124">
        <f>IFERROR(VLOOKUP(E192,RISK!A:B,2,FALSE()),"")</f>
        <v>3.7</v>
      </c>
      <c r="N192" s="116">
        <f t="shared" si="2"/>
        <v>75.01726588</v>
      </c>
      <c r="Q192" s="8" t="s">
        <v>469</v>
      </c>
      <c r="R192" s="116">
        <f>Aggregate!BQ46</f>
        <v>104.4776471</v>
      </c>
      <c r="S192" s="8"/>
      <c r="T192" s="8"/>
    </row>
    <row r="193" ht="14.25" customHeight="1">
      <c r="A193" s="1">
        <v>190.0</v>
      </c>
      <c r="B193" s="1">
        <v>8.0</v>
      </c>
      <c r="C193" s="1" t="s">
        <v>794</v>
      </c>
      <c r="D193" s="1" t="s">
        <v>214</v>
      </c>
      <c r="E193" s="1" t="s">
        <v>357</v>
      </c>
      <c r="F193" s="1">
        <v>9.0</v>
      </c>
      <c r="G193" s="1" t="s">
        <v>1010</v>
      </c>
      <c r="H193" s="1" t="s">
        <v>1010</v>
      </c>
      <c r="I193" s="1" t="s">
        <v>1007</v>
      </c>
      <c r="J193" s="1">
        <v>56.0</v>
      </c>
      <c r="K193" s="1">
        <v>192.0</v>
      </c>
      <c r="L193" s="1" t="str">
        <f t="shared" si="1"/>
        <v>Gunnar Helm</v>
      </c>
      <c r="M193" s="124">
        <f>IFERROR(VLOOKUP(E193,RISK!A:B,2,FALSE()),"")</f>
        <v>2.36</v>
      </c>
      <c r="N193" s="116">
        <f t="shared" si="2"/>
        <v>78.677505</v>
      </c>
      <c r="Q193" s="8" t="s">
        <v>477</v>
      </c>
      <c r="R193" s="116">
        <f>Aggregate!BQ47</f>
        <v>103.5515294</v>
      </c>
      <c r="S193" s="8"/>
      <c r="T193" s="8"/>
    </row>
    <row r="194" ht="14.25" customHeight="1">
      <c r="A194" s="1">
        <v>191.0</v>
      </c>
      <c r="B194" s="1">
        <v>8.0</v>
      </c>
      <c r="C194" s="1" t="s">
        <v>789</v>
      </c>
      <c r="D194" s="1" t="s">
        <v>145</v>
      </c>
      <c r="E194" s="1" t="s">
        <v>701</v>
      </c>
      <c r="F194" s="1">
        <v>7.0</v>
      </c>
      <c r="G194" s="1" t="s">
        <v>1010</v>
      </c>
      <c r="H194" s="1" t="s">
        <v>1009</v>
      </c>
      <c r="I194" s="1" t="s">
        <v>1004</v>
      </c>
      <c r="J194" s="1">
        <v>-10.0</v>
      </c>
      <c r="K194" s="1">
        <v>193.0</v>
      </c>
      <c r="L194" s="1" t="str">
        <f t="shared" si="1"/>
        <v>Travis Hunter</v>
      </c>
      <c r="M194" s="124">
        <f>IFERROR(VLOOKUP(E194,RISK!A:B,2,FALSE()),"")</f>
        <v>3.7</v>
      </c>
      <c r="N194" s="116">
        <f t="shared" si="2"/>
        <v>73.95917647</v>
      </c>
      <c r="Q194" s="8" t="s">
        <v>485</v>
      </c>
      <c r="R194" s="116">
        <f>Aggregate!BQ48</f>
        <v>102.6832941</v>
      </c>
      <c r="S194" s="8"/>
      <c r="T194" s="8"/>
    </row>
    <row r="195" ht="14.25" customHeight="1">
      <c r="A195" s="1">
        <v>192.0</v>
      </c>
      <c r="B195" s="1">
        <v>8.0</v>
      </c>
      <c r="C195" s="1" t="s">
        <v>1041</v>
      </c>
      <c r="D195" s="1" t="s">
        <v>205</v>
      </c>
      <c r="E195" s="1" t="s">
        <v>1042</v>
      </c>
      <c r="F195" s="1">
        <v>8.0</v>
      </c>
      <c r="G195" s="1" t="s">
        <v>1023</v>
      </c>
      <c r="H195" s="1" t="s">
        <v>1023</v>
      </c>
      <c r="I195" s="1" t="s">
        <v>1003</v>
      </c>
      <c r="J195" s="1">
        <v>-75.0</v>
      </c>
      <c r="K195" s="1">
        <v>194.0</v>
      </c>
      <c r="L195" s="1" t="str">
        <f t="shared" si="1"/>
        <v>Houston Texans</v>
      </c>
      <c r="M195" s="124" t="str">
        <f>IFERROR(VLOOKUP(E195,RISK!A:B,2,FALSE()),"")</f>
        <v/>
      </c>
      <c r="N195" s="116" t="str">
        <f t="shared" si="2"/>
        <v>#N/A</v>
      </c>
      <c r="Q195" s="8" t="s">
        <v>492</v>
      </c>
      <c r="R195" s="116">
        <f>Aggregate!BQ49</f>
        <v>102.4155882</v>
      </c>
      <c r="S195" s="8"/>
      <c r="T195" s="8"/>
    </row>
    <row r="196" ht="14.25" customHeight="1">
      <c r="A196" s="1">
        <v>193.0</v>
      </c>
      <c r="B196" s="1">
        <v>8.0</v>
      </c>
      <c r="C196" s="1" t="s">
        <v>209</v>
      </c>
      <c r="D196" s="1" t="s">
        <v>210</v>
      </c>
      <c r="E196" s="1" t="s">
        <v>362</v>
      </c>
      <c r="F196" s="1">
        <v>13.0</v>
      </c>
      <c r="G196" s="1" t="s">
        <v>1005</v>
      </c>
      <c r="H196" s="1" t="s">
        <v>1009</v>
      </c>
      <c r="I196" s="1" t="s">
        <v>1004</v>
      </c>
      <c r="J196" s="1">
        <v>46.0</v>
      </c>
      <c r="K196" s="1">
        <v>195.0</v>
      </c>
      <c r="L196" s="1" t="str">
        <f t="shared" si="1"/>
        <v>Geno Smith</v>
      </c>
      <c r="M196" s="124">
        <f>IFERROR(VLOOKUP(E196,RISK!A:B,2,FALSE()),"")</f>
        <v>3.2</v>
      </c>
      <c r="N196" s="116">
        <f t="shared" si="2"/>
        <v>141.2291765</v>
      </c>
      <c r="Q196" s="8" t="s">
        <v>500</v>
      </c>
      <c r="R196" s="116">
        <f>Aggregate!BQ50</f>
        <v>101.3013529</v>
      </c>
      <c r="S196" s="8"/>
      <c r="T196" s="8"/>
    </row>
    <row r="197" ht="14.25" customHeight="1">
      <c r="A197" s="1">
        <v>194.0</v>
      </c>
      <c r="B197" s="1">
        <v>8.0</v>
      </c>
      <c r="C197" s="1" t="s">
        <v>1043</v>
      </c>
      <c r="D197" s="1" t="s">
        <v>170</v>
      </c>
      <c r="E197" s="1" t="s">
        <v>1044</v>
      </c>
      <c r="F197" s="1">
        <v>10.0</v>
      </c>
      <c r="G197" s="1" t="s">
        <v>1023</v>
      </c>
      <c r="H197" s="1" t="s">
        <v>1023</v>
      </c>
      <c r="I197" s="1" t="s">
        <v>1004</v>
      </c>
      <c r="J197" s="1">
        <v>-69.0</v>
      </c>
      <c r="K197" s="1">
        <v>196.0</v>
      </c>
      <c r="L197" s="1" t="str">
        <f t="shared" si="1"/>
        <v>Denver Broncos</v>
      </c>
      <c r="M197" s="124" t="str">
        <f>IFERROR(VLOOKUP(E197,RISK!A:B,2,FALSE()),"")</f>
        <v/>
      </c>
      <c r="N197" s="116" t="str">
        <f t="shared" si="2"/>
        <v>#N/A</v>
      </c>
      <c r="Q197" s="8" t="s">
        <v>506</v>
      </c>
      <c r="R197" s="116">
        <f>Aggregate!BQ51</f>
        <v>100.9974706</v>
      </c>
      <c r="S197" s="8"/>
      <c r="T197" s="8"/>
    </row>
    <row r="198" ht="14.25" customHeight="1">
      <c r="A198" s="1">
        <v>195.0</v>
      </c>
      <c r="B198" s="1">
        <v>8.0</v>
      </c>
      <c r="C198" s="1" t="s">
        <v>529</v>
      </c>
      <c r="D198" s="1" t="s">
        <v>150</v>
      </c>
      <c r="E198" s="1" t="s">
        <v>598</v>
      </c>
      <c r="F198" s="1">
        <v>14.0</v>
      </c>
      <c r="G198" s="1" t="s">
        <v>1009</v>
      </c>
      <c r="H198" s="1" t="s">
        <v>1009</v>
      </c>
      <c r="I198" s="1" t="s">
        <v>1004</v>
      </c>
      <c r="J198" s="1">
        <v>31.0</v>
      </c>
      <c r="K198" s="1">
        <v>197.0</v>
      </c>
      <c r="L198" s="1" t="str">
        <f t="shared" si="1"/>
        <v>Jaydon Blue</v>
      </c>
      <c r="M198" s="124">
        <f>IFERROR(VLOOKUP(E198,RISK!A:B,2,FALSE()),"")</f>
        <v>3.368</v>
      </c>
      <c r="N198" s="116">
        <f t="shared" si="2"/>
        <v>59.56487336</v>
      </c>
      <c r="Q198" s="8" t="s">
        <v>513</v>
      </c>
      <c r="R198" s="116">
        <f>Aggregate!BQ52</f>
        <v>100.9034118</v>
      </c>
      <c r="S198" s="8"/>
      <c r="T198" s="8"/>
    </row>
    <row r="199" ht="14.25" customHeight="1">
      <c r="A199" s="1">
        <v>196.0</v>
      </c>
      <c r="B199" s="1">
        <v>8.0</v>
      </c>
      <c r="C199" s="1" t="s">
        <v>749</v>
      </c>
      <c r="D199" s="1" t="s">
        <v>61</v>
      </c>
      <c r="E199" s="1" t="s">
        <v>708</v>
      </c>
      <c r="F199" s="1">
        <v>13.0</v>
      </c>
      <c r="G199" s="1" t="s">
        <v>1010</v>
      </c>
      <c r="H199" s="1" t="s">
        <v>1009</v>
      </c>
      <c r="I199" s="1" t="s">
        <v>1004</v>
      </c>
      <c r="J199" s="1">
        <v>161.0</v>
      </c>
      <c r="K199" s="1">
        <v>198.0</v>
      </c>
      <c r="L199" s="1" t="str">
        <f t="shared" si="1"/>
        <v>Rashod Bateman</v>
      </c>
      <c r="M199" s="124">
        <f>IFERROR(VLOOKUP(E199,RISK!A:B,2,FALSE()),"")</f>
        <v>3.7</v>
      </c>
      <c r="N199" s="116">
        <f t="shared" si="2"/>
        <v>73.31523529</v>
      </c>
      <c r="Q199" s="8" t="s">
        <v>518</v>
      </c>
      <c r="R199" s="116">
        <f>Aggregate!BQ53</f>
        <v>97.55347059</v>
      </c>
      <c r="S199" s="8"/>
      <c r="T199" s="8"/>
    </row>
    <row r="200" ht="14.25" customHeight="1">
      <c r="A200" s="1">
        <v>197.0</v>
      </c>
      <c r="B200" s="1">
        <v>8.0</v>
      </c>
      <c r="C200" s="1" t="s">
        <v>885</v>
      </c>
      <c r="D200" s="1" t="s">
        <v>179</v>
      </c>
      <c r="E200" s="1" t="s">
        <v>716</v>
      </c>
      <c r="F200" s="1">
        <v>6.0</v>
      </c>
      <c r="G200" s="1" t="s">
        <v>1010</v>
      </c>
      <c r="H200" s="1" t="s">
        <v>1009</v>
      </c>
      <c r="I200" s="1" t="s">
        <v>1004</v>
      </c>
      <c r="J200" s="1">
        <v>-1.0</v>
      </c>
      <c r="K200" s="1">
        <v>199.0</v>
      </c>
      <c r="L200" s="1" t="str">
        <f t="shared" si="1"/>
        <v>Isaac TeSlaa</v>
      </c>
      <c r="M200" s="124">
        <f>IFERROR(VLOOKUP(E200,RISK!A:B,2,FALSE()),"")</f>
        <v>3.7</v>
      </c>
      <c r="N200" s="116">
        <f t="shared" si="2"/>
        <v>68.18541176</v>
      </c>
      <c r="Q200" s="8" t="s">
        <v>524</v>
      </c>
      <c r="R200" s="116">
        <f>Aggregate!BQ54</f>
        <v>96.91676471</v>
      </c>
      <c r="S200" s="8"/>
      <c r="T200" s="8"/>
    </row>
    <row r="201" ht="14.25" customHeight="1">
      <c r="A201" s="1">
        <v>198.0</v>
      </c>
      <c r="B201" s="1">
        <v>8.0</v>
      </c>
      <c r="C201" s="1" t="s">
        <v>1048</v>
      </c>
      <c r="D201" s="1" t="s">
        <v>202</v>
      </c>
      <c r="E201" s="1" t="s">
        <v>1049</v>
      </c>
      <c r="F201" s="1">
        <v>11.0</v>
      </c>
      <c r="G201" s="1" t="s">
        <v>1023</v>
      </c>
      <c r="H201" s="1" t="s">
        <v>1023</v>
      </c>
      <c r="I201" s="1" t="s">
        <v>1003</v>
      </c>
      <c r="J201" s="1">
        <v>-72.0</v>
      </c>
      <c r="K201" s="1">
        <v>200.0</v>
      </c>
      <c r="L201" s="1" t="str">
        <f t="shared" si="1"/>
        <v>Seattle Seahawks</v>
      </c>
      <c r="M201" s="124" t="str">
        <f>IFERROR(VLOOKUP(E201,RISK!A:B,2,FALSE()),"")</f>
        <v/>
      </c>
      <c r="N201" s="116" t="str">
        <f t="shared" si="2"/>
        <v>#N/A</v>
      </c>
      <c r="Q201" s="8" t="s">
        <v>530</v>
      </c>
      <c r="R201" s="116">
        <f>Aggregate!BQ55</f>
        <v>96.79781647</v>
      </c>
      <c r="S201" s="8"/>
      <c r="T201" s="8"/>
    </row>
    <row r="202" ht="14.25" customHeight="1">
      <c r="A202" s="1">
        <v>199.0</v>
      </c>
      <c r="B202" s="1">
        <v>8.0</v>
      </c>
      <c r="C202" s="1" t="s">
        <v>1050</v>
      </c>
      <c r="D202" s="1" t="s">
        <v>176</v>
      </c>
      <c r="E202" s="1" t="s">
        <v>1051</v>
      </c>
      <c r="F202" s="1">
        <v>11.0</v>
      </c>
      <c r="G202" s="1" t="s">
        <v>1023</v>
      </c>
      <c r="H202" s="1" t="s">
        <v>1023</v>
      </c>
      <c r="I202" s="1" t="s">
        <v>1003</v>
      </c>
      <c r="J202" s="1">
        <v>-84.0</v>
      </c>
      <c r="K202" s="1">
        <v>201.0</v>
      </c>
      <c r="L202" s="1" t="str">
        <f t="shared" si="1"/>
        <v>Los Angeles Rams</v>
      </c>
      <c r="M202" s="124" t="str">
        <f>IFERROR(VLOOKUP(E202,RISK!A:B,2,FALSE()),"")</f>
        <v/>
      </c>
      <c r="N202" s="116" t="str">
        <f t="shared" si="2"/>
        <v>#N/A</v>
      </c>
      <c r="Q202" s="8" t="s">
        <v>535</v>
      </c>
      <c r="R202" s="116">
        <f>Aggregate!BQ56</f>
        <v>96.28729412</v>
      </c>
      <c r="S202" s="8"/>
      <c r="T202" s="8"/>
    </row>
    <row r="203" ht="14.25" customHeight="1">
      <c r="A203" s="1">
        <v>200.0</v>
      </c>
      <c r="B203" s="1">
        <v>8.0</v>
      </c>
      <c r="C203" s="1" t="s">
        <v>779</v>
      </c>
      <c r="D203" s="1" t="s">
        <v>186</v>
      </c>
      <c r="E203" s="1" t="s">
        <v>361</v>
      </c>
      <c r="F203" s="1">
        <v>10.0</v>
      </c>
      <c r="G203" s="1" t="s">
        <v>1005</v>
      </c>
      <c r="H203" s="1" t="s">
        <v>1009</v>
      </c>
      <c r="I203" s="1" t="s">
        <v>1003</v>
      </c>
      <c r="J203" s="1">
        <v>44.0</v>
      </c>
      <c r="K203" s="1">
        <v>202.0</v>
      </c>
      <c r="L203" s="1" t="str">
        <f t="shared" si="1"/>
        <v>Cade Otton</v>
      </c>
      <c r="M203" s="124">
        <f>IFERROR(VLOOKUP(E203,RISK!A:B,2,FALSE()),"")</f>
        <v>2.2801</v>
      </c>
      <c r="N203" s="116">
        <f t="shared" si="2"/>
        <v>77.96041206</v>
      </c>
      <c r="Q203" s="8" t="s">
        <v>540</v>
      </c>
      <c r="R203" s="116">
        <f>Aggregate!BQ57</f>
        <v>95.80976471</v>
      </c>
      <c r="S203" s="8"/>
      <c r="T203" s="8"/>
    </row>
    <row r="204" ht="14.25" customHeight="1">
      <c r="A204" s="1">
        <v>201.0</v>
      </c>
      <c r="B204" s="1">
        <v>8.0</v>
      </c>
      <c r="C204" s="1" t="s">
        <v>617</v>
      </c>
      <c r="D204" s="1" t="s">
        <v>106</v>
      </c>
      <c r="E204" s="1" t="s">
        <v>605</v>
      </c>
      <c r="F204" s="1">
        <v>7.0</v>
      </c>
      <c r="G204" s="1" t="s">
        <v>1010</v>
      </c>
      <c r="H204" s="1" t="s">
        <v>1009</v>
      </c>
      <c r="I204" s="1" t="s">
        <v>1004</v>
      </c>
      <c r="J204" s="1">
        <v>41.0</v>
      </c>
      <c r="K204" s="1">
        <v>203.0</v>
      </c>
      <c r="L204" s="1" t="str">
        <f t="shared" si="1"/>
        <v>Kaytron Allen</v>
      </c>
      <c r="M204" s="124">
        <f>IFERROR(VLOOKUP(E204,RISK!A:B,2,FALSE()),"")</f>
        <v>3.368</v>
      </c>
      <c r="N204" s="116">
        <f t="shared" si="2"/>
        <v>58.80401084</v>
      </c>
      <c r="Q204" s="8" t="s">
        <v>546</v>
      </c>
      <c r="R204" s="116">
        <f>Aggregate!BQ58</f>
        <v>93.93582353</v>
      </c>
      <c r="S204" s="8"/>
      <c r="T204" s="8"/>
    </row>
    <row r="205" ht="14.25" customHeight="1">
      <c r="A205" s="1">
        <v>202.0</v>
      </c>
      <c r="B205" s="1">
        <v>8.0</v>
      </c>
      <c r="C205" s="1" t="s">
        <v>776</v>
      </c>
      <c r="D205" s="1" t="s">
        <v>220</v>
      </c>
      <c r="E205" s="1" t="s">
        <v>365</v>
      </c>
      <c r="F205" s="1">
        <v>9.0</v>
      </c>
      <c r="G205" s="1" t="s">
        <v>1010</v>
      </c>
      <c r="H205" s="1" t="s">
        <v>1009</v>
      </c>
      <c r="I205" s="1" t="s">
        <v>1003</v>
      </c>
      <c r="J205" s="1">
        <v>-9.0</v>
      </c>
      <c r="K205" s="1">
        <v>204.0</v>
      </c>
      <c r="L205" s="1" t="str">
        <f t="shared" si="1"/>
        <v>Pat Freiermuth</v>
      </c>
      <c r="M205" s="124">
        <f>IFERROR(VLOOKUP(E205,RISK!A:B,2,FALSE()),"")</f>
        <v>2.1938</v>
      </c>
      <c r="N205" s="116">
        <f t="shared" si="2"/>
        <v>74.18802176</v>
      </c>
      <c r="Q205" s="8" t="s">
        <v>551</v>
      </c>
      <c r="R205" s="116">
        <f>Aggregate!BQ59</f>
        <v>93.27017647</v>
      </c>
      <c r="S205" s="8"/>
      <c r="T205" s="8"/>
    </row>
    <row r="206" ht="14.25" customHeight="1">
      <c r="A206" s="1">
        <v>203.0</v>
      </c>
      <c r="B206" s="1">
        <v>8.0</v>
      </c>
      <c r="C206" s="1" t="s">
        <v>219</v>
      </c>
      <c r="D206" s="1" t="s">
        <v>220</v>
      </c>
      <c r="E206" s="1" t="s">
        <v>366</v>
      </c>
      <c r="F206" s="1">
        <v>9.0</v>
      </c>
      <c r="G206" s="1" t="s">
        <v>1001</v>
      </c>
      <c r="H206" s="1" t="s">
        <v>1009</v>
      </c>
      <c r="I206" s="1" t="s">
        <v>1003</v>
      </c>
      <c r="J206" s="1">
        <v>-25.0</v>
      </c>
      <c r="K206" s="1">
        <v>205.0</v>
      </c>
      <c r="L206" s="1" t="str">
        <f t="shared" si="1"/>
        <v>Aaron Rodgers</v>
      </c>
      <c r="M206" s="124">
        <f>IFERROR(VLOOKUP(E206,RISK!A:B,2,FALSE()),"")</f>
        <v>3.2</v>
      </c>
      <c r="N206" s="116">
        <f t="shared" si="2"/>
        <v>140.8346353</v>
      </c>
      <c r="Q206" s="8" t="s">
        <v>560</v>
      </c>
      <c r="R206" s="116">
        <f>Aggregate!BQ60</f>
        <v>92.28617647</v>
      </c>
      <c r="S206" s="8"/>
      <c r="T206" s="8"/>
    </row>
    <row r="207" ht="14.25" customHeight="1">
      <c r="A207" s="1">
        <v>204.0</v>
      </c>
      <c r="B207" s="1">
        <v>8.0</v>
      </c>
      <c r="C207" s="1" t="s">
        <v>1053</v>
      </c>
      <c r="D207" s="1" t="s">
        <v>117</v>
      </c>
      <c r="E207" s="1" t="s">
        <v>1054</v>
      </c>
      <c r="F207" s="1">
        <v>10.0</v>
      </c>
      <c r="G207" s="1" t="s">
        <v>1023</v>
      </c>
      <c r="H207" s="1" t="s">
        <v>1023</v>
      </c>
      <c r="I207" s="1" t="s">
        <v>1055</v>
      </c>
      <c r="J207" s="1">
        <v>-63.0</v>
      </c>
      <c r="K207" s="1">
        <v>206.0</v>
      </c>
      <c r="L207" s="1" t="str">
        <f t="shared" si="1"/>
        <v>Philadelphia Eagles</v>
      </c>
      <c r="M207" s="124" t="str">
        <f>IFERROR(VLOOKUP(E207,RISK!A:B,2,FALSE()),"")</f>
        <v/>
      </c>
      <c r="N207" s="116" t="str">
        <f t="shared" si="2"/>
        <v>#N/A</v>
      </c>
      <c r="Q207" s="8" t="s">
        <v>567</v>
      </c>
      <c r="R207" s="116">
        <f>Aggregate!BQ61</f>
        <v>90.26029412</v>
      </c>
      <c r="S207" s="8"/>
      <c r="T207" s="8"/>
    </row>
    <row r="208" ht="14.25" customHeight="1">
      <c r="A208" s="1">
        <v>205.0</v>
      </c>
      <c r="B208" s="1">
        <v>8.0</v>
      </c>
      <c r="C208" s="1" t="s">
        <v>1056</v>
      </c>
      <c r="D208" s="1" t="s">
        <v>145</v>
      </c>
      <c r="E208" s="1" t="s">
        <v>1057</v>
      </c>
      <c r="F208" s="1">
        <v>7.0</v>
      </c>
      <c r="G208" s="1" t="s">
        <v>1023</v>
      </c>
      <c r="H208" s="1" t="s">
        <v>1023</v>
      </c>
      <c r="I208" s="1" t="s">
        <v>1007</v>
      </c>
      <c r="J208" s="1">
        <v>-18.0</v>
      </c>
      <c r="K208" s="1">
        <v>207.0</v>
      </c>
      <c r="L208" s="1" t="str">
        <f t="shared" si="1"/>
        <v>Jacksonville Jaguars</v>
      </c>
      <c r="M208" s="124" t="str">
        <f>IFERROR(VLOOKUP(E208,RISK!A:B,2,FALSE()),"")</f>
        <v/>
      </c>
      <c r="N208" s="116" t="str">
        <f t="shared" si="2"/>
        <v>#N/A</v>
      </c>
      <c r="Q208" s="8" t="s">
        <v>576</v>
      </c>
      <c r="R208" s="116">
        <f>Aggregate!BQ62</f>
        <v>87.55429412</v>
      </c>
      <c r="S208" s="8"/>
      <c r="T208" s="8"/>
    </row>
    <row r="209" ht="14.25" customHeight="1">
      <c r="A209" s="1">
        <v>206.0</v>
      </c>
      <c r="B209" s="1">
        <v>8.0</v>
      </c>
      <c r="C209" s="1" t="s">
        <v>534</v>
      </c>
      <c r="D209" s="1" t="s">
        <v>202</v>
      </c>
      <c r="E209" s="1" t="s">
        <v>614</v>
      </c>
      <c r="F209" s="1">
        <v>11.0</v>
      </c>
      <c r="G209" s="1" t="s">
        <v>1010</v>
      </c>
      <c r="H209" s="1" t="s">
        <v>1009</v>
      </c>
      <c r="I209" s="1" t="s">
        <v>1004</v>
      </c>
      <c r="J209" s="1">
        <v>66.0</v>
      </c>
      <c r="K209" s="1">
        <v>208.0</v>
      </c>
      <c r="L209" s="1" t="str">
        <f t="shared" si="1"/>
        <v>Emanuel Wilson</v>
      </c>
      <c r="M209" s="124">
        <f>IFERROR(VLOOKUP(E209,RISK!A:B,2,FALSE()),"")</f>
        <v>3.368</v>
      </c>
      <c r="N209" s="116">
        <f t="shared" si="2"/>
        <v>58.561417</v>
      </c>
      <c r="Q209" s="8" t="s">
        <v>585</v>
      </c>
      <c r="R209" s="116">
        <f>Aggregate!BQ63</f>
        <v>87.43129412</v>
      </c>
      <c r="S209" s="8"/>
      <c r="T209" s="8"/>
    </row>
    <row r="210" ht="14.25" customHeight="1">
      <c r="A210" s="1">
        <v>207.0</v>
      </c>
      <c r="B210" s="1">
        <v>8.0</v>
      </c>
      <c r="C210" s="1" t="s">
        <v>1058</v>
      </c>
      <c r="D210" s="1" t="s">
        <v>94</v>
      </c>
      <c r="E210" s="1" t="s">
        <v>1059</v>
      </c>
      <c r="F210" s="1">
        <v>11.0</v>
      </c>
      <c r="G210" s="1" t="s">
        <v>1023</v>
      </c>
      <c r="H210" s="1" t="s">
        <v>1023</v>
      </c>
      <c r="I210" s="1" t="s">
        <v>1007</v>
      </c>
      <c r="J210" s="1">
        <v>-40.0</v>
      </c>
      <c r="K210" s="1">
        <v>209.0</v>
      </c>
      <c r="L210" s="1" t="str">
        <f t="shared" si="1"/>
        <v>New England Patriots</v>
      </c>
      <c r="M210" s="124" t="str">
        <f>IFERROR(VLOOKUP(E210,RISK!A:B,2,FALSE()),"")</f>
        <v/>
      </c>
      <c r="N210" s="116" t="str">
        <f t="shared" si="2"/>
        <v>#N/A</v>
      </c>
      <c r="Q210" s="8" t="s">
        <v>592</v>
      </c>
      <c r="R210" s="116">
        <f>Aggregate!BQ64</f>
        <v>87.25417412</v>
      </c>
      <c r="S210" s="8"/>
      <c r="T210" s="8"/>
    </row>
    <row r="211" ht="14.25" customHeight="1">
      <c r="A211" s="1">
        <v>208.0</v>
      </c>
      <c r="B211" s="1">
        <v>8.0</v>
      </c>
      <c r="C211" s="1" t="s">
        <v>1060</v>
      </c>
      <c r="D211" s="1" t="s">
        <v>220</v>
      </c>
      <c r="E211" s="1" t="s">
        <v>1061</v>
      </c>
      <c r="F211" s="1">
        <v>9.0</v>
      </c>
      <c r="G211" s="1" t="s">
        <v>1023</v>
      </c>
      <c r="H211" s="1" t="s">
        <v>1023</v>
      </c>
      <c r="I211" s="1" t="s">
        <v>1002</v>
      </c>
      <c r="J211" s="1">
        <v>-18.0</v>
      </c>
      <c r="K211" s="1">
        <v>210.0</v>
      </c>
      <c r="L211" s="1" t="str">
        <f t="shared" si="1"/>
        <v>Pittsburgh Steelers</v>
      </c>
      <c r="M211" s="124" t="str">
        <f>IFERROR(VLOOKUP(E211,RISK!A:B,2,FALSE()),"")</f>
        <v/>
      </c>
      <c r="N211" s="116" t="str">
        <f t="shared" si="2"/>
        <v>#N/A</v>
      </c>
      <c r="Q211" s="8" t="s">
        <v>601</v>
      </c>
      <c r="R211" s="116">
        <f>Aggregate!BQ65</f>
        <v>86.17582588</v>
      </c>
      <c r="S211" s="8"/>
      <c r="T211" s="8"/>
    </row>
    <row r="212" ht="14.25" customHeight="1">
      <c r="A212" s="1">
        <v>209.0</v>
      </c>
      <c r="B212" s="1">
        <v>8.0</v>
      </c>
      <c r="C212" s="1" t="s">
        <v>1062</v>
      </c>
      <c r="D212" s="1" t="s">
        <v>150</v>
      </c>
      <c r="E212" s="1" t="s">
        <v>1064</v>
      </c>
      <c r="F212" s="1">
        <v>14.0</v>
      </c>
      <c r="G212" s="1" t="s">
        <v>1000</v>
      </c>
      <c r="H212" s="1" t="s">
        <v>1001</v>
      </c>
      <c r="I212" s="1" t="s">
        <v>1003</v>
      </c>
      <c r="J212" s="1">
        <v>-88.0</v>
      </c>
      <c r="K212" s="1">
        <v>211.0</v>
      </c>
      <c r="L212" s="1" t="str">
        <f t="shared" si="1"/>
        <v>Brandon Aubrey</v>
      </c>
      <c r="M212" s="124" t="str">
        <f>IFERROR(VLOOKUP(E212,RISK!A:B,2,FALSE()),"")</f>
        <v/>
      </c>
      <c r="N212" s="116" t="str">
        <f t="shared" si="2"/>
        <v>#N/A</v>
      </c>
      <c r="Q212" s="8" t="s">
        <v>608</v>
      </c>
      <c r="R212" s="116">
        <f>Aggregate!BQ66</f>
        <v>85.96744941</v>
      </c>
      <c r="S212" s="8"/>
      <c r="T212" s="8"/>
    </row>
    <row r="213" ht="14.25" customHeight="1">
      <c r="A213" s="1">
        <v>210.0</v>
      </c>
      <c r="B213" s="1">
        <v>8.0</v>
      </c>
      <c r="C213" s="1" t="s">
        <v>1065</v>
      </c>
      <c r="D213" s="1" t="s">
        <v>164</v>
      </c>
      <c r="E213" s="1" t="s">
        <v>1066</v>
      </c>
      <c r="F213" s="1">
        <v>7.0</v>
      </c>
      <c r="G213" s="1" t="s">
        <v>1023</v>
      </c>
      <c r="H213" s="1" t="s">
        <v>1023</v>
      </c>
      <c r="I213" s="1" t="s">
        <v>1007</v>
      </c>
      <c r="J213" s="1">
        <v>-18.0</v>
      </c>
      <c r="K213" s="1">
        <v>212.0</v>
      </c>
      <c r="L213" s="1" t="str">
        <f t="shared" si="1"/>
        <v>Los Angeles Chargers</v>
      </c>
      <c r="M213" s="124" t="str">
        <f>IFERROR(VLOOKUP(E213,RISK!A:B,2,FALSE()),"")</f>
        <v/>
      </c>
      <c r="N213" s="116" t="str">
        <f t="shared" si="2"/>
        <v>#N/A</v>
      </c>
      <c r="Q213" s="8" t="s">
        <v>616</v>
      </c>
      <c r="R213" s="116">
        <f>Aggregate!BQ67</f>
        <v>85.91188235</v>
      </c>
      <c r="S213" s="8"/>
      <c r="T213" s="8"/>
    </row>
    <row r="214" ht="14.25" customHeight="1">
      <c r="A214" s="1">
        <v>211.0</v>
      </c>
      <c r="B214" s="1">
        <v>8.0</v>
      </c>
      <c r="C214" s="1" t="s">
        <v>521</v>
      </c>
      <c r="D214" s="1" t="s">
        <v>217</v>
      </c>
      <c r="E214" s="1" t="s">
        <v>621</v>
      </c>
      <c r="F214" s="1">
        <v>14.0</v>
      </c>
      <c r="G214" s="1" t="s">
        <v>1010</v>
      </c>
      <c r="H214" s="1" t="s">
        <v>1009</v>
      </c>
      <c r="I214" s="1" t="s">
        <v>1003</v>
      </c>
      <c r="J214" s="1">
        <v>-17.0</v>
      </c>
      <c r="K214" s="1">
        <v>213.0</v>
      </c>
      <c r="L214" s="1" t="str">
        <f t="shared" si="1"/>
        <v>James Conner</v>
      </c>
      <c r="M214" s="124">
        <f>IFERROR(VLOOKUP(E214,RISK!A:B,2,FALSE()),"")</f>
        <v>3.368</v>
      </c>
      <c r="N214" s="116">
        <f t="shared" si="2"/>
        <v>56.97775059</v>
      </c>
      <c r="Q214" s="8" t="s">
        <v>624</v>
      </c>
      <c r="R214" s="116">
        <f>Aggregate!BQ68</f>
        <v>85.02917647</v>
      </c>
      <c r="S214" s="8"/>
      <c r="T214" s="8"/>
    </row>
    <row r="215" ht="14.25" customHeight="1">
      <c r="A215" s="1">
        <v>212.0</v>
      </c>
      <c r="B215" s="1">
        <v>8.0</v>
      </c>
      <c r="C215" s="1" t="s">
        <v>1080</v>
      </c>
      <c r="D215" s="1" t="s">
        <v>189</v>
      </c>
      <c r="E215" s="1" t="s">
        <v>1081</v>
      </c>
      <c r="F215" s="1">
        <v>6.0</v>
      </c>
      <c r="G215" s="1" t="s">
        <v>1023</v>
      </c>
      <c r="H215" s="1" t="s">
        <v>1023</v>
      </c>
      <c r="I215" s="1" t="s">
        <v>1006</v>
      </c>
      <c r="J215" s="1">
        <v>-32.0</v>
      </c>
      <c r="K215" s="1">
        <v>214.0</v>
      </c>
      <c r="L215" s="1" t="str">
        <f t="shared" si="1"/>
        <v>Minnesota Vikings</v>
      </c>
      <c r="M215" s="124" t="str">
        <f>IFERROR(VLOOKUP(E215,RISK!A:B,2,FALSE()),"")</f>
        <v/>
      </c>
      <c r="N215" s="116" t="str">
        <f t="shared" si="2"/>
        <v>#N/A</v>
      </c>
      <c r="Q215" s="8" t="s">
        <v>631</v>
      </c>
      <c r="R215" s="116">
        <f>Aggregate!BQ69</f>
        <v>83.10458824</v>
      </c>
      <c r="S215" s="8"/>
      <c r="T215" s="8"/>
    </row>
    <row r="216" ht="14.25" customHeight="1">
      <c r="A216" s="1">
        <v>213.0</v>
      </c>
      <c r="B216" s="1">
        <v>8.0</v>
      </c>
      <c r="C216" s="1" t="s">
        <v>1089</v>
      </c>
      <c r="D216" s="1" t="s">
        <v>164</v>
      </c>
      <c r="E216" s="1" t="s">
        <v>1090</v>
      </c>
      <c r="F216" s="1">
        <v>7.0</v>
      </c>
      <c r="G216" s="1" t="s">
        <v>1000</v>
      </c>
      <c r="H216" s="1" t="s">
        <v>1001</v>
      </c>
      <c r="I216" s="1" t="s">
        <v>1003</v>
      </c>
      <c r="J216" s="1">
        <v>-74.0</v>
      </c>
      <c r="K216" s="1">
        <v>215.0</v>
      </c>
      <c r="L216" s="1" t="str">
        <f t="shared" si="1"/>
        <v>Cameron Dicker</v>
      </c>
      <c r="M216" s="124" t="str">
        <f>IFERROR(VLOOKUP(E216,RISK!A:B,2,FALSE()),"")</f>
        <v/>
      </c>
      <c r="N216" s="116" t="str">
        <f t="shared" si="2"/>
        <v>#N/A</v>
      </c>
      <c r="Q216" s="8" t="s">
        <v>639</v>
      </c>
      <c r="R216" s="116">
        <f>Aggregate!BQ70</f>
        <v>81.56549647</v>
      </c>
      <c r="S216" s="8"/>
      <c r="T216" s="8"/>
    </row>
    <row r="217" ht="14.25" customHeight="1">
      <c r="A217" s="1">
        <v>214.0</v>
      </c>
      <c r="B217" s="1">
        <v>8.0</v>
      </c>
      <c r="C217" s="1" t="s">
        <v>946</v>
      </c>
      <c r="D217" s="1" t="s">
        <v>134</v>
      </c>
      <c r="E217" s="1" t="s">
        <v>722</v>
      </c>
      <c r="F217" s="1">
        <v>8.0</v>
      </c>
      <c r="G217" s="1" t="s">
        <v>1010</v>
      </c>
      <c r="H217" s="1" t="s">
        <v>1009</v>
      </c>
      <c r="I217" s="1" t="s">
        <v>1004</v>
      </c>
      <c r="J217" s="1">
        <v>80.0</v>
      </c>
      <c r="K217" s="1">
        <v>216.0</v>
      </c>
      <c r="L217" s="1" t="str">
        <f t="shared" si="1"/>
        <v>Darnell Mooney</v>
      </c>
      <c r="M217" s="124">
        <f>IFERROR(VLOOKUP(E217,RISK!A:B,2,FALSE()),"")</f>
        <v>3.7</v>
      </c>
      <c r="N217" s="116">
        <f t="shared" si="2"/>
        <v>67.17970588</v>
      </c>
      <c r="Q217" s="8" t="s">
        <v>647</v>
      </c>
      <c r="R217" s="116">
        <f>Aggregate!BQ71</f>
        <v>81.20170588</v>
      </c>
      <c r="S217" s="8"/>
      <c r="T217" s="8"/>
    </row>
    <row r="218" ht="14.25" customHeight="1">
      <c r="A218" s="1">
        <v>215.0</v>
      </c>
      <c r="B218" s="1">
        <v>8.0</v>
      </c>
      <c r="C218" s="1" t="s">
        <v>1091</v>
      </c>
      <c r="D218" s="1" t="s">
        <v>205</v>
      </c>
      <c r="E218" s="1" t="s">
        <v>1092</v>
      </c>
      <c r="F218" s="1">
        <v>8.0</v>
      </c>
      <c r="G218" s="1" t="s">
        <v>1000</v>
      </c>
      <c r="H218" s="1" t="s">
        <v>1001</v>
      </c>
      <c r="I218" s="1" t="s">
        <v>1003</v>
      </c>
      <c r="J218" s="1">
        <v>-80.0</v>
      </c>
      <c r="K218" s="1">
        <v>217.0</v>
      </c>
      <c r="L218" s="1" t="str">
        <f t="shared" si="1"/>
        <v>Ka'imi Fairbairn</v>
      </c>
      <c r="M218" s="124" t="str">
        <f>IFERROR(VLOOKUP(E218,RISK!A:B,2,FALSE()),"")</f>
        <v/>
      </c>
      <c r="N218" s="116" t="str">
        <f t="shared" si="2"/>
        <v>#N/A</v>
      </c>
      <c r="Q218" s="8" t="s">
        <v>655</v>
      </c>
      <c r="R218" s="116">
        <f>Aggregate!BQ72</f>
        <v>81.14353412</v>
      </c>
      <c r="S218" s="8"/>
      <c r="T218" s="8"/>
    </row>
    <row r="219" ht="14.25" customHeight="1">
      <c r="A219" s="1">
        <v>216.0</v>
      </c>
      <c r="B219" s="1">
        <v>8.0</v>
      </c>
      <c r="C219" s="1" t="s">
        <v>775</v>
      </c>
      <c r="D219" s="1" t="s">
        <v>202</v>
      </c>
      <c r="E219" s="1" t="s">
        <v>727</v>
      </c>
      <c r="F219" s="1">
        <v>11.0</v>
      </c>
      <c r="G219" s="1" t="s">
        <v>1010</v>
      </c>
      <c r="H219" s="1" t="s">
        <v>1009</v>
      </c>
      <c r="I219" s="1" t="s">
        <v>1007</v>
      </c>
      <c r="J219" s="1">
        <v>-21.0</v>
      </c>
      <c r="K219" s="1">
        <v>218.0</v>
      </c>
      <c r="L219" s="1" t="str">
        <f t="shared" si="1"/>
        <v>Cooper Kupp</v>
      </c>
      <c r="M219" s="124">
        <f>IFERROR(VLOOKUP(E219,RISK!A:B,2,FALSE()),"")</f>
        <v>3.7</v>
      </c>
      <c r="N219" s="116">
        <f t="shared" si="2"/>
        <v>66.38006118</v>
      </c>
      <c r="Q219" s="8" t="s">
        <v>662</v>
      </c>
      <c r="R219" s="116">
        <f>Aggregate!BQ73</f>
        <v>79.81252941</v>
      </c>
      <c r="S219" s="8"/>
      <c r="T219" s="8"/>
    </row>
    <row r="220" ht="14.25" customHeight="1">
      <c r="A220" s="1">
        <v>217.0</v>
      </c>
      <c r="B220" s="1">
        <v>8.0</v>
      </c>
      <c r="C220" s="1" t="s">
        <v>547</v>
      </c>
      <c r="D220" s="1" t="s">
        <v>202</v>
      </c>
      <c r="E220" s="1" t="s">
        <v>629</v>
      </c>
      <c r="F220" s="1">
        <v>11.0</v>
      </c>
      <c r="G220" s="1" t="s">
        <v>1010</v>
      </c>
      <c r="H220" s="1" t="s">
        <v>1009</v>
      </c>
      <c r="I220" s="1" t="s">
        <v>1004</v>
      </c>
      <c r="J220" s="1">
        <v>45.0</v>
      </c>
      <c r="K220" s="1">
        <v>219.0</v>
      </c>
      <c r="L220" s="1" t="str">
        <f t="shared" si="1"/>
        <v>George Holani</v>
      </c>
      <c r="M220" s="124">
        <f>IFERROR(VLOOKUP(E220,RISK!A:B,2,FALSE()),"")</f>
        <v>3.368</v>
      </c>
      <c r="N220" s="116">
        <f t="shared" si="2"/>
        <v>55.37274353</v>
      </c>
      <c r="Q220" s="8" t="s">
        <v>670</v>
      </c>
      <c r="R220" s="116">
        <f>Aggregate!BQ74</f>
        <v>79.53035294</v>
      </c>
      <c r="S220" s="8"/>
      <c r="T220" s="8"/>
    </row>
    <row r="221" ht="14.25" customHeight="1">
      <c r="A221" s="1">
        <v>218.0</v>
      </c>
      <c r="B221" s="1">
        <v>9.0</v>
      </c>
      <c r="C221" s="1" t="s">
        <v>1094</v>
      </c>
      <c r="D221" s="1" t="s">
        <v>145</v>
      </c>
      <c r="E221" s="1" t="s">
        <v>1095</v>
      </c>
      <c r="F221" s="1">
        <v>7.0</v>
      </c>
      <c r="G221" s="1" t="s">
        <v>1023</v>
      </c>
      <c r="H221" s="1" t="s">
        <v>1023</v>
      </c>
      <c r="I221" s="1" t="s">
        <v>1004</v>
      </c>
      <c r="J221" s="1">
        <v>-55.0</v>
      </c>
      <c r="K221" s="1">
        <v>220.0</v>
      </c>
      <c r="L221" s="1" t="str">
        <f t="shared" si="1"/>
        <v>Cam Little</v>
      </c>
      <c r="M221" s="124" t="str">
        <f>IFERROR(VLOOKUP(E221,RISK!A:B,2,FALSE()),"")</f>
        <v/>
      </c>
      <c r="N221" s="116" t="str">
        <f t="shared" si="2"/>
        <v>#N/A</v>
      </c>
      <c r="Q221" s="8" t="s">
        <v>678</v>
      </c>
      <c r="R221" s="116">
        <f>Aggregate!BQ75</f>
        <v>77.00726118</v>
      </c>
      <c r="S221" s="8"/>
      <c r="T221" s="8"/>
    </row>
    <row r="222" ht="14.25" customHeight="1">
      <c r="A222" s="1">
        <v>219.0</v>
      </c>
      <c r="B222" s="1">
        <v>9.0</v>
      </c>
      <c r="C222" s="1" t="s">
        <v>829</v>
      </c>
      <c r="D222" s="1" t="s">
        <v>170</v>
      </c>
      <c r="E222" s="1" t="s">
        <v>733</v>
      </c>
      <c r="F222" s="1">
        <v>10.0</v>
      </c>
      <c r="G222" s="1" t="s">
        <v>1001</v>
      </c>
      <c r="H222" s="1" t="s">
        <v>1009</v>
      </c>
      <c r="I222" s="1" t="s">
        <v>1003</v>
      </c>
      <c r="J222" s="1">
        <v>89.0</v>
      </c>
      <c r="K222" s="1">
        <v>221.0</v>
      </c>
      <c r="L222" s="1" t="str">
        <f t="shared" si="1"/>
        <v>Troy Franklin</v>
      </c>
      <c r="M222" s="124">
        <f>IFERROR(VLOOKUP(E222,RISK!A:B,2,FALSE()),"")</f>
        <v>3.7</v>
      </c>
      <c r="N222" s="116">
        <f t="shared" si="2"/>
        <v>65.94247059</v>
      </c>
      <c r="Q222" s="8" t="s">
        <v>685</v>
      </c>
      <c r="R222" s="116">
        <f>Aggregate!BQ76</f>
        <v>76.05741176</v>
      </c>
      <c r="S222" s="8"/>
      <c r="T222" s="8"/>
    </row>
    <row r="223" ht="14.25" customHeight="1">
      <c r="A223" s="1">
        <v>220.0</v>
      </c>
      <c r="B223" s="1">
        <v>9.0</v>
      </c>
      <c r="C223" s="1" t="s">
        <v>536</v>
      </c>
      <c r="D223" s="1" t="s">
        <v>196</v>
      </c>
      <c r="E223" s="1" t="s">
        <v>637</v>
      </c>
      <c r="F223" s="1">
        <v>6.0</v>
      </c>
      <c r="G223" s="1" t="s">
        <v>1023</v>
      </c>
      <c r="H223" s="1" t="s">
        <v>1023</v>
      </c>
      <c r="I223" s="1" t="s">
        <v>1007</v>
      </c>
      <c r="J223" s="1">
        <v>29.0</v>
      </c>
      <c r="K223" s="1">
        <v>222.0</v>
      </c>
      <c r="L223" s="1" t="str">
        <f t="shared" si="1"/>
        <v>Jaylen Wright</v>
      </c>
      <c r="M223" s="124">
        <f>IFERROR(VLOOKUP(E223,RISK!A:B,2,FALSE()),"")</f>
        <v>3.368</v>
      </c>
      <c r="N223" s="116">
        <f t="shared" si="2"/>
        <v>51.13730824</v>
      </c>
      <c r="Q223" s="8" t="s">
        <v>692</v>
      </c>
      <c r="R223" s="116">
        <f>Aggregate!BQ77</f>
        <v>75.01726588</v>
      </c>
      <c r="S223" s="8"/>
      <c r="T223" s="8"/>
    </row>
    <row r="224" ht="14.25" customHeight="1">
      <c r="A224" s="1">
        <v>221.0</v>
      </c>
      <c r="B224" s="1">
        <v>9.0</v>
      </c>
      <c r="C224" s="1" t="s">
        <v>1096</v>
      </c>
      <c r="D224" s="1" t="s">
        <v>61</v>
      </c>
      <c r="E224" s="1" t="s">
        <v>1097</v>
      </c>
      <c r="F224" s="1">
        <v>13.0</v>
      </c>
      <c r="G224" s="1" t="s">
        <v>1023</v>
      </c>
      <c r="H224" s="1" t="s">
        <v>1023</v>
      </c>
      <c r="I224" s="1" t="s">
        <v>1002</v>
      </c>
      <c r="J224" s="1">
        <v>-30.0</v>
      </c>
      <c r="K224" s="1">
        <v>223.0</v>
      </c>
      <c r="L224" s="1" t="str">
        <f t="shared" si="1"/>
        <v>Baltimore Ravens</v>
      </c>
      <c r="M224" s="124" t="str">
        <f>IFERROR(VLOOKUP(E224,RISK!A:B,2,FALSE()),"")</f>
        <v/>
      </c>
      <c r="N224" s="116" t="str">
        <f t="shared" si="2"/>
        <v>#N/A</v>
      </c>
      <c r="Q224" s="8" t="s">
        <v>701</v>
      </c>
      <c r="R224" s="116">
        <f>Aggregate!BQ78</f>
        <v>73.95917647</v>
      </c>
      <c r="S224" s="8"/>
      <c r="T224" s="8"/>
    </row>
    <row r="225" ht="14.25" customHeight="1">
      <c r="A225" s="1">
        <v>222.0</v>
      </c>
      <c r="B225" s="1">
        <v>9.0</v>
      </c>
      <c r="C225" s="1" t="s">
        <v>1099</v>
      </c>
      <c r="D225" s="1" t="s">
        <v>155</v>
      </c>
      <c r="E225" s="1" t="s">
        <v>1100</v>
      </c>
      <c r="F225" s="1">
        <v>5.0</v>
      </c>
      <c r="G225" s="1" t="s">
        <v>1023</v>
      </c>
      <c r="H225" s="1" t="s">
        <v>1023</v>
      </c>
      <c r="I225" s="1" t="s">
        <v>1007</v>
      </c>
      <c r="J225" s="1">
        <v>6.0</v>
      </c>
      <c r="K225" s="1">
        <v>224.0</v>
      </c>
      <c r="L225" s="1" t="str">
        <f t="shared" si="1"/>
        <v>Kansas City Chiefs</v>
      </c>
      <c r="M225" s="124" t="str">
        <f>IFERROR(VLOOKUP(E225,RISK!A:B,2,FALSE()),"")</f>
        <v/>
      </c>
      <c r="N225" s="116" t="str">
        <f t="shared" si="2"/>
        <v>#N/A</v>
      </c>
      <c r="Q225" s="8" t="s">
        <v>708</v>
      </c>
      <c r="R225" s="116">
        <f>Aggregate!BQ79</f>
        <v>73.31523529</v>
      </c>
      <c r="S225" s="8"/>
      <c r="T225" s="8"/>
    </row>
    <row r="226" ht="14.25" customHeight="1">
      <c r="A226" s="1">
        <v>223.0</v>
      </c>
      <c r="B226" s="1">
        <v>9.0</v>
      </c>
      <c r="C226" s="1" t="s">
        <v>1101</v>
      </c>
      <c r="D226" s="1" t="s">
        <v>202</v>
      </c>
      <c r="E226" s="1" t="s">
        <v>1102</v>
      </c>
      <c r="F226" s="1">
        <v>11.0</v>
      </c>
      <c r="G226" s="1" t="s">
        <v>1009</v>
      </c>
      <c r="H226" s="1" t="s">
        <v>1001</v>
      </c>
      <c r="I226" s="1" t="s">
        <v>1004</v>
      </c>
      <c r="J226" s="1">
        <v>-75.0</v>
      </c>
      <c r="K226" s="1">
        <v>225.0</v>
      </c>
      <c r="L226" s="1" t="str">
        <f t="shared" si="1"/>
        <v>Jason Myers</v>
      </c>
      <c r="M226" s="124" t="str">
        <f>IFERROR(VLOOKUP(E226,RISK!A:B,2,FALSE()),"")</f>
        <v/>
      </c>
      <c r="N226" s="116" t="str">
        <f t="shared" si="2"/>
        <v>#N/A</v>
      </c>
      <c r="Q226" s="8" t="s">
        <v>716</v>
      </c>
      <c r="R226" s="116">
        <f>Aggregate!BQ80</f>
        <v>68.18541176</v>
      </c>
      <c r="S226" s="8"/>
      <c r="T226" s="8"/>
    </row>
    <row r="227" ht="14.25" customHeight="1">
      <c r="A227" s="1">
        <v>224.0</v>
      </c>
      <c r="B227" s="1">
        <v>9.0</v>
      </c>
      <c r="C227" s="1" t="s">
        <v>1103</v>
      </c>
      <c r="D227" s="1" t="s">
        <v>61</v>
      </c>
      <c r="E227" s="1" t="s">
        <v>1104</v>
      </c>
      <c r="F227" s="1">
        <v>13.0</v>
      </c>
      <c r="G227" s="1" t="s">
        <v>1023</v>
      </c>
      <c r="H227" s="1" t="s">
        <v>1023</v>
      </c>
      <c r="I227" s="1" t="s">
        <v>1007</v>
      </c>
      <c r="J227" s="1">
        <v>-27.0</v>
      </c>
      <c r="K227" s="1">
        <v>226.0</v>
      </c>
      <c r="L227" s="1" t="str">
        <f t="shared" si="1"/>
        <v>Tyler Loop</v>
      </c>
      <c r="M227" s="124" t="str">
        <f>IFERROR(VLOOKUP(E227,RISK!A:B,2,FALSE()),"")</f>
        <v/>
      </c>
      <c r="N227" s="116" t="str">
        <f t="shared" si="2"/>
        <v>#N/A</v>
      </c>
      <c r="Q227" s="8" t="s">
        <v>722</v>
      </c>
      <c r="R227" s="116">
        <f>Aggregate!BQ81</f>
        <v>67.17970588</v>
      </c>
      <c r="S227" s="8"/>
      <c r="T227" s="8"/>
    </row>
    <row r="228" ht="14.25" customHeight="1">
      <c r="A228" s="1">
        <v>225.0</v>
      </c>
      <c r="B228" s="1">
        <v>9.0</v>
      </c>
      <c r="C228" s="1" t="s">
        <v>795</v>
      </c>
      <c r="D228" s="1" t="s">
        <v>164</v>
      </c>
      <c r="E228" s="1" t="s">
        <v>369</v>
      </c>
      <c r="F228" s="1">
        <v>7.0</v>
      </c>
      <c r="G228" s="1" t="s">
        <v>1009</v>
      </c>
      <c r="H228" s="1" t="s">
        <v>1009</v>
      </c>
      <c r="I228" s="1" t="s">
        <v>1004</v>
      </c>
      <c r="J228" s="1">
        <v>-48.0</v>
      </c>
      <c r="K228" s="1">
        <v>227.0</v>
      </c>
      <c r="L228" s="1" t="str">
        <f t="shared" si="1"/>
        <v>David Njoku</v>
      </c>
      <c r="M228" s="124">
        <f>IFERROR(VLOOKUP(E228,RISK!A:B,2,FALSE()),"")</f>
        <v>2.1938</v>
      </c>
      <c r="N228" s="116">
        <f t="shared" si="2"/>
        <v>73.32716459</v>
      </c>
      <c r="Q228" s="8" t="s">
        <v>727</v>
      </c>
      <c r="R228" s="116">
        <f>Aggregate!BQ82</f>
        <v>66.38006118</v>
      </c>
      <c r="S228" s="8"/>
      <c r="T228" s="8"/>
    </row>
    <row r="229" ht="14.25" customHeight="1">
      <c r="A229" s="1">
        <v>226.0</v>
      </c>
      <c r="B229" s="1">
        <v>9.0</v>
      </c>
      <c r="C229" s="1" t="s">
        <v>1105</v>
      </c>
      <c r="D229" s="1" t="s">
        <v>140</v>
      </c>
      <c r="E229" s="1" t="s">
        <v>1106</v>
      </c>
      <c r="F229" s="1">
        <v>8.0</v>
      </c>
      <c r="G229" s="1" t="s">
        <v>1009</v>
      </c>
      <c r="H229" s="1" t="s">
        <v>1001</v>
      </c>
      <c r="I229" s="1" t="s">
        <v>1002</v>
      </c>
      <c r="J229" s="1">
        <v>-28.0</v>
      </c>
      <c r="K229" s="1">
        <v>228.0</v>
      </c>
      <c r="L229" s="1" t="str">
        <f t="shared" si="1"/>
        <v>Eddy Pineiro</v>
      </c>
      <c r="M229" s="124" t="str">
        <f>IFERROR(VLOOKUP(E229,RISK!A:B,2,FALSE()),"")</f>
        <v/>
      </c>
      <c r="N229" s="116" t="str">
        <f t="shared" si="2"/>
        <v>#N/A</v>
      </c>
      <c r="Q229" s="8" t="s">
        <v>733</v>
      </c>
      <c r="R229" s="116">
        <f>Aggregate!BQ83</f>
        <v>65.94247059</v>
      </c>
      <c r="S229" s="8"/>
      <c r="T229" s="8"/>
    </row>
    <row r="230" ht="14.25" customHeight="1">
      <c r="A230" s="1">
        <v>227.0</v>
      </c>
      <c r="B230" s="1">
        <v>9.0</v>
      </c>
      <c r="C230" s="1" t="s">
        <v>1107</v>
      </c>
      <c r="D230" s="1" t="s">
        <v>179</v>
      </c>
      <c r="E230" s="1" t="s">
        <v>1108</v>
      </c>
      <c r="F230" s="1">
        <v>6.0</v>
      </c>
      <c r="G230" s="1" t="s">
        <v>1009</v>
      </c>
      <c r="H230" s="1" t="s">
        <v>1005</v>
      </c>
      <c r="I230" s="1" t="s">
        <v>1002</v>
      </c>
      <c r="J230" s="1">
        <v>-42.0</v>
      </c>
      <c r="K230" s="1">
        <v>229.0</v>
      </c>
      <c r="L230" s="1" t="str">
        <f t="shared" si="1"/>
        <v>Jake Bates</v>
      </c>
      <c r="M230" s="124" t="str">
        <f>IFERROR(VLOOKUP(E230,RISK!A:B,2,FALSE()),"")</f>
        <v/>
      </c>
      <c r="N230" s="116" t="str">
        <f t="shared" si="2"/>
        <v>#N/A</v>
      </c>
      <c r="Q230" s="8" t="s">
        <v>743</v>
      </c>
      <c r="R230" s="116">
        <f>Aggregate!BQ84</f>
        <v>65.39982353</v>
      </c>
      <c r="S230" s="8"/>
      <c r="T230" s="8"/>
    </row>
    <row r="231" ht="14.25" customHeight="1">
      <c r="A231" s="1">
        <v>228.0</v>
      </c>
      <c r="B231" s="1">
        <v>9.0</v>
      </c>
      <c r="C231" s="1" t="s">
        <v>221</v>
      </c>
      <c r="D231" s="1" t="s">
        <v>222</v>
      </c>
      <c r="E231" s="1" t="s">
        <v>370</v>
      </c>
      <c r="F231" s="1">
        <v>13.0</v>
      </c>
      <c r="G231" s="1" t="s">
        <v>1009</v>
      </c>
      <c r="H231" s="1" t="s">
        <v>1010</v>
      </c>
      <c r="I231" s="1" t="s">
        <v>1006</v>
      </c>
      <c r="J231" s="1">
        <v>-63.0</v>
      </c>
      <c r="K231" s="1">
        <v>230.0</v>
      </c>
      <c r="L231" s="1" t="str">
        <f t="shared" si="1"/>
        <v>Fernando Mendoza</v>
      </c>
      <c r="M231" s="124">
        <f>IFERROR(VLOOKUP(E231,RISK!A:B,2,FALSE()),"")</f>
        <v>3.2</v>
      </c>
      <c r="N231" s="116">
        <f t="shared" si="2"/>
        <v>115.3355294</v>
      </c>
      <c r="Q231" s="8" t="s">
        <v>753</v>
      </c>
      <c r="R231" s="116">
        <f>Aggregate!BQ85</f>
        <v>64.61117647</v>
      </c>
      <c r="S231" s="8"/>
      <c r="T231" s="8"/>
    </row>
    <row r="232" ht="14.25" customHeight="1">
      <c r="A232" s="1">
        <v>229.0</v>
      </c>
      <c r="B232" s="1">
        <v>9.0</v>
      </c>
      <c r="C232" s="1" t="s">
        <v>1120</v>
      </c>
      <c r="D232" s="1" t="s">
        <v>199</v>
      </c>
      <c r="E232" s="1" t="s">
        <v>1122</v>
      </c>
      <c r="F232" s="1">
        <v>11.0</v>
      </c>
      <c r="G232" s="1" t="s">
        <v>1023</v>
      </c>
      <c r="H232" s="1" t="s">
        <v>1023</v>
      </c>
      <c r="I232" s="1" t="s">
        <v>1003</v>
      </c>
      <c r="J232" s="1">
        <v>-27.0</v>
      </c>
      <c r="K232" s="1">
        <v>231.0</v>
      </c>
      <c r="L232" s="1" t="str">
        <f t="shared" si="1"/>
        <v>Green Bay Packers</v>
      </c>
      <c r="M232" s="124" t="str">
        <f>IFERROR(VLOOKUP(E232,RISK!A:B,2,FALSE()),"")</f>
        <v/>
      </c>
      <c r="N232" s="116" t="str">
        <f t="shared" si="2"/>
        <v>#N/A</v>
      </c>
      <c r="Q232" s="8" t="s">
        <v>764</v>
      </c>
      <c r="R232" s="116">
        <f>Aggregate!BQ86</f>
        <v>63.76464706</v>
      </c>
      <c r="S232" s="8"/>
      <c r="T232" s="8"/>
    </row>
    <row r="233" ht="14.25" customHeight="1">
      <c r="A233" s="1">
        <v>230.0</v>
      </c>
      <c r="B233" s="1">
        <v>9.0</v>
      </c>
      <c r="C233" s="1" t="s">
        <v>802</v>
      </c>
      <c r="D233" s="1" t="s">
        <v>220</v>
      </c>
      <c r="E233" s="1" t="s">
        <v>743</v>
      </c>
      <c r="F233" s="1">
        <v>9.0</v>
      </c>
      <c r="G233" s="1" t="s">
        <v>1005</v>
      </c>
      <c r="H233" s="1" t="s">
        <v>1009</v>
      </c>
      <c r="I233" s="1" t="s">
        <v>1007</v>
      </c>
      <c r="J233" s="1">
        <v>28.0</v>
      </c>
      <c r="K233" s="1">
        <v>232.0</v>
      </c>
      <c r="L233" s="1" t="str">
        <f t="shared" si="1"/>
        <v>Germie Bernard</v>
      </c>
      <c r="M233" s="124">
        <f>IFERROR(VLOOKUP(E233,RISK!A:B,2,FALSE()),"")</f>
        <v>3.7</v>
      </c>
      <c r="N233" s="116">
        <f t="shared" si="2"/>
        <v>65.39982353</v>
      </c>
      <c r="Q233" s="8" t="s">
        <v>774</v>
      </c>
      <c r="R233" s="116">
        <f>Aggregate!BQ87</f>
        <v>59.76352941</v>
      </c>
      <c r="S233" s="8"/>
      <c r="T233" s="8"/>
    </row>
    <row r="234" ht="14.25" customHeight="1">
      <c r="A234" s="1">
        <v>231.0</v>
      </c>
      <c r="B234" s="1">
        <v>9.0</v>
      </c>
      <c r="C234" s="1" t="s">
        <v>790</v>
      </c>
      <c r="D234" s="1" t="s">
        <v>170</v>
      </c>
      <c r="E234" s="1" t="s">
        <v>373</v>
      </c>
      <c r="F234" s="1">
        <v>10.0</v>
      </c>
      <c r="G234" s="1" t="s">
        <v>1023</v>
      </c>
      <c r="H234" s="1" t="s">
        <v>1023</v>
      </c>
      <c r="I234" s="1" t="s">
        <v>1004</v>
      </c>
      <c r="J234" s="1">
        <v>49.0</v>
      </c>
      <c r="K234" s="1">
        <v>233.0</v>
      </c>
      <c r="L234" s="1" t="str">
        <f t="shared" si="1"/>
        <v>Evan Engram</v>
      </c>
      <c r="M234" s="124">
        <f>IFERROR(VLOOKUP(E234,RISK!A:B,2,FALSE()),"")</f>
        <v>2.1938</v>
      </c>
      <c r="N234" s="116">
        <f t="shared" si="2"/>
        <v>70.17610247</v>
      </c>
      <c r="Q234" s="8" t="s">
        <v>784</v>
      </c>
      <c r="R234" s="116">
        <f>Aggregate!BQ88</f>
        <v>59.32941176</v>
      </c>
      <c r="S234" s="8"/>
      <c r="T234" s="8"/>
    </row>
    <row r="235" ht="14.25" customHeight="1">
      <c r="A235" s="1">
        <v>232.0</v>
      </c>
      <c r="B235" s="1">
        <v>9.0</v>
      </c>
      <c r="C235" s="1" t="s">
        <v>1143</v>
      </c>
      <c r="D235" s="1" t="s">
        <v>176</v>
      </c>
      <c r="E235" s="1" t="s">
        <v>1144</v>
      </c>
      <c r="F235" s="1">
        <v>11.0</v>
      </c>
      <c r="G235" s="1" t="s">
        <v>1009</v>
      </c>
      <c r="H235" s="1" t="s">
        <v>1005</v>
      </c>
      <c r="I235" s="1" t="s">
        <v>1003</v>
      </c>
      <c r="J235" s="1">
        <v>-46.0</v>
      </c>
      <c r="K235" s="1">
        <v>234.0</v>
      </c>
      <c r="L235" s="1" t="str">
        <f t="shared" si="1"/>
        <v>Harrison Mevis</v>
      </c>
      <c r="M235" s="124" t="str">
        <f>IFERROR(VLOOKUP(E235,RISK!A:B,2,FALSE()),"")</f>
        <v/>
      </c>
      <c r="N235" s="116" t="str">
        <f t="shared" si="2"/>
        <v>#N/A</v>
      </c>
      <c r="Q235" s="8" t="s">
        <v>796</v>
      </c>
      <c r="R235" s="116">
        <f>Aggregate!BQ89</f>
        <v>59.18470588</v>
      </c>
      <c r="S235" s="8"/>
      <c r="T235" s="8"/>
    </row>
    <row r="236" ht="14.25" customHeight="1">
      <c r="A236" s="1">
        <v>233.0</v>
      </c>
      <c r="B236" s="1">
        <v>9.0</v>
      </c>
      <c r="C236" s="1" t="s">
        <v>903</v>
      </c>
      <c r="D236" s="1" t="s">
        <v>229</v>
      </c>
      <c r="E236" s="1" t="s">
        <v>753</v>
      </c>
      <c r="F236" s="1">
        <v>11.0</v>
      </c>
      <c r="G236" s="1" t="s">
        <v>1010</v>
      </c>
      <c r="H236" s="1" t="s">
        <v>1009</v>
      </c>
      <c r="I236" s="1" t="s">
        <v>1007</v>
      </c>
      <c r="J236" s="1">
        <v>2.0</v>
      </c>
      <c r="K236" s="1">
        <v>235.0</v>
      </c>
      <c r="L236" s="1" t="str">
        <f t="shared" si="1"/>
        <v>Zachariah Branch</v>
      </c>
      <c r="M236" s="124">
        <f>IFERROR(VLOOKUP(E236,RISK!A:B,2,FALSE()),"")</f>
        <v>3.7</v>
      </c>
      <c r="N236" s="116">
        <f t="shared" si="2"/>
        <v>64.61117647</v>
      </c>
      <c r="Q236" s="8" t="s">
        <v>807</v>
      </c>
      <c r="R236" s="116">
        <f>Aggregate!BQ90</f>
        <v>58.03429412</v>
      </c>
      <c r="S236" s="8"/>
      <c r="T236" s="8"/>
    </row>
    <row r="237" ht="14.25" customHeight="1">
      <c r="A237" s="1">
        <v>234.0</v>
      </c>
      <c r="B237" s="1">
        <v>9.0</v>
      </c>
      <c r="C237" s="1" t="s">
        <v>959</v>
      </c>
      <c r="D237" s="1" t="s">
        <v>134</v>
      </c>
      <c r="E237" s="1" t="s">
        <v>764</v>
      </c>
      <c r="F237" s="1">
        <v>8.0</v>
      </c>
      <c r="G237" s="1" t="s">
        <v>1009</v>
      </c>
      <c r="H237" s="1" t="s">
        <v>1009</v>
      </c>
      <c r="I237" s="1" t="s">
        <v>1004</v>
      </c>
      <c r="J237" s="1">
        <v>-2.0</v>
      </c>
      <c r="K237" s="1">
        <v>236.0</v>
      </c>
      <c r="L237" s="1" t="str">
        <f t="shared" si="1"/>
        <v>Malachi Fields</v>
      </c>
      <c r="M237" s="124">
        <f>IFERROR(VLOOKUP(E237,RISK!A:B,2,FALSE()),"")</f>
        <v>3.7</v>
      </c>
      <c r="N237" s="116">
        <f t="shared" si="2"/>
        <v>63.76464706</v>
      </c>
      <c r="Q237" s="8" t="s">
        <v>818</v>
      </c>
      <c r="R237" s="116">
        <f>Aggregate!BQ91</f>
        <v>55.87788706</v>
      </c>
      <c r="S237" s="8"/>
      <c r="T237" s="8"/>
    </row>
    <row r="238" ht="14.25" customHeight="1">
      <c r="A238" s="1">
        <v>235.0</v>
      </c>
      <c r="B238" s="1">
        <v>9.0</v>
      </c>
      <c r="C238" s="1" t="s">
        <v>803</v>
      </c>
      <c r="D238" s="1" t="s">
        <v>176</v>
      </c>
      <c r="E238" s="1" t="s">
        <v>377</v>
      </c>
      <c r="F238" s="1">
        <v>11.0</v>
      </c>
      <c r="G238" s="1" t="s">
        <v>1023</v>
      </c>
      <c r="H238" s="1" t="s">
        <v>1023</v>
      </c>
      <c r="I238" s="1" t="s">
        <v>1004</v>
      </c>
      <c r="J238" s="1">
        <v>40.0</v>
      </c>
      <c r="K238" s="1">
        <v>237.0</v>
      </c>
      <c r="L238" s="1" t="str">
        <f t="shared" si="1"/>
        <v>Colby Parkinson</v>
      </c>
      <c r="M238" s="124">
        <f>IFERROR(VLOOKUP(E238,RISK!A:B,2,FALSE()),"")</f>
        <v>2.1938</v>
      </c>
      <c r="N238" s="116">
        <f t="shared" si="2"/>
        <v>69.85284706</v>
      </c>
      <c r="Q238" s="8" t="s">
        <v>828</v>
      </c>
      <c r="R238" s="116">
        <f>Aggregate!BQ92</f>
        <v>55.11847059</v>
      </c>
      <c r="S238" s="8"/>
      <c r="T238" s="8"/>
    </row>
    <row r="239" ht="14.25" customHeight="1">
      <c r="A239" s="1">
        <v>236.0</v>
      </c>
      <c r="B239" s="1">
        <v>9.0</v>
      </c>
      <c r="C239" s="1" t="s">
        <v>766</v>
      </c>
      <c r="D239" s="1" t="s">
        <v>182</v>
      </c>
      <c r="E239" s="1" t="s">
        <v>774</v>
      </c>
      <c r="F239" s="1">
        <v>8.0</v>
      </c>
      <c r="G239" s="1" t="s">
        <v>1023</v>
      </c>
      <c r="H239" s="1" t="s">
        <v>1023</v>
      </c>
      <c r="I239" s="1" t="s">
        <v>1007</v>
      </c>
      <c r="J239" s="1">
        <v>38.0</v>
      </c>
      <c r="K239" s="1">
        <v>238.0</v>
      </c>
      <c r="L239" s="1" t="str">
        <f t="shared" si="1"/>
        <v>Devaughn Vele</v>
      </c>
      <c r="M239" s="124">
        <f>IFERROR(VLOOKUP(E239,RISK!A:B,2,FALSE()),"")</f>
        <v>3.7</v>
      </c>
      <c r="N239" s="116">
        <f t="shared" si="2"/>
        <v>59.76352941</v>
      </c>
      <c r="Q239" s="8" t="s">
        <v>839</v>
      </c>
      <c r="R239" s="116">
        <f>Aggregate!BQ93</f>
        <v>52.70188235</v>
      </c>
      <c r="S239" s="8"/>
      <c r="T239" s="8"/>
    </row>
    <row r="240" ht="14.25" customHeight="1">
      <c r="A240" s="1">
        <v>237.0</v>
      </c>
      <c r="B240" s="1">
        <v>9.0</v>
      </c>
      <c r="C240" s="1" t="s">
        <v>568</v>
      </c>
      <c r="D240" s="1" t="s">
        <v>196</v>
      </c>
      <c r="E240" s="1" t="s">
        <v>645</v>
      </c>
      <c r="F240" s="1">
        <v>6.0</v>
      </c>
      <c r="G240" s="1" t="s">
        <v>1010</v>
      </c>
      <c r="H240" s="1" t="s">
        <v>1009</v>
      </c>
      <c r="I240" s="1" t="s">
        <v>1007</v>
      </c>
      <c r="J240" s="1">
        <v>124.0</v>
      </c>
      <c r="K240" s="1">
        <v>239.0</v>
      </c>
      <c r="L240" s="1" t="str">
        <f t="shared" si="1"/>
        <v>Ollie Gordon II</v>
      </c>
      <c r="M240" s="124">
        <f>IFERROR(VLOOKUP(E240,RISK!A:B,2,FALSE()),"")</f>
        <v>3.368</v>
      </c>
      <c r="N240" s="116">
        <f t="shared" si="2"/>
        <v>41.82678118</v>
      </c>
      <c r="Q240" s="8" t="s">
        <v>849</v>
      </c>
      <c r="R240" s="116">
        <f>Aggregate!BQ94</f>
        <v>52.45588235</v>
      </c>
      <c r="S240" s="8"/>
      <c r="T240" s="8"/>
    </row>
    <row r="241" ht="14.25" customHeight="1">
      <c r="A241" s="1">
        <v>238.0</v>
      </c>
      <c r="B241" s="1">
        <v>9.0</v>
      </c>
      <c r="C241" s="1" t="s">
        <v>1187</v>
      </c>
      <c r="D241" s="1" t="s">
        <v>159</v>
      </c>
      <c r="E241" s="1" t="s">
        <v>1188</v>
      </c>
      <c r="F241" s="1">
        <v>10.0</v>
      </c>
      <c r="G241" s="1" t="s">
        <v>1010</v>
      </c>
      <c r="H241" s="1" t="s">
        <v>1010</v>
      </c>
      <c r="I241" s="1" t="s">
        <v>1055</v>
      </c>
      <c r="J241" s="1">
        <v>18.0</v>
      </c>
      <c r="K241" s="1">
        <v>240.0</v>
      </c>
      <c r="L241" s="1" t="str">
        <f t="shared" si="1"/>
        <v>Cairo Santos</v>
      </c>
      <c r="M241" s="124" t="str">
        <f>IFERROR(VLOOKUP(E241,RISK!A:B,2,FALSE()),"")</f>
        <v/>
      </c>
      <c r="N241" s="116" t="str">
        <f t="shared" si="2"/>
        <v>#N/A</v>
      </c>
      <c r="Q241" s="8" t="s">
        <v>859</v>
      </c>
      <c r="R241" s="116">
        <f>Aggregate!BQ95</f>
        <v>52.41247059</v>
      </c>
      <c r="S241" s="8"/>
      <c r="T241" s="8"/>
    </row>
    <row r="242" ht="14.25" customHeight="1">
      <c r="A242" s="1">
        <v>239.0</v>
      </c>
      <c r="B242" s="1">
        <v>9.0</v>
      </c>
      <c r="C242" s="1" t="s">
        <v>1195</v>
      </c>
      <c r="D242" s="1" t="s">
        <v>18</v>
      </c>
      <c r="E242" s="1" t="s">
        <v>1196</v>
      </c>
      <c r="F242" s="1">
        <v>7.0</v>
      </c>
      <c r="G242" s="1" t="s">
        <v>1023</v>
      </c>
      <c r="H242" s="1" t="s">
        <v>1023</v>
      </c>
      <c r="I242" s="1" t="s">
        <v>1007</v>
      </c>
      <c r="J242" s="1">
        <v>-2.0</v>
      </c>
      <c r="K242" s="1">
        <v>241.0</v>
      </c>
      <c r="L242" s="1" t="str">
        <f t="shared" si="1"/>
        <v>Buffalo Bills</v>
      </c>
      <c r="M242" s="124" t="str">
        <f>IFERROR(VLOOKUP(E242,RISK!A:B,2,FALSE()),"")</f>
        <v/>
      </c>
      <c r="N242" s="116" t="str">
        <f t="shared" si="2"/>
        <v>#N/A</v>
      </c>
      <c r="Q242" s="8" t="s">
        <v>869</v>
      </c>
      <c r="R242" s="116">
        <f>Aggregate!BQ96</f>
        <v>52.34011765</v>
      </c>
      <c r="S242" s="8"/>
      <c r="T242" s="8"/>
    </row>
    <row r="243" ht="14.25" customHeight="1">
      <c r="A243" s="1">
        <v>240.0</v>
      </c>
      <c r="B243" s="1">
        <v>9.0</v>
      </c>
      <c r="C243" s="1" t="s">
        <v>1203</v>
      </c>
      <c r="D243" s="1" t="s">
        <v>179</v>
      </c>
      <c r="E243" s="1" t="s">
        <v>1205</v>
      </c>
      <c r="F243" s="1">
        <v>6.0</v>
      </c>
      <c r="G243" s="1" t="s">
        <v>1023</v>
      </c>
      <c r="H243" s="1" t="s">
        <v>1023</v>
      </c>
      <c r="I243" s="1" t="s">
        <v>1002</v>
      </c>
      <c r="J243" s="1">
        <v>-31.0</v>
      </c>
      <c r="K243" s="1">
        <v>242.0</v>
      </c>
      <c r="L243" s="1" t="str">
        <f t="shared" si="1"/>
        <v>Detroit Lions</v>
      </c>
      <c r="M243" s="124" t="str">
        <f>IFERROR(VLOOKUP(E243,RISK!A:B,2,FALSE()),"")</f>
        <v/>
      </c>
      <c r="N243" s="116" t="str">
        <f t="shared" si="2"/>
        <v>#N/A</v>
      </c>
      <c r="Q243" s="8" t="s">
        <v>879</v>
      </c>
      <c r="R243" s="116">
        <f>Aggregate!BQ97</f>
        <v>48.31729412</v>
      </c>
      <c r="S243" s="8"/>
      <c r="T243" s="8"/>
    </row>
    <row r="244" ht="14.25" customHeight="1">
      <c r="A244" s="1">
        <v>241.0</v>
      </c>
      <c r="B244" s="1">
        <v>9.0</v>
      </c>
      <c r="C244" s="1" t="s">
        <v>503</v>
      </c>
      <c r="D244" s="1" t="s">
        <v>140</v>
      </c>
      <c r="E244" s="1" t="s">
        <v>652</v>
      </c>
      <c r="F244" s="1">
        <v>8.0</v>
      </c>
      <c r="G244" s="1" t="s">
        <v>1010</v>
      </c>
      <c r="H244" s="1" t="s">
        <v>1009</v>
      </c>
      <c r="I244" s="1" t="s">
        <v>1003</v>
      </c>
      <c r="J244" s="1">
        <v>-27.0</v>
      </c>
      <c r="K244" s="1">
        <v>243.0</v>
      </c>
      <c r="L244" s="1" t="str">
        <f t="shared" si="1"/>
        <v>Kaelon Black</v>
      </c>
      <c r="M244" s="124">
        <f>IFERROR(VLOOKUP(E244,RISK!A:B,2,FALSE()),"")</f>
        <v>3.368</v>
      </c>
      <c r="N244" s="116">
        <f t="shared" si="2"/>
        <v>41.02427765</v>
      </c>
      <c r="Q244" s="8" t="s">
        <v>890</v>
      </c>
      <c r="R244" s="116">
        <f>Aggregate!BQ98</f>
        <v>47.34052941</v>
      </c>
      <c r="S244" s="8"/>
      <c r="T244" s="8"/>
    </row>
    <row r="245" ht="14.25" customHeight="1">
      <c r="A245" s="1">
        <v>242.0</v>
      </c>
      <c r="B245" s="1">
        <v>9.0</v>
      </c>
      <c r="C245" s="1" t="s">
        <v>482</v>
      </c>
      <c r="D245" s="1" t="s">
        <v>61</v>
      </c>
      <c r="E245" s="1" t="s">
        <v>659</v>
      </c>
      <c r="F245" s="1">
        <v>13.0</v>
      </c>
      <c r="G245" s="1" t="s">
        <v>1023</v>
      </c>
      <c r="H245" s="1" t="s">
        <v>1023</v>
      </c>
      <c r="I245" s="1" t="s">
        <v>1007</v>
      </c>
      <c r="J245" s="1">
        <v>-11.0</v>
      </c>
      <c r="K245" s="1">
        <v>244.0</v>
      </c>
      <c r="L245" s="1" t="str">
        <f t="shared" si="1"/>
        <v>Justice Hill</v>
      </c>
      <c r="M245" s="124">
        <f>IFERROR(VLOOKUP(E245,RISK!A:B,2,FALSE()),"")</f>
        <v>3.368</v>
      </c>
      <c r="N245" s="116">
        <f t="shared" si="2"/>
        <v>39.65704941</v>
      </c>
      <c r="Q245" s="8" t="s">
        <v>901</v>
      </c>
      <c r="R245" s="116">
        <f>Aggregate!BQ99</f>
        <v>45.12652941</v>
      </c>
      <c r="S245" s="8"/>
      <c r="T245" s="8"/>
    </row>
    <row r="246" ht="14.25" customHeight="1">
      <c r="A246" s="1">
        <v>243.0</v>
      </c>
      <c r="B246" s="1">
        <v>9.0</v>
      </c>
      <c r="C246" s="1" t="s">
        <v>620</v>
      </c>
      <c r="D246" s="1" t="s">
        <v>189</v>
      </c>
      <c r="E246" s="1" t="s">
        <v>668</v>
      </c>
      <c r="F246" s="1">
        <v>6.0</v>
      </c>
      <c r="G246" s="1" t="s">
        <v>1010</v>
      </c>
      <c r="H246" s="1" t="s">
        <v>1009</v>
      </c>
      <c r="I246" s="1" t="s">
        <v>1004</v>
      </c>
      <c r="J246" s="1">
        <v>0.0</v>
      </c>
      <c r="K246" s="1">
        <v>245.0</v>
      </c>
      <c r="L246" s="1" t="str">
        <f t="shared" si="1"/>
        <v>Demond Claiborne</v>
      </c>
      <c r="M246" s="124">
        <f>IFERROR(VLOOKUP(E246,RISK!A:B,2,FALSE()),"")</f>
        <v>3.368</v>
      </c>
      <c r="N246" s="116">
        <f t="shared" si="2"/>
        <v>39.49357647</v>
      </c>
      <c r="Q246" s="8" t="s">
        <v>912</v>
      </c>
      <c r="R246" s="116">
        <f>Aggregate!BQ100</f>
        <v>42.14558824</v>
      </c>
      <c r="S246" s="8"/>
      <c r="T246" s="8"/>
    </row>
    <row r="247" ht="14.25" customHeight="1">
      <c r="A247" s="1">
        <v>244.0</v>
      </c>
      <c r="B247" s="1">
        <v>9.0</v>
      </c>
      <c r="C247" s="1" t="s">
        <v>228</v>
      </c>
      <c r="D247" s="1" t="s">
        <v>229</v>
      </c>
      <c r="E247" s="1" t="s">
        <v>374</v>
      </c>
      <c r="F247" s="1">
        <v>11.0</v>
      </c>
      <c r="G247" s="1" t="s">
        <v>1005</v>
      </c>
      <c r="H247" s="1" t="s">
        <v>1009</v>
      </c>
      <c r="I247" s="1" t="s">
        <v>1004</v>
      </c>
      <c r="J247" s="1">
        <v>4.0</v>
      </c>
      <c r="K247" s="1">
        <v>246.0</v>
      </c>
      <c r="L247" s="1" t="str">
        <f t="shared" si="1"/>
        <v>Tua Tagovailoa</v>
      </c>
      <c r="M247" s="124">
        <f>IFERROR(VLOOKUP(E247,RISK!A:B,2,FALSE()),"")</f>
        <v>3.2</v>
      </c>
      <c r="N247" s="116">
        <f t="shared" si="2"/>
        <v>91.2384</v>
      </c>
      <c r="Q247" s="8" t="s">
        <v>923</v>
      </c>
      <c r="R247" s="116">
        <f>Aggregate!BQ101</f>
        <v>38.48452941</v>
      </c>
      <c r="S247" s="8"/>
      <c r="T247" s="8"/>
    </row>
    <row r="248" ht="14.25" customHeight="1">
      <c r="A248" s="1">
        <v>245.0</v>
      </c>
      <c r="B248" s="1">
        <v>9.0</v>
      </c>
      <c r="C248" s="1" t="s">
        <v>939</v>
      </c>
      <c r="D248" s="1" t="s">
        <v>222</v>
      </c>
      <c r="E248" s="1" t="s">
        <v>784</v>
      </c>
      <c r="F248" s="1">
        <v>13.0</v>
      </c>
      <c r="G248" s="1" t="s">
        <v>1010</v>
      </c>
      <c r="H248" s="1" t="s">
        <v>1009</v>
      </c>
      <c r="I248" s="1" t="s">
        <v>1003</v>
      </c>
      <c r="J248" s="1">
        <v>95.0</v>
      </c>
      <c r="K248" s="1">
        <v>247.0</v>
      </c>
      <c r="L248" s="1" t="str">
        <f t="shared" si="1"/>
        <v>Jack Bech</v>
      </c>
      <c r="M248" s="124">
        <f>IFERROR(VLOOKUP(E248,RISK!A:B,2,FALSE()),"")</f>
        <v>3.7</v>
      </c>
      <c r="N248" s="116">
        <f t="shared" si="2"/>
        <v>59.32941176</v>
      </c>
      <c r="Q248" s="8" t="s">
        <v>933</v>
      </c>
      <c r="R248" s="116">
        <f>Aggregate!BQ102</f>
        <v>37.58735294</v>
      </c>
      <c r="S248" s="8"/>
      <c r="T248" s="8"/>
    </row>
    <row r="249" ht="14.25" customHeight="1">
      <c r="A249" s="1">
        <v>246.0</v>
      </c>
      <c r="B249" s="1">
        <v>9.0</v>
      </c>
      <c r="C249" s="1" t="s">
        <v>824</v>
      </c>
      <c r="D249" s="1" t="s">
        <v>106</v>
      </c>
      <c r="E249" s="1" t="s">
        <v>796</v>
      </c>
      <c r="F249" s="1">
        <v>7.0</v>
      </c>
      <c r="G249" s="1" t="s">
        <v>1009</v>
      </c>
      <c r="H249" s="1" t="s">
        <v>1005</v>
      </c>
      <c r="I249" s="1" t="s">
        <v>1003</v>
      </c>
      <c r="J249" s="1">
        <v>23.0</v>
      </c>
      <c r="K249" s="1">
        <v>248.0</v>
      </c>
      <c r="L249" s="1" t="str">
        <f t="shared" si="1"/>
        <v>Antonio Williams</v>
      </c>
      <c r="M249" s="124">
        <f>IFERROR(VLOOKUP(E249,RISK!A:B,2,FALSE()),"")</f>
        <v>3.7</v>
      </c>
      <c r="N249" s="116">
        <f t="shared" si="2"/>
        <v>59.18470588</v>
      </c>
      <c r="Q249" s="8" t="s">
        <v>130</v>
      </c>
      <c r="R249" s="116">
        <f>Aggregate!BV3</f>
        <v>165.3964853</v>
      </c>
      <c r="S249" s="8"/>
      <c r="T249" s="8"/>
    </row>
    <row r="250" ht="14.25" customHeight="1">
      <c r="A250" s="1">
        <v>247.0</v>
      </c>
      <c r="B250" s="1">
        <v>9.0</v>
      </c>
      <c r="C250" s="1" t="s">
        <v>1222</v>
      </c>
      <c r="D250" s="1" t="s">
        <v>186</v>
      </c>
      <c r="E250" s="1" t="s">
        <v>1223</v>
      </c>
      <c r="F250" s="1">
        <v>10.0</v>
      </c>
      <c r="G250" s="1" t="s">
        <v>1009</v>
      </c>
      <c r="H250" s="1" t="s">
        <v>1005</v>
      </c>
      <c r="I250" s="1" t="s">
        <v>1007</v>
      </c>
      <c r="J250" s="1">
        <v>-27.0</v>
      </c>
      <c r="K250" s="1">
        <v>249.0</v>
      </c>
      <c r="L250" s="1" t="str">
        <f t="shared" si="1"/>
        <v>Chase McLaughlin</v>
      </c>
      <c r="M250" s="124" t="str">
        <f>IFERROR(VLOOKUP(E250,RISK!A:B,2,FALSE()),"")</f>
        <v/>
      </c>
      <c r="N250" s="116" t="str">
        <f t="shared" si="2"/>
        <v>#N/A</v>
      </c>
      <c r="Q250" s="8" t="s">
        <v>156</v>
      </c>
      <c r="R250" s="116">
        <f>Aggregate!BV4</f>
        <v>161.9112132</v>
      </c>
      <c r="S250" s="8"/>
      <c r="T250" s="8"/>
    </row>
    <row r="251" ht="14.25" customHeight="1">
      <c r="A251" s="1">
        <v>248.0</v>
      </c>
      <c r="B251" s="1">
        <v>9.0</v>
      </c>
      <c r="C251" s="1" t="s">
        <v>545</v>
      </c>
      <c r="D251" s="1" t="s">
        <v>210</v>
      </c>
      <c r="E251" s="1" t="s">
        <v>675</v>
      </c>
      <c r="F251" s="1">
        <v>13.0</v>
      </c>
      <c r="G251" s="1" t="s">
        <v>1005</v>
      </c>
      <c r="H251" s="1" t="s">
        <v>1009</v>
      </c>
      <c r="I251" s="1" t="s">
        <v>1007</v>
      </c>
      <c r="J251" s="1">
        <v>131.0</v>
      </c>
      <c r="K251" s="1">
        <v>250.0</v>
      </c>
      <c r="L251" s="1" t="str">
        <f t="shared" si="1"/>
        <v>Isaiah Davis</v>
      </c>
      <c r="M251" s="124">
        <f>IFERROR(VLOOKUP(E251,RISK!A:B,2,FALSE()),"")</f>
        <v>3.368</v>
      </c>
      <c r="N251" s="116">
        <f t="shared" si="2"/>
        <v>37.16780235</v>
      </c>
      <c r="Q251" s="8" t="s">
        <v>180</v>
      </c>
      <c r="R251" s="116">
        <f>Aggregate!BV5</f>
        <v>137.3312072</v>
      </c>
      <c r="S251" s="8"/>
      <c r="T251" s="8"/>
    </row>
    <row r="252" ht="14.25" customHeight="1">
      <c r="A252" s="1">
        <v>249.0</v>
      </c>
      <c r="B252" s="1">
        <v>9.0</v>
      </c>
      <c r="C252" s="1" t="s">
        <v>921</v>
      </c>
      <c r="D252" s="1" t="s">
        <v>18</v>
      </c>
      <c r="E252" s="1" t="s">
        <v>807</v>
      </c>
      <c r="F252" s="1">
        <v>7.0</v>
      </c>
      <c r="G252" s="1" t="s">
        <v>1005</v>
      </c>
      <c r="H252" s="1" t="s">
        <v>1009</v>
      </c>
      <c r="I252" s="1" t="s">
        <v>1004</v>
      </c>
      <c r="J252" s="1">
        <v>15.0</v>
      </c>
      <c r="K252" s="1">
        <v>251.0</v>
      </c>
      <c r="L252" s="1" t="str">
        <f t="shared" si="1"/>
        <v>Keon Coleman</v>
      </c>
      <c r="M252" s="124">
        <f>IFERROR(VLOOKUP(E252,RISK!A:B,2,FALSE()),"")</f>
        <v>3.7</v>
      </c>
      <c r="N252" s="116">
        <f t="shared" si="2"/>
        <v>58.03429412</v>
      </c>
      <c r="Q252" s="8" t="s">
        <v>194</v>
      </c>
      <c r="R252" s="116">
        <f>Aggregate!BV6</f>
        <v>126.87345</v>
      </c>
      <c r="S252" s="8"/>
      <c r="T252" s="8"/>
    </row>
    <row r="253" ht="14.25" customHeight="1">
      <c r="A253" s="1">
        <v>250.0</v>
      </c>
      <c r="B253" s="1">
        <v>9.0</v>
      </c>
      <c r="C253" s="1" t="s">
        <v>1225</v>
      </c>
      <c r="D253" s="1" t="s">
        <v>94</v>
      </c>
      <c r="E253" s="1" t="s">
        <v>1226</v>
      </c>
      <c r="F253" s="1">
        <v>11.0</v>
      </c>
      <c r="G253" s="1" t="s">
        <v>1023</v>
      </c>
      <c r="H253" s="1" t="s">
        <v>1023</v>
      </c>
      <c r="I253" s="1" t="s">
        <v>1006</v>
      </c>
      <c r="J253" s="1">
        <v>-42.0</v>
      </c>
      <c r="K253" s="1">
        <v>252.0</v>
      </c>
      <c r="L253" s="1" t="str">
        <f t="shared" si="1"/>
        <v>Andy Borregales</v>
      </c>
      <c r="M253" s="124" t="str">
        <f>IFERROR(VLOOKUP(E253,RISK!A:B,2,FALSE()),"")</f>
        <v/>
      </c>
      <c r="N253" s="116" t="str">
        <f t="shared" si="2"/>
        <v>#N/A</v>
      </c>
      <c r="Q253" s="8" t="s">
        <v>206</v>
      </c>
      <c r="R253" s="116">
        <f>Aggregate!BV7</f>
        <v>119.9070635</v>
      </c>
      <c r="S253" s="8"/>
      <c r="T253" s="8"/>
    </row>
    <row r="254" ht="14.25" customHeight="1">
      <c r="A254" s="1">
        <v>251.0</v>
      </c>
      <c r="B254" s="1">
        <v>9.0</v>
      </c>
      <c r="C254" s="1" t="s">
        <v>838</v>
      </c>
      <c r="D254" s="1" t="s">
        <v>202</v>
      </c>
      <c r="E254" s="1" t="s">
        <v>818</v>
      </c>
      <c r="F254" s="1">
        <v>11.0</v>
      </c>
      <c r="G254" s="1" t="s">
        <v>1009</v>
      </c>
      <c r="H254" s="1" t="s">
        <v>1009</v>
      </c>
      <c r="I254" s="1" t="s">
        <v>1007</v>
      </c>
      <c r="J254" s="1">
        <v>49.0</v>
      </c>
      <c r="K254" s="1">
        <v>253.0</v>
      </c>
      <c r="L254" s="1" t="str">
        <f t="shared" si="1"/>
        <v>Tory Horton</v>
      </c>
      <c r="M254" s="124">
        <f>IFERROR(VLOOKUP(E254,RISK!A:B,2,FALSE()),"")</f>
        <v>3.7</v>
      </c>
      <c r="N254" s="116">
        <f t="shared" si="2"/>
        <v>55.87788706</v>
      </c>
      <c r="Q254" s="8" t="s">
        <v>218</v>
      </c>
      <c r="R254" s="116">
        <f>Aggregate!BV8</f>
        <v>117.0518412</v>
      </c>
      <c r="S254" s="8"/>
      <c r="T254" s="8"/>
    </row>
    <row r="255" ht="14.25" customHeight="1">
      <c r="A255" s="1">
        <v>252.0</v>
      </c>
      <c r="B255" s="1">
        <v>9.0</v>
      </c>
      <c r="C255" s="1" t="s">
        <v>1230</v>
      </c>
      <c r="D255" s="1" t="s">
        <v>127</v>
      </c>
      <c r="E255" s="1" t="s">
        <v>1231</v>
      </c>
      <c r="F255" s="1">
        <v>6.0</v>
      </c>
      <c r="G255" s="1" t="s">
        <v>1009</v>
      </c>
      <c r="H255" s="1" t="s">
        <v>1005</v>
      </c>
      <c r="I255" s="1" t="s">
        <v>1003</v>
      </c>
      <c r="J255" s="1">
        <v>-45.0</v>
      </c>
      <c r="K255" s="1">
        <v>254.0</v>
      </c>
      <c r="L255" s="1" t="str">
        <f t="shared" si="1"/>
        <v>Evan McPherson</v>
      </c>
      <c r="M255" s="124" t="str">
        <f>IFERROR(VLOOKUP(E255,RISK!A:B,2,FALSE()),"")</f>
        <v/>
      </c>
      <c r="N255" s="116" t="str">
        <f t="shared" si="2"/>
        <v>#N/A</v>
      </c>
      <c r="Q255" s="8" t="s">
        <v>230</v>
      </c>
      <c r="R255" s="116">
        <f>Aggregate!BV9</f>
        <v>116.9560685</v>
      </c>
      <c r="S255" s="8"/>
      <c r="T255" s="8"/>
    </row>
    <row r="256" ht="14.25" customHeight="1">
      <c r="A256" s="1">
        <v>253.0</v>
      </c>
      <c r="B256" s="1">
        <v>9.0</v>
      </c>
      <c r="C256" s="1" t="s">
        <v>519</v>
      </c>
      <c r="D256" s="1" t="s">
        <v>199</v>
      </c>
      <c r="E256" s="1" t="s">
        <v>682</v>
      </c>
      <c r="F256" s="1">
        <v>11.0</v>
      </c>
      <c r="G256" s="1" t="s">
        <v>1005</v>
      </c>
      <c r="H256" s="1" t="s">
        <v>1009</v>
      </c>
      <c r="I256" s="1" t="s">
        <v>1004</v>
      </c>
      <c r="J256" s="1">
        <v>110.0</v>
      </c>
      <c r="K256" s="1">
        <v>255.0</v>
      </c>
      <c r="L256" s="1" t="str">
        <f t="shared" si="1"/>
        <v>Chris Brooks</v>
      </c>
      <c r="M256" s="124">
        <f>IFERROR(VLOOKUP(E256,RISK!A:B,2,FALSE()),"")</f>
        <v>3.368</v>
      </c>
      <c r="N256" s="116">
        <f t="shared" si="2"/>
        <v>37.03405176</v>
      </c>
      <c r="Q256" s="8" t="s">
        <v>239</v>
      </c>
      <c r="R256" s="116">
        <f>Aggregate!BV10</f>
        <v>116.7875638</v>
      </c>
      <c r="S256" s="8"/>
      <c r="T256" s="8"/>
    </row>
    <row r="257" ht="14.25" customHeight="1">
      <c r="A257" s="1">
        <v>254.0</v>
      </c>
      <c r="B257" s="1">
        <v>9.0</v>
      </c>
      <c r="C257" s="1" t="s">
        <v>913</v>
      </c>
      <c r="D257" s="1" t="s">
        <v>214</v>
      </c>
      <c r="E257" s="1" t="s">
        <v>828</v>
      </c>
      <c r="F257" s="1">
        <v>9.0</v>
      </c>
      <c r="G257" s="1" t="s">
        <v>1001</v>
      </c>
      <c r="H257" s="1" t="s">
        <v>1000</v>
      </c>
      <c r="I257" s="1" t="s">
        <v>1007</v>
      </c>
      <c r="J257" s="1" t="s">
        <v>1023</v>
      </c>
      <c r="K257" s="1">
        <v>256.0</v>
      </c>
      <c r="L257" s="1" t="str">
        <f t="shared" si="1"/>
        <v>Elic Ayomanor</v>
      </c>
      <c r="M257" s="124">
        <f>IFERROR(VLOOKUP(E257,RISK!A:B,2,FALSE()),"")</f>
        <v>3.7</v>
      </c>
      <c r="N257" s="116">
        <f t="shared" si="2"/>
        <v>55.11847059</v>
      </c>
      <c r="Q257" s="8" t="s">
        <v>247</v>
      </c>
      <c r="R257" s="116">
        <f>Aggregate!BV11</f>
        <v>114.8705961</v>
      </c>
      <c r="S257" s="8"/>
      <c r="T257" s="8"/>
    </row>
    <row r="258" ht="14.25" customHeight="1">
      <c r="A258" s="1">
        <v>255.0</v>
      </c>
      <c r="B258" s="1">
        <v>9.0</v>
      </c>
      <c r="C258" s="1" t="s">
        <v>771</v>
      </c>
      <c r="D258" s="1" t="s">
        <v>61</v>
      </c>
      <c r="E258" s="1" t="s">
        <v>839</v>
      </c>
      <c r="F258" s="1">
        <v>13.0</v>
      </c>
      <c r="G258" s="1" t="s">
        <v>1009</v>
      </c>
      <c r="H258" s="1" t="s">
        <v>1009</v>
      </c>
      <c r="I258" s="1" t="s">
        <v>1004</v>
      </c>
      <c r="J258" s="1">
        <v>-103.0</v>
      </c>
      <c r="K258" s="1">
        <v>257.0</v>
      </c>
      <c r="L258" s="1" t="str">
        <f t="shared" si="1"/>
        <v>Ja'Kobi Lane</v>
      </c>
      <c r="M258" s="124">
        <f>IFERROR(VLOOKUP(E258,RISK!A:B,2,FALSE()),"")</f>
        <v>3.7</v>
      </c>
      <c r="N258" s="116">
        <f t="shared" si="2"/>
        <v>52.70188235</v>
      </c>
      <c r="Q258" s="8" t="s">
        <v>255</v>
      </c>
      <c r="R258" s="116">
        <f>Aggregate!BV12</f>
        <v>113.9832152</v>
      </c>
      <c r="S258" s="8"/>
      <c r="T258" s="8"/>
    </row>
    <row r="259" ht="14.25" customHeight="1">
      <c r="A259" s="1">
        <v>256.0</v>
      </c>
      <c r="B259" s="1">
        <v>9.0</v>
      </c>
      <c r="C259" s="1" t="s">
        <v>523</v>
      </c>
      <c r="D259" s="1" t="s">
        <v>134</v>
      </c>
      <c r="E259" s="1" t="s">
        <v>691</v>
      </c>
      <c r="F259" s="1">
        <v>8.0</v>
      </c>
      <c r="G259" s="1" t="s">
        <v>1005</v>
      </c>
      <c r="H259" s="1" t="s">
        <v>1009</v>
      </c>
      <c r="I259" s="1" t="s">
        <v>1004</v>
      </c>
      <c r="J259" s="1">
        <v>15.0</v>
      </c>
      <c r="K259" s="1">
        <v>258.0</v>
      </c>
      <c r="L259" s="1" t="str">
        <f t="shared" si="1"/>
        <v>Najee Harris</v>
      </c>
      <c r="M259" s="124">
        <f>IFERROR(VLOOKUP(E259,RISK!A:B,2,FALSE()),"")</f>
        <v>3.368</v>
      </c>
      <c r="N259" s="116">
        <f t="shared" si="2"/>
        <v>35.15411294</v>
      </c>
      <c r="Q259" s="8" t="s">
        <v>263</v>
      </c>
      <c r="R259" s="116">
        <f>Aggregate!BV13</f>
        <v>112.4097318</v>
      </c>
      <c r="S259" s="8"/>
      <c r="T259" s="8"/>
    </row>
    <row r="260" ht="14.25" customHeight="1">
      <c r="A260" s="1">
        <v>257.0</v>
      </c>
      <c r="B260" s="1">
        <v>9.0</v>
      </c>
      <c r="C260" s="1" t="s">
        <v>512</v>
      </c>
      <c r="D260" s="1" t="s">
        <v>140</v>
      </c>
      <c r="E260" s="1" t="s">
        <v>698</v>
      </c>
      <c r="F260" s="1">
        <v>8.0</v>
      </c>
      <c r="G260" s="1" t="s">
        <v>1005</v>
      </c>
      <c r="H260" s="1" t="s">
        <v>1009</v>
      </c>
      <c r="I260" s="1" t="s">
        <v>1003</v>
      </c>
      <c r="J260" s="1">
        <v>-10.0</v>
      </c>
      <c r="K260" s="1">
        <v>259.0</v>
      </c>
      <c r="L260" s="1" t="str">
        <f t="shared" si="1"/>
        <v>Jordan James</v>
      </c>
      <c r="M260" s="124">
        <f>IFERROR(VLOOKUP(E260,RISK!A:B,2,FALSE()),"")</f>
        <v>3.368</v>
      </c>
      <c r="N260" s="116">
        <f t="shared" si="2"/>
        <v>34.87918118</v>
      </c>
      <c r="Q260" s="8" t="s">
        <v>271</v>
      </c>
      <c r="R260" s="116">
        <f>Aggregate!BV14</f>
        <v>106.4821256</v>
      </c>
      <c r="S260" s="8"/>
      <c r="T260" s="8"/>
    </row>
    <row r="261" ht="14.25" customHeight="1">
      <c r="A261" s="1">
        <v>258.0</v>
      </c>
      <c r="B261" s="1">
        <v>9.0</v>
      </c>
      <c r="C261" s="1" t="s">
        <v>496</v>
      </c>
      <c r="D261" s="1" t="s">
        <v>127</v>
      </c>
      <c r="E261" s="1" t="s">
        <v>705</v>
      </c>
      <c r="F261" s="1">
        <v>6.0</v>
      </c>
      <c r="G261" s="1" t="s">
        <v>1001</v>
      </c>
      <c r="H261" s="1" t="s">
        <v>1009</v>
      </c>
      <c r="I261" s="1" t="s">
        <v>1003</v>
      </c>
      <c r="J261" s="1">
        <v>20.0</v>
      </c>
      <c r="K261" s="1">
        <v>260.0</v>
      </c>
      <c r="L261" s="1" t="str">
        <f t="shared" si="1"/>
        <v>Samaje Perine</v>
      </c>
      <c r="M261" s="124">
        <f>IFERROR(VLOOKUP(E261,RISK!A:B,2,FALSE()),"")</f>
        <v>3.368</v>
      </c>
      <c r="N261" s="116">
        <f t="shared" si="2"/>
        <v>33.21472941</v>
      </c>
      <c r="Q261" s="8" t="s">
        <v>279</v>
      </c>
      <c r="R261" s="116">
        <f>Aggregate!BV15</f>
        <v>103.2671466</v>
      </c>
      <c r="S261" s="8"/>
      <c r="T261" s="8"/>
    </row>
    <row r="262" ht="14.25" customHeight="1">
      <c r="A262" s="1">
        <v>259.0</v>
      </c>
      <c r="B262" s="1">
        <v>9.0</v>
      </c>
      <c r="C262" s="1" t="s">
        <v>1284</v>
      </c>
      <c r="D262" s="1" t="s">
        <v>226</v>
      </c>
      <c r="E262" s="1" t="s">
        <v>1285</v>
      </c>
      <c r="F262" s="1">
        <v>11.0</v>
      </c>
      <c r="G262" s="1" t="s">
        <v>1023</v>
      </c>
      <c r="H262" s="1" t="s">
        <v>1023</v>
      </c>
      <c r="I262" s="1" t="s">
        <v>1002</v>
      </c>
      <c r="J262" s="1">
        <v>-8.0</v>
      </c>
      <c r="K262" s="1">
        <v>261.0</v>
      </c>
      <c r="L262" s="1" t="str">
        <f t="shared" si="1"/>
        <v>Cleveland Browns</v>
      </c>
      <c r="M262" s="124" t="str">
        <f>IFERROR(VLOOKUP(E262,RISK!A:B,2,FALSE()),"")</f>
        <v/>
      </c>
      <c r="N262" s="116" t="str">
        <f t="shared" si="2"/>
        <v>#N/A</v>
      </c>
      <c r="Q262" s="8" t="s">
        <v>287</v>
      </c>
      <c r="R262" s="116">
        <f>Aggregate!BV16</f>
        <v>102.4357874</v>
      </c>
      <c r="S262" s="8"/>
      <c r="T262" s="8"/>
    </row>
    <row r="263" ht="14.25" customHeight="1">
      <c r="A263" s="1">
        <v>260.0</v>
      </c>
      <c r="B263" s="1">
        <v>9.0</v>
      </c>
      <c r="C263" s="1" t="s">
        <v>895</v>
      </c>
      <c r="D263" s="1" t="s">
        <v>186</v>
      </c>
      <c r="E263" s="1" t="s">
        <v>849</v>
      </c>
      <c r="F263" s="1">
        <v>10.0</v>
      </c>
      <c r="G263" s="1" t="s">
        <v>1009</v>
      </c>
      <c r="H263" s="1" t="s">
        <v>1009</v>
      </c>
      <c r="I263" s="1" t="s">
        <v>1004</v>
      </c>
      <c r="J263" s="1">
        <v>10.0</v>
      </c>
      <c r="K263" s="1">
        <v>262.0</v>
      </c>
      <c r="L263" s="1" t="str">
        <f t="shared" si="1"/>
        <v>Ted Hurst III</v>
      </c>
      <c r="M263" s="124">
        <f>IFERROR(VLOOKUP(E263,RISK!A:B,2,FALSE()),"")</f>
        <v>3.7</v>
      </c>
      <c r="N263" s="116">
        <f t="shared" si="2"/>
        <v>52.45588235</v>
      </c>
      <c r="Q263" s="8" t="s">
        <v>296</v>
      </c>
      <c r="R263" s="116">
        <f>Aggregate!BV17</f>
        <v>100.962345</v>
      </c>
      <c r="S263" s="8"/>
      <c r="T263" s="8"/>
    </row>
    <row r="264" ht="14.25" customHeight="1">
      <c r="A264" s="1">
        <v>261.0</v>
      </c>
      <c r="B264" s="1">
        <v>9.0</v>
      </c>
      <c r="C264" s="1" t="s">
        <v>1303</v>
      </c>
      <c r="D264" s="1" t="s">
        <v>155</v>
      </c>
      <c r="E264" s="1" t="s">
        <v>1304</v>
      </c>
      <c r="F264" s="1">
        <v>5.0</v>
      </c>
      <c r="G264" s="1" t="s">
        <v>1023</v>
      </c>
      <c r="H264" s="1" t="s">
        <v>1023</v>
      </c>
      <c r="I264" s="1" t="s">
        <v>1002</v>
      </c>
      <c r="J264" s="1">
        <v>-62.0</v>
      </c>
      <c r="K264" s="1">
        <v>263.0</v>
      </c>
      <c r="L264" s="1" t="str">
        <f t="shared" si="1"/>
        <v>Harrison Butker</v>
      </c>
      <c r="M264" s="124" t="str">
        <f>IFERROR(VLOOKUP(E264,RISK!A:B,2,FALSE()),"")</f>
        <v/>
      </c>
      <c r="N264" s="116" t="str">
        <f t="shared" si="2"/>
        <v>#N/A</v>
      </c>
      <c r="Q264" s="8" t="s">
        <v>304</v>
      </c>
      <c r="R264" s="116">
        <f>Aggregate!BV18</f>
        <v>97.13980459</v>
      </c>
      <c r="S264" s="8"/>
      <c r="T264" s="8"/>
    </row>
    <row r="265" ht="14.25" customHeight="1">
      <c r="A265" s="1">
        <v>262.0</v>
      </c>
      <c r="B265" s="1">
        <v>9.0</v>
      </c>
      <c r="C265" s="1" t="s">
        <v>501</v>
      </c>
      <c r="D265" s="1" t="s">
        <v>18</v>
      </c>
      <c r="E265" s="1" t="s">
        <v>714</v>
      </c>
      <c r="F265" s="1">
        <v>7.0</v>
      </c>
      <c r="G265" s="1" t="s">
        <v>1023</v>
      </c>
      <c r="H265" s="1" t="s">
        <v>1023</v>
      </c>
      <c r="I265" s="1" t="s">
        <v>1003</v>
      </c>
      <c r="J265" s="1">
        <v>11.0</v>
      </c>
      <c r="K265" s="1">
        <v>264.0</v>
      </c>
      <c r="L265" s="1" t="str">
        <f t="shared" si="1"/>
        <v>Ty Johnson</v>
      </c>
      <c r="M265" s="124">
        <f>IFERROR(VLOOKUP(E265,RISK!A:B,2,FALSE()),"")</f>
        <v>3.368</v>
      </c>
      <c r="N265" s="116">
        <f t="shared" si="2"/>
        <v>28.60033412</v>
      </c>
      <c r="Q265" s="8" t="s">
        <v>312</v>
      </c>
      <c r="R265" s="116">
        <f>Aggregate!BV19</f>
        <v>95.12929059</v>
      </c>
      <c r="S265" s="8"/>
      <c r="T265" s="8"/>
    </row>
    <row r="266" ht="14.25" customHeight="1">
      <c r="A266" s="1">
        <v>263.0</v>
      </c>
      <c r="B266" s="1">
        <v>9.0</v>
      </c>
      <c r="C266" s="1" t="s">
        <v>917</v>
      </c>
      <c r="D266" s="1" t="s">
        <v>214</v>
      </c>
      <c r="E266" s="1" t="s">
        <v>859</v>
      </c>
      <c r="F266" s="1">
        <v>9.0</v>
      </c>
      <c r="G266" s="1" t="s">
        <v>1001</v>
      </c>
      <c r="H266" s="1" t="s">
        <v>1000</v>
      </c>
      <c r="I266" s="1" t="s">
        <v>1007</v>
      </c>
      <c r="J266" s="1" t="s">
        <v>1023</v>
      </c>
      <c r="K266" s="1">
        <v>265.0</v>
      </c>
      <c r="L266" s="1" t="str">
        <f t="shared" si="1"/>
        <v>Chimere Dike</v>
      </c>
      <c r="M266" s="124">
        <f>IFERROR(VLOOKUP(E266,RISK!A:B,2,FALSE()),"")</f>
        <v>3.7</v>
      </c>
      <c r="N266" s="116">
        <f t="shared" si="2"/>
        <v>52.41247059</v>
      </c>
      <c r="Q266" s="8" t="s">
        <v>320</v>
      </c>
      <c r="R266" s="116">
        <f>Aggregate!BV20</f>
        <v>94.57973082</v>
      </c>
      <c r="S266" s="8"/>
      <c r="T266" s="8"/>
    </row>
    <row r="267" ht="14.25" customHeight="1">
      <c r="A267" s="1">
        <v>264.0</v>
      </c>
      <c r="B267" s="1">
        <v>9.0</v>
      </c>
      <c r="C267" s="1" t="s">
        <v>543</v>
      </c>
      <c r="D267" s="1" t="s">
        <v>145</v>
      </c>
      <c r="E267" s="1" t="s">
        <v>720</v>
      </c>
      <c r="F267" s="1">
        <v>7.0</v>
      </c>
      <c r="G267" s="1" t="s">
        <v>1005</v>
      </c>
      <c r="H267" s="1" t="s">
        <v>1009</v>
      </c>
      <c r="I267" s="1" t="s">
        <v>1004</v>
      </c>
      <c r="J267" s="1">
        <v>106.0</v>
      </c>
      <c r="K267" s="1">
        <v>266.0</v>
      </c>
      <c r="L267" s="1" t="str">
        <f t="shared" si="1"/>
        <v>LeQuint Allen Jr.</v>
      </c>
      <c r="M267" s="124">
        <f>IFERROR(VLOOKUP(E267,RISK!A:B,2,FALSE()),"")</f>
        <v>3.368</v>
      </c>
      <c r="N267" s="116">
        <f t="shared" si="2"/>
        <v>27.51546824</v>
      </c>
      <c r="Q267" s="8" t="s">
        <v>329</v>
      </c>
      <c r="R267" s="116">
        <f>Aggregate!BV21</f>
        <v>90.48420588</v>
      </c>
      <c r="S267" s="8"/>
      <c r="T267" s="8"/>
    </row>
    <row r="268" ht="14.25" customHeight="1">
      <c r="A268" s="1">
        <v>265.0</v>
      </c>
      <c r="B268" s="1">
        <v>9.0</v>
      </c>
      <c r="C268" s="1" t="s">
        <v>855</v>
      </c>
      <c r="D268" s="1" t="s">
        <v>155</v>
      </c>
      <c r="E268" s="1" t="s">
        <v>869</v>
      </c>
      <c r="F268" s="1">
        <v>5.0</v>
      </c>
      <c r="G268" s="1" t="s">
        <v>1005</v>
      </c>
      <c r="H268" s="1" t="s">
        <v>1000</v>
      </c>
      <c r="I268" s="1" t="s">
        <v>1003</v>
      </c>
      <c r="J268" s="1">
        <v>71.0</v>
      </c>
      <c r="K268" s="1">
        <v>267.0</v>
      </c>
      <c r="L268" s="1" t="str">
        <f t="shared" si="1"/>
        <v>Tyquan Thornton</v>
      </c>
      <c r="M268" s="124">
        <f>IFERROR(VLOOKUP(E268,RISK!A:B,2,FALSE()),"")</f>
        <v>3.7</v>
      </c>
      <c r="N268" s="116">
        <f t="shared" si="2"/>
        <v>52.34011765</v>
      </c>
      <c r="Q268" s="8" t="s">
        <v>333</v>
      </c>
      <c r="R268" s="116">
        <f>Aggregate!BV22</f>
        <v>87.62876353</v>
      </c>
      <c r="S268" s="8"/>
      <c r="T268" s="8"/>
    </row>
    <row r="269" ht="14.25" customHeight="1">
      <c r="A269" s="1">
        <v>266.0</v>
      </c>
      <c r="B269" s="1">
        <v>9.0</v>
      </c>
      <c r="C269" s="1" t="s">
        <v>231</v>
      </c>
      <c r="D269" s="1" t="s">
        <v>229</v>
      </c>
      <c r="E269" s="1" t="s">
        <v>378</v>
      </c>
      <c r="F269" s="1">
        <v>11.0</v>
      </c>
      <c r="G269" s="1" t="s">
        <v>1005</v>
      </c>
      <c r="H269" s="1" t="s">
        <v>1000</v>
      </c>
      <c r="I269" s="1" t="s">
        <v>1004</v>
      </c>
      <c r="J269" s="1">
        <v>-5.0</v>
      </c>
      <c r="K269" s="1">
        <v>268.0</v>
      </c>
      <c r="L269" s="1" t="str">
        <f t="shared" si="1"/>
        <v>Michael Penix Jr.</v>
      </c>
      <c r="M269" s="124">
        <f>IFERROR(VLOOKUP(E269,RISK!A:B,2,FALSE()),"")</f>
        <v>3.2</v>
      </c>
      <c r="N269" s="116">
        <f t="shared" si="2"/>
        <v>73.77769412</v>
      </c>
      <c r="Q269" s="8" t="s">
        <v>337</v>
      </c>
      <c r="R269" s="116">
        <f>Aggregate!BV23</f>
        <v>86.16693059</v>
      </c>
      <c r="S269" s="8"/>
      <c r="T269" s="8"/>
    </row>
    <row r="270" ht="14.25" customHeight="1">
      <c r="A270" s="1">
        <v>267.0</v>
      </c>
      <c r="B270" s="1">
        <v>9.0</v>
      </c>
      <c r="C270" s="1" t="s">
        <v>1314</v>
      </c>
      <c r="D270" s="1" t="s">
        <v>220</v>
      </c>
      <c r="E270" s="1" t="s">
        <v>1315</v>
      </c>
      <c r="F270" s="1">
        <v>9.0</v>
      </c>
      <c r="G270" s="1" t="s">
        <v>1009</v>
      </c>
      <c r="H270" s="1" t="s">
        <v>1001</v>
      </c>
      <c r="I270" s="1" t="s">
        <v>1004</v>
      </c>
      <c r="J270" s="1">
        <v>-54.0</v>
      </c>
      <c r="K270" s="1">
        <v>269.0</v>
      </c>
      <c r="L270" s="1" t="str">
        <f t="shared" si="1"/>
        <v>Chris Boswell</v>
      </c>
      <c r="M270" s="124" t="str">
        <f>IFERROR(VLOOKUP(E270,RISK!A:B,2,FALSE()),"")</f>
        <v/>
      </c>
      <c r="N270" s="116" t="str">
        <f t="shared" si="2"/>
        <v>#N/A</v>
      </c>
      <c r="Q270" s="8" t="s">
        <v>341</v>
      </c>
      <c r="R270" s="116">
        <f>Aggregate!BV24</f>
        <v>85.66016</v>
      </c>
      <c r="S270" s="8"/>
      <c r="T270" s="8"/>
    </row>
    <row r="271" ht="14.25" customHeight="1">
      <c r="A271" s="1">
        <v>268.0</v>
      </c>
      <c r="B271" s="1">
        <v>9.0</v>
      </c>
      <c r="C271" s="1" t="s">
        <v>234</v>
      </c>
      <c r="D271" s="1" t="s">
        <v>222</v>
      </c>
      <c r="E271" s="1" t="s">
        <v>382</v>
      </c>
      <c r="F271" s="1">
        <v>13.0</v>
      </c>
      <c r="G271" s="1" t="s">
        <v>1010</v>
      </c>
      <c r="H271" s="1" t="s">
        <v>1009</v>
      </c>
      <c r="I271" s="1" t="s">
        <v>1006</v>
      </c>
      <c r="J271" s="1">
        <v>-8.0</v>
      </c>
      <c r="K271" s="1">
        <v>270.0</v>
      </c>
      <c r="L271" s="1" t="str">
        <f t="shared" si="1"/>
        <v>Kirk Cousins</v>
      </c>
      <c r="M271" s="124">
        <f>IFERROR(VLOOKUP(E271,RISK!A:B,2,FALSE()),"")</f>
        <v>3.2</v>
      </c>
      <c r="N271" s="116">
        <f t="shared" si="2"/>
        <v>72.02936471</v>
      </c>
      <c r="Q271" s="8" t="s">
        <v>345</v>
      </c>
      <c r="R271" s="116">
        <f>Aggregate!BV25</f>
        <v>81.96560088</v>
      </c>
      <c r="S271" s="8"/>
      <c r="T271" s="8"/>
    </row>
    <row r="272" ht="14.25" customHeight="1">
      <c r="A272" s="1">
        <v>269.0</v>
      </c>
      <c r="B272" s="1">
        <v>9.0</v>
      </c>
      <c r="C272" s="1" t="s">
        <v>778</v>
      </c>
      <c r="D272" s="1" t="s">
        <v>196</v>
      </c>
      <c r="E272" s="1" t="s">
        <v>381</v>
      </c>
      <c r="F272" s="1">
        <v>6.0</v>
      </c>
      <c r="G272" s="1" t="s">
        <v>1009</v>
      </c>
      <c r="H272" s="1" t="s">
        <v>1009</v>
      </c>
      <c r="I272" s="1" t="s">
        <v>1002</v>
      </c>
      <c r="J272" s="1">
        <v>-65.0</v>
      </c>
      <c r="K272" s="1">
        <v>271.0</v>
      </c>
      <c r="L272" s="1" t="str">
        <f t="shared" si="1"/>
        <v>Greg Dulcich</v>
      </c>
      <c r="M272" s="124">
        <f>IFERROR(VLOOKUP(E272,RISK!A:B,2,FALSE()),"")</f>
        <v>2.1938</v>
      </c>
      <c r="N272" s="116">
        <f t="shared" si="2"/>
        <v>69.46142859</v>
      </c>
      <c r="Q272" s="8" t="s">
        <v>349</v>
      </c>
      <c r="R272" s="116">
        <f>Aggregate!BV26</f>
        <v>81.94815565</v>
      </c>
      <c r="S272" s="8"/>
      <c r="T272" s="8"/>
    </row>
    <row r="273" ht="14.25" customHeight="1">
      <c r="A273" s="1">
        <v>270.0</v>
      </c>
      <c r="B273" s="1">
        <v>9.0</v>
      </c>
      <c r="C273" s="1" t="s">
        <v>843</v>
      </c>
      <c r="D273" s="1" t="s">
        <v>196</v>
      </c>
      <c r="E273" s="1" t="s">
        <v>879</v>
      </c>
      <c r="F273" s="1">
        <v>6.0</v>
      </c>
      <c r="G273" s="1" t="s">
        <v>1009</v>
      </c>
      <c r="H273" s="1" t="s">
        <v>1009</v>
      </c>
      <c r="I273" s="1" t="s">
        <v>1007</v>
      </c>
      <c r="J273" s="1">
        <v>-11.0</v>
      </c>
      <c r="K273" s="1">
        <v>272.0</v>
      </c>
      <c r="L273" s="1" t="str">
        <f t="shared" si="1"/>
        <v>Chris Bell</v>
      </c>
      <c r="M273" s="124">
        <f>IFERROR(VLOOKUP(E273,RISK!A:B,2,FALSE()),"")</f>
        <v>3.7</v>
      </c>
      <c r="N273" s="116">
        <f t="shared" si="2"/>
        <v>48.31729412</v>
      </c>
      <c r="Q273" s="8" t="s">
        <v>353</v>
      </c>
      <c r="R273" s="116">
        <f>Aggregate!BV27</f>
        <v>80.65591535</v>
      </c>
      <c r="S273" s="8"/>
      <c r="T273" s="8"/>
    </row>
    <row r="274" ht="14.25" customHeight="1">
      <c r="A274" s="1">
        <v>271.0</v>
      </c>
      <c r="B274" s="1">
        <v>9.0</v>
      </c>
      <c r="C274" s="1" t="s">
        <v>1330</v>
      </c>
      <c r="D274" s="1" t="s">
        <v>170</v>
      </c>
      <c r="E274" s="1" t="s">
        <v>1331</v>
      </c>
      <c r="F274" s="1">
        <v>10.0</v>
      </c>
      <c r="G274" s="1" t="s">
        <v>1023</v>
      </c>
      <c r="H274" s="1" t="s">
        <v>1023</v>
      </c>
      <c r="I274" s="1" t="s">
        <v>1006</v>
      </c>
      <c r="J274" s="1">
        <v>-18.0</v>
      </c>
      <c r="K274" s="1">
        <v>273.0</v>
      </c>
      <c r="L274" s="1" t="str">
        <f t="shared" si="1"/>
        <v>Wil Lutz</v>
      </c>
      <c r="M274" s="124" t="str">
        <f>IFERROR(VLOOKUP(E274,RISK!A:B,2,FALSE()),"")</f>
        <v/>
      </c>
      <c r="N274" s="116" t="str">
        <f t="shared" si="2"/>
        <v>#N/A</v>
      </c>
      <c r="Q274" s="8" t="s">
        <v>357</v>
      </c>
      <c r="R274" s="116">
        <f>Aggregate!BV28</f>
        <v>78.677505</v>
      </c>
      <c r="S274" s="8"/>
      <c r="T274" s="8"/>
    </row>
    <row r="275" ht="14.25" customHeight="1">
      <c r="A275" s="1">
        <v>272.0</v>
      </c>
      <c r="B275" s="1">
        <v>9.0</v>
      </c>
      <c r="C275" s="1" t="s">
        <v>541</v>
      </c>
      <c r="D275" s="1" t="s">
        <v>150</v>
      </c>
      <c r="E275" s="1" t="s">
        <v>726</v>
      </c>
      <c r="F275" s="1">
        <v>14.0</v>
      </c>
      <c r="G275" s="1" t="s">
        <v>1023</v>
      </c>
      <c r="H275" s="1" t="s">
        <v>1023</v>
      </c>
      <c r="I275" s="1" t="s">
        <v>1004</v>
      </c>
      <c r="J275" s="1">
        <v>93.0</v>
      </c>
      <c r="K275" s="1">
        <v>274.0</v>
      </c>
      <c r="L275" s="1" t="str">
        <f t="shared" si="1"/>
        <v>Malik Davis</v>
      </c>
      <c r="M275" s="124">
        <f>IFERROR(VLOOKUP(E275,RISK!A:B,2,FALSE()),"")</f>
        <v>3.368</v>
      </c>
      <c r="N275" s="116">
        <f t="shared" si="2"/>
        <v>26.72039529</v>
      </c>
      <c r="Q275" s="8" t="s">
        <v>361</v>
      </c>
      <c r="R275" s="116">
        <f>Aggregate!BV29</f>
        <v>77.96041206</v>
      </c>
      <c r="S275" s="8"/>
      <c r="T275" s="8"/>
    </row>
    <row r="276" ht="14.25" customHeight="1">
      <c r="A276" s="1">
        <v>273.0</v>
      </c>
      <c r="B276" s="1">
        <v>9.0</v>
      </c>
      <c r="C276" s="1" t="s">
        <v>558</v>
      </c>
      <c r="D276" s="1" t="s">
        <v>193</v>
      </c>
      <c r="E276" s="1" t="s">
        <v>731</v>
      </c>
      <c r="F276" s="1">
        <v>13.0</v>
      </c>
      <c r="G276" s="1" t="s">
        <v>1005</v>
      </c>
      <c r="H276" s="1" t="s">
        <v>1009</v>
      </c>
      <c r="I276" s="1" t="s">
        <v>1004</v>
      </c>
      <c r="J276" s="1">
        <v>93.0</v>
      </c>
      <c r="K276" s="1">
        <v>275.0</v>
      </c>
      <c r="L276" s="1" t="str">
        <f t="shared" si="1"/>
        <v>DJ Giddens</v>
      </c>
      <c r="M276" s="124">
        <f>IFERROR(VLOOKUP(E276,RISK!A:B,2,FALSE()),"")</f>
        <v>3.368</v>
      </c>
      <c r="N276" s="116">
        <f t="shared" si="2"/>
        <v>24.12712</v>
      </c>
      <c r="Q276" s="8" t="s">
        <v>365</v>
      </c>
      <c r="R276" s="116">
        <f>Aggregate!BV30</f>
        <v>74.18802176</v>
      </c>
      <c r="S276" s="8"/>
      <c r="T276" s="8"/>
    </row>
    <row r="277" ht="14.25" customHeight="1">
      <c r="A277" s="1">
        <v>274.0</v>
      </c>
      <c r="B277" s="1">
        <v>9.0</v>
      </c>
      <c r="C277" s="1" t="s">
        <v>833</v>
      </c>
      <c r="D277" s="1" t="s">
        <v>134</v>
      </c>
      <c r="E277" s="1" t="s">
        <v>890</v>
      </c>
      <c r="F277" s="1">
        <v>8.0</v>
      </c>
      <c r="G277" s="1" t="s">
        <v>1005</v>
      </c>
      <c r="H277" s="1" t="s">
        <v>1009</v>
      </c>
      <c r="I277" s="1" t="s">
        <v>1004</v>
      </c>
      <c r="J277" s="1" t="s">
        <v>1023</v>
      </c>
      <c r="K277" s="1">
        <v>276.0</v>
      </c>
      <c r="L277" s="1" t="str">
        <f t="shared" si="1"/>
        <v>Darius Slayton</v>
      </c>
      <c r="M277" s="124">
        <f>IFERROR(VLOOKUP(E277,RISK!A:B,2,FALSE()),"")</f>
        <v>3.7</v>
      </c>
      <c r="N277" s="116">
        <f t="shared" si="2"/>
        <v>47.34052941</v>
      </c>
      <c r="Q277" s="8" t="s">
        <v>369</v>
      </c>
      <c r="R277" s="116">
        <f>Aggregate!BV31</f>
        <v>73.32716459</v>
      </c>
      <c r="S277" s="8"/>
      <c r="T277" s="8"/>
    </row>
    <row r="278" ht="14.25" customHeight="1">
      <c r="A278" s="1">
        <v>275.0</v>
      </c>
      <c r="B278" s="1">
        <v>9.0</v>
      </c>
      <c r="C278" s="1" t="s">
        <v>873</v>
      </c>
      <c r="D278" s="1" t="s">
        <v>140</v>
      </c>
      <c r="E278" s="1" t="s">
        <v>901</v>
      </c>
      <c r="F278" s="1">
        <v>8.0</v>
      </c>
      <c r="G278" s="1" t="s">
        <v>1005</v>
      </c>
      <c r="H278" s="1" t="s">
        <v>1009</v>
      </c>
      <c r="I278" s="1" t="s">
        <v>1003</v>
      </c>
      <c r="J278" s="1">
        <v>40.0</v>
      </c>
      <c r="K278" s="1">
        <v>277.0</v>
      </c>
      <c r="L278" s="1" t="str">
        <f t="shared" si="1"/>
        <v>Christian Kirk</v>
      </c>
      <c r="M278" s="124">
        <f>IFERROR(VLOOKUP(E278,RISK!A:B,2,FALSE()),"")</f>
        <v>3.7</v>
      </c>
      <c r="N278" s="116">
        <f t="shared" si="2"/>
        <v>45.12652941</v>
      </c>
      <c r="Q278" s="8" t="s">
        <v>373</v>
      </c>
      <c r="R278" s="116">
        <f>Aggregate!BV32</f>
        <v>70.17610247</v>
      </c>
      <c r="S278" s="8"/>
      <c r="T278" s="8"/>
    </row>
    <row r="279" ht="14.25" customHeight="1">
      <c r="A279" s="1">
        <v>276.0</v>
      </c>
      <c r="B279" s="1">
        <v>9.0</v>
      </c>
      <c r="C279" s="1" t="s">
        <v>847</v>
      </c>
      <c r="D279" s="1" t="s">
        <v>208</v>
      </c>
      <c r="E279" s="1" t="s">
        <v>912</v>
      </c>
      <c r="F279" s="1">
        <v>5.0</v>
      </c>
      <c r="G279" s="1" t="s">
        <v>1005</v>
      </c>
      <c r="H279" s="1" t="s">
        <v>1009</v>
      </c>
      <c r="I279" s="1" t="s">
        <v>1003</v>
      </c>
      <c r="J279" s="1">
        <v>95.0</v>
      </c>
      <c r="K279" s="1">
        <v>278.0</v>
      </c>
      <c r="L279" s="1" t="str">
        <f t="shared" si="1"/>
        <v>Xavier Legette</v>
      </c>
      <c r="M279" s="124">
        <f>IFERROR(VLOOKUP(E279,RISK!A:B,2,FALSE()),"")</f>
        <v>3.7</v>
      </c>
      <c r="N279" s="116">
        <f t="shared" si="2"/>
        <v>42.14558824</v>
      </c>
      <c r="Q279" s="8" t="s">
        <v>377</v>
      </c>
      <c r="R279" s="116">
        <f>Aggregate!BV33</f>
        <v>69.85284706</v>
      </c>
      <c r="S279" s="8"/>
      <c r="T279" s="8"/>
    </row>
    <row r="280" ht="14.25" customHeight="1">
      <c r="A280" s="1">
        <v>277.0</v>
      </c>
      <c r="B280" s="1">
        <v>9.0</v>
      </c>
      <c r="C280" s="1" t="s">
        <v>225</v>
      </c>
      <c r="D280" s="1" t="s">
        <v>226</v>
      </c>
      <c r="E280" s="1" t="s">
        <v>389</v>
      </c>
      <c r="F280" s="1">
        <v>11.0</v>
      </c>
      <c r="G280" s="1" t="s">
        <v>1001</v>
      </c>
      <c r="H280" s="1" t="s">
        <v>1000</v>
      </c>
      <c r="I280" s="1" t="s">
        <v>1004</v>
      </c>
      <c r="J280" s="1">
        <v>-14.0</v>
      </c>
      <c r="K280" s="1">
        <v>279.0</v>
      </c>
      <c r="L280" s="1" t="str">
        <f t="shared" si="1"/>
        <v>Deshaun Watson</v>
      </c>
      <c r="M280" s="124">
        <f>IFERROR(VLOOKUP(E280,RISK!A:B,2,FALSE()),"")</f>
        <v>3.2</v>
      </c>
      <c r="N280" s="116">
        <f t="shared" si="2"/>
        <v>53.99491765</v>
      </c>
      <c r="Q280" s="8" t="s">
        <v>381</v>
      </c>
      <c r="R280" s="116">
        <f>Aggregate!BV34</f>
        <v>69.46142859</v>
      </c>
      <c r="S280" s="8"/>
      <c r="T280" s="8"/>
    </row>
    <row r="281" ht="14.25" customHeight="1">
      <c r="A281" s="1">
        <v>278.0</v>
      </c>
      <c r="B281" s="1">
        <v>9.0</v>
      </c>
      <c r="C281" s="1" t="s">
        <v>801</v>
      </c>
      <c r="D281" s="1" t="s">
        <v>210</v>
      </c>
      <c r="E281" s="1" t="s">
        <v>387</v>
      </c>
      <c r="F281" s="1">
        <v>13.0</v>
      </c>
      <c r="G281" s="1" t="s">
        <v>1001</v>
      </c>
      <c r="H281" s="1" t="s">
        <v>1009</v>
      </c>
      <c r="I281" s="1" t="s">
        <v>1004</v>
      </c>
      <c r="J281" s="1">
        <v>68.0</v>
      </c>
      <c r="K281" s="1">
        <v>280.0</v>
      </c>
      <c r="L281" s="1" t="str">
        <f t="shared" si="1"/>
        <v>Mason Taylor</v>
      </c>
      <c r="M281" s="124">
        <f>IFERROR(VLOOKUP(E281,RISK!A:B,2,FALSE()),"")</f>
        <v>2.1938</v>
      </c>
      <c r="N281" s="116">
        <f t="shared" si="2"/>
        <v>65.10681212</v>
      </c>
      <c r="Q281" s="8" t="s">
        <v>387</v>
      </c>
      <c r="R281" s="116">
        <f>Aggregate!BV35</f>
        <v>65.10681212</v>
      </c>
      <c r="S281" s="8"/>
      <c r="T281" s="8"/>
    </row>
    <row r="282" ht="14.25" customHeight="1">
      <c r="A282" s="1">
        <v>279.0</v>
      </c>
      <c r="B282" s="1">
        <v>9.0</v>
      </c>
      <c r="C282" s="1" t="s">
        <v>983</v>
      </c>
      <c r="D282" s="1" t="s">
        <v>61</v>
      </c>
      <c r="E282" s="1" t="s">
        <v>923</v>
      </c>
      <c r="F282" s="1">
        <v>13.0</v>
      </c>
      <c r="G282" s="1" t="s">
        <v>1010</v>
      </c>
      <c r="H282" s="1" t="s">
        <v>1009</v>
      </c>
      <c r="I282" s="1" t="s">
        <v>1004</v>
      </c>
      <c r="J282" s="1">
        <v>89.0</v>
      </c>
      <c r="K282" s="1">
        <v>281.0</v>
      </c>
      <c r="L282" s="1" t="str">
        <f t="shared" si="1"/>
        <v>Elijah Sarratt</v>
      </c>
      <c r="M282" s="124">
        <f>IFERROR(VLOOKUP(E282,RISK!A:B,2,FALSE()),"")</f>
        <v>3.7</v>
      </c>
      <c r="N282" s="116">
        <f t="shared" si="2"/>
        <v>38.48452941</v>
      </c>
      <c r="Q282" s="8" t="s">
        <v>394</v>
      </c>
      <c r="R282" s="116">
        <f>Aggregate!BV36</f>
        <v>62.89942294</v>
      </c>
      <c r="S282" s="8"/>
      <c r="T282" s="8"/>
    </row>
    <row r="283" ht="14.25" customHeight="1">
      <c r="A283" s="1">
        <v>280.0</v>
      </c>
      <c r="B283" s="1">
        <v>9.0</v>
      </c>
      <c r="C283" s="1" t="s">
        <v>232</v>
      </c>
      <c r="D283" s="1" t="s">
        <v>226</v>
      </c>
      <c r="E283" s="1" t="s">
        <v>397</v>
      </c>
      <c r="F283" s="1">
        <v>11.0</v>
      </c>
      <c r="G283" s="1" t="s">
        <v>1010</v>
      </c>
      <c r="H283" s="1" t="s">
        <v>1009</v>
      </c>
      <c r="I283" s="1" t="s">
        <v>1004</v>
      </c>
      <c r="J283" s="1">
        <v>-15.0</v>
      </c>
      <c r="K283" s="1">
        <v>282.0</v>
      </c>
      <c r="L283" s="1" t="str">
        <f t="shared" si="1"/>
        <v>Shedeur Sanders</v>
      </c>
      <c r="M283" s="124">
        <f>IFERROR(VLOOKUP(E283,RISK!A:B,2,FALSE()),"")</f>
        <v>3.2</v>
      </c>
      <c r="N283" s="116">
        <f t="shared" si="2"/>
        <v>28.24734118</v>
      </c>
      <c r="Q283" s="8" t="s">
        <v>402</v>
      </c>
      <c r="R283" s="116">
        <f>Aggregate!BV37</f>
        <v>60.68230965</v>
      </c>
      <c r="S283" s="8"/>
      <c r="T283" s="8"/>
    </row>
    <row r="284" ht="14.25" customHeight="1">
      <c r="A284" s="1">
        <v>281.0</v>
      </c>
      <c r="B284" s="1">
        <v>9.0</v>
      </c>
      <c r="C284" s="1" t="s">
        <v>809</v>
      </c>
      <c r="D284" s="1" t="s">
        <v>134</v>
      </c>
      <c r="E284" s="1" t="s">
        <v>394</v>
      </c>
      <c r="F284" s="1">
        <v>8.0</v>
      </c>
      <c r="G284" s="1" t="s">
        <v>1001</v>
      </c>
      <c r="H284" s="1" t="s">
        <v>1000</v>
      </c>
      <c r="I284" s="1" t="s">
        <v>1007</v>
      </c>
      <c r="J284" s="1">
        <v>24.0</v>
      </c>
      <c r="K284" s="1">
        <v>283.0</v>
      </c>
      <c r="L284" s="1" t="str">
        <f t="shared" si="1"/>
        <v>Theo Johnson</v>
      </c>
      <c r="M284" s="124">
        <f>IFERROR(VLOOKUP(E284,RISK!A:B,2,FALSE()),"")</f>
        <v>2.1938</v>
      </c>
      <c r="N284" s="116">
        <f t="shared" si="2"/>
        <v>62.89942294</v>
      </c>
      <c r="Q284" s="8" t="s">
        <v>410</v>
      </c>
      <c r="R284" s="116">
        <f>Aggregate!BV38</f>
        <v>56.87342271</v>
      </c>
      <c r="S284" s="8"/>
      <c r="T284" s="8"/>
    </row>
    <row r="285" ht="14.25" customHeight="1">
      <c r="A285" s="1">
        <v>282.0</v>
      </c>
      <c r="B285" s="1">
        <v>9.0</v>
      </c>
      <c r="C285" s="1" t="s">
        <v>596</v>
      </c>
      <c r="D285" s="1" t="s">
        <v>193</v>
      </c>
      <c r="E285" s="1" t="s">
        <v>739</v>
      </c>
      <c r="F285" s="1">
        <v>13.0</v>
      </c>
      <c r="G285" s="1" t="s">
        <v>1009</v>
      </c>
      <c r="H285" s="1" t="s">
        <v>1009</v>
      </c>
      <c r="I285" s="1" t="s">
        <v>1004</v>
      </c>
      <c r="J285" s="1">
        <v>90.0</v>
      </c>
      <c r="K285" s="1">
        <v>284.0</v>
      </c>
      <c r="L285" s="1" t="str">
        <f t="shared" si="1"/>
        <v>Seth McGowan</v>
      </c>
      <c r="M285" s="124">
        <f>IFERROR(VLOOKUP(E285,RISK!A:B,2,FALSE()),"")</f>
        <v>3.368</v>
      </c>
      <c r="N285" s="116">
        <f t="shared" si="2"/>
        <v>23.99336941</v>
      </c>
      <c r="Q285" s="8" t="s">
        <v>417</v>
      </c>
      <c r="R285" s="116">
        <f>Aggregate!BV39</f>
        <v>52.52040906</v>
      </c>
      <c r="S285" s="8"/>
      <c r="T285" s="8"/>
    </row>
    <row r="286" ht="14.25" customHeight="1">
      <c r="A286" s="1">
        <v>283.0</v>
      </c>
      <c r="B286" s="1">
        <v>9.0</v>
      </c>
      <c r="C286" s="1" t="s">
        <v>1342</v>
      </c>
      <c r="D286" s="1" t="s">
        <v>189</v>
      </c>
      <c r="E286" s="1" t="s">
        <v>1344</v>
      </c>
      <c r="F286" s="1">
        <v>6.0</v>
      </c>
      <c r="G286" s="1" t="s">
        <v>1023</v>
      </c>
      <c r="H286" s="1" t="s">
        <v>1023</v>
      </c>
      <c r="I286" s="1" t="s">
        <v>1003</v>
      </c>
      <c r="J286" s="1">
        <v>-83.0</v>
      </c>
      <c r="K286" s="1">
        <v>285.0</v>
      </c>
      <c r="L286" s="1" t="str">
        <f t="shared" si="1"/>
        <v>Will Reichard</v>
      </c>
      <c r="M286" s="124" t="str">
        <f>IFERROR(VLOOKUP(E286,RISK!A:B,2,FALSE()),"")</f>
        <v/>
      </c>
      <c r="N286" s="116" t="str">
        <f t="shared" si="2"/>
        <v>#N/A</v>
      </c>
      <c r="Q286" s="8" t="s">
        <v>425</v>
      </c>
      <c r="R286" s="116">
        <f>Aggregate!BV40</f>
        <v>50.62002624</v>
      </c>
      <c r="S286" s="8"/>
      <c r="T286" s="8"/>
    </row>
    <row r="287" ht="14.25" customHeight="1">
      <c r="A287" s="1">
        <v>284.0</v>
      </c>
      <c r="B287" s="1">
        <v>9.0</v>
      </c>
      <c r="C287" s="1" t="s">
        <v>820</v>
      </c>
      <c r="D287" s="1" t="s">
        <v>196</v>
      </c>
      <c r="E287" s="1" t="s">
        <v>933</v>
      </c>
      <c r="F287" s="1">
        <v>6.0</v>
      </c>
      <c r="G287" s="1" t="s">
        <v>1005</v>
      </c>
      <c r="H287" s="1" t="s">
        <v>1009</v>
      </c>
      <c r="I287" s="1" t="s">
        <v>1007</v>
      </c>
      <c r="J287" s="1">
        <v>-57.0</v>
      </c>
      <c r="K287" s="1">
        <v>286.0</v>
      </c>
      <c r="L287" s="1" t="str">
        <f t="shared" si="1"/>
        <v>Caleb Douglas</v>
      </c>
      <c r="M287" s="124">
        <f>IFERROR(VLOOKUP(E287,RISK!A:B,2,FALSE()),"")</f>
        <v>3.7</v>
      </c>
      <c r="N287" s="116">
        <f t="shared" si="2"/>
        <v>37.58735294</v>
      </c>
      <c r="Q287" s="8" t="s">
        <v>433</v>
      </c>
      <c r="R287" s="116">
        <f>Aggregate!BV41</f>
        <v>47.96436306</v>
      </c>
      <c r="S287" s="8"/>
      <c r="T287" s="8"/>
    </row>
    <row r="288" ht="14.25" customHeight="1">
      <c r="A288" s="1">
        <v>285.0</v>
      </c>
      <c r="B288" s="1">
        <v>9.0</v>
      </c>
      <c r="C288" s="1" t="s">
        <v>935</v>
      </c>
      <c r="D288" s="1" t="s">
        <v>170</v>
      </c>
      <c r="E288" s="1" t="s">
        <v>1109</v>
      </c>
      <c r="F288" s="1">
        <v>10.0</v>
      </c>
      <c r="G288" s="1" t="s">
        <v>1010</v>
      </c>
      <c r="H288" s="1" t="s">
        <v>1009</v>
      </c>
      <c r="I288" s="1" t="s">
        <v>1003</v>
      </c>
      <c r="J288" s="1" t="s">
        <v>1023</v>
      </c>
      <c r="K288" s="1">
        <v>287.0</v>
      </c>
      <c r="L288" s="1" t="str">
        <f t="shared" si="1"/>
        <v>Marvin Mims Jr.</v>
      </c>
      <c r="M288" s="124">
        <f>IFERROR(VLOOKUP(E288,RISK!A:B,2,FALSE()),"")</f>
        <v>3.7</v>
      </c>
      <c r="N288" s="116" t="str">
        <f t="shared" si="2"/>
        <v>#N/A</v>
      </c>
      <c r="Q288" s="8" t="s">
        <v>440</v>
      </c>
      <c r="R288" s="116">
        <f>Aggregate!BV42</f>
        <v>45.96652471</v>
      </c>
      <c r="S288" s="8"/>
      <c r="T288" s="8"/>
    </row>
    <row r="289" ht="14.25" customHeight="1">
      <c r="A289" s="1">
        <v>286.0</v>
      </c>
      <c r="B289" s="1">
        <v>9.0</v>
      </c>
      <c r="C289" s="1" t="s">
        <v>627</v>
      </c>
      <c r="D289" s="1" t="s">
        <v>182</v>
      </c>
      <c r="E289" s="1" t="s">
        <v>750</v>
      </c>
      <c r="F289" s="1">
        <v>8.0</v>
      </c>
      <c r="G289" s="1" t="s">
        <v>1005</v>
      </c>
      <c r="H289" s="1" t="s">
        <v>1009</v>
      </c>
      <c r="I289" s="1" t="s">
        <v>1007</v>
      </c>
      <c r="J289" s="1">
        <v>42.0</v>
      </c>
      <c r="K289" s="1">
        <v>288.0</v>
      </c>
      <c r="L289" s="1" t="str">
        <f t="shared" si="1"/>
        <v>Devin Neal</v>
      </c>
      <c r="M289" s="124">
        <f>IFERROR(VLOOKUP(E289,RISK!A:B,2,FALSE()),"")</f>
        <v>3.368</v>
      </c>
      <c r="N289" s="116">
        <f t="shared" si="2"/>
        <v>23.39149176</v>
      </c>
      <c r="Q289" s="8" t="s">
        <v>448</v>
      </c>
      <c r="R289" s="116">
        <f>Aggregate!BV43</f>
        <v>43.45704482</v>
      </c>
      <c r="S289" s="8"/>
      <c r="T289" s="8"/>
    </row>
    <row r="290" ht="14.25" customHeight="1">
      <c r="A290" s="1">
        <v>287.0</v>
      </c>
      <c r="B290" s="1">
        <v>9.0</v>
      </c>
      <c r="C290" s="1" t="s">
        <v>606</v>
      </c>
      <c r="D290" s="1" t="s">
        <v>182</v>
      </c>
      <c r="E290" s="1" t="s">
        <v>760</v>
      </c>
      <c r="F290" s="1">
        <v>8.0</v>
      </c>
      <c r="G290" s="1" t="s">
        <v>1005</v>
      </c>
      <c r="H290" s="1" t="s">
        <v>1009</v>
      </c>
      <c r="I290" s="1" t="s">
        <v>1007</v>
      </c>
      <c r="J290" s="1" t="s">
        <v>1023</v>
      </c>
      <c r="K290" s="1">
        <v>289.0</v>
      </c>
      <c r="L290" s="1" t="str">
        <f t="shared" si="1"/>
        <v>Kendre Miller</v>
      </c>
      <c r="M290" s="124">
        <f>IFERROR(VLOOKUP(E290,RISK!A:B,2,FALSE()),"")</f>
        <v>3.368</v>
      </c>
      <c r="N290" s="116">
        <f t="shared" si="2"/>
        <v>23.13142118</v>
      </c>
      <c r="Q290" s="8" t="s">
        <v>456</v>
      </c>
      <c r="R290" s="116">
        <f>Aggregate!BV44</f>
        <v>43.25401247</v>
      </c>
      <c r="S290" s="8"/>
      <c r="T290" s="8"/>
    </row>
    <row r="291" ht="14.25" customHeight="1">
      <c r="A291" s="1">
        <v>288.0</v>
      </c>
      <c r="B291" s="1">
        <v>9.0</v>
      </c>
      <c r="C291" s="1" t="s">
        <v>516</v>
      </c>
      <c r="D291" s="1" t="s">
        <v>61</v>
      </c>
      <c r="E291" s="1" t="s">
        <v>770</v>
      </c>
      <c r="F291" s="1">
        <v>13.0</v>
      </c>
      <c r="G291" s="1" t="s">
        <v>1010</v>
      </c>
      <c r="H291" s="1" t="s">
        <v>1009</v>
      </c>
      <c r="I291" s="1" t="s">
        <v>1007</v>
      </c>
      <c r="J291" s="1">
        <v>62.0</v>
      </c>
      <c r="K291" s="1">
        <v>290.0</v>
      </c>
      <c r="L291" s="1" t="str">
        <f t="shared" si="1"/>
        <v>Adam Randall</v>
      </c>
      <c r="M291" s="124">
        <f>IFERROR(VLOOKUP(E291,RISK!A:B,2,FALSE()),"")</f>
        <v>3.368</v>
      </c>
      <c r="N291" s="116">
        <f t="shared" si="2"/>
        <v>20.28550588</v>
      </c>
      <c r="Q291" s="8" t="s">
        <v>463</v>
      </c>
      <c r="R291" s="116">
        <f>Aggregate!BV45</f>
        <v>38.01577776</v>
      </c>
      <c r="S291" s="8"/>
      <c r="T291" s="8"/>
    </row>
    <row r="292" ht="14.25" customHeight="1">
      <c r="A292" s="1">
        <v>289.0</v>
      </c>
      <c r="B292" s="1">
        <v>9.0</v>
      </c>
      <c r="C292" s="1" t="s">
        <v>574</v>
      </c>
      <c r="D292" s="1" t="s">
        <v>155</v>
      </c>
      <c r="E292" s="1" t="s">
        <v>781</v>
      </c>
      <c r="F292" s="1">
        <v>5.0</v>
      </c>
      <c r="G292" s="1" t="s">
        <v>1023</v>
      </c>
      <c r="H292" s="1" t="s">
        <v>1023</v>
      </c>
      <c r="I292" s="1" t="s">
        <v>1007</v>
      </c>
      <c r="J292" s="1">
        <v>59.0</v>
      </c>
      <c r="K292" s="1">
        <v>291.0</v>
      </c>
      <c r="L292" s="1" t="str">
        <f t="shared" si="1"/>
        <v>Brashard Smith</v>
      </c>
      <c r="M292" s="124">
        <f>IFERROR(VLOOKUP(E292,RISK!A:B,2,FALSE()),"")</f>
        <v>3.368</v>
      </c>
      <c r="N292" s="116">
        <f t="shared" si="2"/>
        <v>16.31757176</v>
      </c>
      <c r="Q292" s="8" t="s">
        <v>471</v>
      </c>
      <c r="R292" s="116">
        <f>Aggregate!BV46</f>
        <v>36.48897447</v>
      </c>
      <c r="S292" s="8"/>
      <c r="T292" s="8"/>
    </row>
    <row r="293" ht="14.25" customHeight="1">
      <c r="A293" s="1">
        <v>290.0</v>
      </c>
      <c r="B293" s="1">
        <v>9.0</v>
      </c>
      <c r="C293" s="1" t="s">
        <v>509</v>
      </c>
      <c r="D293" s="1" t="s">
        <v>155</v>
      </c>
      <c r="E293" s="1" t="s">
        <v>791</v>
      </c>
      <c r="F293" s="1">
        <v>5.0</v>
      </c>
      <c r="G293" s="1" t="s">
        <v>1001</v>
      </c>
      <c r="H293" s="1" t="s">
        <v>1000</v>
      </c>
      <c r="I293" s="1" t="s">
        <v>1007</v>
      </c>
      <c r="J293" s="1">
        <v>87.0</v>
      </c>
      <c r="K293" s="1">
        <v>292.0</v>
      </c>
      <c r="L293" s="1" t="str">
        <f t="shared" si="1"/>
        <v>Emari Demercado</v>
      </c>
      <c r="M293" s="124">
        <f>IFERROR(VLOOKUP(E293,RISK!A:B,2,FALSE()),"")</f>
        <v>3.368</v>
      </c>
      <c r="N293" s="116">
        <f t="shared" si="2"/>
        <v>16.18382118</v>
      </c>
      <c r="Q293" s="8" t="s">
        <v>479</v>
      </c>
      <c r="R293" s="116">
        <f>Aggregate!BV47</f>
        <v>32.87499859</v>
      </c>
      <c r="S293" s="8"/>
      <c r="T293" s="8"/>
    </row>
    <row r="294" ht="14.25" customHeight="1">
      <c r="A294" s="1">
        <v>291.0</v>
      </c>
      <c r="B294" s="1">
        <v>9.0</v>
      </c>
      <c r="C294" s="1" t="s">
        <v>697</v>
      </c>
      <c r="D294" s="1" t="s">
        <v>1383</v>
      </c>
      <c r="E294" s="1" t="s">
        <v>804</v>
      </c>
      <c r="F294" s="1" t="s">
        <v>1023</v>
      </c>
      <c r="G294" s="1" t="s">
        <v>1005</v>
      </c>
      <c r="H294" s="1" t="s">
        <v>1009</v>
      </c>
      <c r="I294" s="1" t="s">
        <v>1023</v>
      </c>
      <c r="J294" s="1">
        <v>16.0</v>
      </c>
      <c r="K294" s="1">
        <v>293.0</v>
      </c>
      <c r="L294" s="1" t="str">
        <f t="shared" si="1"/>
        <v>Trey Benson</v>
      </c>
      <c r="M294" s="124">
        <f>IFERROR(VLOOKUP(E294,RISK!A:B,2,FALSE()),"")</f>
        <v>3.368</v>
      </c>
      <c r="N294" s="116">
        <f t="shared" si="2"/>
        <v>13.40478118</v>
      </c>
      <c r="Q294" s="8" t="s">
        <v>487</v>
      </c>
      <c r="R294" s="116">
        <f>Aggregate!BV48</f>
        <v>31.75426</v>
      </c>
      <c r="S294" s="8"/>
      <c r="T294" s="8"/>
    </row>
    <row r="295" ht="14.25" customHeight="1">
      <c r="A295" s="1">
        <v>292.0</v>
      </c>
      <c r="B295" s="1">
        <v>9.0</v>
      </c>
      <c r="C295" s="1" t="s">
        <v>1384</v>
      </c>
      <c r="D295" s="1" t="s">
        <v>140</v>
      </c>
      <c r="E295" s="1" t="s">
        <v>1385</v>
      </c>
      <c r="F295" s="1">
        <v>8.0</v>
      </c>
      <c r="G295" s="1" t="s">
        <v>1023</v>
      </c>
      <c r="H295" s="1" t="s">
        <v>1023</v>
      </c>
      <c r="I295" s="1" t="s">
        <v>1007</v>
      </c>
      <c r="J295" s="1">
        <v>-74.0</v>
      </c>
      <c r="K295" s="1">
        <v>294.0</v>
      </c>
      <c r="L295" s="1" t="str">
        <f t="shared" si="1"/>
        <v>San Francisco 49ers</v>
      </c>
      <c r="M295" s="124" t="str">
        <f>IFERROR(VLOOKUP(E295,RISK!A:B,2,FALSE()),"")</f>
        <v/>
      </c>
      <c r="N295" s="116" t="str">
        <f t="shared" si="2"/>
        <v>#N/A</v>
      </c>
      <c r="Q295" s="8" t="s">
        <v>494</v>
      </c>
      <c r="R295" s="116">
        <f>Aggregate!BV49</f>
        <v>31.13704165</v>
      </c>
      <c r="S295" s="8"/>
      <c r="T295" s="8"/>
    </row>
    <row r="296" ht="14.25" customHeight="1">
      <c r="A296" s="1">
        <v>293.0</v>
      </c>
      <c r="B296" s="1">
        <v>9.0</v>
      </c>
      <c r="C296" s="1" t="s">
        <v>681</v>
      </c>
      <c r="D296" s="1" t="s">
        <v>134</v>
      </c>
      <c r="E296" s="1" t="s">
        <v>814</v>
      </c>
      <c r="F296" s="1">
        <v>8.0</v>
      </c>
      <c r="G296" s="1" t="s">
        <v>1023</v>
      </c>
      <c r="H296" s="1" t="s">
        <v>1023</v>
      </c>
      <c r="I296" s="1" t="s">
        <v>1004</v>
      </c>
      <c r="J296" s="1">
        <v>-25.0</v>
      </c>
      <c r="K296" s="1">
        <v>295.0</v>
      </c>
      <c r="L296" s="1" t="str">
        <f t="shared" si="1"/>
        <v>Devin Singletary</v>
      </c>
      <c r="M296" s="124">
        <f>IFERROR(VLOOKUP(E296,RISK!A:B,2,FALSE()),"")</f>
        <v>3.368</v>
      </c>
      <c r="N296" s="116">
        <f t="shared" si="2"/>
        <v>13.37505882</v>
      </c>
      <c r="Q296" s="8" t="s">
        <v>502</v>
      </c>
      <c r="R296" s="116">
        <f>Aggregate!BV50</f>
        <v>29.82951329</v>
      </c>
      <c r="S296" s="8"/>
      <c r="T296" s="8"/>
    </row>
    <row r="297" ht="14.25" customHeight="1">
      <c r="A297" s="1">
        <v>294.0</v>
      </c>
      <c r="B297" s="1">
        <v>10.0</v>
      </c>
      <c r="C297" s="1" t="s">
        <v>837</v>
      </c>
      <c r="D297" s="1" t="s">
        <v>117</v>
      </c>
      <c r="E297" s="1" t="s">
        <v>402</v>
      </c>
      <c r="F297" s="1">
        <v>10.0</v>
      </c>
      <c r="G297" s="1" t="s">
        <v>1009</v>
      </c>
      <c r="H297" s="1" t="s">
        <v>1009</v>
      </c>
      <c r="I297" s="1" t="s">
        <v>1004</v>
      </c>
      <c r="J297" s="1">
        <v>-28.0</v>
      </c>
      <c r="K297" s="1">
        <v>296.0</v>
      </c>
      <c r="L297" s="1" t="str">
        <f t="shared" si="1"/>
        <v>Eli Stowers</v>
      </c>
      <c r="M297" s="124">
        <f>IFERROR(VLOOKUP(E297,RISK!A:B,2,FALSE()),"")</f>
        <v>2.1938</v>
      </c>
      <c r="N297" s="116">
        <f t="shared" si="2"/>
        <v>60.68230965</v>
      </c>
      <c r="Q297" s="8" t="s">
        <v>508</v>
      </c>
      <c r="R297" s="116">
        <f>Aggregate!BV51</f>
        <v>14.95130247</v>
      </c>
      <c r="S297" s="8"/>
      <c r="T297" s="8"/>
    </row>
    <row r="298" ht="14.25" customHeight="1">
      <c r="A298" s="1">
        <v>295.0</v>
      </c>
      <c r="B298" s="1">
        <v>10.0</v>
      </c>
      <c r="C298" s="1" t="s">
        <v>1386</v>
      </c>
      <c r="D298" s="1" t="s">
        <v>229</v>
      </c>
      <c r="E298" s="1" t="s">
        <v>1387</v>
      </c>
      <c r="F298" s="1">
        <v>11.0</v>
      </c>
      <c r="G298" s="1" t="s">
        <v>1023</v>
      </c>
      <c r="H298" s="1" t="s">
        <v>1023</v>
      </c>
      <c r="I298" s="1" t="s">
        <v>1004</v>
      </c>
      <c r="J298" s="1">
        <v>-40.0</v>
      </c>
      <c r="K298" s="1">
        <v>297.0</v>
      </c>
      <c r="L298" s="1" t="str">
        <f t="shared" si="1"/>
        <v>Atlanta Falcons</v>
      </c>
      <c r="M298" s="124" t="str">
        <f>IFERROR(VLOOKUP(E298,RISK!A:B,2,FALSE()),"")</f>
        <v/>
      </c>
      <c r="N298" s="116" t="str">
        <f t="shared" si="2"/>
        <v>#N/A</v>
      </c>
      <c r="Q298" s="8" t="s">
        <v>514</v>
      </c>
      <c r="R298" s="116">
        <f>Aggregate!BV52</f>
        <v>13.36765012</v>
      </c>
      <c r="S298" s="8"/>
      <c r="T298" s="8"/>
    </row>
    <row r="299" ht="14.25" customHeight="1">
      <c r="A299" s="1">
        <v>296.0</v>
      </c>
      <c r="B299" s="1">
        <v>10.0</v>
      </c>
      <c r="C299" s="1" t="s">
        <v>650</v>
      </c>
      <c r="D299" s="1" t="s">
        <v>208</v>
      </c>
      <c r="E299" s="1" t="s">
        <v>825</v>
      </c>
      <c r="F299" s="1">
        <v>5.0</v>
      </c>
      <c r="G299" s="1" t="s">
        <v>1023</v>
      </c>
      <c r="H299" s="1" t="s">
        <v>1023</v>
      </c>
      <c r="I299" s="1" t="s">
        <v>1006</v>
      </c>
      <c r="J299" s="1" t="s">
        <v>1023</v>
      </c>
      <c r="K299" s="1">
        <v>298.0</v>
      </c>
      <c r="L299" s="1" t="str">
        <f t="shared" si="1"/>
        <v>Trevor Etienne</v>
      </c>
      <c r="M299" s="124">
        <f>IFERROR(VLOOKUP(E299,RISK!A:B,2,FALSE()),"")</f>
        <v>3.368</v>
      </c>
      <c r="N299" s="116">
        <f t="shared" si="2"/>
        <v>12.632</v>
      </c>
      <c r="Q299" s="8"/>
      <c r="R299" s="8"/>
      <c r="S299" s="8"/>
      <c r="T299" s="8"/>
    </row>
    <row r="300" ht="14.25" customHeight="1">
      <c r="A300" s="1">
        <v>297.0</v>
      </c>
      <c r="B300" s="1">
        <v>10.0</v>
      </c>
      <c r="C300" s="1" t="s">
        <v>899</v>
      </c>
      <c r="D300" s="1" t="s">
        <v>117</v>
      </c>
      <c r="E300" s="1" t="s">
        <v>1110</v>
      </c>
      <c r="F300" s="1">
        <v>10.0</v>
      </c>
      <c r="G300" s="1" t="s">
        <v>1023</v>
      </c>
      <c r="H300" s="1" t="s">
        <v>1023</v>
      </c>
      <c r="I300" s="1" t="s">
        <v>1004</v>
      </c>
      <c r="J300" s="1">
        <v>30.0</v>
      </c>
      <c r="K300" s="1">
        <v>299.0</v>
      </c>
      <c r="L300" s="1" t="str">
        <f t="shared" si="1"/>
        <v>Hollywood Brown</v>
      </c>
      <c r="M300" s="124">
        <f>IFERROR(VLOOKUP(E300,RISK!A:B,2,FALSE()),"")</f>
        <v>3.7</v>
      </c>
      <c r="N300" s="116" t="str">
        <f t="shared" si="2"/>
        <v>#N/A</v>
      </c>
      <c r="Q300" s="8"/>
      <c r="R300" s="8"/>
      <c r="S300" s="8"/>
      <c r="T300" s="8"/>
    </row>
    <row r="301" ht="14.25" customHeight="1">
      <c r="A301" s="1">
        <v>298.0</v>
      </c>
      <c r="B301" s="1">
        <v>10.0</v>
      </c>
      <c r="C301" s="1" t="s">
        <v>977</v>
      </c>
      <c r="D301" s="1" t="s">
        <v>155</v>
      </c>
      <c r="E301" s="1" t="s">
        <v>1111</v>
      </c>
      <c r="F301" s="1">
        <v>5.0</v>
      </c>
      <c r="G301" s="1" t="s">
        <v>1009</v>
      </c>
      <c r="H301" s="1" t="s">
        <v>1009</v>
      </c>
      <c r="I301" s="1" t="s">
        <v>1003</v>
      </c>
      <c r="J301" s="1">
        <v>-83.0</v>
      </c>
      <c r="K301" s="1">
        <v>300.0</v>
      </c>
      <c r="L301" s="1" t="str">
        <f t="shared" si="1"/>
        <v>Cyrus Allen</v>
      </c>
      <c r="M301" s="124">
        <f>IFERROR(VLOOKUP(E301,RISK!A:B,2,FALSE()),"")</f>
        <v>3.7</v>
      </c>
      <c r="N301" s="116" t="str">
        <f t="shared" si="2"/>
        <v>#N/A</v>
      </c>
      <c r="Q301" s="8"/>
      <c r="R301" s="8"/>
      <c r="S301" s="8"/>
      <c r="T301" s="8"/>
    </row>
    <row r="302" ht="14.25" customHeight="1">
      <c r="A302" s="1">
        <v>299.0</v>
      </c>
      <c r="B302" s="1">
        <v>10.0</v>
      </c>
      <c r="C302" s="1" t="s">
        <v>633</v>
      </c>
      <c r="D302" s="1" t="s">
        <v>127</v>
      </c>
      <c r="E302" s="1" t="s">
        <v>835</v>
      </c>
      <c r="F302" s="1">
        <v>6.0</v>
      </c>
      <c r="G302" s="1" t="s">
        <v>1023</v>
      </c>
      <c r="H302" s="1" t="s">
        <v>1023</v>
      </c>
      <c r="I302" s="1" t="s">
        <v>1003</v>
      </c>
      <c r="J302" s="1" t="s">
        <v>1023</v>
      </c>
      <c r="K302" s="1">
        <v>301.0</v>
      </c>
      <c r="L302" s="1" t="str">
        <f t="shared" si="1"/>
        <v>Tahj Brooks</v>
      </c>
      <c r="M302" s="124">
        <f>IFERROR(VLOOKUP(E302,RISK!A:B,2,FALSE()),"")</f>
        <v>3.368</v>
      </c>
      <c r="N302" s="116">
        <f t="shared" si="2"/>
        <v>10.29136471</v>
      </c>
      <c r="Q302" s="8"/>
      <c r="R302" s="8"/>
      <c r="S302" s="8"/>
      <c r="T302" s="8"/>
    </row>
    <row r="303" ht="14.25" customHeight="1">
      <c r="A303" s="1">
        <v>300.0</v>
      </c>
      <c r="B303" s="1">
        <v>10.0</v>
      </c>
      <c r="C303" s="1" t="s">
        <v>1018</v>
      </c>
      <c r="D303" s="1" t="s">
        <v>94</v>
      </c>
      <c r="E303" s="1" t="s">
        <v>1112</v>
      </c>
      <c r="F303" s="1">
        <v>11.0</v>
      </c>
      <c r="G303" s="1" t="s">
        <v>1023</v>
      </c>
      <c r="H303" s="1" t="s">
        <v>1023</v>
      </c>
      <c r="I303" s="1" t="s">
        <v>1003</v>
      </c>
      <c r="J303" s="1" t="s">
        <v>1023</v>
      </c>
      <c r="K303" s="1">
        <v>302.0</v>
      </c>
      <c r="L303" s="1" t="str">
        <f t="shared" si="1"/>
        <v>Kyle Williams</v>
      </c>
      <c r="M303" s="124">
        <f>IFERROR(VLOOKUP(E303,RISK!A:B,2,FALSE()),"")</f>
        <v>3.7</v>
      </c>
      <c r="N303" s="116" t="str">
        <f t="shared" si="2"/>
        <v>#N/A</v>
      </c>
      <c r="Q303" s="8"/>
      <c r="R303" s="8"/>
      <c r="S303" s="8"/>
      <c r="T303" s="8"/>
    </row>
    <row r="304" ht="14.25" customHeight="1">
      <c r="A304" s="1">
        <v>301.0</v>
      </c>
      <c r="B304" s="1">
        <v>10.0</v>
      </c>
      <c r="C304" s="1" t="s">
        <v>1014</v>
      </c>
      <c r="D304" s="1" t="s">
        <v>94</v>
      </c>
      <c r="E304" s="1" t="s">
        <v>1113</v>
      </c>
      <c r="F304" s="1">
        <v>11.0</v>
      </c>
      <c r="G304" s="1" t="s">
        <v>1023</v>
      </c>
      <c r="H304" s="1" t="s">
        <v>1023</v>
      </c>
      <c r="I304" s="1" t="s">
        <v>1003</v>
      </c>
      <c r="J304" s="1" t="s">
        <v>1023</v>
      </c>
      <c r="K304" s="1">
        <v>303.0</v>
      </c>
      <c r="L304" s="1" t="str">
        <f t="shared" si="1"/>
        <v>Mack Hollins</v>
      </c>
      <c r="M304" s="124">
        <f>IFERROR(VLOOKUP(E304,RISK!A:B,2,FALSE()),"")</f>
        <v>3.7</v>
      </c>
      <c r="N304" s="116" t="str">
        <f t="shared" si="2"/>
        <v>#N/A</v>
      </c>
      <c r="Q304" s="8"/>
      <c r="R304" s="8"/>
      <c r="S304" s="8"/>
      <c r="T304" s="8"/>
    </row>
    <row r="305" ht="14.25" customHeight="1">
      <c r="A305" s="1">
        <v>302.0</v>
      </c>
      <c r="B305" s="1">
        <v>10.0</v>
      </c>
      <c r="C305" s="1" t="s">
        <v>1389</v>
      </c>
      <c r="D305" s="1" t="s">
        <v>182</v>
      </c>
      <c r="E305" s="1" t="s">
        <v>1390</v>
      </c>
      <c r="F305" s="1">
        <v>8.0</v>
      </c>
      <c r="G305" s="1" t="s">
        <v>1023</v>
      </c>
      <c r="H305" s="1" t="s">
        <v>1023</v>
      </c>
      <c r="I305" s="1" t="s">
        <v>1002</v>
      </c>
      <c r="J305" s="1">
        <v>-1.0</v>
      </c>
      <c r="K305" s="1">
        <v>304.0</v>
      </c>
      <c r="L305" s="1" t="str">
        <f t="shared" si="1"/>
        <v>New Orleans Saints</v>
      </c>
      <c r="M305" s="124" t="str">
        <f>IFERROR(VLOOKUP(E305,RISK!A:B,2,FALSE()),"")</f>
        <v/>
      </c>
      <c r="N305" s="116" t="str">
        <f t="shared" si="2"/>
        <v>#N/A</v>
      </c>
      <c r="Q305" s="8"/>
      <c r="R305" s="8"/>
      <c r="S305" s="8"/>
      <c r="T305" s="8"/>
    </row>
    <row r="306" ht="14.25" customHeight="1">
      <c r="A306" s="1">
        <v>303.0</v>
      </c>
      <c r="B306" s="1">
        <v>10.0</v>
      </c>
      <c r="C306" s="1" t="s">
        <v>797</v>
      </c>
      <c r="D306" s="1" t="s">
        <v>127</v>
      </c>
      <c r="E306" s="1" t="s">
        <v>410</v>
      </c>
      <c r="F306" s="1">
        <v>6.0</v>
      </c>
      <c r="G306" s="1" t="s">
        <v>1023</v>
      </c>
      <c r="H306" s="1" t="s">
        <v>1023</v>
      </c>
      <c r="I306" s="1" t="s">
        <v>1007</v>
      </c>
      <c r="J306" s="1">
        <v>0.0</v>
      </c>
      <c r="K306" s="1">
        <v>305.0</v>
      </c>
      <c r="L306" s="1" t="str">
        <f t="shared" si="1"/>
        <v>Mike Gesicki</v>
      </c>
      <c r="M306" s="124">
        <f>IFERROR(VLOOKUP(E306,RISK!A:B,2,FALSE()),"")</f>
        <v>2.1938</v>
      </c>
      <c r="N306" s="116">
        <f t="shared" si="2"/>
        <v>56.87342271</v>
      </c>
      <c r="Q306" s="8"/>
      <c r="R306" s="8"/>
      <c r="S306" s="8"/>
      <c r="T306" s="8"/>
    </row>
    <row r="307" ht="14.25" customHeight="1">
      <c r="A307" s="1">
        <v>304.0</v>
      </c>
      <c r="B307" s="1">
        <v>10.0</v>
      </c>
      <c r="C307" s="1" t="s">
        <v>674</v>
      </c>
      <c r="D307" s="1" t="s">
        <v>220</v>
      </c>
      <c r="E307" s="1" t="s">
        <v>845</v>
      </c>
      <c r="F307" s="1">
        <v>9.0</v>
      </c>
      <c r="G307" s="1" t="s">
        <v>1005</v>
      </c>
      <c r="H307" s="1" t="s">
        <v>1000</v>
      </c>
      <c r="I307" s="1" t="s">
        <v>1003</v>
      </c>
      <c r="J307" s="1">
        <v>14.0</v>
      </c>
      <c r="K307" s="1">
        <v>306.0</v>
      </c>
      <c r="L307" s="1" t="str">
        <f t="shared" si="1"/>
        <v>Kaleb Johnson</v>
      </c>
      <c r="M307" s="124">
        <f>IFERROR(VLOOKUP(E307,RISK!A:B,2,FALSE()),"")</f>
        <v>3.368</v>
      </c>
      <c r="N307" s="116">
        <f t="shared" si="2"/>
        <v>9.228790588</v>
      </c>
      <c r="Q307" s="8"/>
      <c r="R307" s="8"/>
      <c r="S307" s="8"/>
      <c r="T307" s="8"/>
    </row>
    <row r="308" ht="14.25" customHeight="1">
      <c r="A308" s="1">
        <v>305.0</v>
      </c>
      <c r="B308" s="1">
        <v>10.0</v>
      </c>
      <c r="C308" s="1" t="s">
        <v>643</v>
      </c>
      <c r="D308" s="1" t="s">
        <v>140</v>
      </c>
      <c r="E308" s="1" t="s">
        <v>857</v>
      </c>
      <c r="F308" s="1">
        <v>8.0</v>
      </c>
      <c r="G308" s="1" t="s">
        <v>1023</v>
      </c>
      <c r="H308" s="1" t="s">
        <v>1023</v>
      </c>
      <c r="I308" s="1" t="s">
        <v>1003</v>
      </c>
      <c r="J308" s="1" t="s">
        <v>1023</v>
      </c>
      <c r="K308" s="1">
        <v>307.0</v>
      </c>
      <c r="L308" s="1" t="str">
        <f t="shared" si="1"/>
        <v>Isaac Guerendo</v>
      </c>
      <c r="M308" s="124">
        <f>IFERROR(VLOOKUP(E308,RISK!A:B,2,FALSE()),"")</f>
        <v>3.368</v>
      </c>
      <c r="N308" s="116">
        <f t="shared" si="2"/>
        <v>3.559251765</v>
      </c>
      <c r="Q308" s="8"/>
      <c r="R308" s="8"/>
      <c r="S308" s="8"/>
      <c r="T308" s="8"/>
    </row>
    <row r="309" ht="14.25" customHeight="1">
      <c r="A309" s="1">
        <v>306.0</v>
      </c>
      <c r="B309" s="1">
        <v>10.0</v>
      </c>
      <c r="C309" s="1" t="s">
        <v>1008</v>
      </c>
      <c r="D309" s="1" t="s">
        <v>226</v>
      </c>
      <c r="E309" s="1" t="s">
        <v>1114</v>
      </c>
      <c r="F309" s="1">
        <v>11.0</v>
      </c>
      <c r="G309" s="1" t="s">
        <v>1023</v>
      </c>
      <c r="H309" s="1" t="s">
        <v>1023</v>
      </c>
      <c r="I309" s="1" t="s">
        <v>1007</v>
      </c>
      <c r="J309" s="1" t="s">
        <v>1023</v>
      </c>
      <c r="K309" s="1">
        <v>308.0</v>
      </c>
      <c r="L309" s="1" t="str">
        <f t="shared" si="1"/>
        <v>Isaiah Bond</v>
      </c>
      <c r="M309" s="124">
        <f>IFERROR(VLOOKUP(E309,RISK!A:B,2,FALSE()),"")</f>
        <v>3.7</v>
      </c>
      <c r="N309" s="116" t="str">
        <f t="shared" si="2"/>
        <v>#N/A</v>
      </c>
      <c r="Q309" s="8"/>
      <c r="R309" s="8"/>
      <c r="S309" s="8"/>
      <c r="T309" s="8"/>
    </row>
    <row r="310" ht="14.25" customHeight="1">
      <c r="A310" s="1">
        <v>307.0</v>
      </c>
      <c r="B310" s="1">
        <v>10.0</v>
      </c>
      <c r="C310" s="1" t="s">
        <v>630</v>
      </c>
      <c r="D310" s="1" t="s">
        <v>106</v>
      </c>
      <c r="E310" s="1" t="s">
        <v>866</v>
      </c>
      <c r="F310" s="1">
        <v>7.0</v>
      </c>
      <c r="G310" s="1" t="s">
        <v>1005</v>
      </c>
      <c r="H310" s="1" t="s">
        <v>1009</v>
      </c>
      <c r="I310" s="1" t="s">
        <v>1004</v>
      </c>
      <c r="J310" s="1">
        <v>22.0</v>
      </c>
      <c r="K310" s="1">
        <v>309.0</v>
      </c>
      <c r="L310" s="1" t="str">
        <f t="shared" si="1"/>
        <v>Jerome Ford</v>
      </c>
      <c r="M310" s="124">
        <f>IFERROR(VLOOKUP(E310,RISK!A:B,2,FALSE()),"")</f>
        <v>3.368</v>
      </c>
      <c r="N310" s="116">
        <f t="shared" si="2"/>
        <v>0</v>
      </c>
      <c r="Q310" s="8"/>
      <c r="R310" s="8"/>
      <c r="S310" s="8"/>
      <c r="T310" s="8"/>
    </row>
    <row r="311" ht="14.25" customHeight="1">
      <c r="A311" s="1">
        <v>308.0</v>
      </c>
      <c r="B311" s="1">
        <v>10.0</v>
      </c>
      <c r="C311" s="1" t="s">
        <v>1392</v>
      </c>
      <c r="D311" s="1" t="s">
        <v>176</v>
      </c>
      <c r="E311" s="1" t="s">
        <v>875</v>
      </c>
      <c r="F311" s="1">
        <v>11.0</v>
      </c>
      <c r="G311" s="1" t="s">
        <v>1023</v>
      </c>
      <c r="H311" s="1" t="s">
        <v>1023</v>
      </c>
      <c r="I311" s="1" t="s">
        <v>1002</v>
      </c>
      <c r="J311" s="1" t="s">
        <v>1023</v>
      </c>
      <c r="K311" s="1">
        <v>310.0</v>
      </c>
      <c r="L311" s="1" t="str">
        <f t="shared" si="1"/>
        <v>Jarquez Hunter</v>
      </c>
      <c r="M311" s="124">
        <f>IFERROR(VLOOKUP(E311,RISK!A:B,2,FALSE()),"")</f>
        <v>3.368</v>
      </c>
      <c r="N311" s="116">
        <f t="shared" si="2"/>
        <v>0</v>
      </c>
      <c r="Q311" s="8"/>
      <c r="R311" s="8"/>
      <c r="S311" s="8"/>
      <c r="T311" s="8"/>
    </row>
    <row r="312" ht="14.25" customHeight="1">
      <c r="A312" s="1">
        <v>309.0</v>
      </c>
      <c r="B312" s="1">
        <v>10.0</v>
      </c>
      <c r="C312" s="1" t="s">
        <v>1393</v>
      </c>
      <c r="D312" s="1" t="s">
        <v>182</v>
      </c>
      <c r="E312" s="1" t="s">
        <v>887</v>
      </c>
      <c r="F312" s="1">
        <v>8.0</v>
      </c>
      <c r="G312" s="1" t="s">
        <v>1023</v>
      </c>
      <c r="H312" s="1" t="s">
        <v>1023</v>
      </c>
      <c r="I312" s="1" t="s">
        <v>1007</v>
      </c>
      <c r="J312" s="1" t="s">
        <v>1023</v>
      </c>
      <c r="K312" s="1">
        <v>311.0</v>
      </c>
      <c r="L312" s="1" t="str">
        <f t="shared" si="1"/>
        <v>Audric Estime</v>
      </c>
      <c r="M312" s="124">
        <f>IFERROR(VLOOKUP(E312,RISK!A:B,2,FALSE()),"")</f>
        <v>3.368</v>
      </c>
      <c r="N312" s="116">
        <f t="shared" si="2"/>
        <v>0</v>
      </c>
      <c r="Q312" s="8"/>
      <c r="R312" s="8"/>
      <c r="S312" s="8"/>
      <c r="T312" s="8"/>
    </row>
    <row r="313" ht="14.25" customHeight="1">
      <c r="A313" s="1">
        <v>310.0</v>
      </c>
      <c r="B313" s="1">
        <v>10.0</v>
      </c>
      <c r="C313" s="1" t="s">
        <v>1394</v>
      </c>
      <c r="D313" s="1" t="s">
        <v>170</v>
      </c>
      <c r="E313" s="1" t="s">
        <v>897</v>
      </c>
      <c r="F313" s="1">
        <v>10.0</v>
      </c>
      <c r="G313" s="1" t="s">
        <v>1023</v>
      </c>
      <c r="H313" s="1" t="s">
        <v>1023</v>
      </c>
      <c r="I313" s="1" t="s">
        <v>1003</v>
      </c>
      <c r="J313" s="1" t="s">
        <v>1023</v>
      </c>
      <c r="K313" s="1">
        <v>312.0</v>
      </c>
      <c r="L313" s="1" t="str">
        <f t="shared" si="1"/>
        <v>Jaleel McLaughlin</v>
      </c>
      <c r="M313" s="124">
        <f>IFERROR(VLOOKUP(E313,RISK!A:B,2,FALSE()),"")</f>
        <v>3.368</v>
      </c>
      <c r="N313" s="116">
        <f t="shared" si="2"/>
        <v>0</v>
      </c>
      <c r="Q313" s="8"/>
      <c r="R313" s="8"/>
      <c r="S313" s="8"/>
      <c r="T313" s="8"/>
    </row>
    <row r="314" ht="14.25" customHeight="1">
      <c r="A314" s="1">
        <v>311.0</v>
      </c>
      <c r="B314" s="1">
        <v>10.0</v>
      </c>
      <c r="C314" s="1" t="s">
        <v>1013</v>
      </c>
      <c r="D314" s="1" t="s">
        <v>18</v>
      </c>
      <c r="E314" s="1" t="s">
        <v>1115</v>
      </c>
      <c r="F314" s="1">
        <v>7.0</v>
      </c>
      <c r="G314" s="1" t="s">
        <v>1023</v>
      </c>
      <c r="H314" s="1" t="s">
        <v>1023</v>
      </c>
      <c r="I314" s="1" t="s">
        <v>1004</v>
      </c>
      <c r="J314" s="1">
        <v>70.0</v>
      </c>
      <c r="K314" s="1">
        <v>313.0</v>
      </c>
      <c r="L314" s="1" t="str">
        <f t="shared" si="1"/>
        <v>Skyler Bell</v>
      </c>
      <c r="M314" s="124">
        <f>IFERROR(VLOOKUP(E314,RISK!A:B,2,FALSE()),"")</f>
        <v>3.7</v>
      </c>
      <c r="N314" s="116" t="str">
        <f t="shared" si="2"/>
        <v>#N/A</v>
      </c>
      <c r="Q314" s="8"/>
      <c r="R314" s="8"/>
      <c r="S314" s="8"/>
      <c r="T314" s="8"/>
    </row>
    <row r="315" ht="14.25" customHeight="1">
      <c r="A315" s="1">
        <v>312.0</v>
      </c>
      <c r="B315" s="1">
        <v>10.0</v>
      </c>
      <c r="C315" s="1" t="s">
        <v>1395</v>
      </c>
      <c r="D315" s="1" t="s">
        <v>182</v>
      </c>
      <c r="E315" s="1" t="s">
        <v>1396</v>
      </c>
      <c r="F315" s="1">
        <v>8.0</v>
      </c>
      <c r="G315" s="1" t="s">
        <v>1023</v>
      </c>
      <c r="H315" s="1" t="s">
        <v>1023</v>
      </c>
      <c r="I315" s="1" t="s">
        <v>1002</v>
      </c>
      <c r="J315" s="1">
        <v>-20.0</v>
      </c>
      <c r="K315" s="1">
        <v>314.0</v>
      </c>
      <c r="L315" s="1" t="str">
        <f t="shared" si="1"/>
        <v>Charlie Smyth</v>
      </c>
      <c r="M315" s="124" t="str">
        <f>IFERROR(VLOOKUP(E315,RISK!A:B,2,FALSE()),"")</f>
        <v/>
      </c>
      <c r="N315" s="116" t="str">
        <f t="shared" si="2"/>
        <v>#N/A</v>
      </c>
      <c r="Q315" s="8"/>
      <c r="R315" s="8"/>
      <c r="S315" s="8"/>
      <c r="T315" s="8"/>
    </row>
    <row r="316" ht="14.25" customHeight="1">
      <c r="A316" s="1">
        <v>313.0</v>
      </c>
      <c r="B316" s="1">
        <v>10.0</v>
      </c>
      <c r="C316" s="1" t="s">
        <v>1397</v>
      </c>
      <c r="D316" s="1" t="s">
        <v>140</v>
      </c>
      <c r="E316" s="1" t="s">
        <v>1117</v>
      </c>
      <c r="F316" s="1">
        <v>8.0</v>
      </c>
      <c r="G316" s="1" t="s">
        <v>1005</v>
      </c>
      <c r="H316" s="1" t="s">
        <v>1000</v>
      </c>
      <c r="I316" s="1" t="s">
        <v>1003</v>
      </c>
      <c r="J316" s="1">
        <v>-18.0</v>
      </c>
      <c r="K316" s="1">
        <v>315.0</v>
      </c>
      <c r="L316" s="1" t="str">
        <f t="shared" si="1"/>
        <v>Brandon Aiyuk</v>
      </c>
      <c r="M316" s="124">
        <f>IFERROR(VLOOKUP(E316,RISK!A:B,2,FALSE()),"")</f>
        <v>3.7</v>
      </c>
      <c r="N316" s="116" t="str">
        <f t="shared" si="2"/>
        <v>#N/A</v>
      </c>
      <c r="Q316" s="8"/>
      <c r="R316" s="8"/>
      <c r="S316" s="8"/>
      <c r="T316" s="8"/>
    </row>
    <row r="317" ht="14.25" customHeight="1">
      <c r="A317" s="1">
        <v>314.0</v>
      </c>
      <c r="B317" s="1">
        <v>10.0</v>
      </c>
      <c r="C317" s="1" t="s">
        <v>1399</v>
      </c>
      <c r="D317" s="1" t="s">
        <v>193</v>
      </c>
      <c r="E317" s="1" t="s">
        <v>1400</v>
      </c>
      <c r="F317" s="1">
        <v>13.0</v>
      </c>
      <c r="G317" s="1" t="s">
        <v>1023</v>
      </c>
      <c r="H317" s="1" t="s">
        <v>1023</v>
      </c>
      <c r="I317" s="1" t="s">
        <v>1002</v>
      </c>
      <c r="J317" s="1">
        <v>66.0</v>
      </c>
      <c r="K317" s="1">
        <v>316.0</v>
      </c>
      <c r="L317" s="1" t="str">
        <f t="shared" si="1"/>
        <v>Indianapolis Colts</v>
      </c>
      <c r="M317" s="124" t="str">
        <f>IFERROR(VLOOKUP(E317,RISK!A:B,2,FALSE()),"")</f>
        <v/>
      </c>
      <c r="N317" s="116" t="str">
        <f t="shared" si="2"/>
        <v>#N/A</v>
      </c>
      <c r="Q317" s="8"/>
      <c r="R317" s="8"/>
      <c r="S317" s="8"/>
      <c r="T317" s="8"/>
    </row>
    <row r="318" ht="14.25" customHeight="1">
      <c r="A318" s="1">
        <v>315.0</v>
      </c>
      <c r="B318" s="1">
        <v>10.0</v>
      </c>
      <c r="C318" s="1" t="s">
        <v>583</v>
      </c>
      <c r="D318" s="1" t="s">
        <v>117</v>
      </c>
      <c r="E318" s="1" t="s">
        <v>909</v>
      </c>
      <c r="F318" s="1">
        <v>10.0</v>
      </c>
      <c r="G318" s="1" t="s">
        <v>1023</v>
      </c>
      <c r="H318" s="1" t="s">
        <v>1023</v>
      </c>
      <c r="I318" s="1" t="s">
        <v>1004</v>
      </c>
      <c r="J318" s="1" t="s">
        <v>1023</v>
      </c>
      <c r="K318" s="1">
        <v>317.0</v>
      </c>
      <c r="L318" s="1" t="str">
        <f t="shared" si="1"/>
        <v>Will Shipley</v>
      </c>
      <c r="M318" s="124">
        <f>IFERROR(VLOOKUP(E318,RISK!A:B,2,FALSE()),"")</f>
        <v>3.368</v>
      </c>
      <c r="N318" s="116">
        <f t="shared" si="2"/>
        <v>0</v>
      </c>
      <c r="Q318" s="8"/>
      <c r="R318" s="8"/>
      <c r="S318" s="8"/>
      <c r="T318" s="8"/>
    </row>
    <row r="319" ht="14.25" customHeight="1">
      <c r="A319" s="1">
        <v>316.0</v>
      </c>
      <c r="B319" s="1">
        <v>10.0</v>
      </c>
      <c r="C319" s="1" t="s">
        <v>908</v>
      </c>
      <c r="D319" s="1" t="s">
        <v>127</v>
      </c>
      <c r="E319" s="1" t="s">
        <v>1118</v>
      </c>
      <c r="F319" s="1">
        <v>6.0</v>
      </c>
      <c r="G319" s="1" t="s">
        <v>1023</v>
      </c>
      <c r="H319" s="1" t="s">
        <v>1023</v>
      </c>
      <c r="I319" s="1" t="s">
        <v>1004</v>
      </c>
      <c r="J319" s="1">
        <v>57.0</v>
      </c>
      <c r="K319" s="1">
        <v>318.0</v>
      </c>
      <c r="L319" s="1" t="str">
        <f t="shared" si="1"/>
        <v>Andrei Iosivas</v>
      </c>
      <c r="M319" s="124">
        <f>IFERROR(VLOOKUP(E319,RISK!A:B,2,FALSE()),"")</f>
        <v>3.7</v>
      </c>
      <c r="N319" s="116" t="str">
        <f t="shared" si="2"/>
        <v>#N/A</v>
      </c>
      <c r="Q319" s="8"/>
      <c r="R319" s="8"/>
      <c r="S319" s="8"/>
      <c r="T319" s="8"/>
    </row>
    <row r="320" ht="14.25" customHeight="1">
      <c r="A320" s="1">
        <v>317.0</v>
      </c>
      <c r="B320" s="1">
        <v>10.0</v>
      </c>
      <c r="C320" s="1" t="s">
        <v>1401</v>
      </c>
      <c r="D320" s="1" t="s">
        <v>159</v>
      </c>
      <c r="E320" s="1" t="s">
        <v>1402</v>
      </c>
      <c r="F320" s="1">
        <v>10.0</v>
      </c>
      <c r="G320" s="1" t="s">
        <v>1023</v>
      </c>
      <c r="H320" s="1" t="s">
        <v>1023</v>
      </c>
      <c r="I320" s="1" t="s">
        <v>1003</v>
      </c>
      <c r="J320" s="1">
        <v>-101.0</v>
      </c>
      <c r="K320" s="1">
        <v>319.0</v>
      </c>
      <c r="L320" s="1" t="str">
        <f t="shared" si="1"/>
        <v>Chicago Bears</v>
      </c>
      <c r="M320" s="124" t="str">
        <f>IFERROR(VLOOKUP(E320,RISK!A:B,2,FALSE()),"")</f>
        <v/>
      </c>
      <c r="N320" s="116" t="str">
        <f t="shared" si="2"/>
        <v>#N/A</v>
      </c>
      <c r="Q320" s="8"/>
      <c r="R320" s="8"/>
      <c r="S320" s="8"/>
      <c r="T320" s="8"/>
    </row>
    <row r="321" ht="14.25" customHeight="1">
      <c r="A321" s="1">
        <v>318.0</v>
      </c>
      <c r="B321" s="1">
        <v>10.0</v>
      </c>
      <c r="C321" s="1" t="s">
        <v>1403</v>
      </c>
      <c r="D321" s="1" t="s">
        <v>1383</v>
      </c>
      <c r="E321" s="1" t="s">
        <v>1119</v>
      </c>
      <c r="F321" s="1" t="s">
        <v>1023</v>
      </c>
      <c r="G321" s="1" t="s">
        <v>1001</v>
      </c>
      <c r="H321" s="1" t="s">
        <v>1000</v>
      </c>
      <c r="I321" s="1" t="s">
        <v>1023</v>
      </c>
      <c r="J321" s="1">
        <v>-115.0</v>
      </c>
      <c r="K321" s="1">
        <v>320.0</v>
      </c>
      <c r="L321" s="1" t="str">
        <f t="shared" si="1"/>
        <v>Tyreek Hill</v>
      </c>
      <c r="M321" s="124">
        <f>IFERROR(VLOOKUP(E321,RISK!A:B,2,FALSE()),"")</f>
        <v>3.7</v>
      </c>
      <c r="N321" s="116" t="str">
        <f t="shared" si="2"/>
        <v>#N/A</v>
      </c>
      <c r="Q321" s="8"/>
      <c r="R321" s="8"/>
      <c r="S321" s="8"/>
      <c r="T321" s="8"/>
    </row>
    <row r="322" ht="14.25" customHeight="1">
      <c r="A322" s="1">
        <v>319.0</v>
      </c>
      <c r="B322" s="1">
        <v>10.0</v>
      </c>
      <c r="C322" s="1" t="s">
        <v>841</v>
      </c>
      <c r="D322" s="1" t="s">
        <v>140</v>
      </c>
      <c r="E322" s="1" t="s">
        <v>417</v>
      </c>
      <c r="F322" s="1">
        <v>8.0</v>
      </c>
      <c r="G322" s="1" t="s">
        <v>1023</v>
      </c>
      <c r="H322" s="1" t="s">
        <v>1023</v>
      </c>
      <c r="I322" s="1" t="s">
        <v>1007</v>
      </c>
      <c r="J322" s="1">
        <v>-62.0</v>
      </c>
      <c r="K322" s="1">
        <v>321.0</v>
      </c>
      <c r="L322" s="1" t="str">
        <f t="shared" si="1"/>
        <v>Jake Tonges</v>
      </c>
      <c r="M322" s="124">
        <f>IFERROR(VLOOKUP(E322,RISK!A:B,2,FALSE()),"")</f>
        <v>2.1938</v>
      </c>
      <c r="N322" s="116">
        <f t="shared" si="2"/>
        <v>52.52040906</v>
      </c>
      <c r="Q322" s="8"/>
      <c r="R322" s="8"/>
      <c r="S322" s="8"/>
      <c r="T322" s="8"/>
    </row>
    <row r="323" ht="14.25" customHeight="1">
      <c r="A323" s="1">
        <v>320.0</v>
      </c>
      <c r="B323" s="1">
        <v>10.0</v>
      </c>
      <c r="C323" s="1" t="s">
        <v>812</v>
      </c>
      <c r="D323" s="1" t="s">
        <v>220</v>
      </c>
      <c r="E323" s="1" t="s">
        <v>425</v>
      </c>
      <c r="F323" s="1">
        <v>9.0</v>
      </c>
      <c r="G323" s="1" t="s">
        <v>1023</v>
      </c>
      <c r="H323" s="1" t="s">
        <v>1023</v>
      </c>
      <c r="I323" s="1" t="s">
        <v>1003</v>
      </c>
      <c r="J323" s="1">
        <v>36.0</v>
      </c>
      <c r="K323" s="1">
        <v>322.0</v>
      </c>
      <c r="L323" s="1" t="str">
        <f t="shared" si="1"/>
        <v>Darnell Washington</v>
      </c>
      <c r="M323" s="124">
        <f>IFERROR(VLOOKUP(E323,RISK!A:B,2,FALSE()),"")</f>
        <v>2.1938</v>
      </c>
      <c r="N323" s="116">
        <f t="shared" si="2"/>
        <v>50.62002624</v>
      </c>
      <c r="Q323" s="8"/>
      <c r="R323" s="8"/>
      <c r="S323" s="8"/>
      <c r="T323" s="8"/>
    </row>
    <row r="324" ht="14.25" customHeight="1">
      <c r="A324" s="1">
        <v>321.0</v>
      </c>
      <c r="B324" s="1">
        <v>10.0</v>
      </c>
      <c r="C324" s="1" t="s">
        <v>792</v>
      </c>
      <c r="D324" s="1" t="s">
        <v>208</v>
      </c>
      <c r="E324" s="1" t="s">
        <v>433</v>
      </c>
      <c r="F324" s="1">
        <v>5.0</v>
      </c>
      <c r="G324" s="1" t="s">
        <v>1023</v>
      </c>
      <c r="H324" s="1" t="s">
        <v>1023</v>
      </c>
      <c r="I324" s="1" t="s">
        <v>1003</v>
      </c>
      <c r="J324" s="1">
        <v>4.0</v>
      </c>
      <c r="K324" s="1">
        <v>323.0</v>
      </c>
      <c r="L324" s="1" t="str">
        <f t="shared" si="1"/>
        <v>Darren Waller</v>
      </c>
      <c r="M324" s="124">
        <f>IFERROR(VLOOKUP(E324,RISK!A:B,2,FALSE()),"")</f>
        <v>2.1938</v>
      </c>
      <c r="N324" s="116">
        <f t="shared" si="2"/>
        <v>47.96436306</v>
      </c>
      <c r="Q324" s="8"/>
      <c r="R324" s="8"/>
      <c r="S324" s="8"/>
      <c r="T324" s="8"/>
    </row>
    <row r="325" ht="14.25" customHeight="1">
      <c r="A325" s="1">
        <v>322.0</v>
      </c>
      <c r="B325" s="1">
        <v>10.0</v>
      </c>
      <c r="C325" s="1" t="s">
        <v>918</v>
      </c>
      <c r="D325" s="1" t="s">
        <v>182</v>
      </c>
      <c r="E325" s="1" t="s">
        <v>440</v>
      </c>
      <c r="F325" s="1">
        <v>8.0</v>
      </c>
      <c r="G325" s="1" t="s">
        <v>1009</v>
      </c>
      <c r="H325" s="1" t="s">
        <v>1009</v>
      </c>
      <c r="I325" s="1" t="s">
        <v>1003</v>
      </c>
      <c r="J325" s="1" t="s">
        <v>1023</v>
      </c>
      <c r="K325" s="1">
        <v>324.0</v>
      </c>
      <c r="L325" s="1" t="str">
        <f t="shared" si="1"/>
        <v>Oscar Delp</v>
      </c>
      <c r="M325" s="124">
        <f>IFERROR(VLOOKUP(E325,RISK!A:B,2,FALSE()),"")</f>
        <v>2.1938</v>
      </c>
      <c r="N325" s="116">
        <f t="shared" si="2"/>
        <v>45.96652471</v>
      </c>
      <c r="Q325" s="8"/>
      <c r="R325" s="8"/>
      <c r="S325" s="8"/>
      <c r="T325" s="8"/>
    </row>
    <row r="326" ht="14.25" customHeight="1">
      <c r="A326" s="1">
        <v>323.0</v>
      </c>
      <c r="B326" s="1">
        <v>10.0</v>
      </c>
      <c r="C326" s="1" t="s">
        <v>805</v>
      </c>
      <c r="D326" s="1" t="s">
        <v>222</v>
      </c>
      <c r="E326" s="1" t="s">
        <v>448</v>
      </c>
      <c r="F326" s="1">
        <v>13.0</v>
      </c>
      <c r="G326" s="1" t="s">
        <v>1023</v>
      </c>
      <c r="H326" s="1" t="s">
        <v>1023</v>
      </c>
      <c r="I326" s="1" t="s">
        <v>1007</v>
      </c>
      <c r="J326" s="1">
        <v>11.0</v>
      </c>
      <c r="K326" s="1">
        <v>325.0</v>
      </c>
      <c r="L326" s="1" t="str">
        <f t="shared" si="1"/>
        <v>Michael Mayer</v>
      </c>
      <c r="M326" s="124">
        <f>IFERROR(VLOOKUP(E326,RISK!A:B,2,FALSE()),"")</f>
        <v>2.1938</v>
      </c>
      <c r="N326" s="116">
        <f t="shared" si="2"/>
        <v>43.45704482</v>
      </c>
      <c r="Q326" s="8"/>
      <c r="R326" s="8"/>
      <c r="S326" s="8"/>
      <c r="T326" s="8"/>
    </row>
    <row r="327" ht="14.25" customHeight="1">
      <c r="A327" s="1">
        <v>324.0</v>
      </c>
      <c r="B327" s="1">
        <v>10.0</v>
      </c>
      <c r="C327" s="1" t="s">
        <v>861</v>
      </c>
      <c r="D327" s="1" t="s">
        <v>229</v>
      </c>
      <c r="E327" s="1" t="s">
        <v>1121</v>
      </c>
      <c r="F327" s="1">
        <v>11.0</v>
      </c>
      <c r="G327" s="1" t="s">
        <v>1023</v>
      </c>
      <c r="H327" s="1" t="s">
        <v>1023</v>
      </c>
      <c r="I327" s="1" t="s">
        <v>1007</v>
      </c>
      <c r="J327" s="1">
        <v>38.0</v>
      </c>
      <c r="K327" s="1">
        <v>326.0</v>
      </c>
      <c r="L327" s="1" t="str">
        <f t="shared" si="1"/>
        <v>Jahan Dotson</v>
      </c>
      <c r="M327" s="124">
        <f>IFERROR(VLOOKUP(E327,RISK!A:B,2,FALSE()),"")</f>
        <v>3.7</v>
      </c>
      <c r="N327" s="116" t="str">
        <f t="shared" si="2"/>
        <v>#N/A</v>
      </c>
      <c r="Q327" s="8"/>
      <c r="R327" s="8"/>
      <c r="S327" s="8"/>
      <c r="T327" s="8"/>
    </row>
    <row r="328" ht="14.25" customHeight="1">
      <c r="A328" s="1">
        <v>325.0</v>
      </c>
      <c r="B328" s="1">
        <v>10.0</v>
      </c>
      <c r="C328" s="1" t="s">
        <v>952</v>
      </c>
      <c r="D328" s="1" t="s">
        <v>94</v>
      </c>
      <c r="E328" s="1" t="s">
        <v>1123</v>
      </c>
      <c r="F328" s="1">
        <v>11.0</v>
      </c>
      <c r="G328" s="1" t="s">
        <v>1023</v>
      </c>
      <c r="H328" s="1" t="s">
        <v>1023</v>
      </c>
      <c r="I328" s="1" t="s">
        <v>1003</v>
      </c>
      <c r="J328" s="1">
        <v>44.0</v>
      </c>
      <c r="K328" s="1">
        <v>327.0</v>
      </c>
      <c r="L328" s="1" t="str">
        <f t="shared" si="1"/>
        <v>DeMario Douglas</v>
      </c>
      <c r="M328" s="124">
        <f>IFERROR(VLOOKUP(E328,RISK!A:B,2,FALSE()),"")</f>
        <v>3.7</v>
      </c>
      <c r="N328" s="116" t="str">
        <f t="shared" si="2"/>
        <v>#N/A</v>
      </c>
      <c r="Q328" s="8"/>
      <c r="R328" s="8"/>
      <c r="S328" s="8"/>
      <c r="T328" s="8"/>
    </row>
    <row r="329" ht="14.25" customHeight="1">
      <c r="A329" s="1">
        <v>326.0</v>
      </c>
      <c r="B329" s="1">
        <v>11.0</v>
      </c>
      <c r="C329" s="1" t="s">
        <v>1405</v>
      </c>
      <c r="D329" s="1" t="s">
        <v>1383</v>
      </c>
      <c r="E329" s="1" t="s">
        <v>919</v>
      </c>
      <c r="F329" s="1" t="s">
        <v>1023</v>
      </c>
      <c r="G329" s="1" t="s">
        <v>1023</v>
      </c>
      <c r="H329" s="1" t="s">
        <v>1023</v>
      </c>
      <c r="I329" s="1" t="s">
        <v>1023</v>
      </c>
      <c r="J329" s="1">
        <v>-41.0</v>
      </c>
      <c r="K329" s="1">
        <v>328.0</v>
      </c>
      <c r="L329" s="1" t="str">
        <f t="shared" si="1"/>
        <v>Kareem Hunt</v>
      </c>
      <c r="M329" s="124">
        <f>IFERROR(VLOOKUP(E329,RISK!A:B,2,FALSE()),"")</f>
        <v>3.368</v>
      </c>
      <c r="N329" s="116">
        <f t="shared" si="2"/>
        <v>0</v>
      </c>
      <c r="Q329" s="8"/>
      <c r="R329" s="8"/>
      <c r="S329" s="8"/>
      <c r="T329" s="8"/>
    </row>
    <row r="330" ht="14.25" customHeight="1">
      <c r="A330" s="1">
        <v>327.0</v>
      </c>
      <c r="B330" s="1">
        <v>11.0</v>
      </c>
      <c r="C330" s="1" t="s">
        <v>238</v>
      </c>
      <c r="D330" s="1" t="s">
        <v>217</v>
      </c>
      <c r="E330" s="1" t="s">
        <v>404</v>
      </c>
      <c r="F330" s="1">
        <v>14.0</v>
      </c>
      <c r="G330" s="1" t="s">
        <v>1023</v>
      </c>
      <c r="H330" s="1" t="s">
        <v>1023</v>
      </c>
      <c r="I330" s="1" t="s">
        <v>1003</v>
      </c>
      <c r="J330" s="1">
        <v>-50.0</v>
      </c>
      <c r="K330" s="1">
        <v>329.0</v>
      </c>
      <c r="L330" s="1" t="str">
        <f t="shared" si="1"/>
        <v>Carson Beck</v>
      </c>
      <c r="M330" s="124">
        <f>IFERROR(VLOOKUP(E330,RISK!A:B,2,FALSE()),"")</f>
        <v>3.2</v>
      </c>
      <c r="N330" s="116">
        <f t="shared" si="2"/>
        <v>16.26654118</v>
      </c>
      <c r="Q330" s="8"/>
      <c r="R330" s="8"/>
      <c r="S330" s="8"/>
      <c r="T330" s="8"/>
    </row>
    <row r="331" ht="14.25" customHeight="1">
      <c r="A331" s="1">
        <v>328.0</v>
      </c>
      <c r="B331" s="1">
        <v>11.0</v>
      </c>
      <c r="C331" s="1" t="s">
        <v>823</v>
      </c>
      <c r="D331" s="1" t="s">
        <v>202</v>
      </c>
      <c r="E331" s="1" t="s">
        <v>456</v>
      </c>
      <c r="F331" s="1">
        <v>11.0</v>
      </c>
      <c r="G331" s="1" t="s">
        <v>1023</v>
      </c>
      <c r="H331" s="1" t="s">
        <v>1023</v>
      </c>
      <c r="I331" s="1" t="s">
        <v>1007</v>
      </c>
      <c r="J331" s="1">
        <v>36.0</v>
      </c>
      <c r="K331" s="1">
        <v>330.0</v>
      </c>
      <c r="L331" s="1" t="str">
        <f t="shared" si="1"/>
        <v>Elijah Arroyo</v>
      </c>
      <c r="M331" s="124">
        <f>IFERROR(VLOOKUP(E331,RISK!A:B,2,FALSE()),"")</f>
        <v>2.1938</v>
      </c>
      <c r="N331" s="116">
        <f t="shared" si="2"/>
        <v>43.25401247</v>
      </c>
      <c r="Q331" s="8"/>
      <c r="R331" s="8"/>
      <c r="S331" s="8"/>
      <c r="T331" s="8"/>
    </row>
    <row r="332" ht="14.25" customHeight="1">
      <c r="A332" s="1">
        <v>329.0</v>
      </c>
      <c r="B332" s="1">
        <v>11.0</v>
      </c>
      <c r="C332" s="1" t="s">
        <v>881</v>
      </c>
      <c r="D332" s="1" t="s">
        <v>196</v>
      </c>
      <c r="E332" s="1" t="s">
        <v>1124</v>
      </c>
      <c r="F332" s="1">
        <v>6.0</v>
      </c>
      <c r="G332" s="1" t="s">
        <v>1023</v>
      </c>
      <c r="H332" s="1" t="s">
        <v>1023</v>
      </c>
      <c r="I332" s="1" t="s">
        <v>1007</v>
      </c>
      <c r="J332" s="1">
        <v>-46.0</v>
      </c>
      <c r="K332" s="1">
        <v>331.0</v>
      </c>
      <c r="L332" s="1" t="str">
        <f t="shared" si="1"/>
        <v>Jalen Tolbert</v>
      </c>
      <c r="M332" s="124">
        <f>IFERROR(VLOOKUP(E332,RISK!A:B,2,FALSE()),"")</f>
        <v>3.7</v>
      </c>
      <c r="N332" s="116" t="str">
        <f t="shared" si="2"/>
        <v>#N/A</v>
      </c>
      <c r="Q332" s="8"/>
      <c r="R332" s="8"/>
      <c r="S332" s="8"/>
      <c r="T332" s="8"/>
    </row>
    <row r="333" ht="14.25" customHeight="1">
      <c r="A333" s="1">
        <v>330.0</v>
      </c>
      <c r="B333" s="1">
        <v>11.0</v>
      </c>
      <c r="C333" s="1" t="s">
        <v>980</v>
      </c>
      <c r="D333" s="1" t="s">
        <v>182</v>
      </c>
      <c r="E333" s="1" t="s">
        <v>1125</v>
      </c>
      <c r="F333" s="1">
        <v>8.0</v>
      </c>
      <c r="G333" s="1" t="s">
        <v>1023</v>
      </c>
      <c r="H333" s="1" t="s">
        <v>1023</v>
      </c>
      <c r="I333" s="1" t="s">
        <v>1007</v>
      </c>
      <c r="J333" s="1">
        <v>24.0</v>
      </c>
      <c r="K333" s="1">
        <v>332.0</v>
      </c>
      <c r="L333" s="1" t="str">
        <f t="shared" si="1"/>
        <v>Bryce Lance</v>
      </c>
      <c r="M333" s="124">
        <f>IFERROR(VLOOKUP(E333,RISK!A:B,2,FALSE()),"")</f>
        <v>3.7</v>
      </c>
      <c r="N333" s="116" t="str">
        <f t="shared" si="2"/>
        <v>#N/A</v>
      </c>
      <c r="Q333" s="8"/>
      <c r="R333" s="8"/>
      <c r="S333" s="8"/>
      <c r="T333" s="8"/>
    </row>
    <row r="334" ht="14.25" customHeight="1">
      <c r="A334" s="1">
        <v>331.0</v>
      </c>
      <c r="B334" s="1">
        <v>11.0</v>
      </c>
      <c r="C334" s="1" t="s">
        <v>240</v>
      </c>
      <c r="D334" s="1" t="s">
        <v>189</v>
      </c>
      <c r="E334" s="1" t="s">
        <v>412</v>
      </c>
      <c r="F334" s="1">
        <v>6.0</v>
      </c>
      <c r="G334" s="1" t="s">
        <v>1023</v>
      </c>
      <c r="H334" s="1" t="s">
        <v>1023</v>
      </c>
      <c r="I334" s="1" t="s">
        <v>1002</v>
      </c>
      <c r="J334" s="1">
        <v>-50.0</v>
      </c>
      <c r="K334" s="1">
        <v>333.0</v>
      </c>
      <c r="L334" s="1" t="str">
        <f t="shared" si="1"/>
        <v>J.J. McCarthy</v>
      </c>
      <c r="M334" s="124">
        <f>IFERROR(VLOOKUP(E334,RISK!A:B,2,FALSE()),"")</f>
        <v>3.2</v>
      </c>
      <c r="N334" s="116">
        <f t="shared" si="2"/>
        <v>14.88865882</v>
      </c>
      <c r="Q334" s="8"/>
      <c r="R334" s="8"/>
      <c r="S334" s="8"/>
      <c r="T334" s="8"/>
    </row>
    <row r="335" ht="14.25" customHeight="1">
      <c r="A335" s="1">
        <v>332.0</v>
      </c>
      <c r="B335" s="1">
        <v>11.0</v>
      </c>
      <c r="C335" s="1" t="s">
        <v>1407</v>
      </c>
      <c r="D335" s="1" t="s">
        <v>1383</v>
      </c>
      <c r="E335" s="1" t="s">
        <v>929</v>
      </c>
      <c r="F335" s="1" t="s">
        <v>1023</v>
      </c>
      <c r="G335" s="1" t="s">
        <v>1023</v>
      </c>
      <c r="H335" s="1" t="s">
        <v>1023</v>
      </c>
      <c r="I335" s="1" t="s">
        <v>1023</v>
      </c>
      <c r="J335" s="1" t="s">
        <v>1023</v>
      </c>
      <c r="K335" s="1">
        <v>334.0</v>
      </c>
      <c r="L335" s="1" t="str">
        <f t="shared" si="1"/>
        <v>Joe Mixon</v>
      </c>
      <c r="M335" s="124">
        <f>IFERROR(VLOOKUP(E335,RISK!A:B,2,FALSE()),"")</f>
        <v>3.368</v>
      </c>
      <c r="N335" s="116">
        <f t="shared" si="2"/>
        <v>0</v>
      </c>
      <c r="Q335" s="8"/>
      <c r="R335" s="8"/>
      <c r="S335" s="8"/>
      <c r="T335" s="8"/>
    </row>
    <row r="336" ht="14.25" customHeight="1">
      <c r="A336" s="1">
        <v>333.0</v>
      </c>
      <c r="B336" s="1">
        <v>11.0</v>
      </c>
      <c r="C336" s="1" t="s">
        <v>816</v>
      </c>
      <c r="D336" s="1" t="s">
        <v>127</v>
      </c>
      <c r="E336" s="1" t="s">
        <v>463</v>
      </c>
      <c r="F336" s="1">
        <v>6.0</v>
      </c>
      <c r="G336" s="1" t="s">
        <v>1023</v>
      </c>
      <c r="H336" s="1" t="s">
        <v>1023</v>
      </c>
      <c r="I336" s="1" t="s">
        <v>1007</v>
      </c>
      <c r="J336" s="1" t="s">
        <v>1023</v>
      </c>
      <c r="K336" s="1">
        <v>335.0</v>
      </c>
      <c r="L336" s="1" t="str">
        <f t="shared" si="1"/>
        <v>Erick All Jr.</v>
      </c>
      <c r="M336" s="124">
        <f>IFERROR(VLOOKUP(E336,RISK!A:B,2,FALSE()),"")</f>
        <v>2.1938</v>
      </c>
      <c r="N336" s="116">
        <f t="shared" si="2"/>
        <v>38.01577776</v>
      </c>
      <c r="Q336" s="8"/>
      <c r="R336" s="8"/>
      <c r="S336" s="8"/>
      <c r="T336" s="8"/>
    </row>
    <row r="337" ht="14.25" customHeight="1">
      <c r="A337" s="1">
        <v>334.0</v>
      </c>
      <c r="B337" s="1">
        <v>11.0</v>
      </c>
      <c r="C337" s="1" t="s">
        <v>826</v>
      </c>
      <c r="D337" s="1" t="s">
        <v>164</v>
      </c>
      <c r="E337" s="1" t="s">
        <v>471</v>
      </c>
      <c r="F337" s="1">
        <v>7.0</v>
      </c>
      <c r="G337" s="1" t="s">
        <v>1023</v>
      </c>
      <c r="H337" s="1" t="s">
        <v>1023</v>
      </c>
      <c r="I337" s="1" t="s">
        <v>1004</v>
      </c>
      <c r="J337" s="1">
        <v>-58.0</v>
      </c>
      <c r="K337" s="1">
        <v>336.0</v>
      </c>
      <c r="L337" s="1" t="str">
        <f t="shared" si="1"/>
        <v>Charlie Kolar</v>
      </c>
      <c r="M337" s="124">
        <f>IFERROR(VLOOKUP(E337,RISK!A:B,2,FALSE()),"")</f>
        <v>2.1938</v>
      </c>
      <c r="N337" s="116">
        <f t="shared" si="2"/>
        <v>36.48897447</v>
      </c>
      <c r="Q337" s="8"/>
      <c r="R337" s="8"/>
      <c r="S337" s="8"/>
      <c r="T337" s="8"/>
    </row>
    <row r="338" ht="14.25" customHeight="1">
      <c r="A338" s="1">
        <v>335.0</v>
      </c>
      <c r="B338" s="1">
        <v>11.0</v>
      </c>
      <c r="C338" s="1" t="s">
        <v>1011</v>
      </c>
      <c r="D338" s="1" t="s">
        <v>176</v>
      </c>
      <c r="E338" s="1" t="s">
        <v>1126</v>
      </c>
      <c r="F338" s="1">
        <v>11.0</v>
      </c>
      <c r="G338" s="1" t="s">
        <v>1023</v>
      </c>
      <c r="H338" s="1" t="s">
        <v>1023</v>
      </c>
      <c r="I338" s="1" t="s">
        <v>1006</v>
      </c>
      <c r="J338" s="1" t="s">
        <v>1023</v>
      </c>
      <c r="K338" s="1">
        <v>337.0</v>
      </c>
      <c r="L338" s="1" t="str">
        <f t="shared" si="1"/>
        <v>Konata Mumpfield</v>
      </c>
      <c r="M338" s="124">
        <f>IFERROR(VLOOKUP(E338,RISK!A:B,2,FALSE()),"")</f>
        <v>3.7</v>
      </c>
      <c r="N338" s="116" t="str">
        <f t="shared" si="2"/>
        <v>#N/A</v>
      </c>
      <c r="Q338" s="8"/>
      <c r="R338" s="8"/>
      <c r="S338" s="8"/>
      <c r="T338" s="8"/>
    </row>
    <row r="339" ht="14.25" customHeight="1">
      <c r="A339" s="1">
        <v>336.0</v>
      </c>
      <c r="B339" s="1">
        <v>11.0</v>
      </c>
      <c r="C339" s="1" t="s">
        <v>865</v>
      </c>
      <c r="D339" s="1" t="s">
        <v>205</v>
      </c>
      <c r="E339" s="1" t="s">
        <v>1127</v>
      </c>
      <c r="F339" s="1">
        <v>8.0</v>
      </c>
      <c r="G339" s="1" t="s">
        <v>1023</v>
      </c>
      <c r="H339" s="1" t="s">
        <v>1023</v>
      </c>
      <c r="I339" s="1" t="s">
        <v>1007</v>
      </c>
      <c r="J339" s="1">
        <v>23.0</v>
      </c>
      <c r="K339" s="1">
        <v>338.0</v>
      </c>
      <c r="L339" s="1" t="str">
        <f t="shared" si="1"/>
        <v>Xavier Hutchinson</v>
      </c>
      <c r="M339" s="124">
        <f>IFERROR(VLOOKUP(E339,RISK!A:B,2,FALSE()),"")</f>
        <v>3.7</v>
      </c>
      <c r="N339" s="116" t="str">
        <f t="shared" si="2"/>
        <v>#N/A</v>
      </c>
      <c r="Q339" s="8"/>
      <c r="R339" s="8"/>
      <c r="S339" s="8"/>
      <c r="T339" s="8"/>
    </row>
    <row r="340" ht="14.25" customHeight="1">
      <c r="A340" s="1">
        <v>337.0</v>
      </c>
      <c r="B340" s="1">
        <v>11.0</v>
      </c>
      <c r="C340" s="1" t="s">
        <v>1408</v>
      </c>
      <c r="D340" s="1" t="s">
        <v>150</v>
      </c>
      <c r="E340" s="1" t="s">
        <v>1409</v>
      </c>
      <c r="F340" s="1">
        <v>14.0</v>
      </c>
      <c r="G340" s="1" t="s">
        <v>1023</v>
      </c>
      <c r="H340" s="1" t="s">
        <v>1023</v>
      </c>
      <c r="I340" s="1" t="s">
        <v>1006</v>
      </c>
      <c r="J340" s="1">
        <v>-136.0</v>
      </c>
      <c r="K340" s="1">
        <v>339.0</v>
      </c>
      <c r="L340" s="1" t="str">
        <f t="shared" si="1"/>
        <v>Dallas Cowboys</v>
      </c>
      <c r="M340" s="124" t="str">
        <f>IFERROR(VLOOKUP(E340,RISK!A:B,2,FALSE()),"")</f>
        <v/>
      </c>
      <c r="N340" s="116" t="str">
        <f t="shared" si="2"/>
        <v>#N/A</v>
      </c>
      <c r="Q340" s="8"/>
      <c r="R340" s="8"/>
      <c r="S340" s="8"/>
      <c r="T340" s="8"/>
    </row>
    <row r="341" ht="14.25" customHeight="1">
      <c r="A341" s="1">
        <v>338.0</v>
      </c>
      <c r="B341" s="1">
        <v>11.0</v>
      </c>
      <c r="C341" s="1" t="s">
        <v>848</v>
      </c>
      <c r="D341" s="1" t="s">
        <v>94</v>
      </c>
      <c r="E341" s="1" t="s">
        <v>479</v>
      </c>
      <c r="F341" s="1">
        <v>11.0</v>
      </c>
      <c r="G341" s="1" t="s">
        <v>1023</v>
      </c>
      <c r="H341" s="1" t="s">
        <v>1023</v>
      </c>
      <c r="I341" s="1" t="s">
        <v>1004</v>
      </c>
      <c r="J341" s="1" t="s">
        <v>1023</v>
      </c>
      <c r="K341" s="1">
        <v>340.0</v>
      </c>
      <c r="L341" s="1" t="str">
        <f t="shared" si="1"/>
        <v>Eli Raridon</v>
      </c>
      <c r="M341" s="124">
        <f>IFERROR(VLOOKUP(E341,RISK!A:B,2,FALSE()),"")</f>
        <v>2.1938</v>
      </c>
      <c r="N341" s="116">
        <f t="shared" si="2"/>
        <v>32.87499859</v>
      </c>
      <c r="Q341" s="8"/>
      <c r="R341" s="8"/>
      <c r="S341" s="8"/>
      <c r="T341" s="8"/>
    </row>
    <row r="342" ht="14.25" customHeight="1">
      <c r="A342" s="1">
        <v>339.0</v>
      </c>
      <c r="B342" s="1">
        <v>11.0</v>
      </c>
      <c r="C342" s="1" t="s">
        <v>968</v>
      </c>
      <c r="D342" s="1" t="s">
        <v>226</v>
      </c>
      <c r="E342" s="1" t="s">
        <v>1128</v>
      </c>
      <c r="F342" s="1">
        <v>11.0</v>
      </c>
      <c r="G342" s="1" t="s">
        <v>1023</v>
      </c>
      <c r="H342" s="1" t="s">
        <v>1023</v>
      </c>
      <c r="I342" s="1" t="s">
        <v>1007</v>
      </c>
      <c r="J342" s="1" t="s">
        <v>1023</v>
      </c>
      <c r="K342" s="1">
        <v>341.0</v>
      </c>
      <c r="L342" s="1" t="str">
        <f t="shared" si="1"/>
        <v>Cedric Tillman</v>
      </c>
      <c r="M342" s="124">
        <f>IFERROR(VLOOKUP(E342,RISK!A:B,2,FALSE()),"")</f>
        <v>3.7</v>
      </c>
      <c r="N342" s="116" t="str">
        <f t="shared" si="2"/>
        <v>#N/A</v>
      </c>
      <c r="Q342" s="8"/>
      <c r="R342" s="8"/>
      <c r="S342" s="8"/>
      <c r="T342" s="8"/>
    </row>
    <row r="343" ht="14.25" customHeight="1">
      <c r="A343" s="1">
        <v>340.0</v>
      </c>
      <c r="B343" s="1">
        <v>11.0</v>
      </c>
      <c r="C343" s="1" t="s">
        <v>817</v>
      </c>
      <c r="D343" s="1" t="s">
        <v>159</v>
      </c>
      <c r="E343" s="1" t="s">
        <v>487</v>
      </c>
      <c r="F343" s="1">
        <v>10.0</v>
      </c>
      <c r="G343" s="1" t="s">
        <v>1023</v>
      </c>
      <c r="H343" s="1" t="s">
        <v>1023</v>
      </c>
      <c r="I343" s="1" t="s">
        <v>1003</v>
      </c>
      <c r="J343" s="1" t="s">
        <v>1023</v>
      </c>
      <c r="K343" s="1">
        <v>342.0</v>
      </c>
      <c r="L343" s="1" t="str">
        <f t="shared" si="1"/>
        <v>Cole Kmet</v>
      </c>
      <c r="M343" s="124">
        <f>IFERROR(VLOOKUP(E343,RISK!A:B,2,FALSE()),"")</f>
        <v>2.1938</v>
      </c>
      <c r="N343" s="116">
        <f t="shared" si="2"/>
        <v>31.75426</v>
      </c>
      <c r="Q343" s="8"/>
      <c r="R343" s="8"/>
      <c r="S343" s="8"/>
      <c r="T343" s="8"/>
    </row>
    <row r="344" ht="14.25" customHeight="1">
      <c r="A344" s="1">
        <v>341.0</v>
      </c>
      <c r="B344" s="1">
        <v>11.0</v>
      </c>
      <c r="C344" s="1" t="s">
        <v>808</v>
      </c>
      <c r="D344" s="1" t="s">
        <v>18</v>
      </c>
      <c r="E344" s="1" t="s">
        <v>494</v>
      </c>
      <c r="F344" s="1">
        <v>7.0</v>
      </c>
      <c r="G344" s="1" t="s">
        <v>1023</v>
      </c>
      <c r="H344" s="1" t="s">
        <v>1023</v>
      </c>
      <c r="I344" s="1" t="s">
        <v>1007</v>
      </c>
      <c r="J344" s="1">
        <v>-19.0</v>
      </c>
      <c r="K344" s="1">
        <v>343.0</v>
      </c>
      <c r="L344" s="1" t="str">
        <f t="shared" si="1"/>
        <v>Dawson Knox</v>
      </c>
      <c r="M344" s="124">
        <f>IFERROR(VLOOKUP(E344,RISK!A:B,2,FALSE()),"")</f>
        <v>2.1938</v>
      </c>
      <c r="N344" s="116">
        <f t="shared" si="2"/>
        <v>31.13704165</v>
      </c>
      <c r="Q344" s="8"/>
      <c r="R344" s="8"/>
      <c r="S344" s="8"/>
      <c r="T344" s="8"/>
    </row>
    <row r="345" ht="14.25" customHeight="1">
      <c r="A345" s="1">
        <v>342.0</v>
      </c>
      <c r="B345" s="1">
        <v>11.0</v>
      </c>
      <c r="C345" s="1" t="s">
        <v>813</v>
      </c>
      <c r="D345" s="1" t="s">
        <v>176</v>
      </c>
      <c r="E345" s="1" t="s">
        <v>502</v>
      </c>
      <c r="F345" s="1">
        <v>11.0</v>
      </c>
      <c r="G345" s="1" t="s">
        <v>1023</v>
      </c>
      <c r="H345" s="1" t="s">
        <v>1023</v>
      </c>
      <c r="I345" s="1" t="s">
        <v>1004</v>
      </c>
      <c r="J345" s="1" t="s">
        <v>1023</v>
      </c>
      <c r="K345" s="1">
        <v>344.0</v>
      </c>
      <c r="L345" s="1" t="str">
        <f t="shared" si="1"/>
        <v>Tyler Higbee</v>
      </c>
      <c r="M345" s="124">
        <f>IFERROR(VLOOKUP(E345,RISK!A:B,2,FALSE()),"")</f>
        <v>2.1938</v>
      </c>
      <c r="N345" s="116">
        <f t="shared" si="2"/>
        <v>29.82951329</v>
      </c>
      <c r="Q345" s="8"/>
      <c r="R345" s="8"/>
      <c r="S345" s="8"/>
      <c r="T345" s="8"/>
    </row>
    <row r="346" ht="14.25" customHeight="1">
      <c r="A346" s="1">
        <v>343.0</v>
      </c>
      <c r="B346" s="1">
        <v>11.0</v>
      </c>
      <c r="C346" s="1" t="s">
        <v>971</v>
      </c>
      <c r="D346" s="1" t="s">
        <v>106</v>
      </c>
      <c r="E346" s="1" t="s">
        <v>1129</v>
      </c>
      <c r="F346" s="1">
        <v>7.0</v>
      </c>
      <c r="G346" s="1" t="s">
        <v>1023</v>
      </c>
      <c r="H346" s="1" t="s">
        <v>1023</v>
      </c>
      <c r="I346" s="1" t="s">
        <v>1003</v>
      </c>
      <c r="J346" s="1" t="s">
        <v>1023</v>
      </c>
      <c r="K346" s="1">
        <v>345.0</v>
      </c>
      <c r="L346" s="1" t="str">
        <f t="shared" si="1"/>
        <v>Luke McCaffrey</v>
      </c>
      <c r="M346" s="124">
        <f>IFERROR(VLOOKUP(E346,RISK!A:B,2,FALSE()),"")</f>
        <v>3.7</v>
      </c>
      <c r="N346" s="116" t="str">
        <f t="shared" si="2"/>
        <v>#N/A</v>
      </c>
      <c r="Q346" s="8"/>
      <c r="R346" s="8"/>
      <c r="S346" s="8"/>
      <c r="T346" s="8"/>
    </row>
    <row r="347" ht="14.25" customHeight="1">
      <c r="A347" s="1">
        <v>344.0</v>
      </c>
      <c r="B347" s="1">
        <v>11.0</v>
      </c>
      <c r="C347" s="1" t="s">
        <v>272</v>
      </c>
      <c r="D347" s="1" t="s">
        <v>140</v>
      </c>
      <c r="E347" s="1" t="s">
        <v>420</v>
      </c>
      <c r="F347" s="1">
        <v>8.0</v>
      </c>
      <c r="G347" s="1" t="s">
        <v>1023</v>
      </c>
      <c r="H347" s="1" t="s">
        <v>1023</v>
      </c>
      <c r="I347" s="1" t="s">
        <v>1006</v>
      </c>
      <c r="J347" s="1" t="s">
        <v>1023</v>
      </c>
      <c r="K347" s="1">
        <v>346.0</v>
      </c>
      <c r="L347" s="1" t="str">
        <f t="shared" si="1"/>
        <v>Mac Jones</v>
      </c>
      <c r="M347" s="124">
        <f>IFERROR(VLOOKUP(E347,RISK!A:B,2,FALSE()),"")</f>
        <v>3.2</v>
      </c>
      <c r="N347" s="116">
        <f t="shared" si="2"/>
        <v>13.48668235</v>
      </c>
      <c r="Q347" s="8"/>
      <c r="R347" s="8"/>
      <c r="S347" s="8"/>
      <c r="T347" s="8"/>
    </row>
    <row r="348" ht="14.25" customHeight="1">
      <c r="A348" s="1">
        <v>345.0</v>
      </c>
      <c r="B348" s="1">
        <v>11.0</v>
      </c>
      <c r="C348" s="1" t="s">
        <v>1015</v>
      </c>
      <c r="D348" s="1" t="s">
        <v>164</v>
      </c>
      <c r="E348" s="1" t="s">
        <v>1130</v>
      </c>
      <c r="F348" s="1">
        <v>7.0</v>
      </c>
      <c r="G348" s="1" t="s">
        <v>1023</v>
      </c>
      <c r="H348" s="1" t="s">
        <v>1023</v>
      </c>
      <c r="I348" s="1" t="s">
        <v>1003</v>
      </c>
      <c r="J348" s="1">
        <v>30.0</v>
      </c>
      <c r="K348" s="1">
        <v>347.0</v>
      </c>
      <c r="L348" s="1" t="str">
        <f t="shared" si="1"/>
        <v>Brenen Thompson</v>
      </c>
      <c r="M348" s="124">
        <f>IFERROR(VLOOKUP(E348,RISK!A:B,2,FALSE()),"")</f>
        <v>3.7</v>
      </c>
      <c r="N348" s="116" t="str">
        <f t="shared" si="2"/>
        <v>#N/A</v>
      </c>
      <c r="Q348" s="8"/>
      <c r="R348" s="8"/>
      <c r="S348" s="8"/>
      <c r="T348" s="8"/>
    </row>
    <row r="349" ht="14.25" customHeight="1">
      <c r="A349" s="1">
        <v>346.0</v>
      </c>
      <c r="B349" s="1">
        <v>11.0</v>
      </c>
      <c r="C349" s="1" t="s">
        <v>962</v>
      </c>
      <c r="D349" s="1" t="s">
        <v>134</v>
      </c>
      <c r="E349" s="1" t="s">
        <v>1131</v>
      </c>
      <c r="F349" s="1">
        <v>8.0</v>
      </c>
      <c r="G349" s="1" t="s">
        <v>1023</v>
      </c>
      <c r="H349" s="1" t="s">
        <v>1023</v>
      </c>
      <c r="I349" s="1" t="s">
        <v>1004</v>
      </c>
      <c r="J349" s="1" t="s">
        <v>1023</v>
      </c>
      <c r="K349" s="1">
        <v>348.0</v>
      </c>
      <c r="L349" s="1" t="str">
        <f t="shared" si="1"/>
        <v>Calvin Austin III</v>
      </c>
      <c r="M349" s="124">
        <f>IFERROR(VLOOKUP(E349,RISK!A:B,2,FALSE()),"")</f>
        <v>3.7</v>
      </c>
      <c r="N349" s="116" t="str">
        <f t="shared" si="2"/>
        <v>#N/A</v>
      </c>
      <c r="Q349" s="8"/>
      <c r="R349" s="8"/>
      <c r="S349" s="8"/>
      <c r="T349" s="8"/>
    </row>
    <row r="350" ht="14.25" customHeight="1">
      <c r="A350" s="1">
        <v>347.0</v>
      </c>
      <c r="B350" s="1">
        <v>11.0</v>
      </c>
      <c r="C350" s="1" t="s">
        <v>836</v>
      </c>
      <c r="D350" s="1" t="s">
        <v>155</v>
      </c>
      <c r="E350" s="1" t="s">
        <v>508</v>
      </c>
      <c r="F350" s="1">
        <v>5.0</v>
      </c>
      <c r="G350" s="1" t="s">
        <v>1023</v>
      </c>
      <c r="H350" s="1" t="s">
        <v>1023</v>
      </c>
      <c r="I350" s="1" t="s">
        <v>1004</v>
      </c>
      <c r="J350" s="1" t="s">
        <v>1023</v>
      </c>
      <c r="K350" s="1">
        <v>349.0</v>
      </c>
      <c r="L350" s="1" t="str">
        <f t="shared" si="1"/>
        <v>Noah Gray</v>
      </c>
      <c r="M350" s="124">
        <f>IFERROR(VLOOKUP(E350,RISK!A:B,2,FALSE()),"")</f>
        <v>2.1938</v>
      </c>
      <c r="N350" s="116">
        <f t="shared" si="2"/>
        <v>14.95130247</v>
      </c>
      <c r="Q350" s="8"/>
      <c r="R350" s="8"/>
      <c r="S350" s="8"/>
      <c r="T350" s="8"/>
    </row>
    <row r="351" ht="14.25" customHeight="1">
      <c r="A351" s="1">
        <v>348.0</v>
      </c>
      <c r="B351" s="1">
        <v>11.0</v>
      </c>
      <c r="C351" s="1" t="s">
        <v>1019</v>
      </c>
      <c r="D351" s="1" t="s">
        <v>186</v>
      </c>
      <c r="E351" s="1" t="s">
        <v>1132</v>
      </c>
      <c r="F351" s="1">
        <v>10.0</v>
      </c>
      <c r="G351" s="1" t="s">
        <v>1023</v>
      </c>
      <c r="H351" s="1" t="s">
        <v>1023</v>
      </c>
      <c r="I351" s="1" t="s">
        <v>1004</v>
      </c>
      <c r="J351" s="1" t="s">
        <v>1023</v>
      </c>
      <c r="K351" s="1">
        <v>350.0</v>
      </c>
      <c r="L351" s="1" t="str">
        <f t="shared" si="1"/>
        <v>Tez Johnson</v>
      </c>
      <c r="M351" s="124">
        <f>IFERROR(VLOOKUP(E351,RISK!A:B,2,FALSE()),"")</f>
        <v>3.7</v>
      </c>
      <c r="N351" s="116" t="str">
        <f t="shared" si="2"/>
        <v>#N/A</v>
      </c>
      <c r="Q351" s="8"/>
      <c r="R351" s="8"/>
      <c r="S351" s="8"/>
      <c r="T351" s="8"/>
    </row>
    <row r="352" ht="14.25" customHeight="1">
      <c r="A352" s="1">
        <v>349.0</v>
      </c>
      <c r="B352" s="1">
        <v>11.0</v>
      </c>
      <c r="C352" s="1" t="s">
        <v>1021</v>
      </c>
      <c r="D352" s="1" t="s">
        <v>155</v>
      </c>
      <c r="E352" s="1" t="s">
        <v>1133</v>
      </c>
      <c r="F352" s="1">
        <v>5.0</v>
      </c>
      <c r="G352" s="1" t="s">
        <v>1023</v>
      </c>
      <c r="H352" s="1" t="s">
        <v>1023</v>
      </c>
      <c r="I352" s="1" t="s">
        <v>1003</v>
      </c>
      <c r="J352" s="1" t="s">
        <v>1023</v>
      </c>
      <c r="K352" s="1">
        <v>351.0</v>
      </c>
      <c r="L352" s="1" t="str">
        <f t="shared" si="1"/>
        <v>Jalen Royals</v>
      </c>
      <c r="M352" s="124">
        <f>IFERROR(VLOOKUP(E352,RISK!A:B,2,FALSE()),"")</f>
        <v>3.7</v>
      </c>
      <c r="N352" s="116" t="str">
        <f t="shared" si="2"/>
        <v>#N/A</v>
      </c>
      <c r="Q352" s="8"/>
      <c r="R352" s="8"/>
      <c r="S352" s="8"/>
      <c r="T352" s="8"/>
    </row>
    <row r="353" ht="14.25" customHeight="1">
      <c r="A353" s="1">
        <v>350.0</v>
      </c>
      <c r="B353" s="1">
        <v>11.0</v>
      </c>
      <c r="C353" s="1" t="s">
        <v>924</v>
      </c>
      <c r="D353" s="1" t="s">
        <v>176</v>
      </c>
      <c r="E353" s="1" t="s">
        <v>514</v>
      </c>
      <c r="F353" s="1">
        <v>11.0</v>
      </c>
      <c r="G353" s="1" t="s">
        <v>1023</v>
      </c>
      <c r="H353" s="1" t="s">
        <v>1023</v>
      </c>
      <c r="I353" s="1" t="s">
        <v>1004</v>
      </c>
      <c r="J353" s="1" t="s">
        <v>1023</v>
      </c>
      <c r="K353" s="1">
        <v>352.0</v>
      </c>
      <c r="L353" s="1" t="str">
        <f t="shared" si="1"/>
        <v>Max Klare</v>
      </c>
      <c r="M353" s="124">
        <f>IFERROR(VLOOKUP(E353,RISK!A:B,2,FALSE()),"")</f>
        <v>2.1938</v>
      </c>
      <c r="N353" s="116">
        <f t="shared" si="2"/>
        <v>13.36765012</v>
      </c>
      <c r="Q353" s="8"/>
      <c r="R353" s="8"/>
      <c r="S353" s="8"/>
      <c r="T353" s="8"/>
    </row>
    <row r="354" ht="14.25" customHeight="1">
      <c r="A354" s="1">
        <v>351.0</v>
      </c>
      <c r="B354" s="1">
        <v>11.0</v>
      </c>
      <c r="C354" s="1" t="s">
        <v>694</v>
      </c>
      <c r="D354" s="1" t="s">
        <v>217</v>
      </c>
      <c r="E354" s="1" t="s">
        <v>1067</v>
      </c>
      <c r="F354" s="1">
        <v>14.0</v>
      </c>
      <c r="G354" s="1" t="s">
        <v>1023</v>
      </c>
      <c r="H354" s="1" t="s">
        <v>1023</v>
      </c>
      <c r="I354" s="1" t="s">
        <v>1003</v>
      </c>
      <c r="J354" s="1">
        <v>-12.0</v>
      </c>
      <c r="K354" s="1">
        <v>353.0</v>
      </c>
      <c r="L354" s="1" t="str">
        <f t="shared" si="1"/>
        <v>Bam Knight</v>
      </c>
      <c r="M354" s="124">
        <f>IFERROR(VLOOKUP(E354,RISK!A:B,2,FALSE()),"")</f>
        <v>3.368</v>
      </c>
      <c r="N354" s="116" t="str">
        <f t="shared" si="2"/>
        <v>#N/A</v>
      </c>
      <c r="Q354" s="8"/>
      <c r="R354" s="8"/>
      <c r="S354" s="8"/>
      <c r="T354" s="8"/>
    </row>
    <row r="355" ht="14.25" customHeight="1">
      <c r="A355" s="1">
        <v>352.0</v>
      </c>
      <c r="B355" s="1">
        <v>11.0</v>
      </c>
      <c r="C355" s="1" t="s">
        <v>1333</v>
      </c>
      <c r="D355" s="1" t="s">
        <v>208</v>
      </c>
      <c r="E355" s="1" t="s">
        <v>1134</v>
      </c>
      <c r="F355" s="1">
        <v>5.0</v>
      </c>
      <c r="G355" s="1" t="s">
        <v>1023</v>
      </c>
      <c r="H355" s="1" t="s">
        <v>1023</v>
      </c>
      <c r="I355" s="1" t="s">
        <v>1003</v>
      </c>
      <c r="J355" s="1" t="s">
        <v>1023</v>
      </c>
      <c r="K355" s="1">
        <v>354.0</v>
      </c>
      <c r="L355" s="1" t="str">
        <f t="shared" si="1"/>
        <v>Chris Brazzell II</v>
      </c>
      <c r="M355" s="124">
        <f>IFERROR(VLOOKUP(E355,RISK!A:B,2,FALSE()),"")</f>
        <v>3.7</v>
      </c>
      <c r="N355" s="116" t="str">
        <f t="shared" si="2"/>
        <v>#N/A</v>
      </c>
      <c r="Q355" s="8"/>
      <c r="R355" s="8"/>
      <c r="S355" s="8"/>
      <c r="T355" s="8"/>
    </row>
    <row r="356" ht="14.25" customHeight="1">
      <c r="A356" s="1">
        <v>353.0</v>
      </c>
      <c r="B356" s="1">
        <v>11.0</v>
      </c>
      <c r="C356" s="1" t="s">
        <v>985</v>
      </c>
      <c r="D356" s="1" t="s">
        <v>229</v>
      </c>
      <c r="E356" s="1" t="s">
        <v>1135</v>
      </c>
      <c r="F356" s="1">
        <v>11.0</v>
      </c>
      <c r="G356" s="1" t="s">
        <v>1023</v>
      </c>
      <c r="H356" s="1" t="s">
        <v>1023</v>
      </c>
      <c r="I356" s="1" t="s">
        <v>1007</v>
      </c>
      <c r="J356" s="1" t="s">
        <v>1023</v>
      </c>
      <c r="K356" s="1">
        <v>355.0</v>
      </c>
      <c r="L356" s="1" t="str">
        <f t="shared" si="1"/>
        <v>Olamide Zaccheaus</v>
      </c>
      <c r="M356" s="124">
        <f>IFERROR(VLOOKUP(E356,RISK!A:B,2,FALSE()),"")</f>
        <v>3.7</v>
      </c>
      <c r="N356" s="116" t="str">
        <f t="shared" si="2"/>
        <v>#N/A</v>
      </c>
      <c r="Q356" s="8"/>
      <c r="R356" s="8"/>
      <c r="S356" s="8"/>
      <c r="T356" s="8"/>
    </row>
    <row r="357" ht="14.25" customHeight="1">
      <c r="A357" s="1">
        <v>354.0</v>
      </c>
      <c r="B357" s="1">
        <v>11.0</v>
      </c>
      <c r="C357" s="1" t="s">
        <v>970</v>
      </c>
      <c r="D357" s="1" t="s">
        <v>217</v>
      </c>
      <c r="E357" s="1" t="s">
        <v>1136</v>
      </c>
      <c r="F357" s="1">
        <v>14.0</v>
      </c>
      <c r="G357" s="1" t="s">
        <v>1023</v>
      </c>
      <c r="H357" s="1" t="s">
        <v>1023</v>
      </c>
      <c r="I357" s="1" t="s">
        <v>1003</v>
      </c>
      <c r="J357" s="1" t="s">
        <v>1023</v>
      </c>
      <c r="K357" s="1">
        <v>356.0</v>
      </c>
      <c r="L357" s="1" t="str">
        <f t="shared" si="1"/>
        <v>Kendrick Bourne</v>
      </c>
      <c r="M357" s="124">
        <f>IFERROR(VLOOKUP(E357,RISK!A:B,2,FALSE()),"")</f>
        <v>3.7</v>
      </c>
      <c r="N357" s="116" t="str">
        <f t="shared" si="2"/>
        <v>#N/A</v>
      </c>
      <c r="Q357" s="8"/>
      <c r="R357" s="8"/>
      <c r="S357" s="8"/>
      <c r="T357" s="8"/>
    </row>
    <row r="358" ht="14.25" customHeight="1">
      <c r="A358" s="1">
        <v>355.0</v>
      </c>
      <c r="B358" s="1">
        <v>11.0</v>
      </c>
      <c r="C358" s="1" t="s">
        <v>246</v>
      </c>
      <c r="D358" s="1" t="s">
        <v>155</v>
      </c>
      <c r="E358" s="1" t="s">
        <v>427</v>
      </c>
      <c r="F358" s="1">
        <v>5.0</v>
      </c>
      <c r="G358" s="1" t="s">
        <v>1023</v>
      </c>
      <c r="H358" s="1" t="s">
        <v>1023</v>
      </c>
      <c r="I358" s="1" t="s">
        <v>1003</v>
      </c>
      <c r="J358" s="1">
        <v>-71.0</v>
      </c>
      <c r="K358" s="1">
        <v>357.0</v>
      </c>
      <c r="L358" s="1" t="str">
        <f t="shared" si="1"/>
        <v>Justin Fields</v>
      </c>
      <c r="M358" s="124">
        <f>IFERROR(VLOOKUP(E358,RISK!A:B,2,FALSE()),"")</f>
        <v>3.2</v>
      </c>
      <c r="N358" s="116">
        <f t="shared" si="2"/>
        <v>12.09976471</v>
      </c>
      <c r="Q358" s="8"/>
      <c r="R358" s="8"/>
      <c r="S358" s="8"/>
      <c r="T358" s="8"/>
    </row>
    <row r="359" ht="14.25" customHeight="1">
      <c r="A359" s="1">
        <v>356.0</v>
      </c>
      <c r="B359" s="1">
        <v>11.0</v>
      </c>
      <c r="C359" s="1" t="s">
        <v>931</v>
      </c>
      <c r="D359" s="1" t="s">
        <v>18</v>
      </c>
      <c r="E359" s="1" t="s">
        <v>1137</v>
      </c>
      <c r="F359" s="1">
        <v>7.0</v>
      </c>
      <c r="G359" s="1" t="s">
        <v>1023</v>
      </c>
      <c r="H359" s="1" t="s">
        <v>1023</v>
      </c>
      <c r="I359" s="1" t="s">
        <v>1004</v>
      </c>
      <c r="J359" s="1">
        <v>22.0</v>
      </c>
      <c r="K359" s="1">
        <v>358.0</v>
      </c>
      <c r="L359" s="1" t="str">
        <f t="shared" si="1"/>
        <v>Joshua Palmer</v>
      </c>
      <c r="M359" s="124">
        <f>IFERROR(VLOOKUP(E359,RISK!A:B,2,FALSE()),"")</f>
        <v>3.7</v>
      </c>
      <c r="N359" s="116" t="str">
        <f t="shared" si="2"/>
        <v>#N/A</v>
      </c>
      <c r="Q359" s="8"/>
      <c r="R359" s="8"/>
      <c r="S359" s="8"/>
      <c r="T359" s="8"/>
    </row>
    <row r="360" ht="14.25" customHeight="1">
      <c r="A360" s="1">
        <v>357.0</v>
      </c>
      <c r="B360" s="1">
        <v>11.0</v>
      </c>
      <c r="C360" s="1" t="s">
        <v>850</v>
      </c>
      <c r="D360" s="1" t="s">
        <v>208</v>
      </c>
      <c r="E360" s="1" t="s">
        <v>520</v>
      </c>
      <c r="F360" s="1">
        <v>5.0</v>
      </c>
      <c r="G360" s="1" t="s">
        <v>1023</v>
      </c>
      <c r="H360" s="1" t="s">
        <v>1023</v>
      </c>
      <c r="I360" s="1" t="s">
        <v>1003</v>
      </c>
      <c r="J360" s="1" t="s">
        <v>1023</v>
      </c>
      <c r="K360" s="1">
        <v>359.0</v>
      </c>
      <c r="L360" s="1" t="str">
        <f t="shared" si="1"/>
        <v>Ja'Tavion Sanders</v>
      </c>
      <c r="M360" s="124">
        <f>IFERROR(VLOOKUP(E360,RISK!A:B,2,FALSE()),"")</f>
        <v>2.2775</v>
      </c>
      <c r="N360" s="116" t="str">
        <f t="shared" si="2"/>
        <v>#N/A</v>
      </c>
      <c r="Q360" s="8"/>
      <c r="R360" s="8"/>
      <c r="S360" s="8"/>
      <c r="T360" s="8"/>
    </row>
    <row r="361" ht="14.25" customHeight="1">
      <c r="A361" s="1">
        <v>358.0</v>
      </c>
      <c r="B361" s="1">
        <v>11.0</v>
      </c>
      <c r="C361" s="1" t="s">
        <v>975</v>
      </c>
      <c r="D361" s="1" t="s">
        <v>106</v>
      </c>
      <c r="E361" s="1" t="s">
        <v>1138</v>
      </c>
      <c r="F361" s="1">
        <v>7.0</v>
      </c>
      <c r="G361" s="1" t="s">
        <v>1023</v>
      </c>
      <c r="H361" s="1" t="s">
        <v>1023</v>
      </c>
      <c r="I361" s="1" t="s">
        <v>1003</v>
      </c>
      <c r="J361" s="1" t="s">
        <v>1023</v>
      </c>
      <c r="K361" s="1">
        <v>360.0</v>
      </c>
      <c r="L361" s="1" t="str">
        <f t="shared" si="1"/>
        <v>Treylon Burks</v>
      </c>
      <c r="M361" s="124">
        <f>IFERROR(VLOOKUP(E361,RISK!A:B,2,FALSE()),"")</f>
        <v>3.7</v>
      </c>
      <c r="N361" s="116" t="str">
        <f t="shared" si="2"/>
        <v>#N/A</v>
      </c>
      <c r="Q361" s="8"/>
      <c r="R361" s="8"/>
      <c r="S361" s="8"/>
      <c r="T361" s="8"/>
    </row>
    <row r="362" ht="14.25" customHeight="1">
      <c r="A362" s="1">
        <v>359.0</v>
      </c>
      <c r="B362" s="1">
        <v>11.0</v>
      </c>
      <c r="C362" s="1" t="s">
        <v>236</v>
      </c>
      <c r="D362" s="1" t="s">
        <v>176</v>
      </c>
      <c r="E362" s="1" t="s">
        <v>435</v>
      </c>
      <c r="F362" s="1">
        <v>11.0</v>
      </c>
      <c r="G362" s="1" t="s">
        <v>1023</v>
      </c>
      <c r="H362" s="1" t="s">
        <v>1023</v>
      </c>
      <c r="I362" s="1" t="s">
        <v>1007</v>
      </c>
      <c r="J362" s="1">
        <v>-68.0</v>
      </c>
      <c r="K362" s="1">
        <v>361.0</v>
      </c>
      <c r="L362" s="1" t="str">
        <f t="shared" si="1"/>
        <v>Ty Simpson</v>
      </c>
      <c r="M362" s="124">
        <f>IFERROR(VLOOKUP(E362,RISK!A:B,2,FALSE()),"")</f>
        <v>3.2</v>
      </c>
      <c r="N362" s="116">
        <f t="shared" si="2"/>
        <v>7.985694118</v>
      </c>
      <c r="Q362" s="8"/>
      <c r="R362" s="8"/>
      <c r="S362" s="8"/>
      <c r="T362" s="8"/>
    </row>
    <row r="363" ht="14.25" customHeight="1">
      <c r="A363" s="1">
        <v>360.0</v>
      </c>
      <c r="B363" s="1">
        <v>11.0</v>
      </c>
      <c r="C363" s="1" t="s">
        <v>1413</v>
      </c>
      <c r="D363" s="1" t="s">
        <v>117</v>
      </c>
      <c r="E363" s="1" t="s">
        <v>1414</v>
      </c>
      <c r="F363" s="1">
        <v>10.0</v>
      </c>
      <c r="G363" s="1" t="s">
        <v>1023</v>
      </c>
      <c r="H363" s="1" t="s">
        <v>1023</v>
      </c>
      <c r="I363" s="1" t="s">
        <v>1002</v>
      </c>
      <c r="J363" s="1">
        <v>-122.0</v>
      </c>
      <c r="K363" s="1">
        <v>362.0</v>
      </c>
      <c r="L363" s="1" t="str">
        <f t="shared" si="1"/>
        <v>Jake Elliott</v>
      </c>
      <c r="M363" s="124" t="str">
        <f>IFERROR(VLOOKUP(E363,RISK!A:B,2,FALSE()),"")</f>
        <v/>
      </c>
      <c r="N363" s="116" t="str">
        <f t="shared" si="2"/>
        <v>#N/A</v>
      </c>
      <c r="Q363" s="8"/>
      <c r="R363" s="8"/>
      <c r="S363" s="8"/>
      <c r="T363" s="8"/>
    </row>
    <row r="364" ht="14.25" customHeight="1">
      <c r="A364" s="1">
        <v>361.0</v>
      </c>
      <c r="B364" s="1">
        <v>11.0</v>
      </c>
      <c r="C364" s="1" t="s">
        <v>1334</v>
      </c>
      <c r="D364" s="1" t="s">
        <v>220</v>
      </c>
      <c r="E364" s="1" t="s">
        <v>1068</v>
      </c>
      <c r="F364" s="1">
        <v>9.0</v>
      </c>
      <c r="G364" s="1" t="s">
        <v>1023</v>
      </c>
      <c r="H364" s="1" t="s">
        <v>1023</v>
      </c>
      <c r="I364" s="1" t="s">
        <v>1003</v>
      </c>
      <c r="J364" s="1" t="s">
        <v>1023</v>
      </c>
      <c r="K364" s="1">
        <v>363.0</v>
      </c>
      <c r="L364" s="1" t="str">
        <f t="shared" si="1"/>
        <v>Eli Heidenreich</v>
      </c>
      <c r="M364" s="124">
        <f>IFERROR(VLOOKUP(E364,RISK!A:B,2,FALSE()),"")</f>
        <v>3.368</v>
      </c>
      <c r="N364" s="116" t="str">
        <f t="shared" si="2"/>
        <v>#N/A</v>
      </c>
      <c r="Q364" s="8"/>
      <c r="R364" s="8"/>
      <c r="S364" s="8"/>
      <c r="T364" s="8"/>
    </row>
    <row r="365" ht="14.25" customHeight="1">
      <c r="A365" s="1">
        <v>362.0</v>
      </c>
      <c r="B365" s="1">
        <v>11.0</v>
      </c>
      <c r="C365" s="1" t="s">
        <v>1415</v>
      </c>
      <c r="D365" s="1" t="s">
        <v>214</v>
      </c>
      <c r="E365" s="1" t="s">
        <v>1069</v>
      </c>
      <c r="F365" s="1">
        <v>9.0</v>
      </c>
      <c r="G365" s="1" t="s">
        <v>1023</v>
      </c>
      <c r="H365" s="1" t="s">
        <v>1023</v>
      </c>
      <c r="I365" s="1" t="s">
        <v>1007</v>
      </c>
      <c r="J365" s="1" t="s">
        <v>1023</v>
      </c>
      <c r="K365" s="1">
        <v>364.0</v>
      </c>
      <c r="L365" s="1" t="str">
        <f t="shared" si="1"/>
        <v>Michael Carter</v>
      </c>
      <c r="M365" s="124">
        <f>IFERROR(VLOOKUP(E365,RISK!A:B,2,FALSE()),"")</f>
        <v>3.368</v>
      </c>
      <c r="N365" s="116" t="str">
        <f t="shared" si="2"/>
        <v>#N/A</v>
      </c>
      <c r="Q365" s="8"/>
      <c r="R365" s="8"/>
      <c r="S365" s="8"/>
      <c r="T365" s="8"/>
    </row>
    <row r="366" ht="14.25" customHeight="1">
      <c r="A366" s="1">
        <v>363.0</v>
      </c>
      <c r="B366" s="1">
        <v>11.0</v>
      </c>
      <c r="C366" s="1" t="s">
        <v>539</v>
      </c>
      <c r="D366" s="1" t="s">
        <v>205</v>
      </c>
      <c r="E366" s="1" t="s">
        <v>1070</v>
      </c>
      <c r="F366" s="1">
        <v>8.0</v>
      </c>
      <c r="G366" s="1" t="s">
        <v>1023</v>
      </c>
      <c r="H366" s="1" t="s">
        <v>1023</v>
      </c>
      <c r="I366" s="1" t="s">
        <v>1004</v>
      </c>
      <c r="J366" s="1" t="s">
        <v>1023</v>
      </c>
      <c r="K366" s="1">
        <v>365.0</v>
      </c>
      <c r="L366" s="1" t="str">
        <f t="shared" si="1"/>
        <v>Jawhar Jordan</v>
      </c>
      <c r="M366" s="124">
        <f>IFERROR(VLOOKUP(E366,RISK!A:B,2,FALSE()),"")</f>
        <v>3.368</v>
      </c>
      <c r="N366" s="116" t="str">
        <f t="shared" si="2"/>
        <v>#N/A</v>
      </c>
      <c r="Q366" s="8"/>
      <c r="R366" s="8"/>
      <c r="S366" s="8"/>
      <c r="T366" s="8"/>
    </row>
    <row r="367" ht="14.25" customHeight="1">
      <c r="A367" s="1">
        <v>364.0</v>
      </c>
      <c r="B367" s="1">
        <v>11.0</v>
      </c>
      <c r="C367" s="1" t="s">
        <v>925</v>
      </c>
      <c r="D367" s="1" t="s">
        <v>170</v>
      </c>
      <c r="E367" s="1" t="s">
        <v>526</v>
      </c>
      <c r="F367" s="1">
        <v>10.0</v>
      </c>
      <c r="G367" s="1" t="s">
        <v>1023</v>
      </c>
      <c r="H367" s="1" t="s">
        <v>1023</v>
      </c>
      <c r="I367" s="1" t="s">
        <v>1004</v>
      </c>
      <c r="J367" s="1" t="s">
        <v>1023</v>
      </c>
      <c r="K367" s="1">
        <v>366.0</v>
      </c>
      <c r="L367" s="1" t="str">
        <f t="shared" si="1"/>
        <v>Justin Joly</v>
      </c>
      <c r="M367" s="124">
        <f>IFERROR(VLOOKUP(E367,RISK!A:B,2,FALSE()),"")</f>
        <v>2.2775</v>
      </c>
      <c r="N367" s="116" t="str">
        <f t="shared" si="2"/>
        <v>#N/A</v>
      </c>
      <c r="Q367" s="8"/>
      <c r="R367" s="8"/>
      <c r="S367" s="8"/>
      <c r="T367" s="8"/>
    </row>
    <row r="368" ht="14.25" customHeight="1">
      <c r="A368" s="1">
        <v>365.0</v>
      </c>
      <c r="B368" s="1">
        <v>11.0</v>
      </c>
      <c r="C368" s="1" t="s">
        <v>1417</v>
      </c>
      <c r="D368" s="1" t="s">
        <v>208</v>
      </c>
      <c r="E368" s="1" t="s">
        <v>1418</v>
      </c>
      <c r="F368" s="1">
        <v>5.0</v>
      </c>
      <c r="G368" s="1" t="s">
        <v>1023</v>
      </c>
      <c r="H368" s="1" t="s">
        <v>1023</v>
      </c>
      <c r="I368" s="1" t="s">
        <v>1007</v>
      </c>
      <c r="J368" s="1" t="s">
        <v>1023</v>
      </c>
      <c r="K368" s="1">
        <v>367.0</v>
      </c>
      <c r="L368" s="1" t="str">
        <f t="shared" si="1"/>
        <v>Carolina Panthers</v>
      </c>
      <c r="M368" s="124" t="str">
        <f>IFERROR(VLOOKUP(E368,RISK!A:B,2,FALSE()),"")</f>
        <v/>
      </c>
      <c r="N368" s="116" t="str">
        <f t="shared" si="2"/>
        <v>#N/A</v>
      </c>
      <c r="Q368" s="8"/>
      <c r="R368" s="8"/>
      <c r="S368" s="8"/>
      <c r="T368" s="8"/>
    </row>
    <row r="369" ht="14.25" customHeight="1">
      <c r="A369" s="1">
        <v>366.0</v>
      </c>
      <c r="B369" s="1">
        <v>11.0</v>
      </c>
      <c r="C369" s="1" t="s">
        <v>1419</v>
      </c>
      <c r="D369" s="1" t="s">
        <v>18</v>
      </c>
      <c r="E369" s="1" t="s">
        <v>1420</v>
      </c>
      <c r="F369" s="1">
        <v>7.0</v>
      </c>
      <c r="G369" s="1" t="s">
        <v>1023</v>
      </c>
      <c r="H369" s="1" t="s">
        <v>1023</v>
      </c>
      <c r="I369" s="1" t="s">
        <v>1003</v>
      </c>
      <c r="J369" s="1">
        <v>-114.0</v>
      </c>
      <c r="K369" s="1">
        <v>368.0</v>
      </c>
      <c r="L369" s="1" t="str">
        <f t="shared" si="1"/>
        <v>Tyler Bass</v>
      </c>
      <c r="M369" s="124" t="str">
        <f>IFERROR(VLOOKUP(E369,RISK!A:B,2,FALSE()),"")</f>
        <v/>
      </c>
      <c r="N369" s="116" t="str">
        <f t="shared" si="2"/>
        <v>#N/A</v>
      </c>
      <c r="Q369" s="8"/>
      <c r="R369" s="8"/>
      <c r="S369" s="8"/>
      <c r="T369" s="8"/>
    </row>
    <row r="370" ht="14.25" customHeight="1">
      <c r="A370" s="1">
        <v>367.0</v>
      </c>
      <c r="B370" s="1">
        <v>11.0</v>
      </c>
      <c r="C370" s="1" t="s">
        <v>275</v>
      </c>
      <c r="D370" s="1" t="s">
        <v>193</v>
      </c>
      <c r="E370" s="1" t="s">
        <v>443</v>
      </c>
      <c r="F370" s="1">
        <v>13.0</v>
      </c>
      <c r="G370" s="1" t="s">
        <v>1023</v>
      </c>
      <c r="H370" s="1" t="s">
        <v>1023</v>
      </c>
      <c r="I370" s="1" t="s">
        <v>1004</v>
      </c>
      <c r="J370" s="1" t="s">
        <v>1023</v>
      </c>
      <c r="K370" s="1">
        <v>369.0</v>
      </c>
      <c r="L370" s="1" t="str">
        <f t="shared" si="1"/>
        <v>Anthony Richardson Sr.</v>
      </c>
      <c r="M370" s="124">
        <f>IFERROR(VLOOKUP(E370,RISK!A:B,2,FALSE()),"")</f>
        <v>3.2</v>
      </c>
      <c r="N370" s="116">
        <f t="shared" si="2"/>
        <v>7.664941176</v>
      </c>
      <c r="Q370" s="8"/>
      <c r="R370" s="8"/>
      <c r="S370" s="8"/>
      <c r="T370" s="8"/>
    </row>
    <row r="371" ht="14.25" customHeight="1">
      <c r="A371" s="1">
        <v>368.0</v>
      </c>
      <c r="B371" s="1">
        <v>11.0</v>
      </c>
      <c r="C371" s="1" t="s">
        <v>956</v>
      </c>
      <c r="D371" s="1" t="s">
        <v>199</v>
      </c>
      <c r="E371" s="1" t="s">
        <v>1139</v>
      </c>
      <c r="F371" s="1">
        <v>11.0</v>
      </c>
      <c r="G371" s="1" t="s">
        <v>1023</v>
      </c>
      <c r="H371" s="1" t="s">
        <v>1023</v>
      </c>
      <c r="I371" s="1" t="s">
        <v>1002</v>
      </c>
      <c r="J371" s="1" t="s">
        <v>1023</v>
      </c>
      <c r="K371" s="1">
        <v>370.0</v>
      </c>
      <c r="L371" s="1" t="str">
        <f t="shared" si="1"/>
        <v>Savion Williams</v>
      </c>
      <c r="M371" s="124">
        <f>IFERROR(VLOOKUP(E371,RISK!A:B,2,FALSE()),"")</f>
        <v>3.7</v>
      </c>
      <c r="N371" s="116" t="str">
        <f t="shared" si="2"/>
        <v>#N/A</v>
      </c>
      <c r="Q371" s="8"/>
      <c r="R371" s="8"/>
      <c r="S371" s="8"/>
      <c r="T371" s="8"/>
    </row>
    <row r="372" ht="14.25" customHeight="1">
      <c r="A372" s="1">
        <v>369.0</v>
      </c>
      <c r="B372" s="1">
        <v>11.0</v>
      </c>
      <c r="C372" s="1" t="s">
        <v>974</v>
      </c>
      <c r="D372" s="1" t="s">
        <v>159</v>
      </c>
      <c r="E372" s="1" t="s">
        <v>1140</v>
      </c>
      <c r="F372" s="1">
        <v>10.0</v>
      </c>
      <c r="G372" s="1" t="s">
        <v>1023</v>
      </c>
      <c r="H372" s="1" t="s">
        <v>1023</v>
      </c>
      <c r="I372" s="1" t="s">
        <v>1007</v>
      </c>
      <c r="J372" s="1" t="s">
        <v>1023</v>
      </c>
      <c r="K372" s="1">
        <v>371.0</v>
      </c>
      <c r="L372" s="1" t="str">
        <f t="shared" si="1"/>
        <v>Kalif Raymond</v>
      </c>
      <c r="M372" s="124">
        <f>IFERROR(VLOOKUP(E372,RISK!A:B,2,FALSE()),"")</f>
        <v>3.7</v>
      </c>
      <c r="N372" s="116" t="str">
        <f t="shared" si="2"/>
        <v>#N/A</v>
      </c>
      <c r="Q372" s="8"/>
      <c r="R372" s="8"/>
      <c r="S372" s="8"/>
      <c r="T372" s="8"/>
    </row>
    <row r="373" ht="14.25" customHeight="1">
      <c r="A373" s="1">
        <v>370.0</v>
      </c>
      <c r="B373" s="1">
        <v>11.0</v>
      </c>
      <c r="C373" s="1" t="s">
        <v>891</v>
      </c>
      <c r="D373" s="1" t="s">
        <v>222</v>
      </c>
      <c r="E373" s="1" t="s">
        <v>1141</v>
      </c>
      <c r="F373" s="1">
        <v>13.0</v>
      </c>
      <c r="G373" s="1" t="s">
        <v>1023</v>
      </c>
      <c r="H373" s="1" t="s">
        <v>1023</v>
      </c>
      <c r="I373" s="1" t="s">
        <v>1003</v>
      </c>
      <c r="J373" s="1">
        <v>-71.0</v>
      </c>
      <c r="K373" s="1">
        <v>372.0</v>
      </c>
      <c r="L373" s="1" t="str">
        <f t="shared" si="1"/>
        <v>Malik Benson</v>
      </c>
      <c r="M373" s="124">
        <f>IFERROR(VLOOKUP(E373,RISK!A:B,2,FALSE()),"")</f>
        <v>3.7</v>
      </c>
      <c r="N373" s="116" t="str">
        <f t="shared" si="2"/>
        <v>#N/A</v>
      </c>
      <c r="Q373" s="8"/>
      <c r="R373" s="8"/>
      <c r="S373" s="8"/>
      <c r="T373" s="8"/>
    </row>
    <row r="374" ht="14.25" customHeight="1">
      <c r="A374" s="1">
        <v>371.0</v>
      </c>
      <c r="B374" s="1">
        <v>11.0</v>
      </c>
      <c r="C374" s="1" t="s">
        <v>1026</v>
      </c>
      <c r="D374" s="1" t="s">
        <v>222</v>
      </c>
      <c r="E374" s="1" t="s">
        <v>1142</v>
      </c>
      <c r="F374" s="1">
        <v>13.0</v>
      </c>
      <c r="G374" s="1" t="s">
        <v>1023</v>
      </c>
      <c r="H374" s="1" t="s">
        <v>1023</v>
      </c>
      <c r="I374" s="1" t="s">
        <v>1003</v>
      </c>
      <c r="J374" s="1" t="s">
        <v>1023</v>
      </c>
      <c r="K374" s="1">
        <v>373.0</v>
      </c>
      <c r="L374" s="1" t="str">
        <f t="shared" si="1"/>
        <v>Dont'e Thornton Jr.</v>
      </c>
      <c r="M374" s="124">
        <f>IFERROR(VLOOKUP(E374,RISK!A:B,2,FALSE()),"")</f>
        <v>3.7</v>
      </c>
      <c r="N374" s="116" t="str">
        <f t="shared" si="2"/>
        <v>#N/A</v>
      </c>
      <c r="Q374" s="8"/>
      <c r="R374" s="8"/>
      <c r="S374" s="8"/>
      <c r="T374" s="8"/>
    </row>
    <row r="375" ht="14.25" customHeight="1">
      <c r="A375" s="1">
        <v>372.0</v>
      </c>
      <c r="B375" s="1">
        <v>11.0</v>
      </c>
      <c r="C375" s="1" t="s">
        <v>984</v>
      </c>
      <c r="D375" s="1" t="s">
        <v>196</v>
      </c>
      <c r="E375" s="1" t="s">
        <v>1145</v>
      </c>
      <c r="F375" s="1">
        <v>6.0</v>
      </c>
      <c r="G375" s="1" t="s">
        <v>1023</v>
      </c>
      <c r="H375" s="1" t="s">
        <v>1023</v>
      </c>
      <c r="I375" s="1" t="s">
        <v>1007</v>
      </c>
      <c r="J375" s="1" t="s">
        <v>1023</v>
      </c>
      <c r="K375" s="1">
        <v>374.0</v>
      </c>
      <c r="L375" s="1" t="str">
        <f t="shared" si="1"/>
        <v>Kevin Coleman Jr.</v>
      </c>
      <c r="M375" s="124">
        <f>IFERROR(VLOOKUP(E375,RISK!A:B,2,FALSE()),"")</f>
        <v>3.7</v>
      </c>
      <c r="N375" s="116" t="str">
        <f t="shared" si="2"/>
        <v>#N/A</v>
      </c>
      <c r="Q375" s="8"/>
      <c r="R375" s="8"/>
      <c r="S375" s="8"/>
      <c r="T375" s="8"/>
    </row>
    <row r="376" ht="14.25" customHeight="1">
      <c r="A376" s="1">
        <v>373.0</v>
      </c>
      <c r="B376" s="1">
        <v>11.0</v>
      </c>
      <c r="C376" s="1" t="s">
        <v>1012</v>
      </c>
      <c r="D376" s="1" t="s">
        <v>220</v>
      </c>
      <c r="E376" s="1" t="s">
        <v>1146</v>
      </c>
      <c r="F376" s="1">
        <v>9.0</v>
      </c>
      <c r="G376" s="1" t="s">
        <v>1023</v>
      </c>
      <c r="H376" s="1" t="s">
        <v>1023</v>
      </c>
      <c r="I376" s="1" t="s">
        <v>1007</v>
      </c>
      <c r="J376" s="1" t="s">
        <v>1023</v>
      </c>
      <c r="K376" s="1">
        <v>375.0</v>
      </c>
      <c r="L376" s="1" t="str">
        <f t="shared" si="1"/>
        <v>Roman Wilson</v>
      </c>
      <c r="M376" s="124">
        <f>IFERROR(VLOOKUP(E376,RISK!A:B,2,FALSE()),"")</f>
        <v>3.7</v>
      </c>
      <c r="N376" s="116" t="str">
        <f t="shared" si="2"/>
        <v>#N/A</v>
      </c>
      <c r="Q376" s="8"/>
      <c r="R376" s="8"/>
      <c r="S376" s="8"/>
      <c r="T376" s="8"/>
    </row>
    <row r="377" ht="14.25" customHeight="1">
      <c r="A377" s="1">
        <v>374.0</v>
      </c>
      <c r="B377" s="1">
        <v>11.0</v>
      </c>
      <c r="C377" s="1" t="s">
        <v>1422</v>
      </c>
      <c r="D377" s="1" t="s">
        <v>134</v>
      </c>
      <c r="E377" s="1" t="s">
        <v>1423</v>
      </c>
      <c r="F377" s="1">
        <v>8.0</v>
      </c>
      <c r="G377" s="1" t="s">
        <v>1023</v>
      </c>
      <c r="H377" s="1" t="s">
        <v>1023</v>
      </c>
      <c r="I377" s="1" t="s">
        <v>1006</v>
      </c>
      <c r="J377" s="1">
        <v>-138.0</v>
      </c>
      <c r="K377" s="1">
        <v>376.0</v>
      </c>
      <c r="L377" s="1" t="str">
        <f t="shared" si="1"/>
        <v>New York Giants</v>
      </c>
      <c r="M377" s="124" t="str">
        <f>IFERROR(VLOOKUP(E377,RISK!A:B,2,FALSE()),"")</f>
        <v/>
      </c>
      <c r="N377" s="116" t="str">
        <f t="shared" si="2"/>
        <v>#N/A</v>
      </c>
      <c r="Q377" s="8"/>
      <c r="R377" s="8"/>
      <c r="S377" s="8"/>
      <c r="T377" s="8"/>
    </row>
    <row r="378" ht="14.25" customHeight="1">
      <c r="A378" s="1">
        <v>375.0</v>
      </c>
      <c r="B378" s="1">
        <v>11.0</v>
      </c>
      <c r="C378" s="1" t="s">
        <v>949</v>
      </c>
      <c r="D378" s="1" t="s">
        <v>150</v>
      </c>
      <c r="E378" s="1" t="s">
        <v>1147</v>
      </c>
      <c r="F378" s="1">
        <v>14.0</v>
      </c>
      <c r="G378" s="1" t="s">
        <v>1023</v>
      </c>
      <c r="H378" s="1" t="s">
        <v>1023</v>
      </c>
      <c r="I378" s="1" t="s">
        <v>1003</v>
      </c>
      <c r="J378" s="1" t="s">
        <v>1023</v>
      </c>
      <c r="K378" s="1">
        <v>377.0</v>
      </c>
      <c r="L378" s="1" t="str">
        <f t="shared" si="1"/>
        <v>KaVontae Turpin</v>
      </c>
      <c r="M378" s="124">
        <f>IFERROR(VLOOKUP(E378,RISK!A:B,2,FALSE()),"")</f>
        <v>3.7</v>
      </c>
      <c r="N378" s="116" t="str">
        <f t="shared" si="2"/>
        <v>#N/A</v>
      </c>
      <c r="Q378" s="8"/>
      <c r="R378" s="8"/>
      <c r="S378" s="8"/>
      <c r="T378" s="8"/>
    </row>
    <row r="379" ht="14.25" customHeight="1">
      <c r="A379" s="1">
        <v>376.0</v>
      </c>
      <c r="B379" s="1">
        <v>11.0</v>
      </c>
      <c r="C379" s="1" t="s">
        <v>1424</v>
      </c>
      <c r="D379" s="1" t="s">
        <v>208</v>
      </c>
      <c r="E379" s="1" t="s">
        <v>1148</v>
      </c>
      <c r="F379" s="1">
        <v>5.0</v>
      </c>
      <c r="G379" s="1" t="s">
        <v>1023</v>
      </c>
      <c r="H379" s="1" t="s">
        <v>1023</v>
      </c>
      <c r="I379" s="1" t="s">
        <v>1003</v>
      </c>
      <c r="J379" s="1" t="s">
        <v>1023</v>
      </c>
      <c r="K379" s="1">
        <v>378.0</v>
      </c>
      <c r="L379" s="1" t="str">
        <f t="shared" si="1"/>
        <v>John Metchie III</v>
      </c>
      <c r="M379" s="124">
        <f>IFERROR(VLOOKUP(E379,RISK!A:B,2,FALSE()),"")</f>
        <v>3.7</v>
      </c>
      <c r="N379" s="116" t="str">
        <f t="shared" si="2"/>
        <v>#N/A</v>
      </c>
      <c r="Q379" s="8"/>
      <c r="R379" s="8"/>
      <c r="S379" s="8"/>
      <c r="T379" s="8"/>
    </row>
    <row r="380" ht="14.25" customHeight="1">
      <c r="A380" s="1">
        <v>377.0</v>
      </c>
      <c r="B380" s="1">
        <v>11.0</v>
      </c>
      <c r="C380" s="1" t="s">
        <v>571</v>
      </c>
      <c r="D380" s="1" t="s">
        <v>159</v>
      </c>
      <c r="E380" s="1" t="s">
        <v>1071</v>
      </c>
      <c r="F380" s="1">
        <v>10.0</v>
      </c>
      <c r="G380" s="1" t="s">
        <v>1023</v>
      </c>
      <c r="H380" s="1" t="s">
        <v>1023</v>
      </c>
      <c r="I380" s="1" t="s">
        <v>1003</v>
      </c>
      <c r="J380" s="1" t="s">
        <v>1023</v>
      </c>
      <c r="K380" s="1">
        <v>379.0</v>
      </c>
      <c r="L380" s="1" t="str">
        <f t="shared" si="1"/>
        <v>Roschon Johnson</v>
      </c>
      <c r="M380" s="124">
        <f>IFERROR(VLOOKUP(E380,RISK!A:B,2,FALSE()),"")</f>
        <v>3.368</v>
      </c>
      <c r="N380" s="116" t="str">
        <f t="shared" si="2"/>
        <v>#N/A</v>
      </c>
      <c r="Q380" s="8"/>
      <c r="R380" s="8"/>
      <c r="S380" s="8"/>
      <c r="T380" s="8"/>
    </row>
    <row r="381" ht="14.25" customHeight="1">
      <c r="A381" s="1">
        <v>378.0</v>
      </c>
      <c r="B381" s="1">
        <v>11.0</v>
      </c>
      <c r="C381" s="1" t="s">
        <v>1425</v>
      </c>
      <c r="D381" s="1" t="s">
        <v>226</v>
      </c>
      <c r="E381" s="1" t="s">
        <v>1072</v>
      </c>
      <c r="F381" s="1">
        <v>11.0</v>
      </c>
      <c r="G381" s="1" t="s">
        <v>1023</v>
      </c>
      <c r="H381" s="1" t="s">
        <v>1023</v>
      </c>
      <c r="I381" s="1" t="s">
        <v>1007</v>
      </c>
      <c r="J381" s="1" t="s">
        <v>1023</v>
      </c>
      <c r="K381" s="1">
        <v>380.0</v>
      </c>
      <c r="L381" s="1" t="str">
        <f t="shared" si="1"/>
        <v>Raheim Sanders</v>
      </c>
      <c r="M381" s="124">
        <f>IFERROR(VLOOKUP(E381,RISK!A:B,2,FALSE()),"")</f>
        <v>3.368</v>
      </c>
      <c r="N381" s="116" t="str">
        <f t="shared" si="2"/>
        <v>#N/A</v>
      </c>
      <c r="Q381" s="8"/>
      <c r="R381" s="8"/>
      <c r="S381" s="8"/>
      <c r="T381" s="8"/>
    </row>
    <row r="382" ht="14.25" customHeight="1">
      <c r="A382" s="1">
        <v>379.0</v>
      </c>
      <c r="B382" s="1">
        <v>11.0</v>
      </c>
      <c r="C382" s="1" t="s">
        <v>278</v>
      </c>
      <c r="D382" s="1" t="s">
        <v>127</v>
      </c>
      <c r="E382" s="1" t="s">
        <v>450</v>
      </c>
      <c r="F382" s="1">
        <v>6.0</v>
      </c>
      <c r="G382" s="1" t="s">
        <v>1023</v>
      </c>
      <c r="H382" s="1" t="s">
        <v>1023</v>
      </c>
      <c r="I382" s="1" t="s">
        <v>1007</v>
      </c>
      <c r="J382" s="1">
        <v>-60.0</v>
      </c>
      <c r="K382" s="1">
        <v>381.0</v>
      </c>
      <c r="L382" s="1" t="str">
        <f t="shared" si="1"/>
        <v>Joe Flacco</v>
      </c>
      <c r="M382" s="124">
        <f>IFERROR(VLOOKUP(E382,RISK!A:B,2,FALSE()),"")</f>
        <v>3.2</v>
      </c>
      <c r="N382" s="116">
        <f t="shared" si="2"/>
        <v>7.637835294</v>
      </c>
      <c r="Q382" s="8"/>
      <c r="R382" s="8"/>
      <c r="S382" s="8"/>
      <c r="T382" s="8"/>
    </row>
    <row r="383" ht="14.25" customHeight="1">
      <c r="A383" s="1">
        <v>380.0</v>
      </c>
      <c r="B383" s="1">
        <v>11.0</v>
      </c>
      <c r="C383" s="1" t="s">
        <v>819</v>
      </c>
      <c r="D383" s="1" t="s">
        <v>182</v>
      </c>
      <c r="E383" s="1" t="s">
        <v>531</v>
      </c>
      <c r="F383" s="1">
        <v>8.0</v>
      </c>
      <c r="G383" s="1" t="s">
        <v>1023</v>
      </c>
      <c r="H383" s="1" t="s">
        <v>1023</v>
      </c>
      <c r="I383" s="1" t="s">
        <v>1003</v>
      </c>
      <c r="J383" s="1" t="s">
        <v>1023</v>
      </c>
      <c r="K383" s="1">
        <v>382.0</v>
      </c>
      <c r="L383" s="1" t="str">
        <f t="shared" si="1"/>
        <v>Noah Fant</v>
      </c>
      <c r="M383" s="124">
        <f>IFERROR(VLOOKUP(E383,RISK!A:B,2,FALSE()),"")</f>
        <v>2.2775</v>
      </c>
      <c r="N383" s="116" t="str">
        <f t="shared" si="2"/>
        <v>#N/A</v>
      </c>
      <c r="Q383" s="8"/>
      <c r="R383" s="8"/>
      <c r="S383" s="8"/>
      <c r="T383" s="8"/>
    </row>
    <row r="384" ht="14.25" customHeight="1">
      <c r="A384" s="1">
        <v>381.0</v>
      </c>
      <c r="B384" s="1">
        <v>11.0</v>
      </c>
      <c r="C384" s="1" t="s">
        <v>1426</v>
      </c>
      <c r="D384" s="1" t="s">
        <v>186</v>
      </c>
      <c r="E384" s="1" t="s">
        <v>1427</v>
      </c>
      <c r="F384" s="1">
        <v>10.0</v>
      </c>
      <c r="G384" s="1" t="s">
        <v>1023</v>
      </c>
      <c r="H384" s="1" t="s">
        <v>1023</v>
      </c>
      <c r="I384" s="1" t="s">
        <v>1004</v>
      </c>
      <c r="J384" s="1">
        <v>-93.0</v>
      </c>
      <c r="K384" s="1">
        <v>383.0</v>
      </c>
      <c r="L384" s="1" t="str">
        <f t="shared" si="1"/>
        <v>Tampa Bay Buccaneers</v>
      </c>
      <c r="M384" s="124" t="str">
        <f>IFERROR(VLOOKUP(E384,RISK!A:B,2,FALSE()),"")</f>
        <v/>
      </c>
      <c r="N384" s="116" t="str">
        <f t="shared" si="2"/>
        <v>#N/A</v>
      </c>
      <c r="Q384" s="8"/>
      <c r="R384" s="8"/>
      <c r="S384" s="8"/>
      <c r="T384" s="8"/>
    </row>
    <row r="385" ht="14.25" customHeight="1">
      <c r="A385" s="1">
        <v>382.0</v>
      </c>
      <c r="B385" s="1">
        <v>11.0</v>
      </c>
      <c r="C385" s="1" t="s">
        <v>580</v>
      </c>
      <c r="D385" s="1" t="s">
        <v>150</v>
      </c>
      <c r="E385" s="1" t="s">
        <v>1073</v>
      </c>
      <c r="F385" s="1">
        <v>14.0</v>
      </c>
      <c r="G385" s="1" t="s">
        <v>1023</v>
      </c>
      <c r="H385" s="1" t="s">
        <v>1023</v>
      </c>
      <c r="I385" s="1" t="s">
        <v>1004</v>
      </c>
      <c r="J385" s="1" t="s">
        <v>1023</v>
      </c>
      <c r="K385" s="1">
        <v>384.0</v>
      </c>
      <c r="L385" s="1" t="str">
        <f t="shared" si="1"/>
        <v>Phil Mafah</v>
      </c>
      <c r="M385" s="124">
        <f>IFERROR(VLOOKUP(E385,RISK!A:B,2,FALSE()),"")</f>
        <v>3.368</v>
      </c>
      <c r="N385" s="116" t="str">
        <f t="shared" si="2"/>
        <v>#N/A</v>
      </c>
      <c r="Q385" s="8"/>
      <c r="R385" s="8"/>
      <c r="S385" s="8"/>
      <c r="T385" s="8"/>
    </row>
    <row r="386" ht="14.25" customHeight="1">
      <c r="A386" s="1">
        <v>383.0</v>
      </c>
      <c r="B386" s="1">
        <v>11.0</v>
      </c>
      <c r="C386" s="1" t="s">
        <v>840</v>
      </c>
      <c r="D386" s="1" t="s">
        <v>208</v>
      </c>
      <c r="E386" s="1" t="s">
        <v>537</v>
      </c>
      <c r="F386" s="1">
        <v>5.0</v>
      </c>
      <c r="G386" s="1" t="s">
        <v>1023</v>
      </c>
      <c r="H386" s="1" t="s">
        <v>1023</v>
      </c>
      <c r="I386" s="1" t="s">
        <v>1003</v>
      </c>
      <c r="J386" s="1" t="s">
        <v>1023</v>
      </c>
      <c r="K386" s="1">
        <v>385.0</v>
      </c>
      <c r="L386" s="1" t="str">
        <f t="shared" si="1"/>
        <v>Tommy Tremble</v>
      </c>
      <c r="M386" s="124">
        <f>IFERROR(VLOOKUP(E386,RISK!A:B,2,FALSE()),"")</f>
        <v>2.2775</v>
      </c>
      <c r="N386" s="116" t="str">
        <f t="shared" si="2"/>
        <v>#N/A</v>
      </c>
      <c r="Q386" s="8"/>
      <c r="R386" s="8"/>
      <c r="S386" s="8"/>
      <c r="T386" s="8"/>
    </row>
    <row r="387" ht="14.25" customHeight="1">
      <c r="A387" s="1">
        <v>384.0</v>
      </c>
      <c r="B387" s="1">
        <v>11.0</v>
      </c>
      <c r="C387" s="1" t="s">
        <v>981</v>
      </c>
      <c r="D387" s="1" t="s">
        <v>159</v>
      </c>
      <c r="E387" s="1" t="s">
        <v>1149</v>
      </c>
      <c r="F387" s="1">
        <v>10.0</v>
      </c>
      <c r="G387" s="1" t="s">
        <v>1023</v>
      </c>
      <c r="H387" s="1" t="s">
        <v>1023</v>
      </c>
      <c r="I387" s="1" t="s">
        <v>1007</v>
      </c>
      <c r="J387" s="1" t="s">
        <v>1023</v>
      </c>
      <c r="K387" s="1">
        <v>386.0</v>
      </c>
      <c r="L387" s="1" t="str">
        <f t="shared" si="1"/>
        <v>Zavion Thomas</v>
      </c>
      <c r="M387" s="124">
        <f>IFERROR(VLOOKUP(E387,RISK!A:B,2,FALSE()),"")</f>
        <v>3.7</v>
      </c>
      <c r="N387" s="116" t="str">
        <f t="shared" si="2"/>
        <v>#N/A</v>
      </c>
      <c r="Q387" s="8"/>
      <c r="R387" s="8"/>
      <c r="S387" s="8"/>
      <c r="T387" s="8"/>
    </row>
    <row r="388" ht="14.25" customHeight="1">
      <c r="A388" s="1">
        <v>385.0</v>
      </c>
      <c r="B388" s="1">
        <v>11.0</v>
      </c>
      <c r="C388" s="1" t="s">
        <v>846</v>
      </c>
      <c r="D388" s="1" t="s">
        <v>199</v>
      </c>
      <c r="E388" s="1" t="s">
        <v>542</v>
      </c>
      <c r="F388" s="1">
        <v>11.0</v>
      </c>
      <c r="G388" s="1" t="s">
        <v>1023</v>
      </c>
      <c r="H388" s="1" t="s">
        <v>1023</v>
      </c>
      <c r="I388" s="1" t="s">
        <v>1003</v>
      </c>
      <c r="J388" s="1" t="s">
        <v>1023</v>
      </c>
      <c r="K388" s="1">
        <v>387.0</v>
      </c>
      <c r="L388" s="1" t="str">
        <f t="shared" si="1"/>
        <v>Luke Musgrave</v>
      </c>
      <c r="M388" s="124">
        <f>IFERROR(VLOOKUP(E388,RISK!A:B,2,FALSE()),"")</f>
        <v>2.2775</v>
      </c>
      <c r="N388" s="116" t="str">
        <f t="shared" si="2"/>
        <v>#N/A</v>
      </c>
      <c r="Q388" s="8"/>
      <c r="R388" s="8"/>
      <c r="S388" s="8"/>
      <c r="T388" s="8"/>
    </row>
    <row r="389" ht="14.25" customHeight="1">
      <c r="A389" s="1">
        <v>386.0</v>
      </c>
      <c r="B389" s="1">
        <v>11.0</v>
      </c>
      <c r="C389" s="1" t="s">
        <v>979</v>
      </c>
      <c r="D389" s="1" t="s">
        <v>127</v>
      </c>
      <c r="E389" s="1" t="s">
        <v>1150</v>
      </c>
      <c r="F389" s="1">
        <v>6.0</v>
      </c>
      <c r="G389" s="1" t="s">
        <v>1023</v>
      </c>
      <c r="H389" s="1" t="s">
        <v>1023</v>
      </c>
      <c r="I389" s="1" t="s">
        <v>1004</v>
      </c>
      <c r="J389" s="1" t="s">
        <v>1023</v>
      </c>
      <c r="K389" s="1">
        <v>388.0</v>
      </c>
      <c r="L389" s="1" t="str">
        <f t="shared" si="1"/>
        <v>Colbie Young</v>
      </c>
      <c r="M389" s="124">
        <f>IFERROR(VLOOKUP(E389,RISK!A:B,2,FALSE()),"")</f>
        <v>3.7</v>
      </c>
      <c r="N389" s="116" t="str">
        <f t="shared" si="2"/>
        <v>#N/A</v>
      </c>
      <c r="Q389" s="8"/>
      <c r="R389" s="8"/>
      <c r="S389" s="8"/>
      <c r="T389" s="8"/>
    </row>
    <row r="390" ht="14.25" customHeight="1">
      <c r="A390" s="1">
        <v>387.0</v>
      </c>
      <c r="B390" s="1">
        <v>11.0</v>
      </c>
      <c r="C390" s="1" t="s">
        <v>982</v>
      </c>
      <c r="D390" s="1" t="s">
        <v>106</v>
      </c>
      <c r="E390" s="1" t="s">
        <v>1151</v>
      </c>
      <c r="F390" s="1">
        <v>7.0</v>
      </c>
      <c r="G390" s="1" t="s">
        <v>1023</v>
      </c>
      <c r="H390" s="1" t="s">
        <v>1023</v>
      </c>
      <c r="I390" s="1" t="s">
        <v>1003</v>
      </c>
      <c r="J390" s="1" t="s">
        <v>1023</v>
      </c>
      <c r="K390" s="1">
        <v>389.0</v>
      </c>
      <c r="L390" s="1" t="str">
        <f t="shared" si="1"/>
        <v>Jaylin Lane</v>
      </c>
      <c r="M390" s="124">
        <f>IFERROR(VLOOKUP(E390,RISK!A:B,2,FALSE()),"")</f>
        <v>3.7</v>
      </c>
      <c r="N390" s="116" t="str">
        <f t="shared" si="2"/>
        <v>#N/A</v>
      </c>
      <c r="Q390" s="8"/>
      <c r="R390" s="8"/>
      <c r="S390" s="8"/>
      <c r="T390" s="8"/>
    </row>
    <row r="391" ht="14.25" customHeight="1">
      <c r="A391" s="1">
        <v>388.0</v>
      </c>
      <c r="B391" s="1">
        <v>11.0</v>
      </c>
      <c r="C391" s="1" t="s">
        <v>1034</v>
      </c>
      <c r="D391" s="1" t="s">
        <v>176</v>
      </c>
      <c r="E391" s="1" t="s">
        <v>1152</v>
      </c>
      <c r="F391" s="1">
        <v>11.0</v>
      </c>
      <c r="G391" s="1" t="s">
        <v>1023</v>
      </c>
      <c r="H391" s="1" t="s">
        <v>1023</v>
      </c>
      <c r="I391" s="1" t="s">
        <v>1006</v>
      </c>
      <c r="J391" s="1" t="s">
        <v>1023</v>
      </c>
      <c r="K391" s="1">
        <v>390.0</v>
      </c>
      <c r="L391" s="1" t="str">
        <f t="shared" si="1"/>
        <v>CJ Daniels</v>
      </c>
      <c r="M391" s="124">
        <f>IFERROR(VLOOKUP(E391,RISK!A:B,2,FALSE()),"")</f>
        <v>3.7</v>
      </c>
      <c r="N391" s="116" t="str">
        <f t="shared" si="2"/>
        <v>#N/A</v>
      </c>
      <c r="Q391" s="8"/>
      <c r="R391" s="8"/>
      <c r="S391" s="8"/>
      <c r="T391" s="8"/>
    </row>
    <row r="392" ht="14.25" customHeight="1">
      <c r="A392" s="1">
        <v>389.0</v>
      </c>
      <c r="B392" s="1">
        <v>11.0</v>
      </c>
      <c r="C392" s="1" t="s">
        <v>1429</v>
      </c>
      <c r="D392" s="1" t="s">
        <v>199</v>
      </c>
      <c r="E392" s="1" t="s">
        <v>1430</v>
      </c>
      <c r="F392" s="1">
        <v>11.0</v>
      </c>
      <c r="G392" s="1" t="s">
        <v>1023</v>
      </c>
      <c r="H392" s="1" t="s">
        <v>1023</v>
      </c>
      <c r="I392" s="1" t="s">
        <v>1004</v>
      </c>
      <c r="J392" s="1">
        <v>-177.0</v>
      </c>
      <c r="K392" s="1">
        <v>391.0</v>
      </c>
      <c r="L392" s="1" t="str">
        <f t="shared" si="1"/>
        <v>Trey Smack</v>
      </c>
      <c r="M392" s="124" t="str">
        <f>IFERROR(VLOOKUP(E392,RISK!A:B,2,FALSE()),"")</f>
        <v/>
      </c>
      <c r="N392" s="116" t="str">
        <f t="shared" si="2"/>
        <v>#N/A</v>
      </c>
      <c r="Q392" s="8"/>
      <c r="R392" s="8"/>
      <c r="S392" s="8"/>
      <c r="T392" s="8"/>
    </row>
    <row r="393" ht="14.25" customHeight="1">
      <c r="A393" s="1">
        <v>390.0</v>
      </c>
      <c r="B393" s="1">
        <v>11.0</v>
      </c>
      <c r="C393" s="1" t="s">
        <v>1431</v>
      </c>
      <c r="D393" s="1" t="s">
        <v>127</v>
      </c>
      <c r="E393" s="1" t="s">
        <v>1432</v>
      </c>
      <c r="F393" s="1">
        <v>6.0</v>
      </c>
      <c r="G393" s="1" t="s">
        <v>1023</v>
      </c>
      <c r="H393" s="1" t="s">
        <v>1023</v>
      </c>
      <c r="I393" s="1" t="s">
        <v>1004</v>
      </c>
      <c r="J393" s="1" t="s">
        <v>1023</v>
      </c>
      <c r="K393" s="1">
        <v>392.0</v>
      </c>
      <c r="L393" s="1" t="str">
        <f t="shared" si="1"/>
        <v>Cincinnati Bengals</v>
      </c>
      <c r="M393" s="124" t="str">
        <f>IFERROR(VLOOKUP(E393,RISK!A:B,2,FALSE()),"")</f>
        <v/>
      </c>
      <c r="N393" s="116" t="str">
        <f t="shared" si="2"/>
        <v>#N/A</v>
      </c>
      <c r="Q393" s="8"/>
      <c r="R393" s="8"/>
      <c r="S393" s="8"/>
      <c r="T393" s="8"/>
    </row>
    <row r="394" ht="14.25" customHeight="1">
      <c r="A394" s="1">
        <v>391.0</v>
      </c>
      <c r="B394" s="1">
        <v>11.0</v>
      </c>
      <c r="C394" s="1" t="s">
        <v>1335</v>
      </c>
      <c r="D394" s="1" t="s">
        <v>145</v>
      </c>
      <c r="E394" s="1" t="s">
        <v>1074</v>
      </c>
      <c r="F394" s="1">
        <v>7.0</v>
      </c>
      <c r="G394" s="1" t="s">
        <v>1023</v>
      </c>
      <c r="H394" s="1" t="s">
        <v>1023</v>
      </c>
      <c r="I394" s="1" t="s">
        <v>1004</v>
      </c>
      <c r="J394" s="1" t="s">
        <v>1023</v>
      </c>
      <c r="K394" s="1">
        <v>393.0</v>
      </c>
      <c r="L394" s="1" t="str">
        <f t="shared" si="1"/>
        <v>J'Mari Taylor</v>
      </c>
      <c r="M394" s="124">
        <f>IFERROR(VLOOKUP(E394,RISK!A:B,2,FALSE()),"")</f>
        <v>3.368</v>
      </c>
      <c r="N394" s="116" t="str">
        <f t="shared" si="2"/>
        <v>#N/A</v>
      </c>
      <c r="Q394" s="8"/>
      <c r="R394" s="8"/>
      <c r="S394" s="8"/>
      <c r="T394" s="8"/>
    </row>
    <row r="395" ht="14.25" customHeight="1">
      <c r="A395" s="1">
        <v>392.0</v>
      </c>
      <c r="B395" s="1">
        <v>11.0</v>
      </c>
      <c r="C395" s="1" t="s">
        <v>1434</v>
      </c>
      <c r="D395" s="1" t="s">
        <v>1383</v>
      </c>
      <c r="E395" s="1" t="s">
        <v>1435</v>
      </c>
      <c r="F395" s="1" t="s">
        <v>1023</v>
      </c>
      <c r="G395" s="1" t="s">
        <v>1023</v>
      </c>
      <c r="H395" s="1" t="s">
        <v>1023</v>
      </c>
      <c r="I395" s="1" t="s">
        <v>1023</v>
      </c>
      <c r="J395" s="1" t="s">
        <v>1023</v>
      </c>
      <c r="K395" s="1">
        <v>394.0</v>
      </c>
      <c r="L395" s="1" t="str">
        <f t="shared" si="1"/>
        <v>Zane Gonzalez</v>
      </c>
      <c r="M395" s="124" t="str">
        <f>IFERROR(VLOOKUP(E395,RISK!A:B,2,FALSE()),"")</f>
        <v/>
      </c>
      <c r="N395" s="116" t="str">
        <f t="shared" si="2"/>
        <v>#N/A</v>
      </c>
      <c r="Q395" s="8"/>
      <c r="R395" s="8"/>
      <c r="S395" s="8"/>
      <c r="T395" s="8"/>
    </row>
    <row r="396" ht="14.25" customHeight="1">
      <c r="A396" s="1">
        <v>393.0</v>
      </c>
      <c r="B396" s="1">
        <v>11.0</v>
      </c>
      <c r="C396" s="1" t="s">
        <v>314</v>
      </c>
      <c r="D396" s="1" t="s">
        <v>150</v>
      </c>
      <c r="E396" s="1" t="s">
        <v>458</v>
      </c>
      <c r="F396" s="1">
        <v>14.0</v>
      </c>
      <c r="G396" s="1" t="s">
        <v>1023</v>
      </c>
      <c r="H396" s="1" t="s">
        <v>1023</v>
      </c>
      <c r="I396" s="1" t="s">
        <v>1003</v>
      </c>
      <c r="J396" s="1" t="s">
        <v>1023</v>
      </c>
      <c r="K396" s="1">
        <v>395.0</v>
      </c>
      <c r="L396" s="1" t="str">
        <f t="shared" si="1"/>
        <v>Joe Milton III</v>
      </c>
      <c r="M396" s="124">
        <f>IFERROR(VLOOKUP(E396,RISK!A:B,2,FALSE()),"")</f>
        <v>3.2</v>
      </c>
      <c r="N396" s="116">
        <f t="shared" si="2"/>
        <v>7.3216</v>
      </c>
      <c r="Q396" s="8"/>
      <c r="R396" s="8"/>
      <c r="S396" s="8"/>
      <c r="T396" s="8"/>
    </row>
    <row r="397" ht="14.25" customHeight="1">
      <c r="A397" s="1">
        <v>394.0</v>
      </c>
      <c r="B397" s="1">
        <v>11.0</v>
      </c>
      <c r="C397" s="1" t="s">
        <v>586</v>
      </c>
      <c r="D397" s="1" t="s">
        <v>94</v>
      </c>
      <c r="E397" s="1" t="s">
        <v>1075</v>
      </c>
      <c r="F397" s="1">
        <v>11.0</v>
      </c>
      <c r="G397" s="1" t="s">
        <v>1023</v>
      </c>
      <c r="H397" s="1" t="s">
        <v>1023</v>
      </c>
      <c r="I397" s="1" t="s">
        <v>1003</v>
      </c>
      <c r="J397" s="1" t="s">
        <v>1023</v>
      </c>
      <c r="K397" s="1">
        <v>396.0</v>
      </c>
      <c r="L397" s="1" t="str">
        <f t="shared" si="1"/>
        <v>Jam Miller</v>
      </c>
      <c r="M397" s="124">
        <f>IFERROR(VLOOKUP(E397,RISK!A:B,2,FALSE()),"")</f>
        <v>3.368</v>
      </c>
      <c r="N397" s="116" t="str">
        <f t="shared" si="2"/>
        <v>#N/A</v>
      </c>
      <c r="Q397" s="8"/>
      <c r="R397" s="8"/>
      <c r="S397" s="8"/>
      <c r="T397" s="8"/>
    </row>
    <row r="398" ht="14.25" customHeight="1">
      <c r="A398" s="1">
        <v>395.0</v>
      </c>
      <c r="B398" s="1">
        <v>11.0</v>
      </c>
      <c r="C398" s="1" t="s">
        <v>1436</v>
      </c>
      <c r="D398" s="1" t="s">
        <v>214</v>
      </c>
      <c r="E398" s="1" t="s">
        <v>1437</v>
      </c>
      <c r="F398" s="1">
        <v>9.0</v>
      </c>
      <c r="G398" s="1" t="s">
        <v>1023</v>
      </c>
      <c r="H398" s="1" t="s">
        <v>1023</v>
      </c>
      <c r="I398" s="1" t="s">
        <v>1003</v>
      </c>
      <c r="J398" s="1">
        <v>-54.0</v>
      </c>
      <c r="K398" s="1">
        <v>397.0</v>
      </c>
      <c r="L398" s="1" t="str">
        <f t="shared" si="1"/>
        <v>Tennessee Titans</v>
      </c>
      <c r="M398" s="124" t="str">
        <f>IFERROR(VLOOKUP(E398,RISK!A:B,2,FALSE()),"")</f>
        <v/>
      </c>
      <c r="N398" s="116" t="str">
        <f t="shared" si="2"/>
        <v>#N/A</v>
      </c>
      <c r="Q398" s="8"/>
      <c r="R398" s="8"/>
      <c r="S398" s="8"/>
      <c r="T398" s="8"/>
    </row>
    <row r="399" ht="14.25" customHeight="1">
      <c r="A399" s="1">
        <v>396.0</v>
      </c>
      <c r="B399" s="1">
        <v>11.0</v>
      </c>
      <c r="C399" s="1" t="s">
        <v>997</v>
      </c>
      <c r="D399" s="1" t="s">
        <v>176</v>
      </c>
      <c r="E399" s="1" t="s">
        <v>1153</v>
      </c>
      <c r="F399" s="1">
        <v>11.0</v>
      </c>
      <c r="G399" s="1" t="s">
        <v>1023</v>
      </c>
      <c r="H399" s="1" t="s">
        <v>1023</v>
      </c>
      <c r="I399" s="1" t="s">
        <v>1006</v>
      </c>
      <c r="J399" s="1" t="s">
        <v>1023</v>
      </c>
      <c r="K399" s="1">
        <v>398.0</v>
      </c>
      <c r="L399" s="1" t="str">
        <f t="shared" si="1"/>
        <v>Jordan Whittington</v>
      </c>
      <c r="M399" s="124">
        <f>IFERROR(VLOOKUP(E399,RISK!A:B,2,FALSE()),"")</f>
        <v>3.7</v>
      </c>
      <c r="N399" s="116" t="str">
        <f t="shared" si="2"/>
        <v>#N/A</v>
      </c>
      <c r="Q399" s="8"/>
      <c r="R399" s="8"/>
      <c r="S399" s="8"/>
      <c r="T399" s="8"/>
    </row>
    <row r="400" ht="14.25" customHeight="1">
      <c r="A400" s="1">
        <v>397.0</v>
      </c>
      <c r="B400" s="1">
        <v>11.0</v>
      </c>
      <c r="C400" s="1" t="s">
        <v>880</v>
      </c>
      <c r="D400" s="1" t="s">
        <v>106</v>
      </c>
      <c r="E400" s="1" t="s">
        <v>548</v>
      </c>
      <c r="F400" s="1">
        <v>7.0</v>
      </c>
      <c r="G400" s="1" t="s">
        <v>1023</v>
      </c>
      <c r="H400" s="1" t="s">
        <v>1023</v>
      </c>
      <c r="I400" s="1" t="s">
        <v>1006</v>
      </c>
      <c r="J400" s="1" t="s">
        <v>1023</v>
      </c>
      <c r="K400" s="1">
        <v>399.0</v>
      </c>
      <c r="L400" s="1" t="str">
        <f t="shared" si="1"/>
        <v>Ben Sinnott</v>
      </c>
      <c r="M400" s="124">
        <f>IFERROR(VLOOKUP(E400,RISK!A:B,2,FALSE()),"")</f>
        <v>2.2775</v>
      </c>
      <c r="N400" s="116" t="str">
        <f t="shared" si="2"/>
        <v>#N/A</v>
      </c>
      <c r="Q400" s="8"/>
      <c r="R400" s="8"/>
      <c r="S400" s="8"/>
      <c r="T400" s="8"/>
    </row>
    <row r="401" ht="14.25" customHeight="1">
      <c r="A401" s="1">
        <v>398.0</v>
      </c>
      <c r="B401" s="1">
        <v>11.0</v>
      </c>
      <c r="C401" s="1" t="s">
        <v>976</v>
      </c>
      <c r="D401" s="1" t="s">
        <v>61</v>
      </c>
      <c r="E401" s="1" t="s">
        <v>1154</v>
      </c>
      <c r="F401" s="1">
        <v>13.0</v>
      </c>
      <c r="G401" s="1" t="s">
        <v>1023</v>
      </c>
      <c r="H401" s="1" t="s">
        <v>1023</v>
      </c>
      <c r="I401" s="1" t="s">
        <v>1004</v>
      </c>
      <c r="J401" s="1" t="s">
        <v>1023</v>
      </c>
      <c r="K401" s="1">
        <v>400.0</v>
      </c>
      <c r="L401" s="1" t="str">
        <f t="shared" si="1"/>
        <v>Devontez Walker</v>
      </c>
      <c r="M401" s="124">
        <f>IFERROR(VLOOKUP(E401,RISK!A:B,2,FALSE()),"")</f>
        <v>3.7</v>
      </c>
      <c r="N401" s="116" t="str">
        <f t="shared" si="2"/>
        <v>#N/A</v>
      </c>
      <c r="Q401" s="8"/>
      <c r="R401" s="8"/>
      <c r="S401" s="8"/>
      <c r="T401" s="8"/>
    </row>
    <row r="402" ht="14.25" customHeight="1">
      <c r="A402" s="1">
        <v>399.0</v>
      </c>
      <c r="B402" s="1">
        <v>11.0</v>
      </c>
      <c r="C402" s="1" t="s">
        <v>834</v>
      </c>
      <c r="D402" s="1" t="s">
        <v>229</v>
      </c>
      <c r="E402" s="1" t="s">
        <v>554</v>
      </c>
      <c r="F402" s="1">
        <v>11.0</v>
      </c>
      <c r="G402" s="1" t="s">
        <v>1023</v>
      </c>
      <c r="H402" s="1" t="s">
        <v>1023</v>
      </c>
      <c r="I402" s="1" t="s">
        <v>1007</v>
      </c>
      <c r="J402" s="1" t="s">
        <v>1023</v>
      </c>
      <c r="K402" s="1">
        <v>401.0</v>
      </c>
      <c r="L402" s="1" t="str">
        <f t="shared" si="1"/>
        <v>Austin Hooper</v>
      </c>
      <c r="M402" s="124">
        <f>IFERROR(VLOOKUP(E402,RISK!A:B,2,FALSE()),"")</f>
        <v>2.2775</v>
      </c>
      <c r="N402" s="116" t="str">
        <f t="shared" si="2"/>
        <v>#N/A</v>
      </c>
      <c r="Q402" s="8"/>
      <c r="R402" s="8"/>
      <c r="S402" s="8"/>
      <c r="T402" s="8"/>
    </row>
    <row r="403" ht="14.25" customHeight="1">
      <c r="A403" s="1">
        <v>400.0</v>
      </c>
      <c r="B403" s="1">
        <v>11.0</v>
      </c>
      <c r="C403" s="1" t="s">
        <v>1024</v>
      </c>
      <c r="D403" s="1" t="s">
        <v>193</v>
      </c>
      <c r="E403" s="1" t="s">
        <v>1155</v>
      </c>
      <c r="F403" s="1">
        <v>13.0</v>
      </c>
      <c r="G403" s="1" t="s">
        <v>1023</v>
      </c>
      <c r="H403" s="1" t="s">
        <v>1023</v>
      </c>
      <c r="I403" s="1" t="s">
        <v>1004</v>
      </c>
      <c r="J403" s="1" t="s">
        <v>1023</v>
      </c>
      <c r="K403" s="1">
        <v>402.0</v>
      </c>
      <c r="L403" s="1" t="str">
        <f t="shared" si="1"/>
        <v>Nick Westbrook-Ikhine</v>
      </c>
      <c r="M403" s="124">
        <f>IFERROR(VLOOKUP(E403,RISK!A:B,2,FALSE()),"")</f>
        <v>3.7</v>
      </c>
      <c r="N403" s="116" t="str">
        <f t="shared" si="2"/>
        <v>#N/A</v>
      </c>
      <c r="Q403" s="8"/>
      <c r="R403" s="8"/>
      <c r="S403" s="8"/>
      <c r="T403" s="8"/>
    </row>
    <row r="404" ht="14.25" customHeight="1">
      <c r="A404" s="1">
        <v>401.0</v>
      </c>
      <c r="B404" s="1">
        <v>11.0</v>
      </c>
      <c r="C404" s="1" t="s">
        <v>969</v>
      </c>
      <c r="D404" s="1" t="s">
        <v>140</v>
      </c>
      <c r="E404" s="1" t="s">
        <v>1156</v>
      </c>
      <c r="F404" s="1">
        <v>8.0</v>
      </c>
      <c r="G404" s="1" t="s">
        <v>1023</v>
      </c>
      <c r="H404" s="1" t="s">
        <v>1023</v>
      </c>
      <c r="I404" s="1" t="s">
        <v>1003</v>
      </c>
      <c r="J404" s="1" t="s">
        <v>1023</v>
      </c>
      <c r="K404" s="1">
        <v>403.0</v>
      </c>
      <c r="L404" s="1" t="str">
        <f t="shared" si="1"/>
        <v>Demarcus Robinson</v>
      </c>
      <c r="M404" s="124">
        <f>IFERROR(VLOOKUP(E404,RISK!A:B,2,FALSE()),"")</f>
        <v>3.7</v>
      </c>
      <c r="N404" s="116" t="str">
        <f t="shared" si="2"/>
        <v>#N/A</v>
      </c>
      <c r="Q404" s="8"/>
      <c r="R404" s="8"/>
      <c r="S404" s="8"/>
      <c r="T404" s="8"/>
    </row>
    <row r="405" ht="14.25" customHeight="1">
      <c r="A405" s="1">
        <v>402.0</v>
      </c>
      <c r="B405" s="1">
        <v>11.0</v>
      </c>
      <c r="C405" s="1" t="s">
        <v>920</v>
      </c>
      <c r="D405" s="1" t="s">
        <v>208</v>
      </c>
      <c r="E405" s="1" t="s">
        <v>562</v>
      </c>
      <c r="F405" s="1">
        <v>5.0</v>
      </c>
      <c r="G405" s="1" t="s">
        <v>1023</v>
      </c>
      <c r="H405" s="1" t="s">
        <v>1023</v>
      </c>
      <c r="I405" s="1" t="s">
        <v>1003</v>
      </c>
      <c r="J405" s="1" t="s">
        <v>1023</v>
      </c>
      <c r="K405" s="1">
        <v>404.0</v>
      </c>
      <c r="L405" s="1" t="str">
        <f t="shared" si="1"/>
        <v>Mitchell Evans</v>
      </c>
      <c r="M405" s="124">
        <f>IFERROR(VLOOKUP(E405,RISK!A:B,2,FALSE()),"")</f>
        <v>2.2775</v>
      </c>
      <c r="N405" s="116" t="str">
        <f t="shared" si="2"/>
        <v>#N/A</v>
      </c>
      <c r="Q405" s="8"/>
      <c r="R405" s="8"/>
      <c r="S405" s="8"/>
      <c r="T405" s="8"/>
    </row>
    <row r="406" ht="14.25" customHeight="1">
      <c r="A406" s="1">
        <v>403.0</v>
      </c>
      <c r="B406" s="1">
        <v>11.0</v>
      </c>
      <c r="C406" s="1" t="s">
        <v>242</v>
      </c>
      <c r="D406" s="1" t="s">
        <v>106</v>
      </c>
      <c r="E406" s="1" t="s">
        <v>466</v>
      </c>
      <c r="F406" s="1">
        <v>7.0</v>
      </c>
      <c r="G406" s="1" t="s">
        <v>1023</v>
      </c>
      <c r="H406" s="1" t="s">
        <v>1023</v>
      </c>
      <c r="I406" s="1" t="s">
        <v>1003</v>
      </c>
      <c r="J406" s="1" t="s">
        <v>1023</v>
      </c>
      <c r="K406" s="1">
        <v>405.0</v>
      </c>
      <c r="L406" s="1" t="str">
        <f t="shared" si="1"/>
        <v>Marcus Mariota</v>
      </c>
      <c r="M406" s="124">
        <f>IFERROR(VLOOKUP(E406,RISK!A:B,2,FALSE()),"")</f>
        <v>3.2</v>
      </c>
      <c r="N406" s="116">
        <f t="shared" si="2"/>
        <v>6.764423529</v>
      </c>
      <c r="Q406" s="8"/>
      <c r="R406" s="8"/>
      <c r="S406" s="8"/>
      <c r="T406" s="8"/>
    </row>
    <row r="407" ht="14.25" customHeight="1">
      <c r="A407" s="1">
        <v>404.0</v>
      </c>
      <c r="B407" s="1">
        <v>12.0</v>
      </c>
      <c r="C407" s="1" t="s">
        <v>707</v>
      </c>
      <c r="D407" s="1" t="s">
        <v>61</v>
      </c>
      <c r="E407" s="1" t="s">
        <v>1076</v>
      </c>
      <c r="F407" s="1">
        <v>13.0</v>
      </c>
      <c r="G407" s="1" t="s">
        <v>1023</v>
      </c>
      <c r="H407" s="1" t="s">
        <v>1023</v>
      </c>
      <c r="I407" s="1" t="s">
        <v>1007</v>
      </c>
      <c r="J407" s="1" t="s">
        <v>1023</v>
      </c>
      <c r="K407" s="1">
        <v>406.0</v>
      </c>
      <c r="L407" s="1" t="str">
        <f t="shared" si="1"/>
        <v>Rasheen Ali</v>
      </c>
      <c r="M407" s="124">
        <f>IFERROR(VLOOKUP(E407,RISK!A:B,2,FALSE()),"")</f>
        <v>3.368</v>
      </c>
      <c r="N407" s="116" t="str">
        <f t="shared" si="2"/>
        <v>#N/A</v>
      </c>
      <c r="Q407" s="8"/>
      <c r="R407" s="8"/>
      <c r="S407" s="8"/>
      <c r="T407" s="8"/>
    </row>
    <row r="408" ht="14.25" customHeight="1">
      <c r="A408" s="1">
        <v>405.0</v>
      </c>
      <c r="B408" s="1">
        <v>12.0</v>
      </c>
      <c r="C408" s="1" t="s">
        <v>1439</v>
      </c>
      <c r="D408" s="1" t="s">
        <v>196</v>
      </c>
      <c r="E408" s="1" t="s">
        <v>1440</v>
      </c>
      <c r="F408" s="1">
        <v>6.0</v>
      </c>
      <c r="G408" s="1" t="s">
        <v>1023</v>
      </c>
      <c r="H408" s="1" t="s">
        <v>1023</v>
      </c>
      <c r="I408" s="1" t="s">
        <v>1007</v>
      </c>
      <c r="J408" s="1" t="s">
        <v>1023</v>
      </c>
      <c r="K408" s="1">
        <v>407.0</v>
      </c>
      <c r="L408" s="1" t="str">
        <f t="shared" si="1"/>
        <v>Miami Dolphins</v>
      </c>
      <c r="M408" s="124" t="str">
        <f>IFERROR(VLOOKUP(E408,RISK!A:B,2,FALSE()),"")</f>
        <v/>
      </c>
      <c r="N408" s="116" t="str">
        <f t="shared" si="2"/>
        <v>#N/A</v>
      </c>
      <c r="Q408" s="8"/>
      <c r="R408" s="8"/>
      <c r="S408" s="8"/>
      <c r="T408" s="8"/>
    </row>
    <row r="409" ht="14.25" customHeight="1">
      <c r="A409" s="1">
        <v>406.0</v>
      </c>
      <c r="B409" s="1">
        <v>12.0</v>
      </c>
      <c r="C409" s="1" t="s">
        <v>831</v>
      </c>
      <c r="D409" s="1" t="s">
        <v>214</v>
      </c>
      <c r="E409" s="1" t="s">
        <v>570</v>
      </c>
      <c r="F409" s="1">
        <v>9.0</v>
      </c>
      <c r="G409" s="1" t="s">
        <v>1023</v>
      </c>
      <c r="H409" s="1" t="s">
        <v>1023</v>
      </c>
      <c r="I409" s="1" t="s">
        <v>1007</v>
      </c>
      <c r="J409" s="1" t="s">
        <v>1023</v>
      </c>
      <c r="K409" s="1">
        <v>408.0</v>
      </c>
      <c r="L409" s="1" t="str">
        <f t="shared" si="1"/>
        <v>Daniel Bellinger</v>
      </c>
      <c r="M409" s="124">
        <f>IFERROR(VLOOKUP(E409,RISK!A:B,2,FALSE()),"")</f>
        <v>2.2775</v>
      </c>
      <c r="N409" s="116" t="str">
        <f t="shared" si="2"/>
        <v>#N/A</v>
      </c>
      <c r="Q409" s="8"/>
      <c r="R409" s="8"/>
      <c r="S409" s="8"/>
      <c r="T409" s="8"/>
    </row>
    <row r="410" ht="14.25" customHeight="1">
      <c r="A410" s="1">
        <v>407.0</v>
      </c>
      <c r="B410" s="1">
        <v>12.0</v>
      </c>
      <c r="C410" s="1" t="s">
        <v>299</v>
      </c>
      <c r="D410" s="1" t="s">
        <v>210</v>
      </c>
      <c r="E410" s="1" t="s">
        <v>473</v>
      </c>
      <c r="F410" s="1">
        <v>13.0</v>
      </c>
      <c r="G410" s="1" t="s">
        <v>1023</v>
      </c>
      <c r="H410" s="1" t="s">
        <v>1023</v>
      </c>
      <c r="I410" s="1" t="s">
        <v>1004</v>
      </c>
      <c r="J410" s="1" t="s">
        <v>1023</v>
      </c>
      <c r="K410" s="1">
        <v>409.0</v>
      </c>
      <c r="L410" s="1" t="str">
        <f t="shared" si="1"/>
        <v>Cade Klubnik</v>
      </c>
      <c r="M410" s="124">
        <f>IFERROR(VLOOKUP(E410,RISK!A:B,2,FALSE()),"")</f>
        <v>3.2</v>
      </c>
      <c r="N410" s="116">
        <f t="shared" si="2"/>
        <v>6.659011765</v>
      </c>
      <c r="Q410" s="8"/>
      <c r="R410" s="8"/>
      <c r="S410" s="8"/>
      <c r="T410" s="8"/>
    </row>
    <row r="411" ht="14.25" customHeight="1">
      <c r="A411" s="1">
        <v>408.0</v>
      </c>
      <c r="B411" s="1">
        <v>12.0</v>
      </c>
      <c r="C411" s="1" t="s">
        <v>1028</v>
      </c>
      <c r="D411" s="1" t="s">
        <v>182</v>
      </c>
      <c r="E411" s="1" t="s">
        <v>1157</v>
      </c>
      <c r="F411" s="1">
        <v>8.0</v>
      </c>
      <c r="G411" s="1" t="s">
        <v>1023</v>
      </c>
      <c r="H411" s="1" t="s">
        <v>1023</v>
      </c>
      <c r="I411" s="1" t="s">
        <v>1007</v>
      </c>
      <c r="J411" s="1" t="s">
        <v>1023</v>
      </c>
      <c r="K411" s="1">
        <v>410.0</v>
      </c>
      <c r="L411" s="1" t="str">
        <f t="shared" si="1"/>
        <v>Barion Brown</v>
      </c>
      <c r="M411" s="124">
        <f>IFERROR(VLOOKUP(E411,RISK!A:B,2,FALSE()),"")</f>
        <v>3.7</v>
      </c>
      <c r="N411" s="116" t="str">
        <f t="shared" si="2"/>
        <v>#N/A</v>
      </c>
      <c r="Q411" s="8"/>
      <c r="R411" s="8"/>
      <c r="S411" s="8"/>
      <c r="T411" s="8"/>
    </row>
    <row r="412" ht="14.25" customHeight="1">
      <c r="A412" s="1">
        <v>409.0</v>
      </c>
      <c r="B412" s="1">
        <v>12.0</v>
      </c>
      <c r="C412" s="1" t="s">
        <v>860</v>
      </c>
      <c r="D412" s="1" t="s">
        <v>106</v>
      </c>
      <c r="E412" s="1" t="s">
        <v>578</v>
      </c>
      <c r="F412" s="1">
        <v>7.0</v>
      </c>
      <c r="G412" s="1" t="s">
        <v>1023</v>
      </c>
      <c r="H412" s="1" t="s">
        <v>1023</v>
      </c>
      <c r="I412" s="1" t="s">
        <v>1006</v>
      </c>
      <c r="J412" s="1" t="s">
        <v>1023</v>
      </c>
      <c r="K412" s="1">
        <v>411.0</v>
      </c>
      <c r="L412" s="1" t="str">
        <f t="shared" si="1"/>
        <v>John Bates</v>
      </c>
      <c r="M412" s="124">
        <f>IFERROR(VLOOKUP(E412,RISK!A:B,2,FALSE()),"")</f>
        <v>2.2775</v>
      </c>
      <c r="N412" s="116" t="str">
        <f t="shared" si="2"/>
        <v>#N/A</v>
      </c>
      <c r="Q412" s="8"/>
      <c r="R412" s="8"/>
      <c r="S412" s="8"/>
      <c r="T412" s="8"/>
    </row>
    <row r="413" ht="14.25" customHeight="1">
      <c r="A413" s="1">
        <v>410.0</v>
      </c>
      <c r="B413" s="1">
        <v>12.0</v>
      </c>
      <c r="C413" s="1" t="s">
        <v>250</v>
      </c>
      <c r="D413" s="1" t="s">
        <v>134</v>
      </c>
      <c r="E413" s="1" t="s">
        <v>481</v>
      </c>
      <c r="F413" s="1">
        <v>8.0</v>
      </c>
      <c r="G413" s="1" t="s">
        <v>1023</v>
      </c>
      <c r="H413" s="1" t="s">
        <v>1023</v>
      </c>
      <c r="I413" s="1" t="s">
        <v>1004</v>
      </c>
      <c r="J413" s="1" t="s">
        <v>1023</v>
      </c>
      <c r="K413" s="1">
        <v>412.0</v>
      </c>
      <c r="L413" s="1" t="str">
        <f t="shared" si="1"/>
        <v>Jameis Winston</v>
      </c>
      <c r="M413" s="124">
        <f>IFERROR(VLOOKUP(E413,RISK!A:B,2,FALSE()),"")</f>
        <v>3.2</v>
      </c>
      <c r="N413" s="116">
        <f t="shared" si="2"/>
        <v>6.511435294</v>
      </c>
      <c r="Q413" s="8"/>
      <c r="R413" s="8"/>
      <c r="S413" s="8"/>
      <c r="T413" s="8"/>
    </row>
    <row r="414" ht="14.25" customHeight="1">
      <c r="A414" s="1">
        <v>411.0</v>
      </c>
      <c r="B414" s="1">
        <v>12.0</v>
      </c>
      <c r="C414" s="1" t="s">
        <v>527</v>
      </c>
      <c r="D414" s="1" t="s">
        <v>140</v>
      </c>
      <c r="E414" s="1" t="s">
        <v>1077</v>
      </c>
      <c r="F414" s="1">
        <v>8.0</v>
      </c>
      <c r="G414" s="1" t="s">
        <v>1023</v>
      </c>
      <c r="H414" s="1" t="s">
        <v>1023</v>
      </c>
      <c r="I414" s="1" t="s">
        <v>1003</v>
      </c>
      <c r="J414" s="1" t="s">
        <v>1023</v>
      </c>
      <c r="K414" s="1">
        <v>413.0</v>
      </c>
      <c r="L414" s="1" t="str">
        <f t="shared" si="1"/>
        <v>Kyle Juszczyk</v>
      </c>
      <c r="M414" s="124">
        <f>IFERROR(VLOOKUP(E414,RISK!A:B,2,FALSE()),"")</f>
        <v>3.368</v>
      </c>
      <c r="N414" s="116" t="str">
        <f t="shared" si="2"/>
        <v>#N/A</v>
      </c>
      <c r="Q414" s="8"/>
      <c r="R414" s="8"/>
      <c r="S414" s="8"/>
      <c r="T414" s="8"/>
    </row>
    <row r="415" ht="14.25" customHeight="1">
      <c r="A415" s="1">
        <v>412.0</v>
      </c>
      <c r="B415" s="1">
        <v>12.0</v>
      </c>
      <c r="C415" s="1" t="s">
        <v>1441</v>
      </c>
      <c r="D415" s="1" t="s">
        <v>229</v>
      </c>
      <c r="E415" s="1" t="s">
        <v>1442</v>
      </c>
      <c r="F415" s="1">
        <v>11.0</v>
      </c>
      <c r="G415" s="1" t="s">
        <v>1023</v>
      </c>
      <c r="H415" s="1" t="s">
        <v>1023</v>
      </c>
      <c r="I415" s="1" t="s">
        <v>1055</v>
      </c>
      <c r="J415" s="1">
        <v>-162.0</v>
      </c>
      <c r="K415" s="1">
        <v>414.0</v>
      </c>
      <c r="L415" s="1" t="str">
        <f t="shared" si="1"/>
        <v>Nick Folk</v>
      </c>
      <c r="M415" s="124" t="str">
        <f>IFERROR(VLOOKUP(E415,RISK!A:B,2,FALSE()),"")</f>
        <v/>
      </c>
      <c r="N415" s="116" t="str">
        <f t="shared" si="2"/>
        <v>#N/A</v>
      </c>
      <c r="Q415" s="8"/>
      <c r="R415" s="8"/>
      <c r="S415" s="8"/>
      <c r="T415" s="8"/>
    </row>
    <row r="416" ht="14.25" customHeight="1">
      <c r="A416" s="1">
        <v>413.0</v>
      </c>
      <c r="B416" s="1">
        <v>12.0</v>
      </c>
      <c r="C416" s="1" t="s">
        <v>942</v>
      </c>
      <c r="D416" s="1" t="s">
        <v>193</v>
      </c>
      <c r="E416" s="1" t="s">
        <v>1158</v>
      </c>
      <c r="F416" s="1">
        <v>13.0</v>
      </c>
      <c r="G416" s="1" t="s">
        <v>1023</v>
      </c>
      <c r="H416" s="1" t="s">
        <v>1023</v>
      </c>
      <c r="I416" s="1" t="s">
        <v>1004</v>
      </c>
      <c r="J416" s="1" t="s">
        <v>1023</v>
      </c>
      <c r="K416" s="1">
        <v>415.0</v>
      </c>
      <c r="L416" s="1" t="str">
        <f t="shared" si="1"/>
        <v>Ashton Dulin</v>
      </c>
      <c r="M416" s="124">
        <f>IFERROR(VLOOKUP(E416,RISK!A:B,2,FALSE()),"")</f>
        <v>3.7</v>
      </c>
      <c r="N416" s="116" t="str">
        <f t="shared" si="2"/>
        <v>#N/A</v>
      </c>
      <c r="Q416" s="8"/>
      <c r="R416" s="8"/>
      <c r="S416" s="8"/>
      <c r="T416" s="8"/>
    </row>
    <row r="417" ht="14.25" customHeight="1">
      <c r="A417" s="1">
        <v>414.0</v>
      </c>
      <c r="B417" s="1">
        <v>12.0</v>
      </c>
      <c r="C417" s="1" t="s">
        <v>1443</v>
      </c>
      <c r="D417" s="1" t="s">
        <v>1383</v>
      </c>
      <c r="E417" s="1" t="s">
        <v>1078</v>
      </c>
      <c r="F417" s="1" t="s">
        <v>1023</v>
      </c>
      <c r="G417" s="1" t="s">
        <v>1023</v>
      </c>
      <c r="H417" s="1" t="s">
        <v>1023</v>
      </c>
      <c r="I417" s="1" t="s">
        <v>1023</v>
      </c>
      <c r="J417" s="1">
        <v>-147.0</v>
      </c>
      <c r="K417" s="1">
        <v>416.0</v>
      </c>
      <c r="L417" s="1" t="str">
        <f t="shared" si="1"/>
        <v>Austin Ekeler</v>
      </c>
      <c r="M417" s="124">
        <f>IFERROR(VLOOKUP(E417,RISK!A:B,2,FALSE()),"")</f>
        <v>3.368</v>
      </c>
      <c r="N417" s="116" t="str">
        <f t="shared" si="2"/>
        <v>#N/A</v>
      </c>
      <c r="Q417" s="8"/>
      <c r="R417" s="8"/>
      <c r="S417" s="8"/>
      <c r="T417" s="8"/>
    </row>
    <row r="418" ht="14.25" customHeight="1">
      <c r="A418" s="1">
        <v>415.0</v>
      </c>
      <c r="B418" s="1">
        <v>12.0</v>
      </c>
      <c r="C418" s="1" t="s">
        <v>1444</v>
      </c>
      <c r="D418" s="1" t="s">
        <v>179</v>
      </c>
      <c r="E418" s="1" t="s">
        <v>1079</v>
      </c>
      <c r="F418" s="1">
        <v>6.0</v>
      </c>
      <c r="G418" s="1" t="s">
        <v>1023</v>
      </c>
      <c r="H418" s="1" t="s">
        <v>1023</v>
      </c>
      <c r="I418" s="1" t="s">
        <v>1002</v>
      </c>
      <c r="J418" s="1" t="s">
        <v>1023</v>
      </c>
      <c r="K418" s="1">
        <v>417.0</v>
      </c>
      <c r="L418" s="1" t="str">
        <f t="shared" si="1"/>
        <v>Sione Vaki</v>
      </c>
      <c r="M418" s="124">
        <f>IFERROR(VLOOKUP(E418,RISK!A:B,2,FALSE()),"")</f>
        <v>3.368</v>
      </c>
      <c r="N418" s="116" t="str">
        <f t="shared" si="2"/>
        <v>#N/A</v>
      </c>
      <c r="Q418" s="8"/>
      <c r="R418" s="8"/>
      <c r="S418" s="8"/>
      <c r="T418" s="8"/>
    </row>
    <row r="419" ht="14.25" customHeight="1">
      <c r="A419" s="1">
        <v>416.0</v>
      </c>
      <c r="B419" s="1">
        <v>12.0</v>
      </c>
      <c r="C419" s="1" t="s">
        <v>1445</v>
      </c>
      <c r="D419" s="1" t="s">
        <v>199</v>
      </c>
      <c r="E419" s="1" t="s">
        <v>1082</v>
      </c>
      <c r="F419" s="1">
        <v>11.0</v>
      </c>
      <c r="G419" s="1" t="s">
        <v>1023</v>
      </c>
      <c r="H419" s="1" t="s">
        <v>1023</v>
      </c>
      <c r="I419" s="1" t="s">
        <v>1004</v>
      </c>
      <c r="J419" s="1" t="s">
        <v>1023</v>
      </c>
      <c r="K419" s="1">
        <v>418.0</v>
      </c>
      <c r="L419" s="1" t="str">
        <f t="shared" si="1"/>
        <v>Damien Martinez</v>
      </c>
      <c r="M419" s="124">
        <f>IFERROR(VLOOKUP(E419,RISK!A:B,2,FALSE()),"")</f>
        <v>3.368</v>
      </c>
      <c r="N419" s="116" t="str">
        <f t="shared" si="2"/>
        <v>#N/A</v>
      </c>
      <c r="Q419" s="8"/>
      <c r="R419" s="8"/>
      <c r="S419" s="8"/>
      <c r="T419" s="8"/>
    </row>
    <row r="420" ht="14.25" customHeight="1">
      <c r="A420" s="1">
        <v>417.0</v>
      </c>
      <c r="B420" s="1">
        <v>12.0</v>
      </c>
      <c r="C420" s="1" t="s">
        <v>967</v>
      </c>
      <c r="D420" s="1" t="s">
        <v>196</v>
      </c>
      <c r="E420" s="1" t="s">
        <v>1159</v>
      </c>
      <c r="F420" s="1">
        <v>6.0</v>
      </c>
      <c r="G420" s="1" t="s">
        <v>1023</v>
      </c>
      <c r="H420" s="1" t="s">
        <v>1023</v>
      </c>
      <c r="I420" s="1" t="s">
        <v>1007</v>
      </c>
      <c r="J420" s="1">
        <v>-57.0</v>
      </c>
      <c r="K420" s="1">
        <v>419.0</v>
      </c>
      <c r="L420" s="1" t="str">
        <f t="shared" si="1"/>
        <v>Tutu Atwell</v>
      </c>
      <c r="M420" s="124">
        <f>IFERROR(VLOOKUP(E420,RISK!A:B,2,FALSE()),"")</f>
        <v>3.7</v>
      </c>
      <c r="N420" s="116" t="str">
        <f t="shared" si="2"/>
        <v>#N/A</v>
      </c>
      <c r="Q420" s="8"/>
      <c r="R420" s="8"/>
      <c r="S420" s="8"/>
      <c r="T420" s="8"/>
    </row>
    <row r="421" ht="14.25" customHeight="1">
      <c r="A421" s="1">
        <v>418.0</v>
      </c>
      <c r="B421" s="1">
        <v>12.0</v>
      </c>
      <c r="C421" s="1" t="s">
        <v>1338</v>
      </c>
      <c r="D421" s="1" t="s">
        <v>193</v>
      </c>
      <c r="E421" s="1" t="s">
        <v>1160</v>
      </c>
      <c r="F421" s="1">
        <v>13.0</v>
      </c>
      <c r="G421" s="1" t="s">
        <v>1023</v>
      </c>
      <c r="H421" s="1" t="s">
        <v>1023</v>
      </c>
      <c r="I421" s="1" t="s">
        <v>1004</v>
      </c>
      <c r="J421" s="1" t="s">
        <v>1023</v>
      </c>
      <c r="K421" s="1">
        <v>420.0</v>
      </c>
      <c r="L421" s="1" t="str">
        <f t="shared" si="1"/>
        <v>Deion Burks</v>
      </c>
      <c r="M421" s="124">
        <f>IFERROR(VLOOKUP(E421,RISK!A:B,2,FALSE()),"")</f>
        <v>3.7</v>
      </c>
      <c r="N421" s="116" t="str">
        <f t="shared" si="2"/>
        <v>#N/A</v>
      </c>
      <c r="Q421" s="8"/>
      <c r="R421" s="8"/>
      <c r="S421" s="8"/>
      <c r="T421" s="8"/>
    </row>
    <row r="422" ht="14.25" customHeight="1">
      <c r="A422" s="1">
        <v>419.0</v>
      </c>
      <c r="B422" s="1">
        <v>12.0</v>
      </c>
      <c r="C422" s="1" t="s">
        <v>1027</v>
      </c>
      <c r="D422" s="1" t="s">
        <v>179</v>
      </c>
      <c r="E422" s="1" t="s">
        <v>1161</v>
      </c>
      <c r="F422" s="1">
        <v>6.0</v>
      </c>
      <c r="G422" s="1" t="s">
        <v>1023</v>
      </c>
      <c r="H422" s="1" t="s">
        <v>1023</v>
      </c>
      <c r="I422" s="1" t="s">
        <v>1004</v>
      </c>
      <c r="J422" s="1" t="s">
        <v>1023</v>
      </c>
      <c r="K422" s="1">
        <v>421.0</v>
      </c>
      <c r="L422" s="1" t="str">
        <f t="shared" si="1"/>
        <v>Greg Dortch</v>
      </c>
      <c r="M422" s="124">
        <f>IFERROR(VLOOKUP(E422,RISK!A:B,2,FALSE()),"")</f>
        <v>3.7</v>
      </c>
      <c r="N422" s="116" t="str">
        <f t="shared" si="2"/>
        <v>#N/A</v>
      </c>
      <c r="Q422" s="8"/>
      <c r="R422" s="8"/>
      <c r="S422" s="8"/>
      <c r="T422" s="8"/>
    </row>
    <row r="423" ht="14.25" customHeight="1">
      <c r="A423" s="1">
        <v>420.0</v>
      </c>
      <c r="B423" s="1">
        <v>12.0</v>
      </c>
      <c r="C423" s="1" t="s">
        <v>852</v>
      </c>
      <c r="D423" s="1" t="s">
        <v>217</v>
      </c>
      <c r="E423" s="1" t="s">
        <v>588</v>
      </c>
      <c r="F423" s="1">
        <v>14.0</v>
      </c>
      <c r="G423" s="1" t="s">
        <v>1023</v>
      </c>
      <c r="H423" s="1" t="s">
        <v>1023</v>
      </c>
      <c r="I423" s="1" t="s">
        <v>1003</v>
      </c>
      <c r="J423" s="1" t="s">
        <v>1023</v>
      </c>
      <c r="K423" s="1">
        <v>422.0</v>
      </c>
      <c r="L423" s="1" t="str">
        <f t="shared" si="1"/>
        <v>Elijah Higgins</v>
      </c>
      <c r="M423" s="124">
        <f>IFERROR(VLOOKUP(E423,RISK!A:B,2,FALSE()),"")</f>
        <v>2.2775</v>
      </c>
      <c r="N423" s="116" t="str">
        <f t="shared" si="2"/>
        <v>#N/A</v>
      </c>
      <c r="Q423" s="8"/>
      <c r="R423" s="8"/>
      <c r="S423" s="8"/>
      <c r="T423" s="8"/>
    </row>
    <row r="424" ht="14.25" customHeight="1">
      <c r="A424" s="1">
        <v>421.0</v>
      </c>
      <c r="B424" s="1">
        <v>12.0</v>
      </c>
      <c r="C424" s="1" t="s">
        <v>609</v>
      </c>
      <c r="D424" s="1" t="s">
        <v>117</v>
      </c>
      <c r="E424" s="1" t="s">
        <v>1083</v>
      </c>
      <c r="F424" s="1">
        <v>10.0</v>
      </c>
      <c r="G424" s="1" t="s">
        <v>1023</v>
      </c>
      <c r="H424" s="1" t="s">
        <v>1023</v>
      </c>
      <c r="I424" s="1" t="s">
        <v>1004</v>
      </c>
      <c r="J424" s="1" t="s">
        <v>1023</v>
      </c>
      <c r="K424" s="1">
        <v>423.0</v>
      </c>
      <c r="L424" s="1" t="str">
        <f t="shared" si="1"/>
        <v>Dameon Pierce</v>
      </c>
      <c r="M424" s="124">
        <f>IFERROR(VLOOKUP(E424,RISK!A:B,2,FALSE()),"")</f>
        <v>3.368</v>
      </c>
      <c r="N424" s="116" t="str">
        <f t="shared" si="2"/>
        <v>#N/A</v>
      </c>
      <c r="Q424" s="8"/>
      <c r="R424" s="8"/>
      <c r="S424" s="8"/>
      <c r="T424" s="8"/>
    </row>
    <row r="425" ht="14.25" customHeight="1">
      <c r="A425" s="1">
        <v>422.0</v>
      </c>
      <c r="B425" s="1">
        <v>12.0</v>
      </c>
      <c r="C425" s="1" t="s">
        <v>1446</v>
      </c>
      <c r="D425" s="1" t="s">
        <v>193</v>
      </c>
      <c r="E425" s="1" t="s">
        <v>1447</v>
      </c>
      <c r="F425" s="1">
        <v>13.0</v>
      </c>
      <c r="G425" s="1" t="s">
        <v>1023</v>
      </c>
      <c r="H425" s="1" t="s">
        <v>1023</v>
      </c>
      <c r="I425" s="1" t="s">
        <v>1004</v>
      </c>
      <c r="J425" s="1">
        <v>-109.0</v>
      </c>
      <c r="K425" s="1">
        <v>424.0</v>
      </c>
      <c r="L425" s="1" t="str">
        <f t="shared" si="1"/>
        <v>Blake Grupe</v>
      </c>
      <c r="M425" s="124" t="str">
        <f>IFERROR(VLOOKUP(E425,RISK!A:B,2,FALSE()),"")</f>
        <v/>
      </c>
      <c r="N425" s="116" t="str">
        <f t="shared" si="2"/>
        <v>#N/A</v>
      </c>
      <c r="Q425" s="8"/>
      <c r="R425" s="8"/>
      <c r="S425" s="8"/>
      <c r="T425" s="8"/>
    </row>
    <row r="426" ht="14.25" customHeight="1">
      <c r="A426" s="1">
        <v>423.0</v>
      </c>
      <c r="B426" s="1">
        <v>12.0</v>
      </c>
      <c r="C426" s="1" t="s">
        <v>973</v>
      </c>
      <c r="D426" s="1" t="s">
        <v>106</v>
      </c>
      <c r="E426" s="1" t="s">
        <v>1162</v>
      </c>
      <c r="F426" s="1">
        <v>7.0</v>
      </c>
      <c r="G426" s="1" t="s">
        <v>1023</v>
      </c>
      <c r="H426" s="1" t="s">
        <v>1023</v>
      </c>
      <c r="I426" s="1" t="s">
        <v>1003</v>
      </c>
      <c r="J426" s="1" t="s">
        <v>1023</v>
      </c>
      <c r="K426" s="1">
        <v>425.0</v>
      </c>
      <c r="L426" s="1" t="str">
        <f t="shared" si="1"/>
        <v>Dyami Brown</v>
      </c>
      <c r="M426" s="124">
        <f>IFERROR(VLOOKUP(E426,RISK!A:B,2,FALSE()),"")</f>
        <v>3.7</v>
      </c>
      <c r="N426" s="116" t="str">
        <f t="shared" si="2"/>
        <v>#N/A</v>
      </c>
      <c r="Q426" s="8"/>
      <c r="R426" s="8"/>
      <c r="S426" s="8"/>
      <c r="T426" s="8"/>
    </row>
    <row r="427" ht="14.25" customHeight="1">
      <c r="A427" s="1">
        <v>424.0</v>
      </c>
      <c r="B427" s="1">
        <v>12.0</v>
      </c>
      <c r="C427" s="1" t="s">
        <v>1448</v>
      </c>
      <c r="D427" s="1" t="s">
        <v>1383</v>
      </c>
      <c r="E427" s="1" t="s">
        <v>1084</v>
      </c>
      <c r="F427" s="1" t="s">
        <v>1023</v>
      </c>
      <c r="G427" s="1" t="s">
        <v>1023</v>
      </c>
      <c r="H427" s="1" t="s">
        <v>1023</v>
      </c>
      <c r="I427" s="1" t="s">
        <v>1023</v>
      </c>
      <c r="J427" s="1" t="s">
        <v>1023</v>
      </c>
      <c r="K427" s="1">
        <v>426.0</v>
      </c>
      <c r="L427" s="1" t="str">
        <f t="shared" si="1"/>
        <v>Terrell Jennings</v>
      </c>
      <c r="M427" s="124">
        <f>IFERROR(VLOOKUP(E427,RISK!A:B,2,FALSE()),"")</f>
        <v>3.368</v>
      </c>
      <c r="N427" s="116" t="str">
        <f t="shared" si="2"/>
        <v>#N/A</v>
      </c>
      <c r="Q427" s="8"/>
      <c r="R427" s="8"/>
      <c r="S427" s="8"/>
      <c r="T427" s="8"/>
    </row>
    <row r="428" ht="14.25" customHeight="1">
      <c r="A428" s="1">
        <v>425.0</v>
      </c>
      <c r="B428" s="1">
        <v>12.0</v>
      </c>
      <c r="C428" s="1" t="s">
        <v>1449</v>
      </c>
      <c r="D428" s="1" t="s">
        <v>210</v>
      </c>
      <c r="E428" s="1" t="s">
        <v>1163</v>
      </c>
      <c r="F428" s="1">
        <v>13.0</v>
      </c>
      <c r="G428" s="1" t="s">
        <v>1023</v>
      </c>
      <c r="H428" s="1" t="s">
        <v>1023</v>
      </c>
      <c r="I428" s="1" t="s">
        <v>1004</v>
      </c>
      <c r="J428" s="1" t="s">
        <v>1023</v>
      </c>
      <c r="K428" s="1">
        <v>427.0</v>
      </c>
      <c r="L428" s="1" t="str">
        <f t="shared" si="1"/>
        <v>Tim Patrick</v>
      </c>
      <c r="M428" s="124">
        <f>IFERROR(VLOOKUP(E428,RISK!A:B,2,FALSE()),"")</f>
        <v>3.7</v>
      </c>
      <c r="N428" s="116" t="str">
        <f t="shared" si="2"/>
        <v>#N/A</v>
      </c>
      <c r="Q428" s="8"/>
      <c r="R428" s="8"/>
      <c r="S428" s="8"/>
      <c r="T428" s="8"/>
    </row>
    <row r="429" ht="14.25" customHeight="1">
      <c r="A429" s="1">
        <v>426.0</v>
      </c>
      <c r="B429" s="1">
        <v>12.0</v>
      </c>
      <c r="C429" s="1" t="s">
        <v>1450</v>
      </c>
      <c r="D429" s="1" t="s">
        <v>1383</v>
      </c>
      <c r="E429" s="1" t="s">
        <v>595</v>
      </c>
      <c r="F429" s="1" t="s">
        <v>1023</v>
      </c>
      <c r="G429" s="1" t="s">
        <v>1023</v>
      </c>
      <c r="H429" s="1" t="s">
        <v>1023</v>
      </c>
      <c r="I429" s="1" t="s">
        <v>1023</v>
      </c>
      <c r="J429" s="1" t="s">
        <v>1023</v>
      </c>
      <c r="K429" s="1">
        <v>428.0</v>
      </c>
      <c r="L429" s="1" t="str">
        <f t="shared" si="1"/>
        <v>Tommy Myers</v>
      </c>
      <c r="M429" s="124">
        <f>IFERROR(VLOOKUP(E429,RISK!A:B,2,FALSE()),"")</f>
        <v>2.2775</v>
      </c>
      <c r="N429" s="116" t="str">
        <f t="shared" si="2"/>
        <v>#N/A</v>
      </c>
      <c r="Q429" s="8"/>
      <c r="R429" s="8"/>
      <c r="S429" s="8"/>
      <c r="T429" s="8"/>
    </row>
    <row r="430" ht="14.25" customHeight="1">
      <c r="A430" s="1">
        <v>427.0</v>
      </c>
      <c r="B430" s="1">
        <v>12.0</v>
      </c>
      <c r="C430" s="1" t="s">
        <v>1451</v>
      </c>
      <c r="D430" s="1" t="s">
        <v>214</v>
      </c>
      <c r="E430" s="1" t="s">
        <v>1452</v>
      </c>
      <c r="F430" s="1">
        <v>9.0</v>
      </c>
      <c r="G430" s="1" t="s">
        <v>1023</v>
      </c>
      <c r="H430" s="1" t="s">
        <v>1023</v>
      </c>
      <c r="I430" s="1" t="s">
        <v>1004</v>
      </c>
      <c r="J430" s="1">
        <v>-95.0</v>
      </c>
      <c r="K430" s="1">
        <v>429.0</v>
      </c>
      <c r="L430" s="1" t="str">
        <f t="shared" si="1"/>
        <v>Joey Slye</v>
      </c>
      <c r="M430" s="124" t="str">
        <f>IFERROR(VLOOKUP(E430,RISK!A:B,2,FALSE()),"")</f>
        <v/>
      </c>
      <c r="N430" s="116" t="str">
        <f t="shared" si="2"/>
        <v>#N/A</v>
      </c>
      <c r="Q430" s="8"/>
      <c r="R430" s="8"/>
      <c r="S430" s="8"/>
      <c r="T430" s="8"/>
    </row>
    <row r="431" ht="14.25" customHeight="1">
      <c r="A431" s="1">
        <v>428.0</v>
      </c>
      <c r="B431" s="1">
        <v>12.0</v>
      </c>
      <c r="C431" s="1" t="s">
        <v>1453</v>
      </c>
      <c r="D431" s="1" t="s">
        <v>229</v>
      </c>
      <c r="E431" s="1" t="s">
        <v>1085</v>
      </c>
      <c r="F431" s="1">
        <v>11.0</v>
      </c>
      <c r="G431" s="1" t="s">
        <v>1023</v>
      </c>
      <c r="H431" s="1" t="s">
        <v>1023</v>
      </c>
      <c r="I431" s="1" t="s">
        <v>1003</v>
      </c>
      <c r="J431" s="1" t="s">
        <v>1023</v>
      </c>
      <c r="K431" s="1">
        <v>430.0</v>
      </c>
      <c r="L431" s="1" t="str">
        <f t="shared" si="1"/>
        <v>Tyler Goodson</v>
      </c>
      <c r="M431" s="124">
        <f>IFERROR(VLOOKUP(E431,RISK!A:B,2,FALSE()),"")</f>
        <v>3.368</v>
      </c>
      <c r="N431" s="116" t="str">
        <f t="shared" si="2"/>
        <v>#N/A</v>
      </c>
      <c r="Q431" s="8"/>
      <c r="R431" s="8"/>
      <c r="S431" s="8"/>
      <c r="T431" s="8"/>
    </row>
    <row r="432" ht="14.25" customHeight="1">
      <c r="A432" s="1">
        <v>429.0</v>
      </c>
      <c r="B432" s="1">
        <v>12.0</v>
      </c>
      <c r="C432" s="1" t="s">
        <v>1340</v>
      </c>
      <c r="D432" s="1" t="s">
        <v>106</v>
      </c>
      <c r="E432" s="1" t="s">
        <v>1086</v>
      </c>
      <c r="F432" s="1">
        <v>7.0</v>
      </c>
      <c r="G432" s="1" t="s">
        <v>1023</v>
      </c>
      <c r="H432" s="1" t="s">
        <v>1023</v>
      </c>
      <c r="I432" s="1" t="s">
        <v>1004</v>
      </c>
      <c r="J432" s="1">
        <v>-55.0</v>
      </c>
      <c r="K432" s="1">
        <v>431.0</v>
      </c>
      <c r="L432" s="1" t="str">
        <f t="shared" si="1"/>
        <v>Robert Henry Jr.</v>
      </c>
      <c r="M432" s="124">
        <f>IFERROR(VLOOKUP(E432,RISK!A:B,2,FALSE()),"")</f>
        <v>3.368</v>
      </c>
      <c r="N432" s="116" t="str">
        <f t="shared" si="2"/>
        <v>#N/A</v>
      </c>
      <c r="Q432" s="8"/>
      <c r="R432" s="8"/>
      <c r="S432" s="8"/>
      <c r="T432" s="8"/>
    </row>
    <row r="433" ht="14.25" customHeight="1">
      <c r="A433" s="1">
        <v>430.0</v>
      </c>
      <c r="B433" s="1">
        <v>12.0</v>
      </c>
      <c r="C433" s="1" t="s">
        <v>822</v>
      </c>
      <c r="D433" s="1" t="s">
        <v>196</v>
      </c>
      <c r="E433" s="1" t="s">
        <v>603</v>
      </c>
      <c r="F433" s="1">
        <v>6.0</v>
      </c>
      <c r="G433" s="1" t="s">
        <v>1023</v>
      </c>
      <c r="H433" s="1" t="s">
        <v>1023</v>
      </c>
      <c r="I433" s="1" t="s">
        <v>1002</v>
      </c>
      <c r="J433" s="1" t="s">
        <v>1023</v>
      </c>
      <c r="K433" s="1">
        <v>432.0</v>
      </c>
      <c r="L433" s="1" t="str">
        <f t="shared" si="1"/>
        <v>Will Kacmarek</v>
      </c>
      <c r="M433" s="124">
        <f>IFERROR(VLOOKUP(E433,RISK!A:B,2,FALSE()),"")</f>
        <v>2.2775</v>
      </c>
      <c r="N433" s="116" t="str">
        <f t="shared" si="2"/>
        <v>#N/A</v>
      </c>
      <c r="Q433" s="8"/>
      <c r="R433" s="8"/>
      <c r="S433" s="8"/>
      <c r="T433" s="8"/>
    </row>
    <row r="434" ht="14.25" customHeight="1">
      <c r="A434" s="1">
        <v>431.0</v>
      </c>
      <c r="B434" s="1">
        <v>12.0</v>
      </c>
      <c r="C434" s="1" t="s">
        <v>1454</v>
      </c>
      <c r="D434" s="1" t="s">
        <v>134</v>
      </c>
      <c r="E434" s="1" t="s">
        <v>1455</v>
      </c>
      <c r="F434" s="1">
        <v>8.0</v>
      </c>
      <c r="G434" s="1" t="s">
        <v>1023</v>
      </c>
      <c r="H434" s="1" t="s">
        <v>1023</v>
      </c>
      <c r="I434" s="1" t="s">
        <v>1003</v>
      </c>
      <c r="J434" s="1" t="s">
        <v>1023</v>
      </c>
      <c r="K434" s="1">
        <v>433.0</v>
      </c>
      <c r="L434" s="1" t="str">
        <f t="shared" si="1"/>
        <v>Ben Sauls</v>
      </c>
      <c r="M434" s="124" t="str">
        <f>IFERROR(VLOOKUP(E434,RISK!A:B,2,FALSE()),"")</f>
        <v/>
      </c>
      <c r="N434" s="116" t="str">
        <f t="shared" si="2"/>
        <v>#N/A</v>
      </c>
      <c r="Q434" s="8"/>
      <c r="R434" s="8"/>
      <c r="S434" s="8"/>
      <c r="T434" s="8"/>
    </row>
    <row r="435" ht="14.25" customHeight="1">
      <c r="A435" s="1">
        <v>432.0</v>
      </c>
      <c r="B435" s="1">
        <v>12.0</v>
      </c>
      <c r="C435" s="1" t="s">
        <v>830</v>
      </c>
      <c r="D435" s="1" t="s">
        <v>189</v>
      </c>
      <c r="E435" s="1" t="s">
        <v>611</v>
      </c>
      <c r="F435" s="1">
        <v>6.0</v>
      </c>
      <c r="G435" s="1" t="s">
        <v>1023</v>
      </c>
      <c r="H435" s="1" t="s">
        <v>1023</v>
      </c>
      <c r="I435" s="1" t="s">
        <v>1004</v>
      </c>
      <c r="J435" s="1">
        <v>-128.0</v>
      </c>
      <c r="K435" s="1">
        <v>434.0</v>
      </c>
      <c r="L435" s="1" t="str">
        <f t="shared" si="1"/>
        <v>Josh Oliver</v>
      </c>
      <c r="M435" s="124">
        <f>IFERROR(VLOOKUP(E435,RISK!A:B,2,FALSE()),"")</f>
        <v>2.2775</v>
      </c>
      <c r="N435" s="116" t="str">
        <f t="shared" si="2"/>
        <v>#N/A</v>
      </c>
      <c r="Q435" s="8"/>
      <c r="R435" s="8"/>
      <c r="S435" s="8"/>
      <c r="T435" s="8"/>
    </row>
    <row r="436" ht="14.25" customHeight="1">
      <c r="A436" s="1">
        <v>433.0</v>
      </c>
      <c r="B436" s="1">
        <v>12.0</v>
      </c>
      <c r="C436" s="1" t="s">
        <v>856</v>
      </c>
      <c r="D436" s="1" t="s">
        <v>205</v>
      </c>
      <c r="E436" s="1" t="s">
        <v>618</v>
      </c>
      <c r="F436" s="1">
        <v>8.0</v>
      </c>
      <c r="G436" s="1" t="s">
        <v>1023</v>
      </c>
      <c r="H436" s="1" t="s">
        <v>1023</v>
      </c>
      <c r="I436" s="1" t="s">
        <v>1004</v>
      </c>
      <c r="J436" s="1" t="s">
        <v>1023</v>
      </c>
      <c r="K436" s="1">
        <v>435.0</v>
      </c>
      <c r="L436" s="1" t="str">
        <f t="shared" si="1"/>
        <v>Marlin Klein</v>
      </c>
      <c r="M436" s="124">
        <f>IFERROR(VLOOKUP(E436,RISK!A:B,2,FALSE()),"")</f>
        <v>2.2775</v>
      </c>
      <c r="N436" s="116" t="str">
        <f t="shared" si="2"/>
        <v>#N/A</v>
      </c>
      <c r="Q436" s="8"/>
      <c r="R436" s="8"/>
      <c r="S436" s="8"/>
      <c r="T436" s="8"/>
    </row>
    <row r="437" ht="14.25" customHeight="1">
      <c r="A437" s="1">
        <v>434.0</v>
      </c>
      <c r="B437" s="1">
        <v>12.0</v>
      </c>
      <c r="C437" s="1" t="s">
        <v>1456</v>
      </c>
      <c r="D437" s="1" t="s">
        <v>1383</v>
      </c>
      <c r="E437" s="1" t="s">
        <v>1457</v>
      </c>
      <c r="F437" s="1" t="s">
        <v>1023</v>
      </c>
      <c r="G437" s="1" t="s">
        <v>1023</v>
      </c>
      <c r="H437" s="1" t="s">
        <v>1023</v>
      </c>
      <c r="I437" s="1" t="s">
        <v>1023</v>
      </c>
      <c r="J437" s="1" t="s">
        <v>1023</v>
      </c>
      <c r="K437" s="1">
        <v>436.0</v>
      </c>
      <c r="L437" s="1" t="str">
        <f t="shared" si="1"/>
        <v>Brandon McManus</v>
      </c>
      <c r="M437" s="124" t="str">
        <f>IFERROR(VLOOKUP(E437,RISK!A:B,2,FALSE()),"")</f>
        <v/>
      </c>
      <c r="N437" s="116" t="str">
        <f t="shared" si="2"/>
        <v>#N/A</v>
      </c>
      <c r="Q437" s="8"/>
      <c r="R437" s="8"/>
      <c r="S437" s="8"/>
      <c r="T437" s="8"/>
    </row>
    <row r="438" ht="14.25" customHeight="1">
      <c r="A438" s="1">
        <v>435.0</v>
      </c>
      <c r="B438" s="1">
        <v>12.0</v>
      </c>
      <c r="C438" s="1" t="s">
        <v>1458</v>
      </c>
      <c r="D438" s="1" t="s">
        <v>182</v>
      </c>
      <c r="E438" s="1" t="s">
        <v>1459</v>
      </c>
      <c r="F438" s="1">
        <v>8.0</v>
      </c>
      <c r="G438" s="1" t="s">
        <v>1023</v>
      </c>
      <c r="H438" s="1" t="s">
        <v>1023</v>
      </c>
      <c r="I438" s="1" t="s">
        <v>1002</v>
      </c>
      <c r="J438" s="1" t="s">
        <v>1023</v>
      </c>
      <c r="K438" s="1">
        <v>437.0</v>
      </c>
      <c r="L438" s="1" t="str">
        <f t="shared" si="1"/>
        <v>Daniel Carlson</v>
      </c>
      <c r="M438" s="124" t="str">
        <f>IFERROR(VLOOKUP(E438,RISK!A:B,2,FALSE()),"")</f>
        <v/>
      </c>
      <c r="N438" s="116" t="str">
        <f t="shared" si="2"/>
        <v>#N/A</v>
      </c>
      <c r="Q438" s="8"/>
      <c r="R438" s="8"/>
      <c r="S438" s="8"/>
      <c r="T438" s="8"/>
    </row>
    <row r="439" ht="14.25" customHeight="1">
      <c r="A439" s="1">
        <v>436.0</v>
      </c>
      <c r="B439" s="1">
        <v>12.0</v>
      </c>
      <c r="C439" s="1" t="s">
        <v>1460</v>
      </c>
      <c r="D439" s="1" t="s">
        <v>106</v>
      </c>
      <c r="E439" s="1" t="s">
        <v>1461</v>
      </c>
      <c r="F439" s="1">
        <v>7.0</v>
      </c>
      <c r="G439" s="1" t="s">
        <v>1023</v>
      </c>
      <c r="H439" s="1" t="s">
        <v>1023</v>
      </c>
      <c r="I439" s="1" t="s">
        <v>1003</v>
      </c>
      <c r="J439" s="1" t="s">
        <v>1023</v>
      </c>
      <c r="K439" s="1">
        <v>438.0</v>
      </c>
      <c r="L439" s="1" t="str">
        <f t="shared" si="1"/>
        <v>Washington Commanders</v>
      </c>
      <c r="M439" s="124" t="str">
        <f>IFERROR(VLOOKUP(E439,RISK!A:B,2,FALSE()),"")</f>
        <v/>
      </c>
      <c r="N439" s="116" t="str">
        <f t="shared" si="2"/>
        <v>#N/A</v>
      </c>
      <c r="Q439" s="8"/>
      <c r="R439" s="8"/>
      <c r="S439" s="8"/>
      <c r="T439" s="8"/>
    </row>
    <row r="440" ht="14.25" customHeight="1">
      <c r="A440" s="1">
        <v>437.0</v>
      </c>
      <c r="B440" s="1">
        <v>12.0</v>
      </c>
      <c r="C440" s="1" t="s">
        <v>704</v>
      </c>
      <c r="D440" s="1" t="s">
        <v>189</v>
      </c>
      <c r="E440" s="1" t="s">
        <v>1087</v>
      </c>
      <c r="F440" s="1">
        <v>6.0</v>
      </c>
      <c r="G440" s="1" t="s">
        <v>1023</v>
      </c>
      <c r="H440" s="1" t="s">
        <v>1023</v>
      </c>
      <c r="I440" s="1" t="s">
        <v>1004</v>
      </c>
      <c r="J440" s="1" t="s">
        <v>1023</v>
      </c>
      <c r="K440" s="1">
        <v>439.0</v>
      </c>
      <c r="L440" s="1" t="str">
        <f t="shared" si="1"/>
        <v>Zavier Scott</v>
      </c>
      <c r="M440" s="124">
        <f>IFERROR(VLOOKUP(E440,RISK!A:B,2,FALSE()),"")</f>
        <v>3.368</v>
      </c>
      <c r="N440" s="116" t="str">
        <f t="shared" si="2"/>
        <v>#N/A</v>
      </c>
      <c r="Q440" s="8"/>
      <c r="R440" s="8"/>
      <c r="S440" s="8"/>
      <c r="T440" s="8"/>
    </row>
    <row r="441" ht="14.25" customHeight="1">
      <c r="A441" s="1">
        <v>438.0</v>
      </c>
      <c r="B441" s="1">
        <v>12.0</v>
      </c>
      <c r="C441" s="1" t="s">
        <v>1036</v>
      </c>
      <c r="D441" s="1" t="s">
        <v>189</v>
      </c>
      <c r="E441" s="1" t="s">
        <v>1164</v>
      </c>
      <c r="F441" s="1">
        <v>6.0</v>
      </c>
      <c r="G441" s="1" t="s">
        <v>1023</v>
      </c>
      <c r="H441" s="1" t="s">
        <v>1023</v>
      </c>
      <c r="I441" s="1" t="s">
        <v>1002</v>
      </c>
      <c r="J441" s="1" t="s">
        <v>1023</v>
      </c>
      <c r="K441" s="1">
        <v>440.0</v>
      </c>
      <c r="L441" s="1" t="str">
        <f t="shared" si="1"/>
        <v>Tai Felton</v>
      </c>
      <c r="M441" s="124">
        <f>IFERROR(VLOOKUP(E441,RISK!A:B,2,FALSE()),"")</f>
        <v>3.7</v>
      </c>
      <c r="N441" s="116" t="str">
        <f t="shared" si="2"/>
        <v>#N/A</v>
      </c>
      <c r="Q441" s="8"/>
      <c r="R441" s="8"/>
      <c r="S441" s="8"/>
      <c r="T441" s="8"/>
    </row>
    <row r="442" ht="14.25" customHeight="1">
      <c r="A442" s="1">
        <v>439.0</v>
      </c>
      <c r="B442" s="1">
        <v>12.0</v>
      </c>
      <c r="C442" s="1" t="s">
        <v>1462</v>
      </c>
      <c r="D442" s="1" t="s">
        <v>1383</v>
      </c>
      <c r="E442" s="1" t="s">
        <v>1463</v>
      </c>
      <c r="F442" s="1" t="s">
        <v>1023</v>
      </c>
      <c r="G442" s="1" t="s">
        <v>1023</v>
      </c>
      <c r="H442" s="1" t="s">
        <v>1023</v>
      </c>
      <c r="I442" s="1" t="s">
        <v>1023</v>
      </c>
      <c r="J442" s="1" t="s">
        <v>1023</v>
      </c>
      <c r="K442" s="1">
        <v>441.0</v>
      </c>
      <c r="L442" s="1" t="str">
        <f t="shared" si="1"/>
        <v>Jake Moody</v>
      </c>
      <c r="M442" s="124" t="str">
        <f>IFERROR(VLOOKUP(E442,RISK!A:B,2,FALSE()),"")</f>
        <v/>
      </c>
      <c r="N442" s="116" t="str">
        <f t="shared" si="2"/>
        <v>#N/A</v>
      </c>
      <c r="Q442" s="8"/>
      <c r="R442" s="8"/>
      <c r="S442" s="8"/>
      <c r="T442" s="8"/>
    </row>
    <row r="443" ht="14.25" customHeight="1">
      <c r="A443" s="1">
        <v>440.0</v>
      </c>
      <c r="B443" s="1">
        <v>12.0</v>
      </c>
      <c r="C443" s="1" t="s">
        <v>1464</v>
      </c>
      <c r="D443" s="1" t="s">
        <v>210</v>
      </c>
      <c r="E443" s="1" t="s">
        <v>1465</v>
      </c>
      <c r="F443" s="1">
        <v>13.0</v>
      </c>
      <c r="G443" s="1" t="s">
        <v>1023</v>
      </c>
      <c r="H443" s="1" t="s">
        <v>1023</v>
      </c>
      <c r="I443" s="1" t="s">
        <v>1004</v>
      </c>
      <c r="J443" s="1">
        <v>-73.0</v>
      </c>
      <c r="K443" s="1">
        <v>442.0</v>
      </c>
      <c r="L443" s="1" t="str">
        <f t="shared" si="1"/>
        <v>New York Jets</v>
      </c>
      <c r="M443" s="124" t="str">
        <f>IFERROR(VLOOKUP(E443,RISK!A:B,2,FALSE()),"")</f>
        <v/>
      </c>
      <c r="N443" s="116" t="str">
        <f t="shared" si="2"/>
        <v>#N/A</v>
      </c>
      <c r="Q443" s="8"/>
      <c r="R443" s="8"/>
      <c r="S443" s="8"/>
      <c r="T443" s="8"/>
    </row>
    <row r="444" ht="14.25" customHeight="1">
      <c r="A444" s="1">
        <v>441.0</v>
      </c>
      <c r="B444" s="1">
        <v>12.0</v>
      </c>
      <c r="C444" s="1" t="s">
        <v>1466</v>
      </c>
      <c r="D444" s="1" t="s">
        <v>222</v>
      </c>
      <c r="E444" s="1" t="s">
        <v>1467</v>
      </c>
      <c r="F444" s="1">
        <v>13.0</v>
      </c>
      <c r="G444" s="1" t="s">
        <v>1023</v>
      </c>
      <c r="H444" s="1" t="s">
        <v>1023</v>
      </c>
      <c r="I444" s="1" t="s">
        <v>1004</v>
      </c>
      <c r="J444" s="1">
        <v>-115.0</v>
      </c>
      <c r="K444" s="1">
        <v>443.0</v>
      </c>
      <c r="L444" s="1" t="str">
        <f t="shared" si="1"/>
        <v>Las Vegas Raiders</v>
      </c>
      <c r="M444" s="124" t="str">
        <f>IFERROR(VLOOKUP(E444,RISK!A:B,2,FALSE()),"")</f>
        <v/>
      </c>
      <c r="N444" s="116" t="str">
        <f t="shared" si="2"/>
        <v>#N/A</v>
      </c>
      <c r="Q444" s="8"/>
      <c r="R444" s="8"/>
      <c r="S444" s="8"/>
      <c r="T444" s="8"/>
    </row>
    <row r="445" ht="14.25" customHeight="1">
      <c r="A445" s="1">
        <v>442.0</v>
      </c>
      <c r="B445" s="1">
        <v>12.0</v>
      </c>
      <c r="C445" s="1" t="s">
        <v>1017</v>
      </c>
      <c r="D445" s="1" t="s">
        <v>134</v>
      </c>
      <c r="E445" s="1" t="s">
        <v>1165</v>
      </c>
      <c r="F445" s="1">
        <v>8.0</v>
      </c>
      <c r="G445" s="1" t="s">
        <v>1023</v>
      </c>
      <c r="H445" s="1" t="s">
        <v>1023</v>
      </c>
      <c r="I445" s="1" t="s">
        <v>1004</v>
      </c>
      <c r="J445" s="1" t="s">
        <v>1023</v>
      </c>
      <c r="K445" s="1">
        <v>444.0</v>
      </c>
      <c r="L445" s="1" t="str">
        <f t="shared" si="1"/>
        <v>Odell Beckham Jr.</v>
      </c>
      <c r="M445" s="124">
        <f>IFERROR(VLOOKUP(E445,RISK!A:B,2,FALSE()),"")</f>
        <v>3.7</v>
      </c>
      <c r="N445" s="116" t="str">
        <f t="shared" si="2"/>
        <v>#N/A</v>
      </c>
      <c r="Q445" s="8"/>
      <c r="R445" s="8"/>
      <c r="S445" s="8"/>
      <c r="T445" s="8"/>
    </row>
    <row r="446" ht="14.25" customHeight="1">
      <c r="A446" s="1">
        <v>443.0</v>
      </c>
      <c r="B446" s="1">
        <v>12.0</v>
      </c>
      <c r="C446" s="1" t="s">
        <v>1468</v>
      </c>
      <c r="D446" s="1" t="s">
        <v>1383</v>
      </c>
      <c r="E446" s="1" t="s">
        <v>626</v>
      </c>
      <c r="F446" s="1" t="s">
        <v>1023</v>
      </c>
      <c r="G446" s="1" t="s">
        <v>1023</v>
      </c>
      <c r="H446" s="1" t="s">
        <v>1023</v>
      </c>
      <c r="I446" s="1" t="s">
        <v>1023</v>
      </c>
      <c r="J446" s="1" t="s">
        <v>1023</v>
      </c>
      <c r="K446" s="1">
        <v>445.0</v>
      </c>
      <c r="L446" s="1" t="str">
        <f t="shared" si="1"/>
        <v>Zach Ertz</v>
      </c>
      <c r="M446" s="124">
        <f>IFERROR(VLOOKUP(E446,RISK!A:B,2,FALSE()),"")</f>
        <v>2.2775</v>
      </c>
      <c r="N446" s="116" t="str">
        <f t="shared" si="2"/>
        <v>#N/A</v>
      </c>
      <c r="Q446" s="8"/>
      <c r="R446" s="8"/>
      <c r="S446" s="8"/>
      <c r="T446" s="8"/>
    </row>
    <row r="447" ht="14.25" customHeight="1">
      <c r="A447" s="1">
        <v>444.0</v>
      </c>
      <c r="B447" s="1">
        <v>12.0</v>
      </c>
      <c r="C447" s="1" t="s">
        <v>1350</v>
      </c>
      <c r="D447" s="1" t="s">
        <v>61</v>
      </c>
      <c r="E447" s="1" t="s">
        <v>634</v>
      </c>
      <c r="F447" s="1">
        <v>13.0</v>
      </c>
      <c r="G447" s="1" t="s">
        <v>1023</v>
      </c>
      <c r="H447" s="1" t="s">
        <v>1023</v>
      </c>
      <c r="I447" s="1" t="s">
        <v>1004</v>
      </c>
      <c r="J447" s="1" t="s">
        <v>1023</v>
      </c>
      <c r="K447" s="1">
        <v>446.0</v>
      </c>
      <c r="L447" s="1" t="str">
        <f t="shared" si="1"/>
        <v>Matt Hibner</v>
      </c>
      <c r="M447" s="124">
        <f>IFERROR(VLOOKUP(E447,RISK!A:B,2,FALSE()),"")</f>
        <v>2.2775</v>
      </c>
      <c r="N447" s="116" t="str">
        <f t="shared" si="2"/>
        <v>#N/A</v>
      </c>
      <c r="Q447" s="8"/>
      <c r="R447" s="8"/>
      <c r="S447" s="8"/>
      <c r="T447" s="8"/>
    </row>
    <row r="448" ht="14.25" customHeight="1">
      <c r="A448" s="1">
        <v>445.0</v>
      </c>
      <c r="B448" s="1">
        <v>12.0</v>
      </c>
      <c r="C448" s="1" t="s">
        <v>1469</v>
      </c>
      <c r="D448" s="1" t="s">
        <v>140</v>
      </c>
      <c r="E448" s="1" t="s">
        <v>1088</v>
      </c>
      <c r="F448" s="1">
        <v>8.0</v>
      </c>
      <c r="G448" s="1" t="s">
        <v>1023</v>
      </c>
      <c r="H448" s="1" t="s">
        <v>1023</v>
      </c>
      <c r="I448" s="1" t="s">
        <v>1003</v>
      </c>
      <c r="J448" s="1" t="s">
        <v>1023</v>
      </c>
      <c r="K448" s="1">
        <v>447.0</v>
      </c>
      <c r="L448" s="1" t="str">
        <f t="shared" si="1"/>
        <v>Khalil Herbert</v>
      </c>
      <c r="M448" s="124">
        <f>IFERROR(VLOOKUP(E448,RISK!A:B,2,FALSE()),"")</f>
        <v>3.368</v>
      </c>
      <c r="N448" s="116" t="str">
        <f t="shared" si="2"/>
        <v>#N/A</v>
      </c>
      <c r="Q448" s="8"/>
      <c r="R448" s="8"/>
      <c r="S448" s="8"/>
      <c r="T448" s="8"/>
    </row>
    <row r="449" ht="14.25" customHeight="1">
      <c r="A449" s="1">
        <v>446.0</v>
      </c>
      <c r="B449" s="1">
        <v>12.0</v>
      </c>
      <c r="C449" s="1" t="s">
        <v>1470</v>
      </c>
      <c r="D449" s="1" t="s">
        <v>214</v>
      </c>
      <c r="E449" s="1" t="s">
        <v>1166</v>
      </c>
      <c r="F449" s="1">
        <v>9.0</v>
      </c>
      <c r="G449" s="1" t="s">
        <v>1023</v>
      </c>
      <c r="H449" s="1" t="s">
        <v>1023</v>
      </c>
      <c r="I449" s="1" t="s">
        <v>1007</v>
      </c>
      <c r="J449" s="1" t="s">
        <v>1023</v>
      </c>
      <c r="K449" s="1">
        <v>448.0</v>
      </c>
      <c r="L449" s="1" t="str">
        <f t="shared" si="1"/>
        <v>Xavier Restrepo</v>
      </c>
      <c r="M449" s="124">
        <f>IFERROR(VLOOKUP(E449,RISK!A:B,2,FALSE()),"")</f>
        <v>3.7</v>
      </c>
      <c r="N449" s="116" t="str">
        <f t="shared" si="2"/>
        <v>#N/A</v>
      </c>
      <c r="Q449" s="8"/>
      <c r="R449" s="8"/>
      <c r="S449" s="8"/>
      <c r="T449" s="8"/>
    </row>
    <row r="450" ht="14.25" customHeight="1">
      <c r="A450" s="1">
        <v>447.0</v>
      </c>
      <c r="B450" s="1">
        <v>12.0</v>
      </c>
      <c r="C450" s="1" t="s">
        <v>244</v>
      </c>
      <c r="D450" s="1" t="s">
        <v>193</v>
      </c>
      <c r="E450" s="1" t="s">
        <v>489</v>
      </c>
      <c r="F450" s="1">
        <v>13.0</v>
      </c>
      <c r="G450" s="1" t="s">
        <v>1023</v>
      </c>
      <c r="H450" s="1" t="s">
        <v>1023</v>
      </c>
      <c r="I450" s="1" t="s">
        <v>1004</v>
      </c>
      <c r="J450" s="1" t="s">
        <v>1023</v>
      </c>
      <c r="K450" s="1">
        <v>449.0</v>
      </c>
      <c r="L450" s="1" t="str">
        <f t="shared" si="1"/>
        <v>Riley Leonard</v>
      </c>
      <c r="M450" s="124">
        <f>IFERROR(VLOOKUP(E450,RISK!A:B,2,FALSE()),"")</f>
        <v>3.2</v>
      </c>
      <c r="N450" s="116">
        <f t="shared" si="2"/>
        <v>5.689223529</v>
      </c>
      <c r="Q450" s="8"/>
      <c r="R450" s="8"/>
      <c r="S450" s="8"/>
      <c r="T450" s="8"/>
    </row>
    <row r="451" ht="14.25" customHeight="1">
      <c r="A451" s="1">
        <v>448.0</v>
      </c>
      <c r="B451" s="1">
        <v>12.0</v>
      </c>
      <c r="C451" s="1" t="s">
        <v>1471</v>
      </c>
      <c r="D451" s="1" t="s">
        <v>1383</v>
      </c>
      <c r="E451" s="1" t="s">
        <v>642</v>
      </c>
      <c r="F451" s="1" t="s">
        <v>1023</v>
      </c>
      <c r="G451" s="1" t="s">
        <v>1023</v>
      </c>
      <c r="H451" s="1" t="s">
        <v>1023</v>
      </c>
      <c r="I451" s="1" t="s">
        <v>1023</v>
      </c>
      <c r="J451" s="1" t="s">
        <v>1023</v>
      </c>
      <c r="K451" s="1">
        <v>450.0</v>
      </c>
      <c r="L451" s="1" t="str">
        <f t="shared" si="1"/>
        <v>Jonnu Smith</v>
      </c>
      <c r="M451" s="124">
        <f>IFERROR(VLOOKUP(E451,RISK!A:B,2,FALSE()),"")</f>
        <v>2.2775</v>
      </c>
      <c r="N451" s="116" t="str">
        <f t="shared" si="2"/>
        <v>#N/A</v>
      </c>
      <c r="Q451" s="8"/>
      <c r="R451" s="8"/>
      <c r="S451" s="8"/>
      <c r="T451" s="8"/>
    </row>
    <row r="452" ht="14.25" customHeight="1">
      <c r="A452" s="1">
        <v>449.0</v>
      </c>
      <c r="B452" s="1">
        <v>12.0</v>
      </c>
      <c r="C452" s="1" t="s">
        <v>252</v>
      </c>
      <c r="D452" s="1" t="s">
        <v>196</v>
      </c>
      <c r="E452" s="1" t="s">
        <v>497</v>
      </c>
      <c r="F452" s="1">
        <v>6.0</v>
      </c>
      <c r="G452" s="1" t="s">
        <v>1023</v>
      </c>
      <c r="H452" s="1" t="s">
        <v>1023</v>
      </c>
      <c r="I452" s="1" t="s">
        <v>1007</v>
      </c>
      <c r="J452" s="1" t="s">
        <v>1023</v>
      </c>
      <c r="K452" s="1">
        <v>451.0</v>
      </c>
      <c r="L452" s="1" t="str">
        <f t="shared" si="1"/>
        <v>Quinn Ewers</v>
      </c>
      <c r="M452" s="124">
        <f>IFERROR(VLOOKUP(E452,RISK!A:B,2,FALSE()),"")</f>
        <v>3.2</v>
      </c>
      <c r="N452" s="116">
        <f t="shared" si="2"/>
        <v>5.583811765</v>
      </c>
      <c r="Q452" s="8"/>
      <c r="R452" s="8"/>
      <c r="S452" s="8"/>
      <c r="T452" s="8"/>
    </row>
    <row r="453" ht="14.25" customHeight="1">
      <c r="A453" s="1">
        <v>450.0</v>
      </c>
      <c r="B453" s="1">
        <v>12.0</v>
      </c>
      <c r="C453" s="1" t="s">
        <v>1472</v>
      </c>
      <c r="D453" s="1" t="s">
        <v>106</v>
      </c>
      <c r="E453" s="1" t="s">
        <v>1254</v>
      </c>
      <c r="F453" s="1">
        <v>7.0</v>
      </c>
      <c r="G453" s="1" t="s">
        <v>1023</v>
      </c>
      <c r="H453" s="1" t="s">
        <v>1023</v>
      </c>
      <c r="I453" s="1" t="s">
        <v>1004</v>
      </c>
      <c r="J453" s="1" t="s">
        <v>1023</v>
      </c>
      <c r="K453" s="1">
        <v>452.0</v>
      </c>
      <c r="L453" s="1" t="str">
        <f t="shared" si="1"/>
        <v>Jeremy McNichols</v>
      </c>
      <c r="M453" s="124">
        <f>IFERROR(VLOOKUP(E453,RISK!A:B,2,FALSE()),"")</f>
        <v>3.368</v>
      </c>
      <c r="N453" s="116" t="str">
        <f t="shared" si="2"/>
        <v>#N/A</v>
      </c>
      <c r="Q453" s="8"/>
      <c r="R453" s="8"/>
      <c r="S453" s="8"/>
      <c r="T453" s="8"/>
    </row>
    <row r="454" ht="14.25" customHeight="1">
      <c r="A454" s="1">
        <v>451.0</v>
      </c>
      <c r="B454" s="1">
        <v>12.0</v>
      </c>
      <c r="C454" s="1" t="s">
        <v>930</v>
      </c>
      <c r="D454" s="1" t="s">
        <v>145</v>
      </c>
      <c r="E454" s="1" t="s">
        <v>649</v>
      </c>
      <c r="F454" s="1">
        <v>7.0</v>
      </c>
      <c r="G454" s="1" t="s">
        <v>1023</v>
      </c>
      <c r="H454" s="1" t="s">
        <v>1023</v>
      </c>
      <c r="I454" s="1" t="s">
        <v>1007</v>
      </c>
      <c r="J454" s="1" t="s">
        <v>1023</v>
      </c>
      <c r="K454" s="1">
        <v>453.0</v>
      </c>
      <c r="L454" s="1" t="str">
        <f t="shared" si="1"/>
        <v>Tanner Koziol</v>
      </c>
      <c r="M454" s="124">
        <f>IFERROR(VLOOKUP(E454,RISK!A:B,2,FALSE()),"")</f>
        <v>2.2775</v>
      </c>
      <c r="N454" s="116" t="str">
        <f t="shared" si="2"/>
        <v>#N/A</v>
      </c>
      <c r="Q454" s="8"/>
      <c r="R454" s="8"/>
      <c r="S454" s="8"/>
      <c r="T454" s="8"/>
    </row>
    <row r="455" ht="14.25" customHeight="1">
      <c r="A455" s="1">
        <v>452.0</v>
      </c>
      <c r="B455" s="1">
        <v>12.0</v>
      </c>
      <c r="C455" s="1" t="s">
        <v>1473</v>
      </c>
      <c r="D455" s="1" t="s">
        <v>176</v>
      </c>
      <c r="E455" s="1" t="s">
        <v>1255</v>
      </c>
      <c r="F455" s="1">
        <v>11.0</v>
      </c>
      <c r="G455" s="1" t="s">
        <v>1023</v>
      </c>
      <c r="H455" s="1" t="s">
        <v>1023</v>
      </c>
      <c r="I455" s="1" t="s">
        <v>1002</v>
      </c>
      <c r="J455" s="1" t="s">
        <v>1023</v>
      </c>
      <c r="K455" s="1">
        <v>454.0</v>
      </c>
      <c r="L455" s="1" t="str">
        <f t="shared" si="1"/>
        <v>Ronnie Rivers</v>
      </c>
      <c r="M455" s="124">
        <f>IFERROR(VLOOKUP(E455,RISK!A:B,2,FALSE()),"")</f>
        <v>3.368</v>
      </c>
      <c r="N455" s="116" t="str">
        <f t="shared" si="2"/>
        <v>#N/A</v>
      </c>
      <c r="Q455" s="8"/>
      <c r="R455" s="8"/>
      <c r="S455" s="8"/>
      <c r="T455" s="8"/>
    </row>
    <row r="456" ht="14.25" customHeight="1">
      <c r="A456" s="1">
        <v>453.0</v>
      </c>
      <c r="B456" s="1">
        <v>12.0</v>
      </c>
      <c r="C456" s="1" t="s">
        <v>1033</v>
      </c>
      <c r="D456" s="1" t="s">
        <v>127</v>
      </c>
      <c r="E456" s="1" t="s">
        <v>1168</v>
      </c>
      <c r="F456" s="1">
        <v>6.0</v>
      </c>
      <c r="G456" s="1" t="s">
        <v>1023</v>
      </c>
      <c r="H456" s="1" t="s">
        <v>1023</v>
      </c>
      <c r="I456" s="1" t="s">
        <v>1004</v>
      </c>
      <c r="J456" s="1">
        <v>-163.0</v>
      </c>
      <c r="K456" s="1">
        <v>455.0</v>
      </c>
      <c r="L456" s="1" t="str">
        <f t="shared" si="1"/>
        <v>Mitch Tinsley</v>
      </c>
      <c r="M456" s="124">
        <f>IFERROR(VLOOKUP(E456,RISK!A:B,2,FALSE()),"")</f>
        <v>3.7</v>
      </c>
      <c r="N456" s="116" t="str">
        <f t="shared" si="2"/>
        <v>#N/A</v>
      </c>
      <c r="Q456" s="8"/>
      <c r="R456" s="8"/>
      <c r="S456" s="8"/>
      <c r="T456" s="8"/>
    </row>
    <row r="457" ht="14.25" customHeight="1">
      <c r="A457" s="1">
        <v>454.0</v>
      </c>
      <c r="B457" s="1">
        <v>12.0</v>
      </c>
      <c r="C457" s="1" t="s">
        <v>710</v>
      </c>
      <c r="D457" s="1" t="s">
        <v>222</v>
      </c>
      <c r="E457" s="1" t="s">
        <v>1256</v>
      </c>
      <c r="F457" s="1">
        <v>13.0</v>
      </c>
      <c r="G457" s="1" t="s">
        <v>1023</v>
      </c>
      <c r="H457" s="1" t="s">
        <v>1023</v>
      </c>
      <c r="I457" s="1" t="s">
        <v>1003</v>
      </c>
      <c r="J457" s="1" t="s">
        <v>1023</v>
      </c>
      <c r="K457" s="1">
        <v>456.0</v>
      </c>
      <c r="L457" s="1" t="str">
        <f t="shared" si="1"/>
        <v>Dylan Laube</v>
      </c>
      <c r="M457" s="124">
        <f>IFERROR(VLOOKUP(E457,RISK!A:B,2,FALSE()),"")</f>
        <v>3.368</v>
      </c>
      <c r="N457" s="116" t="str">
        <f t="shared" si="2"/>
        <v>#N/A</v>
      </c>
      <c r="Q457" s="8"/>
      <c r="R457" s="8"/>
      <c r="S457" s="8"/>
      <c r="T457" s="8"/>
    </row>
    <row r="458" ht="14.25" customHeight="1">
      <c r="A458" s="1">
        <v>455.0</v>
      </c>
      <c r="B458" s="1">
        <v>12.0</v>
      </c>
      <c r="C458" s="1" t="s">
        <v>589</v>
      </c>
      <c r="D458" s="1" t="s">
        <v>150</v>
      </c>
      <c r="E458" s="1" t="s">
        <v>1257</v>
      </c>
      <c r="F458" s="1">
        <v>14.0</v>
      </c>
      <c r="G458" s="1" t="s">
        <v>1023</v>
      </c>
      <c r="H458" s="1" t="s">
        <v>1023</v>
      </c>
      <c r="I458" s="1" t="s">
        <v>1004</v>
      </c>
      <c r="J458" s="1" t="s">
        <v>1023</v>
      </c>
      <c r="K458" s="1">
        <v>457.0</v>
      </c>
      <c r="L458" s="1" t="str">
        <f t="shared" si="1"/>
        <v>Hunter Luepke</v>
      </c>
      <c r="M458" s="124">
        <f>IFERROR(VLOOKUP(E458,RISK!A:B,2,FALSE()),"")</f>
        <v>3.368</v>
      </c>
      <c r="N458" s="116" t="str">
        <f t="shared" si="2"/>
        <v>#N/A</v>
      </c>
      <c r="Q458" s="8"/>
      <c r="R458" s="8"/>
      <c r="S458" s="8"/>
      <c r="T458" s="8"/>
    </row>
    <row r="459" ht="14.25" customHeight="1">
      <c r="A459" s="1">
        <v>456.0</v>
      </c>
      <c r="B459" s="1">
        <v>12.0</v>
      </c>
      <c r="C459" s="1" t="s">
        <v>884</v>
      </c>
      <c r="D459" s="1" t="s">
        <v>18</v>
      </c>
      <c r="E459" s="1" t="s">
        <v>658</v>
      </c>
      <c r="F459" s="1">
        <v>7.0</v>
      </c>
      <c r="G459" s="1" t="s">
        <v>1023</v>
      </c>
      <c r="H459" s="1" t="s">
        <v>1023</v>
      </c>
      <c r="I459" s="1" t="s">
        <v>1007</v>
      </c>
      <c r="J459" s="1" t="s">
        <v>1023</v>
      </c>
      <c r="K459" s="1">
        <v>458.0</v>
      </c>
      <c r="L459" s="1" t="str">
        <f t="shared" si="1"/>
        <v>Jackson Hawes</v>
      </c>
      <c r="M459" s="124">
        <f>IFERROR(VLOOKUP(E459,RISK!A:B,2,FALSE()),"")</f>
        <v>2.2775</v>
      </c>
      <c r="N459" s="116" t="str">
        <f t="shared" si="2"/>
        <v>#N/A</v>
      </c>
      <c r="Q459" s="8"/>
      <c r="R459" s="8"/>
      <c r="S459" s="8"/>
      <c r="T459" s="8"/>
    </row>
    <row r="460" ht="14.25" customHeight="1">
      <c r="A460" s="1">
        <v>457.0</v>
      </c>
      <c r="B460" s="1">
        <v>12.0</v>
      </c>
      <c r="C460" s="1" t="s">
        <v>878</v>
      </c>
      <c r="D460" s="1" t="s">
        <v>150</v>
      </c>
      <c r="E460" s="1" t="s">
        <v>665</v>
      </c>
      <c r="F460" s="1">
        <v>14.0</v>
      </c>
      <c r="G460" s="1" t="s">
        <v>1023</v>
      </c>
      <c r="H460" s="1" t="s">
        <v>1023</v>
      </c>
      <c r="I460" s="1" t="s">
        <v>1003</v>
      </c>
      <c r="J460" s="1" t="s">
        <v>1023</v>
      </c>
      <c r="K460" s="1">
        <v>459.0</v>
      </c>
      <c r="L460" s="1" t="str">
        <f t="shared" si="1"/>
        <v>Luke Schoonmaker</v>
      </c>
      <c r="M460" s="124">
        <f>IFERROR(VLOOKUP(E460,RISK!A:B,2,FALSE()),"")</f>
        <v>2.2775</v>
      </c>
      <c r="N460" s="116" t="str">
        <f t="shared" si="2"/>
        <v>#N/A</v>
      </c>
      <c r="Q460" s="8"/>
      <c r="R460" s="8"/>
      <c r="S460" s="8"/>
      <c r="T460" s="8"/>
    </row>
    <row r="461" ht="14.25" customHeight="1">
      <c r="A461" s="1">
        <v>458.0</v>
      </c>
      <c r="B461" s="1">
        <v>12.0</v>
      </c>
      <c r="C461" s="1" t="s">
        <v>1474</v>
      </c>
      <c r="D461" s="1" t="s">
        <v>217</v>
      </c>
      <c r="E461" s="1" t="s">
        <v>1475</v>
      </c>
      <c r="F461" s="1">
        <v>14.0</v>
      </c>
      <c r="G461" s="1" t="s">
        <v>1023</v>
      </c>
      <c r="H461" s="1" t="s">
        <v>1023</v>
      </c>
      <c r="I461" s="1" t="s">
        <v>1003</v>
      </c>
      <c r="J461" s="1" t="s">
        <v>1023</v>
      </c>
      <c r="K461" s="1">
        <v>460.0</v>
      </c>
      <c r="L461" s="1" t="str">
        <f t="shared" si="1"/>
        <v>Chad Ryland</v>
      </c>
      <c r="M461" s="124" t="str">
        <f>IFERROR(VLOOKUP(E461,RISK!A:B,2,FALSE()),"")</f>
        <v/>
      </c>
      <c r="N461" s="116" t="str">
        <f t="shared" si="2"/>
        <v>#N/A</v>
      </c>
      <c r="Q461" s="8"/>
      <c r="R461" s="8"/>
      <c r="S461" s="8"/>
      <c r="T461" s="8"/>
    </row>
    <row r="462" ht="14.25" customHeight="1">
      <c r="A462" s="1">
        <v>459.0</v>
      </c>
      <c r="B462" s="1">
        <v>12.0</v>
      </c>
      <c r="C462" s="1" t="s">
        <v>916</v>
      </c>
      <c r="D462" s="1" t="s">
        <v>61</v>
      </c>
      <c r="E462" s="1" t="s">
        <v>672</v>
      </c>
      <c r="F462" s="1">
        <v>13.0</v>
      </c>
      <c r="G462" s="1" t="s">
        <v>1023</v>
      </c>
      <c r="H462" s="1" t="s">
        <v>1023</v>
      </c>
      <c r="I462" s="1" t="s">
        <v>1004</v>
      </c>
      <c r="J462" s="1" t="s">
        <v>1023</v>
      </c>
      <c r="K462" s="1">
        <v>461.0</v>
      </c>
      <c r="L462" s="1" t="str">
        <f t="shared" si="1"/>
        <v>Durham Smythe</v>
      </c>
      <c r="M462" s="124">
        <f>IFERROR(VLOOKUP(E462,RISK!A:B,2,FALSE()),"")</f>
        <v>2.2775</v>
      </c>
      <c r="N462" s="116" t="str">
        <f t="shared" si="2"/>
        <v>#N/A</v>
      </c>
      <c r="Q462" s="8"/>
      <c r="R462" s="8"/>
      <c r="S462" s="8"/>
      <c r="T462" s="8"/>
    </row>
    <row r="463" ht="14.25" customHeight="1">
      <c r="A463" s="1">
        <v>460.0</v>
      </c>
      <c r="B463" s="1">
        <v>12.0</v>
      </c>
      <c r="C463" s="1" t="s">
        <v>844</v>
      </c>
      <c r="D463" s="1" t="s">
        <v>170</v>
      </c>
      <c r="E463" s="1" t="s">
        <v>680</v>
      </c>
      <c r="F463" s="1">
        <v>10.0</v>
      </c>
      <c r="G463" s="1" t="s">
        <v>1023</v>
      </c>
      <c r="H463" s="1" t="s">
        <v>1023</v>
      </c>
      <c r="I463" s="1" t="s">
        <v>1004</v>
      </c>
      <c r="J463" s="1">
        <v>-118.0</v>
      </c>
      <c r="K463" s="1">
        <v>462.0</v>
      </c>
      <c r="L463" s="1" t="str">
        <f t="shared" si="1"/>
        <v>Adam Trautman</v>
      </c>
      <c r="M463" s="124">
        <f>IFERROR(VLOOKUP(E463,RISK!A:B,2,FALSE()),"")</f>
        <v>2.2775</v>
      </c>
      <c r="N463" s="116" t="str">
        <f t="shared" si="2"/>
        <v>#N/A</v>
      </c>
      <c r="Q463" s="8"/>
      <c r="R463" s="8"/>
      <c r="S463" s="8"/>
      <c r="T463" s="8"/>
    </row>
    <row r="464" ht="14.25" customHeight="1">
      <c r="A464" s="1">
        <v>461.0</v>
      </c>
      <c r="B464" s="1">
        <v>12.0</v>
      </c>
      <c r="C464" s="1" t="s">
        <v>1476</v>
      </c>
      <c r="D464" s="1" t="s">
        <v>106</v>
      </c>
      <c r="E464" s="1" t="s">
        <v>1169</v>
      </c>
      <c r="F464" s="1">
        <v>7.0</v>
      </c>
      <c r="G464" s="1" t="s">
        <v>1023</v>
      </c>
      <c r="H464" s="1" t="s">
        <v>1023</v>
      </c>
      <c r="I464" s="1" t="s">
        <v>1003</v>
      </c>
      <c r="J464" s="1" t="s">
        <v>1023</v>
      </c>
      <c r="K464" s="1">
        <v>463.0</v>
      </c>
      <c r="L464" s="1" t="str">
        <f t="shared" si="1"/>
        <v>Van Jefferson</v>
      </c>
      <c r="M464" s="124">
        <f>IFERROR(VLOOKUP(E464,RISK!A:B,2,FALSE()),"")</f>
        <v>3.7</v>
      </c>
      <c r="N464" s="116" t="str">
        <f t="shared" si="2"/>
        <v>#N/A</v>
      </c>
      <c r="Q464" s="8"/>
      <c r="R464" s="8"/>
      <c r="S464" s="8"/>
      <c r="T464" s="8"/>
    </row>
    <row r="465" ht="14.25" customHeight="1">
      <c r="A465" s="1">
        <v>462.0</v>
      </c>
      <c r="B465" s="1">
        <v>12.0</v>
      </c>
      <c r="C465" s="1" t="s">
        <v>1477</v>
      </c>
      <c r="D465" s="1" t="s">
        <v>208</v>
      </c>
      <c r="E465" s="1" t="s">
        <v>1478</v>
      </c>
      <c r="F465" s="1">
        <v>5.0</v>
      </c>
      <c r="G465" s="1" t="s">
        <v>1023</v>
      </c>
      <c r="H465" s="1" t="s">
        <v>1023</v>
      </c>
      <c r="I465" s="1" t="s">
        <v>1055</v>
      </c>
      <c r="J465" s="1" t="s">
        <v>1023</v>
      </c>
      <c r="K465" s="1">
        <v>464.0</v>
      </c>
      <c r="L465" s="1" t="str">
        <f t="shared" si="1"/>
        <v>Ryan Fitzgerald</v>
      </c>
      <c r="M465" s="124" t="str">
        <f>IFERROR(VLOOKUP(E465,RISK!A:B,2,FALSE()),"")</f>
        <v/>
      </c>
      <c r="N465" s="116" t="str">
        <f t="shared" si="2"/>
        <v>#N/A</v>
      </c>
      <c r="Q465" s="8"/>
      <c r="R465" s="8"/>
      <c r="S465" s="8"/>
      <c r="T465" s="8"/>
    </row>
    <row r="466" ht="14.25" customHeight="1">
      <c r="A466" s="1">
        <v>463.0</v>
      </c>
      <c r="B466" s="1">
        <v>12.0</v>
      </c>
      <c r="C466" s="1" t="s">
        <v>667</v>
      </c>
      <c r="D466" s="1" t="s">
        <v>94</v>
      </c>
      <c r="E466" s="1" t="s">
        <v>1258</v>
      </c>
      <c r="F466" s="1">
        <v>11.0</v>
      </c>
      <c r="G466" s="1" t="s">
        <v>1023</v>
      </c>
      <c r="H466" s="1" t="s">
        <v>1023</v>
      </c>
      <c r="I466" s="1" t="s">
        <v>1003</v>
      </c>
      <c r="J466" s="1">
        <v>-108.0</v>
      </c>
      <c r="K466" s="1">
        <v>465.0</v>
      </c>
      <c r="L466" s="1" t="str">
        <f t="shared" si="1"/>
        <v>Reggie Gilliam</v>
      </c>
      <c r="M466" s="124">
        <f>IFERROR(VLOOKUP(E466,RISK!A:B,2,FALSE()),"")</f>
        <v>3.368</v>
      </c>
      <c r="N466" s="116" t="str">
        <f t="shared" si="2"/>
        <v>#N/A</v>
      </c>
      <c r="Q466" s="8"/>
      <c r="R466" s="8"/>
      <c r="S466" s="8"/>
      <c r="T466" s="8"/>
    </row>
    <row r="467" ht="14.25" customHeight="1">
      <c r="A467" s="1">
        <v>464.0</v>
      </c>
      <c r="B467" s="1">
        <v>12.0</v>
      </c>
      <c r="C467" s="1" t="s">
        <v>889</v>
      </c>
      <c r="D467" s="1" t="s">
        <v>127</v>
      </c>
      <c r="E467" s="1" t="s">
        <v>688</v>
      </c>
      <c r="F467" s="1">
        <v>6.0</v>
      </c>
      <c r="G467" s="1" t="s">
        <v>1023</v>
      </c>
      <c r="H467" s="1" t="s">
        <v>1023</v>
      </c>
      <c r="I467" s="1" t="s">
        <v>1007</v>
      </c>
      <c r="J467" s="1" t="s">
        <v>1023</v>
      </c>
      <c r="K467" s="1">
        <v>466.0</v>
      </c>
      <c r="L467" s="1" t="str">
        <f t="shared" si="1"/>
        <v>Tanner Hudson</v>
      </c>
      <c r="M467" s="124">
        <f>IFERROR(VLOOKUP(E467,RISK!A:B,2,FALSE()),"")</f>
        <v>2.2775</v>
      </c>
      <c r="N467" s="116" t="str">
        <f t="shared" si="2"/>
        <v>#N/A</v>
      </c>
      <c r="Q467" s="8"/>
      <c r="R467" s="8"/>
      <c r="S467" s="8"/>
      <c r="T467" s="8"/>
    </row>
    <row r="468" ht="14.25" customHeight="1">
      <c r="A468" s="1">
        <v>465.0</v>
      </c>
      <c r="B468" s="1">
        <v>12.0</v>
      </c>
      <c r="C468" s="1" t="s">
        <v>1479</v>
      </c>
      <c r="D468" s="1" t="s">
        <v>193</v>
      </c>
      <c r="E468" s="1" t="s">
        <v>1480</v>
      </c>
      <c r="F468" s="1">
        <v>13.0</v>
      </c>
      <c r="G468" s="1" t="s">
        <v>1023</v>
      </c>
      <c r="H468" s="1" t="s">
        <v>1023</v>
      </c>
      <c r="I468" s="1" t="s">
        <v>1004</v>
      </c>
      <c r="J468" s="1" t="s">
        <v>1023</v>
      </c>
      <c r="K468" s="1">
        <v>467.0</v>
      </c>
      <c r="L468" s="1" t="str">
        <f t="shared" si="1"/>
        <v>Spencer Shrader</v>
      </c>
      <c r="M468" s="124" t="str">
        <f>IFERROR(VLOOKUP(E468,RISK!A:B,2,FALSE()),"")</f>
        <v/>
      </c>
      <c r="N468" s="116" t="str">
        <f t="shared" si="2"/>
        <v>#N/A</v>
      </c>
      <c r="Q468" s="8"/>
      <c r="R468" s="8"/>
      <c r="S468" s="8"/>
      <c r="T468" s="8"/>
    </row>
    <row r="469" ht="14.25" customHeight="1">
      <c r="A469" s="1">
        <v>466.0</v>
      </c>
      <c r="B469" s="1">
        <v>12.0</v>
      </c>
      <c r="C469" s="1" t="s">
        <v>965</v>
      </c>
      <c r="D469" s="1" t="s">
        <v>159</v>
      </c>
      <c r="E469" s="1" t="s">
        <v>1170</v>
      </c>
      <c r="F469" s="1">
        <v>10.0</v>
      </c>
      <c r="G469" s="1" t="s">
        <v>1023</v>
      </c>
      <c r="H469" s="1" t="s">
        <v>1023</v>
      </c>
      <c r="I469" s="1" t="s">
        <v>1007</v>
      </c>
      <c r="J469" s="1" t="s">
        <v>1023</v>
      </c>
      <c r="K469" s="1">
        <v>468.0</v>
      </c>
      <c r="L469" s="1" t="str">
        <f t="shared" si="1"/>
        <v>Jahdae Walker</v>
      </c>
      <c r="M469" s="124">
        <f>IFERROR(VLOOKUP(E469,RISK!A:B,2,FALSE()),"")</f>
        <v>3.7</v>
      </c>
      <c r="N469" s="116" t="str">
        <f t="shared" si="2"/>
        <v>#N/A</v>
      </c>
      <c r="Q469" s="8"/>
      <c r="R469" s="8"/>
      <c r="S469" s="8"/>
      <c r="T469" s="8"/>
    </row>
    <row r="470" ht="14.25" customHeight="1">
      <c r="A470" s="1">
        <v>467.0</v>
      </c>
      <c r="B470" s="1">
        <v>12.0</v>
      </c>
      <c r="C470" s="1" t="s">
        <v>1398</v>
      </c>
      <c r="D470" s="1" t="s">
        <v>140</v>
      </c>
      <c r="E470" s="1" t="s">
        <v>1171</v>
      </c>
      <c r="F470" s="1">
        <v>8.0</v>
      </c>
      <c r="G470" s="1" t="s">
        <v>1023</v>
      </c>
      <c r="H470" s="1" t="s">
        <v>1023</v>
      </c>
      <c r="I470" s="1" t="s">
        <v>1003</v>
      </c>
      <c r="J470" s="1" t="s">
        <v>1023</v>
      </c>
      <c r="K470" s="1">
        <v>469.0</v>
      </c>
      <c r="L470" s="1" t="str">
        <f t="shared" si="1"/>
        <v>Jacob Cowing</v>
      </c>
      <c r="M470" s="124">
        <f>IFERROR(VLOOKUP(E470,RISK!A:B,2,FALSE()),"")</f>
        <v>3.7</v>
      </c>
      <c r="N470" s="116" t="str">
        <f t="shared" si="2"/>
        <v>#N/A</v>
      </c>
      <c r="Q470" s="8"/>
      <c r="R470" s="8"/>
      <c r="S470" s="8"/>
      <c r="T470" s="8"/>
    </row>
    <row r="471" ht="14.25" customHeight="1">
      <c r="A471" s="1">
        <v>468.0</v>
      </c>
      <c r="B471" s="1">
        <v>12.0</v>
      </c>
      <c r="C471" s="1" t="s">
        <v>1022</v>
      </c>
      <c r="D471" s="1" t="s">
        <v>164</v>
      </c>
      <c r="E471" s="1" t="s">
        <v>1172</v>
      </c>
      <c r="F471" s="1">
        <v>7.0</v>
      </c>
      <c r="G471" s="1" t="s">
        <v>1023</v>
      </c>
      <c r="H471" s="1" t="s">
        <v>1023</v>
      </c>
      <c r="I471" s="1" t="s">
        <v>1003</v>
      </c>
      <c r="J471" s="1" t="s">
        <v>1023</v>
      </c>
      <c r="K471" s="1">
        <v>470.0</v>
      </c>
      <c r="L471" s="1" t="str">
        <f t="shared" si="1"/>
        <v>KeAndre Lambert-Smith</v>
      </c>
      <c r="M471" s="124">
        <f>IFERROR(VLOOKUP(E471,RISK!A:B,2,FALSE()),"")</f>
        <v>3.7</v>
      </c>
      <c r="N471" s="116" t="str">
        <f t="shared" si="2"/>
        <v>#N/A</v>
      </c>
      <c r="Q471" s="8"/>
      <c r="R471" s="8"/>
      <c r="S471" s="8"/>
      <c r="T471" s="8"/>
    </row>
    <row r="472" ht="14.25" customHeight="1">
      <c r="A472" s="1">
        <v>469.0</v>
      </c>
      <c r="B472" s="1">
        <v>12.0</v>
      </c>
      <c r="C472" s="1" t="s">
        <v>1020</v>
      </c>
      <c r="D472" s="1" t="s">
        <v>208</v>
      </c>
      <c r="E472" s="1" t="s">
        <v>1173</v>
      </c>
      <c r="F472" s="1">
        <v>5.0</v>
      </c>
      <c r="G472" s="1" t="s">
        <v>1023</v>
      </c>
      <c r="H472" s="1" t="s">
        <v>1023</v>
      </c>
      <c r="I472" s="1" t="s">
        <v>1003</v>
      </c>
      <c r="J472" s="1" t="s">
        <v>1023</v>
      </c>
      <c r="K472" s="1">
        <v>471.0</v>
      </c>
      <c r="L472" s="1" t="str">
        <f t="shared" si="1"/>
        <v>Jimmy Horn Jr.</v>
      </c>
      <c r="M472" s="124">
        <f>IFERROR(VLOOKUP(E472,RISK!A:B,2,FALSE()),"")</f>
        <v>3.7</v>
      </c>
      <c r="N472" s="116" t="str">
        <f t="shared" si="2"/>
        <v>#N/A</v>
      </c>
      <c r="Q472" s="8"/>
      <c r="R472" s="8"/>
      <c r="S472" s="8"/>
      <c r="T472" s="8"/>
    </row>
    <row r="473" ht="14.25" customHeight="1">
      <c r="A473" s="1">
        <v>470.0</v>
      </c>
      <c r="B473" s="1">
        <v>12.0</v>
      </c>
      <c r="C473" s="1" t="s">
        <v>978</v>
      </c>
      <c r="D473" s="1" t="s">
        <v>1383</v>
      </c>
      <c r="E473" s="1" t="s">
        <v>1174</v>
      </c>
      <c r="F473" s="1" t="s">
        <v>1023</v>
      </c>
      <c r="G473" s="1" t="s">
        <v>1023</v>
      </c>
      <c r="H473" s="1" t="s">
        <v>1023</v>
      </c>
      <c r="I473" s="1" t="s">
        <v>1023</v>
      </c>
      <c r="J473" s="1" t="s">
        <v>1023</v>
      </c>
      <c r="K473" s="1">
        <v>472.0</v>
      </c>
      <c r="L473" s="1" t="str">
        <f t="shared" si="1"/>
        <v>Isaiah Williams</v>
      </c>
      <c r="M473" s="124">
        <f>IFERROR(VLOOKUP(E473,RISK!A:B,2,FALSE()),"")</f>
        <v>3.7</v>
      </c>
      <c r="N473" s="116" t="str">
        <f t="shared" si="2"/>
        <v>#N/A</v>
      </c>
      <c r="Q473" s="8"/>
      <c r="R473" s="8"/>
      <c r="S473" s="8"/>
      <c r="T473" s="8"/>
    </row>
    <row r="474" ht="14.25" customHeight="1">
      <c r="A474" s="1">
        <v>471.0</v>
      </c>
      <c r="B474" s="1">
        <v>12.0</v>
      </c>
      <c r="C474" s="1" t="s">
        <v>1481</v>
      </c>
      <c r="D474" s="1" t="s">
        <v>217</v>
      </c>
      <c r="E474" s="1" t="s">
        <v>1482</v>
      </c>
      <c r="F474" s="1">
        <v>14.0</v>
      </c>
      <c r="G474" s="1" t="s">
        <v>1023</v>
      </c>
      <c r="H474" s="1" t="s">
        <v>1023</v>
      </c>
      <c r="I474" s="1" t="s">
        <v>1003</v>
      </c>
      <c r="J474" s="1" t="s">
        <v>1023</v>
      </c>
      <c r="K474" s="1">
        <v>473.0</v>
      </c>
      <c r="L474" s="1" t="str">
        <f t="shared" si="1"/>
        <v>Arizona Cardinals</v>
      </c>
      <c r="M474" s="124" t="str">
        <f>IFERROR(VLOOKUP(E474,RISK!A:B,2,FALSE()),"")</f>
        <v/>
      </c>
      <c r="N474" s="116" t="str">
        <f t="shared" si="2"/>
        <v>#N/A</v>
      </c>
      <c r="Q474" s="8"/>
      <c r="R474" s="8"/>
      <c r="S474" s="8"/>
      <c r="T474" s="8"/>
    </row>
    <row r="475" ht="14.25" customHeight="1">
      <c r="A475" s="1">
        <v>472.0</v>
      </c>
      <c r="B475" s="1">
        <v>12.0</v>
      </c>
      <c r="C475" s="1" t="s">
        <v>1483</v>
      </c>
      <c r="D475" s="1" t="s">
        <v>170</v>
      </c>
      <c r="E475" s="1" t="s">
        <v>1175</v>
      </c>
      <c r="F475" s="1">
        <v>10.0</v>
      </c>
      <c r="G475" s="1" t="s">
        <v>1023</v>
      </c>
      <c r="H475" s="1" t="s">
        <v>1023</v>
      </c>
      <c r="I475" s="1" t="s">
        <v>1003</v>
      </c>
      <c r="J475" s="1" t="s">
        <v>1023</v>
      </c>
      <c r="K475" s="1">
        <v>474.0</v>
      </c>
      <c r="L475" s="1" t="str">
        <f t="shared" si="1"/>
        <v>Lil'Jordan Humphrey</v>
      </c>
      <c r="M475" s="124">
        <f>IFERROR(VLOOKUP(E475,RISK!A:B,2,FALSE()),"")</f>
        <v>3.7</v>
      </c>
      <c r="N475" s="116" t="str">
        <f t="shared" si="2"/>
        <v>#N/A</v>
      </c>
      <c r="Q475" s="8"/>
      <c r="R475" s="8"/>
      <c r="S475" s="8"/>
      <c r="T475" s="8"/>
    </row>
    <row r="476" ht="14.25" customHeight="1">
      <c r="A476" s="1">
        <v>473.0</v>
      </c>
      <c r="B476" s="1">
        <v>12.0</v>
      </c>
      <c r="C476" s="1" t="s">
        <v>1484</v>
      </c>
      <c r="D476" s="1" t="s">
        <v>150</v>
      </c>
      <c r="E476" s="1" t="s">
        <v>1176</v>
      </c>
      <c r="F476" s="1">
        <v>14.0</v>
      </c>
      <c r="G476" s="1" t="s">
        <v>1023</v>
      </c>
      <c r="H476" s="1" t="s">
        <v>1023</v>
      </c>
      <c r="I476" s="1" t="s">
        <v>1003</v>
      </c>
      <c r="J476" s="1" t="s">
        <v>1023</v>
      </c>
      <c r="K476" s="1">
        <v>475.0</v>
      </c>
      <c r="L476" s="1" t="str">
        <f t="shared" si="1"/>
        <v>Marquez Valdes-Scantling</v>
      </c>
      <c r="M476" s="124">
        <f>IFERROR(VLOOKUP(E476,RISK!A:B,2,FALSE()),"")</f>
        <v>3.7</v>
      </c>
      <c r="N476" s="116" t="str">
        <f t="shared" si="2"/>
        <v>#N/A</v>
      </c>
      <c r="Q476" s="8"/>
      <c r="R476" s="8"/>
      <c r="S476" s="8"/>
      <c r="T476" s="8"/>
    </row>
    <row r="477" ht="14.25" customHeight="1">
      <c r="A477" s="1">
        <v>474.0</v>
      </c>
      <c r="B477" s="1">
        <v>12.0</v>
      </c>
      <c r="C477" s="1" t="s">
        <v>264</v>
      </c>
      <c r="D477" s="1" t="s">
        <v>199</v>
      </c>
      <c r="E477" s="1" t="s">
        <v>1046</v>
      </c>
      <c r="F477" s="1">
        <v>11.0</v>
      </c>
      <c r="G477" s="1" t="s">
        <v>1023</v>
      </c>
      <c r="H477" s="1" t="s">
        <v>1023</v>
      </c>
      <c r="I477" s="1" t="s">
        <v>1004</v>
      </c>
      <c r="J477" s="1" t="s">
        <v>1023</v>
      </c>
      <c r="K477" s="1">
        <v>476.0</v>
      </c>
      <c r="L477" s="1" t="str">
        <f t="shared" si="1"/>
        <v>Tyrod Taylor</v>
      </c>
      <c r="M477" s="124">
        <f>IFERROR(VLOOKUP(E477,RISK!A:B,2,FALSE()),"")</f>
        <v>3.2</v>
      </c>
      <c r="N477" s="116" t="str">
        <f t="shared" si="2"/>
        <v>#N/A</v>
      </c>
      <c r="Q477" s="8"/>
      <c r="R477" s="8"/>
      <c r="S477" s="8"/>
      <c r="T477" s="8"/>
    </row>
    <row r="478" ht="14.25" customHeight="1">
      <c r="A478" s="1">
        <v>475.0</v>
      </c>
      <c r="B478" s="1">
        <v>12.0</v>
      </c>
      <c r="C478" s="1" t="s">
        <v>295</v>
      </c>
      <c r="D478" s="1" t="s">
        <v>217</v>
      </c>
      <c r="E478" s="1" t="s">
        <v>1047</v>
      </c>
      <c r="F478" s="1">
        <v>14.0</v>
      </c>
      <c r="G478" s="1" t="s">
        <v>1023</v>
      </c>
      <c r="H478" s="1" t="s">
        <v>1023</v>
      </c>
      <c r="I478" s="1" t="s">
        <v>1003</v>
      </c>
      <c r="J478" s="1" t="s">
        <v>1023</v>
      </c>
      <c r="K478" s="1">
        <v>477.0</v>
      </c>
      <c r="L478" s="1" t="str">
        <f t="shared" si="1"/>
        <v>Gardner Minshew II</v>
      </c>
      <c r="M478" s="124">
        <f>IFERROR(VLOOKUP(E478,RISK!A:B,2,FALSE()),"")</f>
        <v>3.2</v>
      </c>
      <c r="N478" s="116" t="str">
        <f t="shared" si="2"/>
        <v>#N/A</v>
      </c>
      <c r="Q478" s="8"/>
      <c r="R478" s="8"/>
      <c r="S478" s="8"/>
      <c r="T478" s="8"/>
    </row>
    <row r="479" ht="14.25" customHeight="1">
      <c r="A479" s="1">
        <v>476.0</v>
      </c>
      <c r="B479" s="1">
        <v>12.0</v>
      </c>
      <c r="C479" s="1" t="s">
        <v>1339</v>
      </c>
      <c r="D479" s="1" t="s">
        <v>222</v>
      </c>
      <c r="E479" s="1" t="s">
        <v>1259</v>
      </c>
      <c r="F479" s="1">
        <v>13.0</v>
      </c>
      <c r="G479" s="1" t="s">
        <v>1023</v>
      </c>
      <c r="H479" s="1" t="s">
        <v>1023</v>
      </c>
      <c r="I479" s="1" t="s">
        <v>1003</v>
      </c>
      <c r="J479" s="1" t="s">
        <v>1023</v>
      </c>
      <c r="K479" s="1">
        <v>478.0</v>
      </c>
      <c r="L479" s="1" t="str">
        <f t="shared" si="1"/>
        <v>Roman Hemby</v>
      </c>
      <c r="M479" s="124">
        <f>IFERROR(VLOOKUP(E479,RISK!A:B,2,FALSE()),"")</f>
        <v>3.368</v>
      </c>
      <c r="N479" s="116" t="str">
        <f t="shared" si="2"/>
        <v>#N/A</v>
      </c>
      <c r="Q479" s="8"/>
      <c r="R479" s="8"/>
      <c r="S479" s="8"/>
      <c r="T479" s="8"/>
    </row>
    <row r="480" ht="14.25" customHeight="1">
      <c r="A480" s="1">
        <v>477.0</v>
      </c>
      <c r="B480" s="1">
        <v>12.0</v>
      </c>
      <c r="C480" s="1" t="s">
        <v>904</v>
      </c>
      <c r="D480" s="1" t="s">
        <v>205</v>
      </c>
      <c r="E480" s="1" t="s">
        <v>695</v>
      </c>
      <c r="F480" s="1">
        <v>8.0</v>
      </c>
      <c r="G480" s="1" t="s">
        <v>1023</v>
      </c>
      <c r="H480" s="1" t="s">
        <v>1023</v>
      </c>
      <c r="I480" s="1" t="s">
        <v>1004</v>
      </c>
      <c r="J480" s="1">
        <v>-154.0</v>
      </c>
      <c r="K480" s="1">
        <v>479.0</v>
      </c>
      <c r="L480" s="1" t="str">
        <f t="shared" si="1"/>
        <v>Foster Moreau</v>
      </c>
      <c r="M480" s="124">
        <f>IFERROR(VLOOKUP(E480,RISK!A:B,2,FALSE()),"")</f>
        <v>2.2775</v>
      </c>
      <c r="N480" s="116" t="str">
        <f t="shared" si="2"/>
        <v>#N/A</v>
      </c>
      <c r="Q480" s="8"/>
      <c r="R480" s="8"/>
      <c r="S480" s="8"/>
      <c r="T480" s="8"/>
    </row>
    <row r="481" ht="14.25" customHeight="1">
      <c r="A481" s="1">
        <v>478.0</v>
      </c>
      <c r="B481" s="1">
        <v>12.0</v>
      </c>
      <c r="C481" s="1" t="s">
        <v>932</v>
      </c>
      <c r="D481" s="1" t="s">
        <v>159</v>
      </c>
      <c r="E481" s="1" t="s">
        <v>703</v>
      </c>
      <c r="F481" s="1">
        <v>10.0</v>
      </c>
      <c r="G481" s="1" t="s">
        <v>1023</v>
      </c>
      <c r="H481" s="1" t="s">
        <v>1023</v>
      </c>
      <c r="I481" s="1" t="s">
        <v>1003</v>
      </c>
      <c r="J481" s="1" t="s">
        <v>1023</v>
      </c>
      <c r="K481" s="1">
        <v>480.0</v>
      </c>
      <c r="L481" s="1" t="str">
        <f t="shared" si="1"/>
        <v>Sam Roush</v>
      </c>
      <c r="M481" s="124">
        <f>IFERROR(VLOOKUP(E481,RISK!A:B,2,FALSE()),"")</f>
        <v>2.2775</v>
      </c>
      <c r="N481" s="116" t="str">
        <f t="shared" si="2"/>
        <v>#N/A</v>
      </c>
      <c r="Q481" s="8"/>
      <c r="R481" s="8"/>
      <c r="S481" s="8"/>
      <c r="T481" s="8"/>
    </row>
    <row r="482" ht="14.25" customHeight="1">
      <c r="A482" s="1">
        <v>479.0</v>
      </c>
      <c r="B482" s="1">
        <v>12.0</v>
      </c>
      <c r="C482" s="1" t="s">
        <v>550</v>
      </c>
      <c r="D482" s="1" t="s">
        <v>182</v>
      </c>
      <c r="E482" s="1" t="s">
        <v>1260</v>
      </c>
      <c r="F482" s="1">
        <v>8.0</v>
      </c>
      <c r="G482" s="1" t="s">
        <v>1023</v>
      </c>
      <c r="H482" s="1" t="s">
        <v>1023</v>
      </c>
      <c r="I482" s="1" t="s">
        <v>1007</v>
      </c>
      <c r="J482" s="1" t="s">
        <v>1023</v>
      </c>
      <c r="K482" s="1">
        <v>481.0</v>
      </c>
      <c r="L482" s="1" t="str">
        <f t="shared" si="1"/>
        <v>Ty Chandler</v>
      </c>
      <c r="M482" s="124">
        <f>IFERROR(VLOOKUP(E482,RISK!A:B,2,FALSE()),"")</f>
        <v>3.368</v>
      </c>
      <c r="N482" s="116" t="str">
        <f t="shared" si="2"/>
        <v>#N/A</v>
      </c>
      <c r="Q482" s="8"/>
      <c r="R482" s="8"/>
      <c r="S482" s="8"/>
      <c r="T482" s="8"/>
    </row>
    <row r="483" ht="14.25" customHeight="1">
      <c r="A483" s="1">
        <v>480.0</v>
      </c>
      <c r="B483" s="1">
        <v>12.0</v>
      </c>
      <c r="C483" s="1" t="s">
        <v>700</v>
      </c>
      <c r="D483" s="1" t="s">
        <v>179</v>
      </c>
      <c r="E483" s="1" t="s">
        <v>1261</v>
      </c>
      <c r="F483" s="1">
        <v>6.0</v>
      </c>
      <c r="G483" s="1" t="s">
        <v>1023</v>
      </c>
      <c r="H483" s="1" t="s">
        <v>1023</v>
      </c>
      <c r="I483" s="1" t="s">
        <v>1002</v>
      </c>
      <c r="J483" s="1" t="s">
        <v>1023</v>
      </c>
      <c r="K483" s="1">
        <v>482.0</v>
      </c>
      <c r="L483" s="1" t="str">
        <f t="shared" si="1"/>
        <v>Jacob Saylors</v>
      </c>
      <c r="M483" s="124">
        <f>IFERROR(VLOOKUP(E483,RISK!A:B,2,FALSE()),"")</f>
        <v>3.368</v>
      </c>
      <c r="N483" s="116" t="str">
        <f t="shared" si="2"/>
        <v>#N/A</v>
      </c>
      <c r="Q483" s="8"/>
      <c r="R483" s="8"/>
      <c r="S483" s="8"/>
      <c r="T483" s="8"/>
    </row>
    <row r="484" ht="14.25" customHeight="1">
      <c r="A484" s="1">
        <v>481.0</v>
      </c>
      <c r="B484" s="1">
        <v>12.0</v>
      </c>
      <c r="C484" s="1" t="s">
        <v>947</v>
      </c>
      <c r="D484" s="1" t="s">
        <v>179</v>
      </c>
      <c r="E484" s="1" t="s">
        <v>711</v>
      </c>
      <c r="F484" s="1">
        <v>6.0</v>
      </c>
      <c r="G484" s="1" t="s">
        <v>1023</v>
      </c>
      <c r="H484" s="1" t="s">
        <v>1023</v>
      </c>
      <c r="I484" s="1" t="s">
        <v>1007</v>
      </c>
      <c r="J484" s="1" t="s">
        <v>1023</v>
      </c>
      <c r="K484" s="1">
        <v>483.0</v>
      </c>
      <c r="L484" s="1" t="str">
        <f t="shared" si="1"/>
        <v>Tyler Conklin</v>
      </c>
      <c r="M484" s="124">
        <f>IFERROR(VLOOKUP(E484,RISK!A:B,2,FALSE()),"")</f>
        <v>2.2775</v>
      </c>
      <c r="N484" s="116" t="str">
        <f t="shared" si="2"/>
        <v>#N/A</v>
      </c>
      <c r="Q484" s="8"/>
      <c r="R484" s="8"/>
      <c r="S484" s="8"/>
      <c r="T484" s="8"/>
    </row>
    <row r="485" ht="14.25" customHeight="1">
      <c r="A485" s="1">
        <v>482.0</v>
      </c>
      <c r="B485" s="1">
        <v>12.0</v>
      </c>
      <c r="C485" s="1" t="s">
        <v>906</v>
      </c>
      <c r="D485" s="1" t="s">
        <v>193</v>
      </c>
      <c r="E485" s="1" t="s">
        <v>718</v>
      </c>
      <c r="F485" s="1">
        <v>13.0</v>
      </c>
      <c r="G485" s="1" t="s">
        <v>1023</v>
      </c>
      <c r="H485" s="1" t="s">
        <v>1023</v>
      </c>
      <c r="I485" s="1" t="s">
        <v>1007</v>
      </c>
      <c r="J485" s="1" t="s">
        <v>1023</v>
      </c>
      <c r="K485" s="1">
        <v>484.0</v>
      </c>
      <c r="L485" s="1" t="str">
        <f t="shared" si="1"/>
        <v>Mo Alie-Cox</v>
      </c>
      <c r="M485" s="124">
        <f>IFERROR(VLOOKUP(E485,RISK!A:B,2,FALSE()),"")</f>
        <v>2.2775</v>
      </c>
      <c r="N485" s="116" t="str">
        <f t="shared" si="2"/>
        <v>#N/A</v>
      </c>
      <c r="Q485" s="8"/>
      <c r="R485" s="8"/>
      <c r="S485" s="8"/>
      <c r="T485" s="8"/>
    </row>
    <row r="486" ht="14.25" customHeight="1">
      <c r="A486" s="1">
        <v>483.0</v>
      </c>
      <c r="B486" s="1">
        <v>12.0</v>
      </c>
      <c r="C486" s="1" t="s">
        <v>1485</v>
      </c>
      <c r="D486" s="1" t="s">
        <v>1383</v>
      </c>
      <c r="E486" s="1" t="s">
        <v>1263</v>
      </c>
      <c r="F486" s="1" t="s">
        <v>1023</v>
      </c>
      <c r="G486" s="1" t="s">
        <v>1023</v>
      </c>
      <c r="H486" s="1" t="s">
        <v>1023</v>
      </c>
      <c r="I486" s="1" t="s">
        <v>1023</v>
      </c>
      <c r="J486" s="1">
        <v>-107.0</v>
      </c>
      <c r="K486" s="1">
        <v>485.0</v>
      </c>
      <c r="L486" s="1" t="str">
        <f t="shared" si="1"/>
        <v>Antonio Gibson</v>
      </c>
      <c r="M486" s="124">
        <f>IFERROR(VLOOKUP(E486,RISK!A:B,2,FALSE()),"")</f>
        <v>3.368</v>
      </c>
      <c r="N486" s="116" t="str">
        <f t="shared" si="2"/>
        <v>#N/A</v>
      </c>
      <c r="Q486" s="8"/>
      <c r="R486" s="8"/>
      <c r="S486" s="8"/>
      <c r="T486" s="8"/>
    </row>
    <row r="487" ht="14.25" customHeight="1">
      <c r="A487" s="1">
        <v>484.0</v>
      </c>
      <c r="B487" s="1">
        <v>12.0</v>
      </c>
      <c r="C487" s="1" t="s">
        <v>870</v>
      </c>
      <c r="D487" s="1" t="s">
        <v>205</v>
      </c>
      <c r="E487" s="1" t="s">
        <v>724</v>
      </c>
      <c r="F487" s="1">
        <v>8.0</v>
      </c>
      <c r="G487" s="1" t="s">
        <v>1023</v>
      </c>
      <c r="H487" s="1" t="s">
        <v>1023</v>
      </c>
      <c r="I487" s="1" t="s">
        <v>1004</v>
      </c>
      <c r="J487" s="1" t="s">
        <v>1023</v>
      </c>
      <c r="K487" s="1">
        <v>486.0</v>
      </c>
      <c r="L487" s="1" t="str">
        <f t="shared" si="1"/>
        <v>Cade Stover</v>
      </c>
      <c r="M487" s="124">
        <f>IFERROR(VLOOKUP(E487,RISK!A:B,2,FALSE()),"")</f>
        <v>2.2775</v>
      </c>
      <c r="N487" s="116" t="str">
        <f t="shared" si="2"/>
        <v>#N/A</v>
      </c>
      <c r="Q487" s="8"/>
      <c r="R487" s="8"/>
      <c r="S487" s="8"/>
      <c r="T487" s="8"/>
    </row>
    <row r="488" ht="14.25" customHeight="1">
      <c r="A488" s="1">
        <v>485.0</v>
      </c>
      <c r="B488" s="1">
        <v>12.0</v>
      </c>
      <c r="C488" s="1" t="s">
        <v>963</v>
      </c>
      <c r="D488" s="1" t="s">
        <v>210</v>
      </c>
      <c r="E488" s="1" t="s">
        <v>729</v>
      </c>
      <c r="F488" s="1">
        <v>13.0</v>
      </c>
      <c r="G488" s="1" t="s">
        <v>1023</v>
      </c>
      <c r="H488" s="1" t="s">
        <v>1023</v>
      </c>
      <c r="I488" s="1" t="s">
        <v>1004</v>
      </c>
      <c r="J488" s="1" t="s">
        <v>1023</v>
      </c>
      <c r="K488" s="1">
        <v>487.0</v>
      </c>
      <c r="L488" s="1" t="str">
        <f t="shared" si="1"/>
        <v>Jelani Woods</v>
      </c>
      <c r="M488" s="124">
        <f>IFERROR(VLOOKUP(E488,RISK!A:B,2,FALSE()),"")</f>
        <v>2.2775</v>
      </c>
      <c r="N488" s="116" t="str">
        <f t="shared" si="2"/>
        <v>#N/A</v>
      </c>
      <c r="Q488" s="8"/>
      <c r="R488" s="8"/>
      <c r="S488" s="8"/>
      <c r="T488" s="8"/>
    </row>
    <row r="489" ht="14.25" customHeight="1">
      <c r="A489" s="1">
        <v>486.0</v>
      </c>
      <c r="B489" s="1">
        <v>12.0</v>
      </c>
      <c r="C489" s="1" t="s">
        <v>640</v>
      </c>
      <c r="D489" s="1" t="s">
        <v>164</v>
      </c>
      <c r="E489" s="1" t="s">
        <v>1264</v>
      </c>
      <c r="F489" s="1">
        <v>7.0</v>
      </c>
      <c r="G489" s="1" t="s">
        <v>1023</v>
      </c>
      <c r="H489" s="1" t="s">
        <v>1023</v>
      </c>
      <c r="I489" s="1" t="s">
        <v>1007</v>
      </c>
      <c r="J489" s="1" t="s">
        <v>1023</v>
      </c>
      <c r="K489" s="1">
        <v>488.0</v>
      </c>
      <c r="L489" s="1" t="str">
        <f t="shared" si="1"/>
        <v>Alec Ingold</v>
      </c>
      <c r="M489" s="124">
        <f>IFERROR(VLOOKUP(E489,RISK!A:B,2,FALSE()),"")</f>
        <v>3.368</v>
      </c>
      <c r="N489" s="116" t="str">
        <f t="shared" si="2"/>
        <v>#N/A</v>
      </c>
      <c r="Q489" s="8"/>
      <c r="R489" s="8"/>
      <c r="S489" s="8"/>
      <c r="T489" s="8"/>
    </row>
    <row r="490" ht="14.25" customHeight="1">
      <c r="A490" s="1">
        <v>487.0</v>
      </c>
      <c r="B490" s="1">
        <v>12.0</v>
      </c>
      <c r="C490" s="1" t="s">
        <v>862</v>
      </c>
      <c r="D490" s="1" t="s">
        <v>210</v>
      </c>
      <c r="E490" s="1" t="s">
        <v>735</v>
      </c>
      <c r="F490" s="1">
        <v>13.0</v>
      </c>
      <c r="G490" s="1" t="s">
        <v>1023</v>
      </c>
      <c r="H490" s="1" t="s">
        <v>1023</v>
      </c>
      <c r="I490" s="1" t="s">
        <v>1004</v>
      </c>
      <c r="J490" s="1" t="s">
        <v>1023</v>
      </c>
      <c r="K490" s="1">
        <v>489.0</v>
      </c>
      <c r="L490" s="1" t="str">
        <f t="shared" si="1"/>
        <v>Jeremy Ruckert</v>
      </c>
      <c r="M490" s="124">
        <f>IFERROR(VLOOKUP(E490,RISK!A:B,2,FALSE()),"")</f>
        <v>2.2775</v>
      </c>
      <c r="N490" s="116" t="str">
        <f t="shared" si="2"/>
        <v>#N/A</v>
      </c>
      <c r="Q490" s="8"/>
      <c r="R490" s="8"/>
      <c r="S490" s="8"/>
      <c r="T490" s="8"/>
    </row>
    <row r="491" ht="14.25" customHeight="1">
      <c r="A491" s="1">
        <v>488.0</v>
      </c>
      <c r="B491" s="1">
        <v>12.0</v>
      </c>
      <c r="C491" s="1" t="s">
        <v>867</v>
      </c>
      <c r="D491" s="1" t="s">
        <v>145</v>
      </c>
      <c r="E491" s="1" t="s">
        <v>746</v>
      </c>
      <c r="F491" s="1">
        <v>7.0</v>
      </c>
      <c r="G491" s="1" t="s">
        <v>1023</v>
      </c>
      <c r="H491" s="1" t="s">
        <v>1023</v>
      </c>
      <c r="I491" s="1" t="s">
        <v>1007</v>
      </c>
      <c r="J491" s="1" t="s">
        <v>1023</v>
      </c>
      <c r="K491" s="1">
        <v>490.0</v>
      </c>
      <c r="L491" s="1" t="str">
        <f t="shared" si="1"/>
        <v>Nate Boerkircher</v>
      </c>
      <c r="M491" s="124">
        <f>IFERROR(VLOOKUP(E491,RISK!A:B,2,FALSE()),"")</f>
        <v>2.2775</v>
      </c>
      <c r="N491" s="116" t="str">
        <f t="shared" si="2"/>
        <v>#N/A</v>
      </c>
      <c r="Q491" s="8"/>
      <c r="R491" s="8"/>
      <c r="S491" s="8"/>
      <c r="T491" s="8"/>
    </row>
    <row r="492" ht="14.25" customHeight="1">
      <c r="A492" s="1">
        <v>489.0</v>
      </c>
      <c r="B492" s="1">
        <v>12.0</v>
      </c>
      <c r="C492" s="1" t="s">
        <v>1486</v>
      </c>
      <c r="D492" s="1" t="s">
        <v>220</v>
      </c>
      <c r="E492" s="1" t="s">
        <v>1265</v>
      </c>
      <c r="F492" s="1">
        <v>9.0</v>
      </c>
      <c r="G492" s="1" t="s">
        <v>1023</v>
      </c>
      <c r="H492" s="1" t="s">
        <v>1023</v>
      </c>
      <c r="I492" s="1" t="s">
        <v>1003</v>
      </c>
      <c r="J492" s="1" t="s">
        <v>1023</v>
      </c>
      <c r="K492" s="1">
        <v>491.0</v>
      </c>
      <c r="L492" s="1" t="str">
        <f t="shared" si="1"/>
        <v>Travis Homer</v>
      </c>
      <c r="M492" s="124">
        <f>IFERROR(VLOOKUP(E492,RISK!A:B,2,FALSE()),"")</f>
        <v>3.368</v>
      </c>
      <c r="N492" s="116" t="str">
        <f t="shared" si="2"/>
        <v>#N/A</v>
      </c>
      <c r="Q492" s="8"/>
      <c r="R492" s="8"/>
      <c r="S492" s="8"/>
      <c r="T492" s="8"/>
    </row>
    <row r="493" ht="14.25" customHeight="1">
      <c r="A493" s="1">
        <v>490.0</v>
      </c>
      <c r="B493" s="1">
        <v>12.0</v>
      </c>
      <c r="C493" s="1" t="s">
        <v>938</v>
      </c>
      <c r="D493" s="1" t="s">
        <v>61</v>
      </c>
      <c r="E493" s="1" t="s">
        <v>756</v>
      </c>
      <c r="F493" s="1">
        <v>13.0</v>
      </c>
      <c r="G493" s="1" t="s">
        <v>1023</v>
      </c>
      <c r="H493" s="1" t="s">
        <v>1023</v>
      </c>
      <c r="I493" s="1" t="s">
        <v>1004</v>
      </c>
      <c r="J493" s="1" t="s">
        <v>1023</v>
      </c>
      <c r="K493" s="1">
        <v>492.0</v>
      </c>
      <c r="L493" s="1" t="str">
        <f t="shared" si="1"/>
        <v>Josh Cuevas</v>
      </c>
      <c r="M493" s="124">
        <f>IFERROR(VLOOKUP(E493,RISK!A:B,2,FALSE()),"")</f>
        <v>2.2775</v>
      </c>
      <c r="N493" s="116" t="str">
        <f t="shared" si="2"/>
        <v>#N/A</v>
      </c>
      <c r="Q493" s="8"/>
      <c r="R493" s="8"/>
      <c r="S493" s="8"/>
      <c r="T493" s="8"/>
    </row>
    <row r="494" ht="14.25" customHeight="1">
      <c r="A494" s="1">
        <v>491.0</v>
      </c>
      <c r="B494" s="1">
        <v>12.0</v>
      </c>
      <c r="C494" s="1" t="s">
        <v>871</v>
      </c>
      <c r="D494" s="1" t="s">
        <v>170</v>
      </c>
      <c r="E494" s="1" t="s">
        <v>767</v>
      </c>
      <c r="F494" s="1">
        <v>10.0</v>
      </c>
      <c r="G494" s="1" t="s">
        <v>1023</v>
      </c>
      <c r="H494" s="1" t="s">
        <v>1023</v>
      </c>
      <c r="I494" s="1" t="s">
        <v>1004</v>
      </c>
      <c r="J494" s="1" t="s">
        <v>1023</v>
      </c>
      <c r="K494" s="1">
        <v>493.0</v>
      </c>
      <c r="L494" s="1" t="str">
        <f t="shared" si="1"/>
        <v>Nate Adkins</v>
      </c>
      <c r="M494" s="124">
        <f>IFERROR(VLOOKUP(E494,RISK!A:B,2,FALSE()),"")</f>
        <v>2.2775</v>
      </c>
      <c r="N494" s="116" t="str">
        <f t="shared" si="2"/>
        <v>#N/A</v>
      </c>
      <c r="Q494" s="8"/>
      <c r="R494" s="8"/>
      <c r="S494" s="8"/>
      <c r="T494" s="8"/>
    </row>
    <row r="495" ht="14.25" customHeight="1">
      <c r="A495" s="1">
        <v>492.0</v>
      </c>
      <c r="B495" s="1">
        <v>12.0</v>
      </c>
      <c r="C495" s="1" t="s">
        <v>661</v>
      </c>
      <c r="D495" s="1" t="s">
        <v>189</v>
      </c>
      <c r="E495" s="1" t="s">
        <v>1266</v>
      </c>
      <c r="F495" s="1">
        <v>6.0</v>
      </c>
      <c r="G495" s="1" t="s">
        <v>1023</v>
      </c>
      <c r="H495" s="1" t="s">
        <v>1023</v>
      </c>
      <c r="I495" s="1" t="s">
        <v>1004</v>
      </c>
      <c r="J495" s="1" t="s">
        <v>1023</v>
      </c>
      <c r="K495" s="1">
        <v>494.0</v>
      </c>
      <c r="L495" s="1" t="str">
        <f t="shared" si="1"/>
        <v>Max Bredeson</v>
      </c>
      <c r="M495" s="124">
        <f>IFERROR(VLOOKUP(E495,RISK!A:B,2,FALSE()),"")</f>
        <v>3.368</v>
      </c>
      <c r="N495" s="116" t="str">
        <f t="shared" si="2"/>
        <v>#N/A</v>
      </c>
      <c r="Q495" s="8"/>
      <c r="R495" s="8"/>
      <c r="S495" s="8"/>
      <c r="T495" s="8"/>
    </row>
    <row r="496" ht="14.25" customHeight="1">
      <c r="A496" s="1">
        <v>493.0</v>
      </c>
      <c r="B496" s="1">
        <v>12.0</v>
      </c>
      <c r="C496" s="1" t="s">
        <v>864</v>
      </c>
      <c r="D496" s="1" t="s">
        <v>127</v>
      </c>
      <c r="E496" s="1" t="s">
        <v>777</v>
      </c>
      <c r="F496" s="1">
        <v>6.0</v>
      </c>
      <c r="G496" s="1" t="s">
        <v>1023</v>
      </c>
      <c r="H496" s="1" t="s">
        <v>1023</v>
      </c>
      <c r="I496" s="1" t="s">
        <v>1007</v>
      </c>
      <c r="J496" s="1" t="s">
        <v>1023</v>
      </c>
      <c r="K496" s="1">
        <v>495.0</v>
      </c>
      <c r="L496" s="1" t="str">
        <f t="shared" si="1"/>
        <v>Drew Sample</v>
      </c>
      <c r="M496" s="124">
        <f>IFERROR(VLOOKUP(E496,RISK!A:B,2,FALSE()),"")</f>
        <v>2.2775</v>
      </c>
      <c r="N496" s="116" t="str">
        <f t="shared" si="2"/>
        <v>#N/A</v>
      </c>
      <c r="Q496" s="8"/>
      <c r="R496" s="8"/>
      <c r="S496" s="8"/>
      <c r="T496" s="8"/>
    </row>
    <row r="497" ht="14.25" customHeight="1">
      <c r="A497" s="1">
        <v>494.0</v>
      </c>
      <c r="B497" s="1">
        <v>12.0</v>
      </c>
      <c r="C497" s="1" t="s">
        <v>671</v>
      </c>
      <c r="D497" s="1" t="s">
        <v>134</v>
      </c>
      <c r="E497" s="1" t="s">
        <v>1267</v>
      </c>
      <c r="F497" s="1">
        <v>8.0</v>
      </c>
      <c r="G497" s="1" t="s">
        <v>1023</v>
      </c>
      <c r="H497" s="1" t="s">
        <v>1023</v>
      </c>
      <c r="I497" s="1" t="s">
        <v>1004</v>
      </c>
      <c r="J497" s="1" t="s">
        <v>1023</v>
      </c>
      <c r="K497" s="1">
        <v>496.0</v>
      </c>
      <c r="L497" s="1" t="str">
        <f t="shared" si="1"/>
        <v>Patrick Ricard</v>
      </c>
      <c r="M497" s="124">
        <f>IFERROR(VLOOKUP(E497,RISK!A:B,2,FALSE()),"")</f>
        <v>3.368</v>
      </c>
      <c r="N497" s="116" t="str">
        <f t="shared" si="2"/>
        <v>#N/A</v>
      </c>
      <c r="Q497" s="8"/>
      <c r="R497" s="8"/>
      <c r="S497" s="8"/>
      <c r="T497" s="8"/>
    </row>
    <row r="498" ht="14.25" customHeight="1">
      <c r="A498" s="1">
        <v>495.0</v>
      </c>
      <c r="B498" s="1">
        <v>12.0</v>
      </c>
      <c r="C498" s="1" t="s">
        <v>653</v>
      </c>
      <c r="D498" s="1" t="s">
        <v>170</v>
      </c>
      <c r="E498" s="1" t="s">
        <v>1268</v>
      </c>
      <c r="F498" s="1">
        <v>10.0</v>
      </c>
      <c r="G498" s="1" t="s">
        <v>1023</v>
      </c>
      <c r="H498" s="1" t="s">
        <v>1023</v>
      </c>
      <c r="I498" s="1" t="s">
        <v>1003</v>
      </c>
      <c r="J498" s="1" t="s">
        <v>1023</v>
      </c>
      <c r="K498" s="1">
        <v>497.0</v>
      </c>
      <c r="L498" s="1" t="str">
        <f t="shared" si="1"/>
        <v>Adam Prentice</v>
      </c>
      <c r="M498" s="124">
        <f>IFERROR(VLOOKUP(E498,RISK!A:B,2,FALSE()),"")</f>
        <v>3.368</v>
      </c>
      <c r="N498" s="116" t="str">
        <f t="shared" si="2"/>
        <v>#N/A</v>
      </c>
      <c r="Q498" s="8"/>
      <c r="R498" s="8"/>
      <c r="S498" s="8"/>
      <c r="T498" s="8"/>
    </row>
    <row r="499" ht="14.25" customHeight="1">
      <c r="A499" s="1">
        <v>496.0</v>
      </c>
      <c r="B499" s="1">
        <v>12.0</v>
      </c>
      <c r="C499" s="1" t="s">
        <v>1032</v>
      </c>
      <c r="D499" s="1" t="s">
        <v>176</v>
      </c>
      <c r="E499" s="1" t="s">
        <v>1177</v>
      </c>
      <c r="F499" s="1">
        <v>11.0</v>
      </c>
      <c r="G499" s="1" t="s">
        <v>1023</v>
      </c>
      <c r="H499" s="1" t="s">
        <v>1023</v>
      </c>
      <c r="I499" s="1" t="s">
        <v>1006</v>
      </c>
      <c r="J499" s="1" t="s">
        <v>1023</v>
      </c>
      <c r="K499" s="1">
        <v>498.0</v>
      </c>
      <c r="L499" s="1" t="str">
        <f t="shared" si="1"/>
        <v>Xavier Smith</v>
      </c>
      <c r="M499" s="124">
        <f>IFERROR(VLOOKUP(E499,RISK!A:B,2,FALSE()),"")</f>
        <v>3.7</v>
      </c>
      <c r="N499" s="116" t="str">
        <f t="shared" si="2"/>
        <v>#N/A</v>
      </c>
      <c r="Q499" s="8"/>
      <c r="R499" s="8"/>
      <c r="S499" s="8"/>
      <c r="T499" s="8"/>
    </row>
    <row r="500" ht="14.25" customHeight="1">
      <c r="A500" s="1">
        <v>497.0</v>
      </c>
      <c r="B500" s="1">
        <v>12.0</v>
      </c>
      <c r="C500" s="1" t="s">
        <v>1487</v>
      </c>
      <c r="D500" s="1" t="s">
        <v>117</v>
      </c>
      <c r="E500" s="1" t="s">
        <v>1178</v>
      </c>
      <c r="F500" s="1">
        <v>10.0</v>
      </c>
      <c r="G500" s="1" t="s">
        <v>1023</v>
      </c>
      <c r="H500" s="1" t="s">
        <v>1023</v>
      </c>
      <c r="I500" s="1" t="s">
        <v>1004</v>
      </c>
      <c r="J500" s="1" t="s">
        <v>1023</v>
      </c>
      <c r="K500" s="1">
        <v>499.0</v>
      </c>
      <c r="L500" s="1" t="str">
        <f t="shared" si="1"/>
        <v>Elijah Moore</v>
      </c>
      <c r="M500" s="124">
        <f>IFERROR(VLOOKUP(E500,RISK!A:B,2,FALSE()),"")</f>
        <v>3.7</v>
      </c>
      <c r="N500" s="116" t="str">
        <f t="shared" si="2"/>
        <v>#N/A</v>
      </c>
      <c r="Q500" s="8"/>
      <c r="R500" s="8"/>
      <c r="S500" s="8"/>
      <c r="T500" s="8"/>
    </row>
    <row r="501" ht="14.25" customHeight="1">
      <c r="A501" s="1">
        <v>498.0</v>
      </c>
      <c r="B501" s="1">
        <v>12.0</v>
      </c>
      <c r="C501" s="1" t="s">
        <v>564</v>
      </c>
      <c r="D501" s="1" t="s">
        <v>18</v>
      </c>
      <c r="E501" s="1" t="s">
        <v>1269</v>
      </c>
      <c r="F501" s="1">
        <v>7.0</v>
      </c>
      <c r="G501" s="1" t="s">
        <v>1023</v>
      </c>
      <c r="H501" s="1" t="s">
        <v>1023</v>
      </c>
      <c r="I501" s="1" t="s">
        <v>1003</v>
      </c>
      <c r="J501" s="1" t="s">
        <v>1023</v>
      </c>
      <c r="K501" s="1">
        <v>500.0</v>
      </c>
      <c r="L501" s="1" t="str">
        <f t="shared" si="1"/>
        <v>Frank Gore Jr.</v>
      </c>
      <c r="M501" s="124">
        <f>IFERROR(VLOOKUP(E501,RISK!A:B,2,FALSE()),"")</f>
        <v>3.368</v>
      </c>
      <c r="N501" s="116" t="str">
        <f t="shared" si="2"/>
        <v>#N/A</v>
      </c>
      <c r="Q501" s="8"/>
      <c r="R501" s="8"/>
      <c r="S501" s="8"/>
      <c r="T501" s="8"/>
    </row>
    <row r="502" ht="14.25" customHeight="1">
      <c r="A502" s="1">
        <v>499.0</v>
      </c>
      <c r="B502" s="1">
        <v>12.0</v>
      </c>
      <c r="C502" s="1" t="s">
        <v>1488</v>
      </c>
      <c r="D502" s="1" t="s">
        <v>214</v>
      </c>
      <c r="E502" s="1" t="s">
        <v>1270</v>
      </c>
      <c r="F502" s="1">
        <v>9.0</v>
      </c>
      <c r="G502" s="1" t="s">
        <v>1023</v>
      </c>
      <c r="H502" s="1" t="s">
        <v>1023</v>
      </c>
      <c r="I502" s="1" t="s">
        <v>1007</v>
      </c>
      <c r="J502" s="1" t="s">
        <v>1023</v>
      </c>
      <c r="K502" s="1">
        <v>501.0</v>
      </c>
      <c r="L502" s="1" t="str">
        <f t="shared" si="1"/>
        <v>Kalel Mullings</v>
      </c>
      <c r="M502" s="124">
        <f>IFERROR(VLOOKUP(E502,RISK!A:B,2,FALSE()),"")</f>
        <v>3.368</v>
      </c>
      <c r="N502" s="116" t="str">
        <f t="shared" si="2"/>
        <v>#N/A</v>
      </c>
      <c r="Q502" s="8"/>
      <c r="R502" s="8"/>
      <c r="S502" s="8"/>
      <c r="T502" s="8"/>
    </row>
    <row r="503" ht="14.25" customHeight="1">
      <c r="A503" s="1">
        <v>500.0</v>
      </c>
      <c r="B503" s="1">
        <v>12.0</v>
      </c>
      <c r="C503" s="1" t="s">
        <v>636</v>
      </c>
      <c r="D503" s="1" t="s">
        <v>226</v>
      </c>
      <c r="E503" s="1" t="s">
        <v>1271</v>
      </c>
      <c r="F503" s="1">
        <v>11.0</v>
      </c>
      <c r="G503" s="1" t="s">
        <v>1023</v>
      </c>
      <c r="H503" s="1" t="s">
        <v>1023</v>
      </c>
      <c r="I503" s="1" t="s">
        <v>1007</v>
      </c>
      <c r="J503" s="1">
        <v>-188.0</v>
      </c>
      <c r="K503" s="1">
        <v>502.0</v>
      </c>
      <c r="L503" s="1" t="str">
        <f t="shared" si="1"/>
        <v>Michael Burton</v>
      </c>
      <c r="M503" s="124">
        <f>IFERROR(VLOOKUP(E503,RISK!A:B,2,FALSE()),"")</f>
        <v>3.368</v>
      </c>
      <c r="N503" s="116" t="str">
        <f t="shared" si="2"/>
        <v>#N/A</v>
      </c>
      <c r="Q503" s="8"/>
      <c r="R503" s="8"/>
      <c r="S503" s="8"/>
      <c r="T503" s="8"/>
    </row>
    <row r="504" ht="14.25" customHeight="1">
      <c r="A504" s="1">
        <v>501.0</v>
      </c>
      <c r="B504" s="1">
        <v>12.0</v>
      </c>
      <c r="C504" s="1" t="s">
        <v>1489</v>
      </c>
      <c r="D504" s="1" t="s">
        <v>164</v>
      </c>
      <c r="E504" s="1" t="s">
        <v>1272</v>
      </c>
      <c r="F504" s="1">
        <v>7.0</v>
      </c>
      <c r="G504" s="1" t="s">
        <v>1023</v>
      </c>
      <c r="H504" s="1" t="s">
        <v>1023</v>
      </c>
      <c r="I504" s="1" t="s">
        <v>1007</v>
      </c>
      <c r="J504" s="1" t="s">
        <v>1023</v>
      </c>
      <c r="K504" s="1">
        <v>503.0</v>
      </c>
      <c r="L504" s="1" t="str">
        <f t="shared" si="1"/>
        <v>Jaret Patterson</v>
      </c>
      <c r="M504" s="124">
        <f>IFERROR(VLOOKUP(E504,RISK!A:B,2,FALSE()),"")</f>
        <v>3.368</v>
      </c>
      <c r="N504" s="116" t="str">
        <f t="shared" si="2"/>
        <v>#N/A</v>
      </c>
      <c r="Q504" s="8"/>
      <c r="R504" s="8"/>
      <c r="S504" s="8"/>
      <c r="T504" s="8"/>
    </row>
    <row r="505" ht="14.25" customHeight="1">
      <c r="A505" s="1">
        <v>502.0</v>
      </c>
      <c r="B505" s="1">
        <v>12.0</v>
      </c>
      <c r="C505" s="1" t="s">
        <v>1490</v>
      </c>
      <c r="D505" s="1" t="s">
        <v>179</v>
      </c>
      <c r="E505" s="1" t="s">
        <v>1179</v>
      </c>
      <c r="F505" s="1">
        <v>6.0</v>
      </c>
      <c r="G505" s="1" t="s">
        <v>1023</v>
      </c>
      <c r="H505" s="1" t="s">
        <v>1023</v>
      </c>
      <c r="I505" s="1" t="s">
        <v>1004</v>
      </c>
      <c r="J505" s="1" t="s">
        <v>1023</v>
      </c>
      <c r="K505" s="1">
        <v>504.0</v>
      </c>
      <c r="L505" s="1" t="str">
        <f t="shared" si="1"/>
        <v>Cedrick Wilson Jr.</v>
      </c>
      <c r="M505" s="124">
        <f>IFERROR(VLOOKUP(E505,RISK!A:B,2,FALSE()),"")</f>
        <v>3.7</v>
      </c>
      <c r="N505" s="116" t="str">
        <f t="shared" si="2"/>
        <v>#N/A</v>
      </c>
      <c r="Q505" s="8"/>
      <c r="R505" s="8"/>
      <c r="S505" s="8"/>
      <c r="T505" s="8"/>
    </row>
    <row r="506" ht="14.25" customHeight="1">
      <c r="A506" s="1">
        <v>503.0</v>
      </c>
      <c r="B506" s="1">
        <v>12.0</v>
      </c>
      <c r="C506" s="1" t="s">
        <v>677</v>
      </c>
      <c r="D506" s="1" t="s">
        <v>205</v>
      </c>
      <c r="E506" s="1" t="s">
        <v>1273</v>
      </c>
      <c r="F506" s="1">
        <v>8.0</v>
      </c>
      <c r="G506" s="1" t="s">
        <v>1023</v>
      </c>
      <c r="H506" s="1" t="s">
        <v>1023</v>
      </c>
      <c r="I506" s="1" t="s">
        <v>1004</v>
      </c>
      <c r="J506" s="1" t="s">
        <v>1023</v>
      </c>
      <c r="K506" s="1">
        <v>505.0</v>
      </c>
      <c r="L506" s="1" t="str">
        <f t="shared" si="1"/>
        <v>British Brooks</v>
      </c>
      <c r="M506" s="124">
        <f>IFERROR(VLOOKUP(E506,RISK!A:B,2,FALSE()),"")</f>
        <v>3.368</v>
      </c>
      <c r="N506" s="116" t="str">
        <f t="shared" si="2"/>
        <v>#N/A</v>
      </c>
      <c r="Q506" s="8"/>
      <c r="R506" s="8"/>
      <c r="S506" s="8"/>
      <c r="T506" s="8"/>
    </row>
    <row r="507" ht="14.25" customHeight="1">
      <c r="A507" s="1">
        <v>504.0</v>
      </c>
      <c r="B507" s="1">
        <v>12.0</v>
      </c>
      <c r="C507" s="1" t="s">
        <v>827</v>
      </c>
      <c r="D507" s="1" t="s">
        <v>179</v>
      </c>
      <c r="E507" s="1" t="s">
        <v>788</v>
      </c>
      <c r="F507" s="1">
        <v>6.0</v>
      </c>
      <c r="G507" s="1" t="s">
        <v>1023</v>
      </c>
      <c r="H507" s="1" t="s">
        <v>1023</v>
      </c>
      <c r="I507" s="1" t="s">
        <v>1007</v>
      </c>
      <c r="J507" s="1" t="s">
        <v>1023</v>
      </c>
      <c r="K507" s="1">
        <v>506.0</v>
      </c>
      <c r="L507" s="1" t="str">
        <f t="shared" si="1"/>
        <v>Brock Wright</v>
      </c>
      <c r="M507" s="124">
        <f>IFERROR(VLOOKUP(E507,RISK!A:B,2,FALSE()),"")</f>
        <v>2.2775</v>
      </c>
      <c r="N507" s="116" t="str">
        <f t="shared" si="2"/>
        <v>#N/A</v>
      </c>
      <c r="Q507" s="8"/>
      <c r="R507" s="8"/>
      <c r="S507" s="8"/>
      <c r="T507" s="8"/>
    </row>
    <row r="508" ht="14.25" customHeight="1">
      <c r="A508" s="1">
        <v>505.0</v>
      </c>
      <c r="B508" s="1">
        <v>12.0</v>
      </c>
      <c r="C508" s="1" t="s">
        <v>1052</v>
      </c>
      <c r="D508" s="1" t="s">
        <v>217</v>
      </c>
      <c r="E508" s="1" t="s">
        <v>1180</v>
      </c>
      <c r="F508" s="1">
        <v>14.0</v>
      </c>
      <c r="G508" s="1" t="s">
        <v>1023</v>
      </c>
      <c r="H508" s="1" t="s">
        <v>1023</v>
      </c>
      <c r="I508" s="1" t="s">
        <v>1003</v>
      </c>
      <c r="J508" s="1" t="s">
        <v>1023</v>
      </c>
      <c r="K508" s="1">
        <v>507.0</v>
      </c>
      <c r="L508" s="1" t="str">
        <f t="shared" si="1"/>
        <v>Reggie Virgil</v>
      </c>
      <c r="M508" s="124">
        <f>IFERROR(VLOOKUP(E508,RISK!A:B,2,FALSE()),"")</f>
        <v>3.7</v>
      </c>
      <c r="N508" s="116" t="str">
        <f t="shared" si="2"/>
        <v>#N/A</v>
      </c>
      <c r="Q508" s="8"/>
      <c r="R508" s="8"/>
      <c r="S508" s="8"/>
      <c r="T508" s="8"/>
    </row>
    <row r="509" ht="14.25" customHeight="1">
      <c r="A509" s="1">
        <v>506.0</v>
      </c>
      <c r="B509" s="1">
        <v>13.0</v>
      </c>
      <c r="C509" s="1" t="s">
        <v>1491</v>
      </c>
      <c r="D509" s="1" t="s">
        <v>210</v>
      </c>
      <c r="E509" s="1" t="s">
        <v>1492</v>
      </c>
      <c r="F509" s="1">
        <v>13.0</v>
      </c>
      <c r="G509" s="1" t="s">
        <v>1023</v>
      </c>
      <c r="H509" s="1" t="s">
        <v>1023</v>
      </c>
      <c r="I509" s="1" t="s">
        <v>1003</v>
      </c>
      <c r="J509" s="1" t="s">
        <v>1023</v>
      </c>
      <c r="K509" s="1">
        <v>508.0</v>
      </c>
      <c r="L509" s="1" t="str">
        <f t="shared" si="1"/>
        <v>Jason Sanders</v>
      </c>
      <c r="M509" s="124" t="str">
        <f>IFERROR(VLOOKUP(E509,RISK!A:B,2,FALSE()),"")</f>
        <v/>
      </c>
      <c r="N509" s="116" t="str">
        <f t="shared" si="2"/>
        <v>#N/A</v>
      </c>
      <c r="Q509" s="8"/>
      <c r="R509" s="8"/>
      <c r="S509" s="8"/>
      <c r="T509" s="8"/>
    </row>
    <row r="510" ht="14.25" customHeight="1">
      <c r="A510" s="1">
        <v>507.0</v>
      </c>
      <c r="B510" s="1">
        <v>13.0</v>
      </c>
      <c r="C510" s="1" t="s">
        <v>258</v>
      </c>
      <c r="D510" s="1" t="s">
        <v>186</v>
      </c>
      <c r="E510" s="1" t="s">
        <v>1227</v>
      </c>
      <c r="F510" s="1">
        <v>10.0</v>
      </c>
      <c r="G510" s="1" t="s">
        <v>1023</v>
      </c>
      <c r="H510" s="1" t="s">
        <v>1023</v>
      </c>
      <c r="I510" s="1" t="s">
        <v>1003</v>
      </c>
      <c r="J510" s="1" t="s">
        <v>1023</v>
      </c>
      <c r="K510" s="1">
        <v>509.0</v>
      </c>
      <c r="L510" s="1" t="str">
        <f t="shared" si="1"/>
        <v>Jake Browning</v>
      </c>
      <c r="M510" s="124">
        <f>IFERROR(VLOOKUP(E510,RISK!A:B,2,FALSE()),"")</f>
        <v>3.2</v>
      </c>
      <c r="N510" s="116" t="str">
        <f t="shared" si="2"/>
        <v>#N/A</v>
      </c>
      <c r="Q510" s="8"/>
      <c r="R510" s="8"/>
      <c r="S510" s="8"/>
      <c r="T510" s="8"/>
    </row>
    <row r="511" ht="14.25" customHeight="1">
      <c r="A511" s="1">
        <v>508.0</v>
      </c>
      <c r="B511" s="1">
        <v>13.0</v>
      </c>
      <c r="C511" s="1" t="s">
        <v>1493</v>
      </c>
      <c r="D511" s="1" t="s">
        <v>106</v>
      </c>
      <c r="E511" s="1" t="s">
        <v>1494</v>
      </c>
      <c r="F511" s="1">
        <v>7.0</v>
      </c>
      <c r="G511" s="1" t="s">
        <v>1023</v>
      </c>
      <c r="H511" s="1" t="s">
        <v>1023</v>
      </c>
      <c r="I511" s="1" t="s">
        <v>1002</v>
      </c>
      <c r="J511" s="1" t="s">
        <v>1023</v>
      </c>
      <c r="K511" s="1">
        <v>510.0</v>
      </c>
      <c r="L511" s="1" t="str">
        <f t="shared" si="1"/>
        <v>Drew Stevens</v>
      </c>
      <c r="M511" s="124" t="str">
        <f>IFERROR(VLOOKUP(E511,RISK!A:B,2,FALSE()),"")</f>
        <v/>
      </c>
      <c r="N511" s="116" t="str">
        <f t="shared" si="2"/>
        <v>#N/A</v>
      </c>
      <c r="Q511" s="8"/>
      <c r="R511" s="8"/>
      <c r="S511" s="8"/>
      <c r="T511" s="8"/>
    </row>
    <row r="512" ht="14.25" customHeight="1">
      <c r="A512" s="1">
        <v>509.0</v>
      </c>
      <c r="B512" s="1">
        <v>13.0</v>
      </c>
      <c r="C512" s="1" t="s">
        <v>1016</v>
      </c>
      <c r="D512" s="1" t="s">
        <v>205</v>
      </c>
      <c r="E512" s="1" t="s">
        <v>1181</v>
      </c>
      <c r="F512" s="1">
        <v>8.0</v>
      </c>
      <c r="G512" s="1" t="s">
        <v>1023</v>
      </c>
      <c r="H512" s="1" t="s">
        <v>1023</v>
      </c>
      <c r="I512" s="1" t="s">
        <v>1007</v>
      </c>
      <c r="J512" s="1" t="s">
        <v>1023</v>
      </c>
      <c r="K512" s="1">
        <v>511.0</v>
      </c>
      <c r="L512" s="1" t="str">
        <f t="shared" si="1"/>
        <v>Justin Watson</v>
      </c>
      <c r="M512" s="124">
        <f>IFERROR(VLOOKUP(E512,RISK!A:B,2,FALSE()),"")</f>
        <v>3.7</v>
      </c>
      <c r="N512" s="116" t="str">
        <f t="shared" si="2"/>
        <v>#N/A</v>
      </c>
      <c r="Q512" s="8"/>
      <c r="R512" s="8"/>
      <c r="S512" s="8"/>
      <c r="T512" s="8"/>
    </row>
    <row r="513" ht="14.25" customHeight="1">
      <c r="A513" s="1">
        <v>510.0</v>
      </c>
      <c r="B513" s="1">
        <v>13.0</v>
      </c>
      <c r="C513" s="1" t="s">
        <v>1433</v>
      </c>
      <c r="D513" s="1" t="s">
        <v>189</v>
      </c>
      <c r="E513" s="1" t="s">
        <v>1182</v>
      </c>
      <c r="F513" s="1">
        <v>6.0</v>
      </c>
      <c r="G513" s="1" t="s">
        <v>1023</v>
      </c>
      <c r="H513" s="1" t="s">
        <v>1023</v>
      </c>
      <c r="I513" s="1" t="s">
        <v>1002</v>
      </c>
      <c r="J513" s="1" t="s">
        <v>1023</v>
      </c>
      <c r="K513" s="1">
        <v>512.0</v>
      </c>
      <c r="L513" s="1" t="str">
        <f t="shared" si="1"/>
        <v>Myles Price</v>
      </c>
      <c r="M513" s="124">
        <f>IFERROR(VLOOKUP(E513,RISK!A:B,2,FALSE()),"")</f>
        <v>3.7</v>
      </c>
      <c r="N513" s="116" t="str">
        <f t="shared" si="2"/>
        <v>#N/A</v>
      </c>
      <c r="Q513" s="8"/>
      <c r="R513" s="8"/>
      <c r="S513" s="8"/>
      <c r="T513" s="8"/>
    </row>
    <row r="514" ht="14.25" customHeight="1">
      <c r="A514" s="1">
        <v>511.0</v>
      </c>
      <c r="B514" s="1">
        <v>13.0</v>
      </c>
      <c r="C514" s="1" t="s">
        <v>1495</v>
      </c>
      <c r="D514" s="1" t="s">
        <v>94</v>
      </c>
      <c r="E514" s="1" t="s">
        <v>1274</v>
      </c>
      <c r="F514" s="1">
        <v>11.0</v>
      </c>
      <c r="G514" s="1" t="s">
        <v>1023</v>
      </c>
      <c r="H514" s="1" t="s">
        <v>1023</v>
      </c>
      <c r="I514" s="1" t="s">
        <v>1003</v>
      </c>
      <c r="J514" s="1" t="s">
        <v>1023</v>
      </c>
      <c r="K514" s="1">
        <v>513.0</v>
      </c>
      <c r="L514" s="1" t="str">
        <f t="shared" si="1"/>
        <v>Lan Larison</v>
      </c>
      <c r="M514" s="124">
        <f>IFERROR(VLOOKUP(E514,RISK!A:B,2,FALSE()),"")</f>
        <v>3.368</v>
      </c>
      <c r="N514" s="116" t="str">
        <f t="shared" si="2"/>
        <v>#N/A</v>
      </c>
      <c r="Q514" s="8"/>
      <c r="R514" s="8"/>
      <c r="S514" s="8"/>
      <c r="T514" s="8"/>
    </row>
    <row r="515" ht="14.25" customHeight="1">
      <c r="A515" s="1">
        <v>512.0</v>
      </c>
      <c r="B515" s="1">
        <v>13.0</v>
      </c>
      <c r="C515" s="1" t="s">
        <v>1416</v>
      </c>
      <c r="D515" s="1" t="s">
        <v>94</v>
      </c>
      <c r="E515" s="1" t="s">
        <v>1183</v>
      </c>
      <c r="F515" s="1">
        <v>11.0</v>
      </c>
      <c r="G515" s="1" t="s">
        <v>1023</v>
      </c>
      <c r="H515" s="1" t="s">
        <v>1023</v>
      </c>
      <c r="I515" s="1" t="s">
        <v>1003</v>
      </c>
      <c r="J515" s="1" t="s">
        <v>1023</v>
      </c>
      <c r="K515" s="1">
        <v>514.0</v>
      </c>
      <c r="L515" s="1" t="str">
        <f t="shared" si="1"/>
        <v>Efton Chism III</v>
      </c>
      <c r="M515" s="124">
        <f>IFERROR(VLOOKUP(E515,RISK!A:B,2,FALSE()),"")</f>
        <v>3.7</v>
      </c>
      <c r="N515" s="116" t="str">
        <f t="shared" si="2"/>
        <v>#N/A</v>
      </c>
      <c r="Q515" s="8"/>
      <c r="R515" s="8"/>
      <c r="S515" s="8"/>
      <c r="T515" s="8"/>
    </row>
    <row r="516" ht="14.25" customHeight="1">
      <c r="A516" s="1">
        <v>513.0</v>
      </c>
      <c r="B516" s="1">
        <v>13.0</v>
      </c>
      <c r="C516" s="1" t="s">
        <v>1063</v>
      </c>
      <c r="D516" s="1" t="s">
        <v>208</v>
      </c>
      <c r="E516" s="1" t="s">
        <v>1184</v>
      </c>
      <c r="F516" s="1">
        <v>5.0</v>
      </c>
      <c r="G516" s="1" t="s">
        <v>1023</v>
      </c>
      <c r="H516" s="1" t="s">
        <v>1023</v>
      </c>
      <c r="I516" s="1" t="s">
        <v>1003</v>
      </c>
      <c r="J516" s="1" t="s">
        <v>1023</v>
      </c>
      <c r="K516" s="1">
        <v>515.0</v>
      </c>
      <c r="L516" s="1" t="str">
        <f t="shared" si="1"/>
        <v>Brycen Tremayne</v>
      </c>
      <c r="M516" s="124">
        <f>IFERROR(VLOOKUP(E516,RISK!A:B,2,FALSE()),"")</f>
        <v>3.7</v>
      </c>
      <c r="N516" s="116" t="str">
        <f t="shared" si="2"/>
        <v>#N/A</v>
      </c>
      <c r="Q516" s="8"/>
      <c r="R516" s="8"/>
      <c r="S516" s="8"/>
      <c r="T516" s="8"/>
    </row>
    <row r="517" ht="14.25" customHeight="1">
      <c r="A517" s="1">
        <v>514.0</v>
      </c>
      <c r="B517" s="1">
        <v>13.0</v>
      </c>
      <c r="C517" s="1" t="s">
        <v>1406</v>
      </c>
      <c r="D517" s="1" t="s">
        <v>217</v>
      </c>
      <c r="E517" s="1" t="s">
        <v>1185</v>
      </c>
      <c r="F517" s="1">
        <v>14.0</v>
      </c>
      <c r="G517" s="1" t="s">
        <v>1023</v>
      </c>
      <c r="H517" s="1" t="s">
        <v>1023</v>
      </c>
      <c r="I517" s="1" t="s">
        <v>1003</v>
      </c>
      <c r="J517" s="1" t="s">
        <v>1023</v>
      </c>
      <c r="K517" s="1">
        <v>516.0</v>
      </c>
      <c r="L517" s="1" t="str">
        <f t="shared" si="1"/>
        <v>Jalen Brooks</v>
      </c>
      <c r="M517" s="124">
        <f>IFERROR(VLOOKUP(E517,RISK!A:B,2,FALSE()),"")</f>
        <v>3.7</v>
      </c>
      <c r="N517" s="116" t="str">
        <f t="shared" si="2"/>
        <v>#N/A</v>
      </c>
      <c r="Q517" s="8"/>
      <c r="R517" s="8"/>
      <c r="S517" s="8"/>
      <c r="T517" s="8"/>
    </row>
    <row r="518" ht="14.25" customHeight="1">
      <c r="A518" s="1">
        <v>515.0</v>
      </c>
      <c r="B518" s="1">
        <v>13.0</v>
      </c>
      <c r="C518" s="1" t="s">
        <v>972</v>
      </c>
      <c r="D518" s="1" t="s">
        <v>196</v>
      </c>
      <c r="E518" s="1" t="s">
        <v>1186</v>
      </c>
      <c r="F518" s="1">
        <v>6.0</v>
      </c>
      <c r="G518" s="1" t="s">
        <v>1023</v>
      </c>
      <c r="H518" s="1" t="s">
        <v>1023</v>
      </c>
      <c r="I518" s="1" t="s">
        <v>1007</v>
      </c>
      <c r="J518" s="1" t="s">
        <v>1023</v>
      </c>
      <c r="K518" s="1">
        <v>517.0</v>
      </c>
      <c r="L518" s="1" t="str">
        <f t="shared" si="1"/>
        <v>Theo Wease Jr.</v>
      </c>
      <c r="M518" s="124">
        <f>IFERROR(VLOOKUP(E518,RISK!A:B,2,FALSE()),"")</f>
        <v>3.7</v>
      </c>
      <c r="N518" s="116" t="str">
        <f t="shared" si="2"/>
        <v>#N/A</v>
      </c>
      <c r="Q518" s="8"/>
      <c r="R518" s="8"/>
      <c r="S518" s="8"/>
      <c r="T518" s="8"/>
    </row>
    <row r="519" ht="14.25" customHeight="1">
      <c r="A519" s="1">
        <v>516.0</v>
      </c>
      <c r="B519" s="1">
        <v>13.0</v>
      </c>
      <c r="C519" s="1" t="s">
        <v>1116</v>
      </c>
      <c r="D519" s="1" t="s">
        <v>196</v>
      </c>
      <c r="E519" s="1" t="s">
        <v>1189</v>
      </c>
      <c r="F519" s="1">
        <v>6.0</v>
      </c>
      <c r="G519" s="1" t="s">
        <v>1023</v>
      </c>
      <c r="H519" s="1" t="s">
        <v>1023</v>
      </c>
      <c r="I519" s="1" t="s">
        <v>1007</v>
      </c>
      <c r="J519" s="1" t="s">
        <v>1023</v>
      </c>
      <c r="K519" s="1">
        <v>518.0</v>
      </c>
      <c r="L519" s="1" t="str">
        <f t="shared" si="1"/>
        <v>Jalen Reagor</v>
      </c>
      <c r="M519" s="124">
        <f>IFERROR(VLOOKUP(E519,RISK!A:B,2,FALSE()),"")</f>
        <v>3.7</v>
      </c>
      <c r="N519" s="116" t="str">
        <f t="shared" si="2"/>
        <v>#N/A</v>
      </c>
      <c r="Q519" s="8"/>
      <c r="R519" s="8"/>
      <c r="S519" s="8"/>
      <c r="T519" s="8"/>
    </row>
    <row r="520" ht="14.25" customHeight="1">
      <c r="A520" s="1">
        <v>517.0</v>
      </c>
      <c r="B520" s="1">
        <v>13.0</v>
      </c>
      <c r="C520" s="1" t="s">
        <v>717</v>
      </c>
      <c r="D520" s="1" t="s">
        <v>186</v>
      </c>
      <c r="E520" s="1" t="s">
        <v>1275</v>
      </c>
      <c r="F520" s="1">
        <v>10.0</v>
      </c>
      <c r="G520" s="1" t="s">
        <v>1023</v>
      </c>
      <c r="H520" s="1" t="s">
        <v>1023</v>
      </c>
      <c r="I520" s="1" t="s">
        <v>1003</v>
      </c>
      <c r="J520" s="1" t="s">
        <v>1023</v>
      </c>
      <c r="K520" s="1">
        <v>519.0</v>
      </c>
      <c r="L520" s="1" t="str">
        <f t="shared" si="1"/>
        <v>Josh Williams</v>
      </c>
      <c r="M520" s="124">
        <f>IFERROR(VLOOKUP(E520,RISK!A:B,2,FALSE()),"")</f>
        <v>3.368</v>
      </c>
      <c r="N520" s="116" t="str">
        <f t="shared" si="2"/>
        <v>#N/A</v>
      </c>
      <c r="Q520" s="8"/>
      <c r="R520" s="8"/>
      <c r="S520" s="8"/>
      <c r="T520" s="8"/>
    </row>
    <row r="521" ht="14.25" customHeight="1">
      <c r="A521" s="1">
        <v>518.0</v>
      </c>
      <c r="B521" s="1">
        <v>13.0</v>
      </c>
      <c r="C521" s="1" t="s">
        <v>1496</v>
      </c>
      <c r="D521" s="1" t="s">
        <v>170</v>
      </c>
      <c r="E521" s="1" t="s">
        <v>1190</v>
      </c>
      <c r="F521" s="1">
        <v>10.0</v>
      </c>
      <c r="G521" s="1" t="s">
        <v>1023</v>
      </c>
      <c r="H521" s="1" t="s">
        <v>1023</v>
      </c>
      <c r="I521" s="1" t="s">
        <v>1003</v>
      </c>
      <c r="J521" s="1" t="s">
        <v>1023</v>
      </c>
      <c r="K521" s="1">
        <v>520.0</v>
      </c>
      <c r="L521" s="1" t="str">
        <f t="shared" si="1"/>
        <v>Michael Woods II</v>
      </c>
      <c r="M521" s="124">
        <f>IFERROR(VLOOKUP(E521,RISK!A:B,2,FALSE()),"")</f>
        <v>3.7</v>
      </c>
      <c r="N521" s="116" t="str">
        <f t="shared" si="2"/>
        <v>#N/A</v>
      </c>
      <c r="Q521" s="8"/>
      <c r="R521" s="8"/>
      <c r="S521" s="8"/>
      <c r="T521" s="8"/>
    </row>
    <row r="522" ht="14.25" customHeight="1">
      <c r="A522" s="1">
        <v>519.0</v>
      </c>
      <c r="B522" s="1">
        <v>13.0</v>
      </c>
      <c r="C522" s="1" t="s">
        <v>1497</v>
      </c>
      <c r="D522" s="1" t="s">
        <v>229</v>
      </c>
      <c r="E522" s="1" t="s">
        <v>1191</v>
      </c>
      <c r="F522" s="1">
        <v>11.0</v>
      </c>
      <c r="G522" s="1" t="s">
        <v>1023</v>
      </c>
      <c r="H522" s="1" t="s">
        <v>1023</v>
      </c>
      <c r="I522" s="1" t="s">
        <v>1007</v>
      </c>
      <c r="J522" s="1" t="s">
        <v>1023</v>
      </c>
      <c r="K522" s="1">
        <v>521.0</v>
      </c>
      <c r="L522" s="1" t="str">
        <f t="shared" si="1"/>
        <v>Chris Blair</v>
      </c>
      <c r="M522" s="124">
        <f>IFERROR(VLOOKUP(E522,RISK!A:B,2,FALSE()),"")</f>
        <v>3.7</v>
      </c>
      <c r="N522" s="116" t="str">
        <f t="shared" si="2"/>
        <v>#N/A</v>
      </c>
      <c r="Q522" s="8"/>
      <c r="R522" s="8"/>
      <c r="S522" s="8"/>
      <c r="T522" s="8"/>
    </row>
    <row r="523" ht="14.25" customHeight="1">
      <c r="A523" s="1">
        <v>520.0</v>
      </c>
      <c r="B523" s="1">
        <v>13.0</v>
      </c>
      <c r="C523" s="1" t="s">
        <v>1498</v>
      </c>
      <c r="D523" s="1" t="s">
        <v>61</v>
      </c>
      <c r="E523" s="1" t="s">
        <v>1192</v>
      </c>
      <c r="F523" s="1">
        <v>13.0</v>
      </c>
      <c r="G523" s="1" t="s">
        <v>1023</v>
      </c>
      <c r="H523" s="1" t="s">
        <v>1023</v>
      </c>
      <c r="I523" s="1" t="s">
        <v>1004</v>
      </c>
      <c r="J523" s="1" t="s">
        <v>1023</v>
      </c>
      <c r="K523" s="1">
        <v>522.0</v>
      </c>
      <c r="L523" s="1" t="str">
        <f t="shared" si="1"/>
        <v>DeAndre Hopkins</v>
      </c>
      <c r="M523" s="124">
        <f>IFERROR(VLOOKUP(E523,RISK!A:B,2,FALSE()),"")</f>
        <v>3.7</v>
      </c>
      <c r="N523" s="116" t="str">
        <f t="shared" si="2"/>
        <v>#N/A</v>
      </c>
      <c r="Q523" s="8"/>
      <c r="R523" s="8"/>
      <c r="S523" s="8"/>
      <c r="T523" s="8"/>
    </row>
    <row r="524" ht="14.25" customHeight="1">
      <c r="A524" s="1">
        <v>521.0</v>
      </c>
      <c r="B524" s="1">
        <v>13.0</v>
      </c>
      <c r="C524" s="1" t="s">
        <v>1499</v>
      </c>
      <c r="D524" s="1" t="s">
        <v>222</v>
      </c>
      <c r="E524" s="1" t="s">
        <v>1193</v>
      </c>
      <c r="F524" s="1">
        <v>13.0</v>
      </c>
      <c r="G524" s="1" t="s">
        <v>1023</v>
      </c>
      <c r="H524" s="1" t="s">
        <v>1023</v>
      </c>
      <c r="I524" s="1" t="s">
        <v>1003</v>
      </c>
      <c r="J524" s="1" t="s">
        <v>1023</v>
      </c>
      <c r="K524" s="1">
        <v>523.0</v>
      </c>
      <c r="L524" s="1" t="str">
        <f t="shared" si="1"/>
        <v>Tyler Lockett</v>
      </c>
      <c r="M524" s="124">
        <f>IFERROR(VLOOKUP(E524,RISK!A:B,2,FALSE()),"")</f>
        <v>3.7</v>
      </c>
      <c r="N524" s="116" t="str">
        <f t="shared" si="2"/>
        <v>#N/A</v>
      </c>
      <c r="Q524" s="8"/>
      <c r="R524" s="8"/>
      <c r="S524" s="8"/>
      <c r="T524" s="8"/>
    </row>
    <row r="525" ht="14.25" customHeight="1">
      <c r="A525" s="1">
        <v>522.0</v>
      </c>
      <c r="B525" s="1">
        <v>13.0</v>
      </c>
      <c r="C525" s="1" t="s">
        <v>1500</v>
      </c>
      <c r="D525" s="1" t="s">
        <v>186</v>
      </c>
      <c r="E525" s="1" t="s">
        <v>1194</v>
      </c>
      <c r="F525" s="1">
        <v>10.0</v>
      </c>
      <c r="G525" s="1" t="s">
        <v>1023</v>
      </c>
      <c r="H525" s="1" t="s">
        <v>1023</v>
      </c>
      <c r="I525" s="1" t="s">
        <v>1004</v>
      </c>
      <c r="J525" s="1" t="s">
        <v>1023</v>
      </c>
      <c r="K525" s="1">
        <v>524.0</v>
      </c>
      <c r="L525" s="1" t="str">
        <f t="shared" si="1"/>
        <v>David Sills V</v>
      </c>
      <c r="M525" s="124">
        <f>IFERROR(VLOOKUP(E525,RISK!A:B,2,FALSE()),"")</f>
        <v>3.7</v>
      </c>
      <c r="N525" s="116" t="str">
        <f t="shared" si="2"/>
        <v>#N/A</v>
      </c>
      <c r="Q525" s="8"/>
      <c r="R525" s="8"/>
      <c r="S525" s="8"/>
      <c r="T525" s="8"/>
    </row>
    <row r="526" ht="14.25" customHeight="1">
      <c r="A526" s="1">
        <v>523.0</v>
      </c>
      <c r="B526" s="1">
        <v>13.0</v>
      </c>
      <c r="C526" s="1" t="s">
        <v>309</v>
      </c>
      <c r="D526" s="1" t="s">
        <v>202</v>
      </c>
      <c r="E526" s="1" t="s">
        <v>1228</v>
      </c>
      <c r="F526" s="1">
        <v>11.0</v>
      </c>
      <c r="G526" s="1" t="s">
        <v>1023</v>
      </c>
      <c r="H526" s="1" t="s">
        <v>1023</v>
      </c>
      <c r="I526" s="1" t="s">
        <v>1004</v>
      </c>
      <c r="J526" s="1" t="s">
        <v>1023</v>
      </c>
      <c r="K526" s="1">
        <v>525.0</v>
      </c>
      <c r="L526" s="1" t="str">
        <f t="shared" si="1"/>
        <v>Jalen Milroe</v>
      </c>
      <c r="M526" s="124">
        <f>IFERROR(VLOOKUP(E526,RISK!A:B,2,FALSE()),"")</f>
        <v>3.2</v>
      </c>
      <c r="N526" s="116" t="str">
        <f t="shared" si="2"/>
        <v>#N/A</v>
      </c>
      <c r="Q526" s="8"/>
      <c r="R526" s="8"/>
      <c r="S526" s="8"/>
      <c r="T526" s="8"/>
    </row>
    <row r="527" ht="14.25" customHeight="1">
      <c r="A527" s="1">
        <v>524.0</v>
      </c>
      <c r="B527" s="1">
        <v>13.0</v>
      </c>
      <c r="C527" s="1" t="s">
        <v>262</v>
      </c>
      <c r="D527" s="1" t="s">
        <v>205</v>
      </c>
      <c r="E527" s="1" t="s">
        <v>1229</v>
      </c>
      <c r="F527" s="1">
        <v>8.0</v>
      </c>
      <c r="G527" s="1" t="s">
        <v>1023</v>
      </c>
      <c r="H527" s="1" t="s">
        <v>1023</v>
      </c>
      <c r="I527" s="1" t="s">
        <v>1004</v>
      </c>
      <c r="J527" s="1" t="s">
        <v>1023</v>
      </c>
      <c r="K527" s="1">
        <v>526.0</v>
      </c>
      <c r="L527" s="1" t="str">
        <f t="shared" si="1"/>
        <v>Davis Mills</v>
      </c>
      <c r="M527" s="124">
        <f>IFERROR(VLOOKUP(E527,RISK!A:B,2,FALSE()),"")</f>
        <v>3.2</v>
      </c>
      <c r="N527" s="116" t="str">
        <f t="shared" si="2"/>
        <v>#N/A</v>
      </c>
      <c r="Q527" s="8"/>
      <c r="R527" s="8"/>
      <c r="S527" s="8"/>
      <c r="T527" s="8"/>
    </row>
    <row r="528" ht="14.25" customHeight="1">
      <c r="A528" s="1">
        <v>525.0</v>
      </c>
      <c r="B528" s="1">
        <v>13.0</v>
      </c>
      <c r="C528" s="1" t="s">
        <v>1412</v>
      </c>
      <c r="D528" s="1" t="s">
        <v>189</v>
      </c>
      <c r="E528" s="1" t="s">
        <v>1197</v>
      </c>
      <c r="F528" s="1">
        <v>6.0</v>
      </c>
      <c r="G528" s="1" t="s">
        <v>1023</v>
      </c>
      <c r="H528" s="1" t="s">
        <v>1023</v>
      </c>
      <c r="I528" s="1" t="s">
        <v>1002</v>
      </c>
      <c r="J528" s="1">
        <v>-195.0</v>
      </c>
      <c r="K528" s="1">
        <v>527.0</v>
      </c>
      <c r="L528" s="1" t="str">
        <f t="shared" si="1"/>
        <v>Jeshaun Jones</v>
      </c>
      <c r="M528" s="124">
        <f>IFERROR(VLOOKUP(E528,RISK!A:B,2,FALSE()),"")</f>
        <v>3.7</v>
      </c>
      <c r="N528" s="116" t="str">
        <f t="shared" si="2"/>
        <v>#N/A</v>
      </c>
      <c r="Q528" s="8"/>
      <c r="R528" s="8"/>
      <c r="S528" s="8"/>
      <c r="T528" s="8"/>
    </row>
    <row r="529" ht="14.25" customHeight="1">
      <c r="A529" s="1">
        <v>526.0</v>
      </c>
      <c r="B529" s="1">
        <v>13.0</v>
      </c>
      <c r="C529" s="1" t="s">
        <v>254</v>
      </c>
      <c r="D529" s="1" t="s">
        <v>159</v>
      </c>
      <c r="E529" s="1" t="s">
        <v>1232</v>
      </c>
      <c r="F529" s="1">
        <v>10.0</v>
      </c>
      <c r="G529" s="1" t="s">
        <v>1023</v>
      </c>
      <c r="H529" s="1" t="s">
        <v>1023</v>
      </c>
      <c r="I529" s="1" t="s">
        <v>1007</v>
      </c>
      <c r="J529" s="1" t="s">
        <v>1023</v>
      </c>
      <c r="K529" s="1">
        <v>528.0</v>
      </c>
      <c r="L529" s="1" t="str">
        <f t="shared" si="1"/>
        <v>Tyson Bagent</v>
      </c>
      <c r="M529" s="124">
        <f>IFERROR(VLOOKUP(E529,RISK!A:B,2,FALSE()),"")</f>
        <v>3.2</v>
      </c>
      <c r="N529" s="116" t="str">
        <f t="shared" si="2"/>
        <v>#N/A</v>
      </c>
      <c r="Q529" s="8"/>
      <c r="R529" s="8"/>
      <c r="S529" s="8"/>
      <c r="T529" s="8"/>
    </row>
    <row r="530" ht="14.25" customHeight="1">
      <c r="A530" s="1">
        <v>527.0</v>
      </c>
      <c r="B530" s="1">
        <v>13.0</v>
      </c>
      <c r="C530" s="1" t="s">
        <v>273</v>
      </c>
      <c r="D530" s="1" t="s">
        <v>164</v>
      </c>
      <c r="E530" s="1" t="s">
        <v>1233</v>
      </c>
      <c r="F530" s="1">
        <v>7.0</v>
      </c>
      <c r="G530" s="1" t="s">
        <v>1023</v>
      </c>
      <c r="H530" s="1" t="s">
        <v>1023</v>
      </c>
      <c r="I530" s="1" t="s">
        <v>1003</v>
      </c>
      <c r="J530" s="1" t="s">
        <v>1023</v>
      </c>
      <c r="K530" s="1">
        <v>529.0</v>
      </c>
      <c r="L530" s="1" t="str">
        <f t="shared" si="1"/>
        <v>Trey Lance</v>
      </c>
      <c r="M530" s="124">
        <f>IFERROR(VLOOKUP(E530,RISK!A:B,2,FALSE()),"")</f>
        <v>3.2</v>
      </c>
      <c r="N530" s="116" t="str">
        <f t="shared" si="2"/>
        <v>#N/A</v>
      </c>
      <c r="Q530" s="8"/>
      <c r="R530" s="8"/>
      <c r="S530" s="8"/>
      <c r="T530" s="8"/>
    </row>
    <row r="531" ht="14.25" customHeight="1">
      <c r="A531" s="1">
        <v>528.0</v>
      </c>
      <c r="B531" s="1">
        <v>13.0</v>
      </c>
      <c r="C531" s="1" t="s">
        <v>687</v>
      </c>
      <c r="D531" s="1" t="s">
        <v>210</v>
      </c>
      <c r="E531" s="1" t="s">
        <v>1276</v>
      </c>
      <c r="F531" s="1">
        <v>13.0</v>
      </c>
      <c r="G531" s="1" t="s">
        <v>1023</v>
      </c>
      <c r="H531" s="1" t="s">
        <v>1023</v>
      </c>
      <c r="I531" s="1" t="s">
        <v>1007</v>
      </c>
      <c r="J531" s="1" t="s">
        <v>1023</v>
      </c>
      <c r="K531" s="1">
        <v>530.0</v>
      </c>
      <c r="L531" s="1" t="str">
        <f t="shared" si="1"/>
        <v>Kene Nwangwu</v>
      </c>
      <c r="M531" s="124">
        <f>IFERROR(VLOOKUP(E531,RISK!A:B,2,FALSE()),"")</f>
        <v>3.368</v>
      </c>
      <c r="N531" s="116" t="str">
        <f t="shared" si="2"/>
        <v>#N/A</v>
      </c>
      <c r="Q531" s="8"/>
      <c r="R531" s="8"/>
      <c r="S531" s="8"/>
      <c r="T531" s="8"/>
    </row>
    <row r="532" ht="14.25" customHeight="1">
      <c r="A532" s="1">
        <v>529.0</v>
      </c>
      <c r="B532" s="1">
        <v>13.0</v>
      </c>
      <c r="C532" s="1" t="s">
        <v>978</v>
      </c>
      <c r="D532" s="1" t="s">
        <v>210</v>
      </c>
      <c r="E532" s="1" t="s">
        <v>1198</v>
      </c>
      <c r="F532" s="1">
        <v>13.0</v>
      </c>
      <c r="G532" s="1" t="s">
        <v>1023</v>
      </c>
      <c r="H532" s="1" t="s">
        <v>1023</v>
      </c>
      <c r="I532" s="1" t="s">
        <v>1004</v>
      </c>
      <c r="J532" s="1" t="s">
        <v>1023</v>
      </c>
      <c r="K532" s="1">
        <v>531.0</v>
      </c>
      <c r="L532" s="1" t="str">
        <f t="shared" si="1"/>
        <v>Isaiah Williams</v>
      </c>
      <c r="M532" s="124">
        <f>IFERROR(VLOOKUP(E532,RISK!A:B,2,FALSE()),"")</f>
        <v>3.7</v>
      </c>
      <c r="N532" s="116" t="str">
        <f t="shared" si="2"/>
        <v>#N/A</v>
      </c>
      <c r="Q532" s="8"/>
      <c r="R532" s="8"/>
      <c r="S532" s="8"/>
      <c r="T532" s="8"/>
    </row>
    <row r="533" ht="14.25" customHeight="1">
      <c r="A533" s="1">
        <v>530.0</v>
      </c>
      <c r="B533" s="1">
        <v>13.0</v>
      </c>
      <c r="C533" s="1" t="s">
        <v>256</v>
      </c>
      <c r="D533" s="1" t="s">
        <v>214</v>
      </c>
      <c r="E533" s="1" t="s">
        <v>1234</v>
      </c>
      <c r="F533" s="1">
        <v>9.0</v>
      </c>
      <c r="G533" s="1" t="s">
        <v>1023</v>
      </c>
      <c r="H533" s="1" t="s">
        <v>1023</v>
      </c>
      <c r="I533" s="1" t="s">
        <v>1007</v>
      </c>
      <c r="J533" s="1" t="s">
        <v>1023</v>
      </c>
      <c r="K533" s="1">
        <v>532.0</v>
      </c>
      <c r="L533" s="1" t="str">
        <f t="shared" si="1"/>
        <v>Will Levis</v>
      </c>
      <c r="M533" s="124">
        <f>IFERROR(VLOOKUP(E533,RISK!A:B,2,FALSE()),"")</f>
        <v>3.2</v>
      </c>
      <c r="N533" s="116" t="str">
        <f t="shared" si="2"/>
        <v>#N/A</v>
      </c>
      <c r="Q533" s="8"/>
      <c r="R533" s="8"/>
      <c r="S533" s="8"/>
      <c r="T533" s="8"/>
    </row>
    <row r="534" ht="14.25" customHeight="1">
      <c r="A534" s="1">
        <v>531.0</v>
      </c>
      <c r="B534" s="1">
        <v>13.0</v>
      </c>
      <c r="C534" s="1" t="s">
        <v>1501</v>
      </c>
      <c r="D534" s="1" t="s">
        <v>1383</v>
      </c>
      <c r="E534" s="1" t="s">
        <v>1277</v>
      </c>
      <c r="F534" s="1" t="s">
        <v>1023</v>
      </c>
      <c r="G534" s="1" t="s">
        <v>1023</v>
      </c>
      <c r="H534" s="1" t="s">
        <v>1023</v>
      </c>
      <c r="I534" s="1" t="s">
        <v>1023</v>
      </c>
      <c r="J534" s="1" t="s">
        <v>1023</v>
      </c>
      <c r="K534" s="1">
        <v>533.0</v>
      </c>
      <c r="L534" s="1" t="str">
        <f t="shared" si="1"/>
        <v>Miles Sanders</v>
      </c>
      <c r="M534" s="124">
        <f>IFERROR(VLOOKUP(E534,RISK!A:B,2,FALSE()),"")</f>
        <v>3.368</v>
      </c>
      <c r="N534" s="116" t="str">
        <f t="shared" si="2"/>
        <v>#N/A</v>
      </c>
      <c r="Q534" s="8"/>
      <c r="R534" s="8"/>
      <c r="S534" s="8"/>
      <c r="T534" s="8"/>
    </row>
    <row r="535" ht="14.25" customHeight="1">
      <c r="A535" s="1">
        <v>532.0</v>
      </c>
      <c r="B535" s="1">
        <v>13.0</v>
      </c>
      <c r="C535" s="1" t="s">
        <v>1349</v>
      </c>
      <c r="D535" s="1" t="s">
        <v>150</v>
      </c>
      <c r="E535" s="1" t="s">
        <v>800</v>
      </c>
      <c r="F535" s="1">
        <v>14.0</v>
      </c>
      <c r="G535" s="1" t="s">
        <v>1023</v>
      </c>
      <c r="H535" s="1" t="s">
        <v>1023</v>
      </c>
      <c r="I535" s="1" t="s">
        <v>1003</v>
      </c>
      <c r="J535" s="1" t="s">
        <v>1023</v>
      </c>
      <c r="K535" s="1">
        <v>534.0</v>
      </c>
      <c r="L535" s="1" t="str">
        <f t="shared" si="1"/>
        <v>Michael Trigg</v>
      </c>
      <c r="M535" s="124">
        <f>IFERROR(VLOOKUP(E535,RISK!A:B,2,FALSE()),"")</f>
        <v>2.2775</v>
      </c>
      <c r="N535" s="116" t="str">
        <f t="shared" si="2"/>
        <v>#N/A</v>
      </c>
      <c r="Q535" s="8"/>
      <c r="R535" s="8"/>
      <c r="S535" s="8"/>
      <c r="T535" s="8"/>
    </row>
    <row r="536" ht="14.25" customHeight="1">
      <c r="A536" s="1">
        <v>533.0</v>
      </c>
      <c r="B536" s="1">
        <v>13.0</v>
      </c>
      <c r="C536" s="1" t="s">
        <v>1502</v>
      </c>
      <c r="D536" s="1" t="s">
        <v>182</v>
      </c>
      <c r="E536" s="1" t="s">
        <v>810</v>
      </c>
      <c r="F536" s="1">
        <v>8.0</v>
      </c>
      <c r="G536" s="1" t="s">
        <v>1023</v>
      </c>
      <c r="H536" s="1" t="s">
        <v>1023</v>
      </c>
      <c r="I536" s="1" t="s">
        <v>1003</v>
      </c>
      <c r="J536" s="1" t="s">
        <v>1023</v>
      </c>
      <c r="K536" s="1">
        <v>535.0</v>
      </c>
      <c r="L536" s="1" t="str">
        <f t="shared" si="1"/>
        <v>Moliki Matavao</v>
      </c>
      <c r="M536" s="124">
        <f>IFERROR(VLOOKUP(E536,RISK!A:B,2,FALSE()),"")</f>
        <v>2.2775</v>
      </c>
      <c r="N536" s="116" t="str">
        <f t="shared" si="2"/>
        <v>#N/A</v>
      </c>
      <c r="Q536" s="8"/>
      <c r="R536" s="8"/>
      <c r="S536" s="8"/>
      <c r="T536" s="8"/>
    </row>
    <row r="537" ht="14.25" customHeight="1">
      <c r="A537" s="1">
        <v>534.0</v>
      </c>
      <c r="B537" s="1">
        <v>13.0</v>
      </c>
      <c r="C537" s="1" t="s">
        <v>1347</v>
      </c>
      <c r="D537" s="1" t="s">
        <v>205</v>
      </c>
      <c r="E537" s="1" t="s">
        <v>1278</v>
      </c>
      <c r="F537" s="1">
        <v>8.0</v>
      </c>
      <c r="G537" s="1" t="s">
        <v>1023</v>
      </c>
      <c r="H537" s="1" t="s">
        <v>1023</v>
      </c>
      <c r="I537" s="1" t="s">
        <v>1004</v>
      </c>
      <c r="J537" s="1" t="s">
        <v>1023</v>
      </c>
      <c r="K537" s="1">
        <v>536.0</v>
      </c>
      <c r="L537" s="1" t="str">
        <f t="shared" si="1"/>
        <v>Noah Whittington</v>
      </c>
      <c r="M537" s="124">
        <f>IFERROR(VLOOKUP(E537,RISK!A:B,2,FALSE()),"")</f>
        <v>3.368</v>
      </c>
      <c r="N537" s="116" t="str">
        <f t="shared" si="2"/>
        <v>#N/A</v>
      </c>
      <c r="Q537" s="8"/>
      <c r="R537" s="8"/>
      <c r="S537" s="8"/>
      <c r="T537" s="8"/>
    </row>
    <row r="538" ht="14.25" customHeight="1">
      <c r="A538" s="1">
        <v>535.0</v>
      </c>
      <c r="B538" s="1">
        <v>13.0</v>
      </c>
      <c r="C538" s="1" t="s">
        <v>876</v>
      </c>
      <c r="D538" s="1" t="s">
        <v>127</v>
      </c>
      <c r="E538" s="1" t="s">
        <v>821</v>
      </c>
      <c r="F538" s="1">
        <v>6.0</v>
      </c>
      <c r="G538" s="1" t="s">
        <v>1023</v>
      </c>
      <c r="H538" s="1" t="s">
        <v>1023</v>
      </c>
      <c r="I538" s="1" t="s">
        <v>1007</v>
      </c>
      <c r="J538" s="1" t="s">
        <v>1023</v>
      </c>
      <c r="K538" s="1">
        <v>537.0</v>
      </c>
      <c r="L538" s="1" t="str">
        <f t="shared" si="1"/>
        <v>Jack Endries</v>
      </c>
      <c r="M538" s="124">
        <f>IFERROR(VLOOKUP(E538,RISK!A:B,2,FALSE()),"")</f>
        <v>2.2775</v>
      </c>
      <c r="N538" s="116" t="str">
        <f t="shared" si="2"/>
        <v>#N/A</v>
      </c>
      <c r="Q538" s="8"/>
      <c r="R538" s="8"/>
      <c r="S538" s="8"/>
      <c r="T538" s="8"/>
    </row>
    <row r="539" ht="14.25" customHeight="1">
      <c r="A539" s="1">
        <v>536.0</v>
      </c>
      <c r="B539" s="1">
        <v>13.0</v>
      </c>
      <c r="C539" s="1" t="s">
        <v>1503</v>
      </c>
      <c r="D539" s="1" t="s">
        <v>1383</v>
      </c>
      <c r="E539" s="1" t="s">
        <v>832</v>
      </c>
      <c r="F539" s="1" t="s">
        <v>1023</v>
      </c>
      <c r="G539" s="1" t="s">
        <v>1023</v>
      </c>
      <c r="H539" s="1" t="s">
        <v>1023</v>
      </c>
      <c r="I539" s="1" t="s">
        <v>1023</v>
      </c>
      <c r="J539" s="1" t="s">
        <v>1023</v>
      </c>
      <c r="K539" s="1">
        <v>538.0</v>
      </c>
      <c r="L539" s="1" t="str">
        <f t="shared" si="1"/>
        <v>Miles Kitselman</v>
      </c>
      <c r="M539" s="124">
        <f>IFERROR(VLOOKUP(E539,RISK!A:B,2,FALSE()),"")</f>
        <v>2.2775</v>
      </c>
      <c r="N539" s="116" t="str">
        <f t="shared" si="2"/>
        <v>#N/A</v>
      </c>
      <c r="Q539" s="8"/>
      <c r="R539" s="8"/>
      <c r="S539" s="8"/>
      <c r="T539" s="8"/>
    </row>
    <row r="540" ht="14.25" customHeight="1">
      <c r="A540" s="1">
        <v>537.0</v>
      </c>
      <c r="B540" s="1">
        <v>13.0</v>
      </c>
      <c r="C540" s="1" t="s">
        <v>1504</v>
      </c>
      <c r="D540" s="1" t="s">
        <v>196</v>
      </c>
      <c r="E540" s="1" t="s">
        <v>1279</v>
      </c>
      <c r="F540" s="1">
        <v>6.0</v>
      </c>
      <c r="G540" s="1" t="s">
        <v>1023</v>
      </c>
      <c r="H540" s="1" t="s">
        <v>1023</v>
      </c>
      <c r="I540" s="1" t="s">
        <v>1007</v>
      </c>
      <c r="J540" s="1" t="s">
        <v>1023</v>
      </c>
      <c r="K540" s="1">
        <v>539.0</v>
      </c>
      <c r="L540" s="1" t="str">
        <f t="shared" si="1"/>
        <v>Donovan Edwards</v>
      </c>
      <c r="M540" s="124">
        <f>IFERROR(VLOOKUP(E540,RISK!A:B,2,FALSE()),"")</f>
        <v>3.368</v>
      </c>
      <c r="N540" s="116" t="str">
        <f t="shared" si="2"/>
        <v>#N/A</v>
      </c>
      <c r="Q540" s="8"/>
      <c r="R540" s="8"/>
      <c r="S540" s="8"/>
      <c r="T540" s="8"/>
    </row>
    <row r="541" ht="14.25" customHeight="1">
      <c r="A541" s="1">
        <v>538.0</v>
      </c>
      <c r="B541" s="1">
        <v>13.0</v>
      </c>
      <c r="C541" s="1" t="s">
        <v>1505</v>
      </c>
      <c r="D541" s="1" t="s">
        <v>1383</v>
      </c>
      <c r="E541" s="1" t="s">
        <v>842</v>
      </c>
      <c r="F541" s="1" t="s">
        <v>1023</v>
      </c>
      <c r="G541" s="1" t="s">
        <v>1023</v>
      </c>
      <c r="H541" s="1" t="s">
        <v>1023</v>
      </c>
      <c r="I541" s="1" t="s">
        <v>1023</v>
      </c>
      <c r="J541" s="1" t="s">
        <v>1023</v>
      </c>
      <c r="K541" s="1">
        <v>540.0</v>
      </c>
      <c r="L541" s="1" t="str">
        <f t="shared" si="1"/>
        <v>Will Dissly</v>
      </c>
      <c r="M541" s="124">
        <f>IFERROR(VLOOKUP(E541,RISK!A:B,2,FALSE()),"")</f>
        <v>2.2775</v>
      </c>
      <c r="N541" s="116" t="str">
        <f t="shared" si="2"/>
        <v>#N/A</v>
      </c>
      <c r="Q541" s="8"/>
      <c r="R541" s="8"/>
      <c r="S541" s="8"/>
      <c r="T541" s="8"/>
    </row>
    <row r="542" ht="14.25" customHeight="1">
      <c r="A542" s="1">
        <v>539.0</v>
      </c>
      <c r="B542" s="1">
        <v>13.0</v>
      </c>
      <c r="C542" s="1" t="s">
        <v>1337</v>
      </c>
      <c r="D542" s="1" t="s">
        <v>155</v>
      </c>
      <c r="E542" s="1" t="s">
        <v>1280</v>
      </c>
      <c r="F542" s="1">
        <v>5.0</v>
      </c>
      <c r="G542" s="1" t="s">
        <v>1023</v>
      </c>
      <c r="H542" s="1" t="s">
        <v>1023</v>
      </c>
      <c r="I542" s="1" t="s">
        <v>1007</v>
      </c>
      <c r="J542" s="1" t="s">
        <v>1023</v>
      </c>
      <c r="K542" s="1">
        <v>541.0</v>
      </c>
      <c r="L542" s="1" t="str">
        <f t="shared" si="1"/>
        <v>Jaydn Ott</v>
      </c>
      <c r="M542" s="124">
        <f>IFERROR(VLOOKUP(E542,RISK!A:B,2,FALSE()),"")</f>
        <v>3.368</v>
      </c>
      <c r="N542" s="116" t="str">
        <f t="shared" si="2"/>
        <v>#N/A</v>
      </c>
      <c r="Q542" s="8"/>
      <c r="R542" s="8"/>
      <c r="S542" s="8"/>
      <c r="T542" s="8"/>
    </row>
    <row r="543" ht="14.25" customHeight="1">
      <c r="A543" s="1">
        <v>540.0</v>
      </c>
      <c r="B543" s="1">
        <v>13.0</v>
      </c>
      <c r="C543" s="1" t="s">
        <v>1506</v>
      </c>
      <c r="D543" s="1" t="s">
        <v>140</v>
      </c>
      <c r="E543" s="1" t="s">
        <v>853</v>
      </c>
      <c r="F543" s="1">
        <v>8.0</v>
      </c>
      <c r="G543" s="1" t="s">
        <v>1023</v>
      </c>
      <c r="H543" s="1" t="s">
        <v>1023</v>
      </c>
      <c r="I543" s="1" t="s">
        <v>1007</v>
      </c>
      <c r="J543" s="1" t="s">
        <v>1023</v>
      </c>
      <c r="K543" s="1">
        <v>542.0</v>
      </c>
      <c r="L543" s="1" t="str">
        <f t="shared" si="1"/>
        <v>Khalil Dinkins</v>
      </c>
      <c r="M543" s="124">
        <f>IFERROR(VLOOKUP(E543,RISK!A:B,2,FALSE()),"")</f>
        <v>2.2775</v>
      </c>
      <c r="N543" s="116" t="str">
        <f t="shared" si="2"/>
        <v>#N/A</v>
      </c>
      <c r="Q543" s="8"/>
      <c r="R543" s="8"/>
      <c r="S543" s="8"/>
      <c r="T543" s="8"/>
    </row>
    <row r="544" ht="14.25" customHeight="1">
      <c r="A544" s="1">
        <v>541.0</v>
      </c>
      <c r="B544" s="1">
        <v>13.0</v>
      </c>
      <c r="C544" s="1" t="s">
        <v>1507</v>
      </c>
      <c r="D544" s="1" t="s">
        <v>1383</v>
      </c>
      <c r="E544" s="1" t="s">
        <v>1281</v>
      </c>
      <c r="F544" s="1" t="s">
        <v>1023</v>
      </c>
      <c r="G544" s="1" t="s">
        <v>1023</v>
      </c>
      <c r="H544" s="1" t="s">
        <v>1023</v>
      </c>
      <c r="I544" s="1" t="s">
        <v>1023</v>
      </c>
      <c r="J544" s="1" t="s">
        <v>1023</v>
      </c>
      <c r="K544" s="1">
        <v>543.0</v>
      </c>
      <c r="L544" s="1" t="str">
        <f t="shared" si="1"/>
        <v>Myles Montgomery</v>
      </c>
      <c r="M544" s="124">
        <f>IFERROR(VLOOKUP(E544,RISK!A:B,2,FALSE()),"")</f>
        <v>3.368</v>
      </c>
      <c r="N544" s="116" t="str">
        <f t="shared" si="2"/>
        <v>#N/A</v>
      </c>
      <c r="Q544" s="8"/>
      <c r="R544" s="8"/>
      <c r="S544" s="8"/>
      <c r="T544" s="8"/>
    </row>
    <row r="545" ht="14.25" customHeight="1">
      <c r="A545" s="1">
        <v>542.0</v>
      </c>
      <c r="B545" s="1">
        <v>13.0</v>
      </c>
      <c r="C545" s="1" t="s">
        <v>1508</v>
      </c>
      <c r="D545" s="1" t="s">
        <v>1383</v>
      </c>
      <c r="E545" s="1" t="s">
        <v>1282</v>
      </c>
      <c r="F545" s="1" t="s">
        <v>1023</v>
      </c>
      <c r="G545" s="1" t="s">
        <v>1023</v>
      </c>
      <c r="H545" s="1" t="s">
        <v>1023</v>
      </c>
      <c r="I545" s="1" t="s">
        <v>1023</v>
      </c>
      <c r="J545" s="1">
        <v>-190.0</v>
      </c>
      <c r="K545" s="1">
        <v>544.0</v>
      </c>
      <c r="L545" s="1" t="str">
        <f t="shared" si="1"/>
        <v>Alexander Mattison</v>
      </c>
      <c r="M545" s="124">
        <f>IFERROR(VLOOKUP(E545,RISK!A:B,2,FALSE()),"")</f>
        <v>3.368</v>
      </c>
      <c r="N545" s="116" t="str">
        <f t="shared" si="2"/>
        <v>#N/A</v>
      </c>
      <c r="Q545" s="8"/>
      <c r="R545" s="8"/>
      <c r="S545" s="8"/>
      <c r="T545" s="8"/>
    </row>
    <row r="546" ht="14.25" customHeight="1">
      <c r="A546" s="1">
        <v>543.0</v>
      </c>
      <c r="B546" s="1">
        <v>13.0</v>
      </c>
      <c r="C546" s="1" t="s">
        <v>690</v>
      </c>
      <c r="D546" s="1" t="s">
        <v>170</v>
      </c>
      <c r="E546" s="1" t="s">
        <v>1283</v>
      </c>
      <c r="F546" s="1">
        <v>10.0</v>
      </c>
      <c r="G546" s="1" t="s">
        <v>1023</v>
      </c>
      <c r="H546" s="1" t="s">
        <v>1023</v>
      </c>
      <c r="I546" s="1" t="s">
        <v>1003</v>
      </c>
      <c r="J546" s="1" t="s">
        <v>1023</v>
      </c>
      <c r="K546" s="1">
        <v>545.0</v>
      </c>
      <c r="L546" s="1" t="str">
        <f t="shared" si="1"/>
        <v>Tyler Badie</v>
      </c>
      <c r="M546" s="124">
        <f>IFERROR(VLOOKUP(E546,RISK!A:B,2,FALSE()),"")</f>
        <v>3.368</v>
      </c>
      <c r="N546" s="116" t="str">
        <f t="shared" si="2"/>
        <v>#N/A</v>
      </c>
      <c r="Q546" s="8"/>
      <c r="R546" s="8"/>
      <c r="S546" s="8"/>
      <c r="T546" s="8"/>
    </row>
    <row r="547" ht="14.25" customHeight="1">
      <c r="A547" s="1">
        <v>544.0</v>
      </c>
      <c r="B547" s="1">
        <v>13.0</v>
      </c>
      <c r="C547" s="1" t="s">
        <v>1509</v>
      </c>
      <c r="D547" s="1" t="s">
        <v>222</v>
      </c>
      <c r="E547" s="1" t="s">
        <v>1286</v>
      </c>
      <c r="F547" s="1">
        <v>13.0</v>
      </c>
      <c r="G547" s="1" t="s">
        <v>1023</v>
      </c>
      <c r="H547" s="1" t="s">
        <v>1023</v>
      </c>
      <c r="I547" s="1" t="s">
        <v>1003</v>
      </c>
      <c r="J547" s="1" t="s">
        <v>1023</v>
      </c>
      <c r="K547" s="1">
        <v>546.0</v>
      </c>
      <c r="L547" s="1" t="str">
        <f t="shared" si="1"/>
        <v>Raheem Mostert</v>
      </c>
      <c r="M547" s="124">
        <f>IFERROR(VLOOKUP(E547,RISK!A:B,2,FALSE()),"")</f>
        <v>3.368</v>
      </c>
      <c r="N547" s="116" t="str">
        <f t="shared" si="2"/>
        <v>#N/A</v>
      </c>
      <c r="Q547" s="8"/>
      <c r="R547" s="8"/>
      <c r="S547" s="8"/>
      <c r="T547" s="8"/>
    </row>
    <row r="548" ht="14.25" customHeight="1">
      <c r="A548" s="1">
        <v>545.0</v>
      </c>
      <c r="B548" s="1">
        <v>13.0</v>
      </c>
      <c r="C548" s="1" t="s">
        <v>1510</v>
      </c>
      <c r="D548" s="1" t="s">
        <v>220</v>
      </c>
      <c r="E548" s="1" t="s">
        <v>1287</v>
      </c>
      <c r="F548" s="1">
        <v>9.0</v>
      </c>
      <c r="G548" s="1" t="s">
        <v>1023</v>
      </c>
      <c r="H548" s="1" t="s">
        <v>1023</v>
      </c>
      <c r="I548" s="1" t="s">
        <v>1003</v>
      </c>
      <c r="J548" s="1" t="s">
        <v>1023</v>
      </c>
      <c r="K548" s="1">
        <v>547.0</v>
      </c>
      <c r="L548" s="1" t="str">
        <f t="shared" si="1"/>
        <v>Lew Nichols III</v>
      </c>
      <c r="M548" s="124">
        <f>IFERROR(VLOOKUP(E548,RISK!A:B,2,FALSE()),"")</f>
        <v>3.368</v>
      </c>
      <c r="N548" s="116" t="str">
        <f t="shared" si="2"/>
        <v>#N/A</v>
      </c>
      <c r="Q548" s="8"/>
      <c r="R548" s="8"/>
      <c r="S548" s="8"/>
      <c r="T548" s="8"/>
    </row>
    <row r="549" ht="14.25" customHeight="1">
      <c r="A549" s="1">
        <v>546.0</v>
      </c>
      <c r="B549" s="1">
        <v>13.0</v>
      </c>
      <c r="C549" s="1" t="s">
        <v>950</v>
      </c>
      <c r="D549" s="1" t="s">
        <v>199</v>
      </c>
      <c r="E549" s="1" t="s">
        <v>863</v>
      </c>
      <c r="F549" s="1">
        <v>11.0</v>
      </c>
      <c r="G549" s="1" t="s">
        <v>1023</v>
      </c>
      <c r="H549" s="1" t="s">
        <v>1023</v>
      </c>
      <c r="I549" s="1" t="s">
        <v>1003</v>
      </c>
      <c r="J549" s="1" t="s">
        <v>1023</v>
      </c>
      <c r="K549" s="1">
        <v>548.0</v>
      </c>
      <c r="L549" s="1" t="str">
        <f t="shared" si="1"/>
        <v>Josh Whyle</v>
      </c>
      <c r="M549" s="124">
        <f>IFERROR(VLOOKUP(E549,RISK!A:B,2,FALSE()),"")</f>
        <v>2.2775</v>
      </c>
      <c r="N549" s="116" t="str">
        <f t="shared" si="2"/>
        <v>#N/A</v>
      </c>
      <c r="Q549" s="8"/>
      <c r="R549" s="8"/>
      <c r="S549" s="8"/>
      <c r="T549" s="8"/>
    </row>
    <row r="550" ht="14.25" customHeight="1">
      <c r="A550" s="1">
        <v>547.0</v>
      </c>
      <c r="B550" s="1">
        <v>13.0</v>
      </c>
      <c r="C550" s="1" t="s">
        <v>1511</v>
      </c>
      <c r="D550" s="1" t="s">
        <v>193</v>
      </c>
      <c r="E550" s="1" t="s">
        <v>1288</v>
      </c>
      <c r="F550" s="1">
        <v>13.0</v>
      </c>
      <c r="G550" s="1" t="s">
        <v>1023</v>
      </c>
      <c r="H550" s="1" t="s">
        <v>1023</v>
      </c>
      <c r="I550" s="1" t="s">
        <v>1004</v>
      </c>
      <c r="J550" s="1" t="s">
        <v>1023</v>
      </c>
      <c r="K550" s="1">
        <v>549.0</v>
      </c>
      <c r="L550" s="1" t="str">
        <f t="shared" si="1"/>
        <v>Ulysses Bentley IV</v>
      </c>
      <c r="M550" s="124">
        <f>IFERROR(VLOOKUP(E550,RISK!A:B,2,FALSE()),"")</f>
        <v>3.368</v>
      </c>
      <c r="N550" s="116" t="str">
        <f t="shared" si="2"/>
        <v>#N/A</v>
      </c>
      <c r="Q550" s="8"/>
      <c r="R550" s="8"/>
      <c r="S550" s="8"/>
      <c r="T550" s="8"/>
    </row>
    <row r="551" ht="14.25" customHeight="1">
      <c r="A551" s="1">
        <v>548.0</v>
      </c>
      <c r="B551" s="1">
        <v>13.0</v>
      </c>
      <c r="C551" s="1" t="s">
        <v>1512</v>
      </c>
      <c r="D551" s="1" t="s">
        <v>159</v>
      </c>
      <c r="E551" s="1" t="s">
        <v>1199</v>
      </c>
      <c r="F551" s="1">
        <v>10.0</v>
      </c>
      <c r="G551" s="1" t="s">
        <v>1023</v>
      </c>
      <c r="H551" s="1" t="s">
        <v>1023</v>
      </c>
      <c r="I551" s="1" t="s">
        <v>1007</v>
      </c>
      <c r="J551" s="1" t="s">
        <v>1023</v>
      </c>
      <c r="K551" s="1">
        <v>550.0</v>
      </c>
      <c r="L551" s="1" t="str">
        <f t="shared" si="1"/>
        <v>Scotty Miller</v>
      </c>
      <c r="M551" s="124">
        <f>IFERROR(VLOOKUP(E551,RISK!A:B,2,FALSE()),"")</f>
        <v>3.7</v>
      </c>
      <c r="N551" s="116" t="str">
        <f t="shared" si="2"/>
        <v>#N/A</v>
      </c>
      <c r="Q551" s="8"/>
      <c r="R551" s="8"/>
      <c r="S551" s="8"/>
      <c r="T551" s="8"/>
    </row>
    <row r="552" ht="14.25" customHeight="1">
      <c r="A552" s="1">
        <v>549.0</v>
      </c>
      <c r="B552" s="1">
        <v>13.0</v>
      </c>
      <c r="C552" s="1" t="s">
        <v>858</v>
      </c>
      <c r="D552" s="1" t="s">
        <v>176</v>
      </c>
      <c r="E552" s="1" t="s">
        <v>872</v>
      </c>
      <c r="F552" s="1">
        <v>11.0</v>
      </c>
      <c r="G552" s="1" t="s">
        <v>1023</v>
      </c>
      <c r="H552" s="1" t="s">
        <v>1023</v>
      </c>
      <c r="I552" s="1" t="s">
        <v>1004</v>
      </c>
      <c r="J552" s="1" t="s">
        <v>1023</v>
      </c>
      <c r="K552" s="1">
        <v>551.0</v>
      </c>
      <c r="L552" s="1" t="str">
        <f t="shared" si="1"/>
        <v>Davis Allen</v>
      </c>
      <c r="M552" s="124">
        <f>IFERROR(VLOOKUP(E552,RISK!A:B,2,FALSE()),"")</f>
        <v>2.2775</v>
      </c>
      <c r="N552" s="116" t="str">
        <f t="shared" si="2"/>
        <v>#N/A</v>
      </c>
      <c r="Q552" s="8"/>
      <c r="R552" s="8"/>
      <c r="S552" s="8"/>
      <c r="T552" s="8"/>
    </row>
    <row r="553" ht="14.25" customHeight="1">
      <c r="A553" s="1">
        <v>550.0</v>
      </c>
      <c r="B553" s="1">
        <v>13.0</v>
      </c>
      <c r="C553" s="1" t="s">
        <v>1513</v>
      </c>
      <c r="D553" s="1" t="s">
        <v>208</v>
      </c>
      <c r="E553" s="1" t="s">
        <v>1289</v>
      </c>
      <c r="F553" s="1">
        <v>5.0</v>
      </c>
      <c r="G553" s="1" t="s">
        <v>1023</v>
      </c>
      <c r="H553" s="1" t="s">
        <v>1023</v>
      </c>
      <c r="I553" s="1" t="s">
        <v>1006</v>
      </c>
      <c r="J553" s="1" t="s">
        <v>1023</v>
      </c>
      <c r="K553" s="1">
        <v>552.0</v>
      </c>
      <c r="L553" s="1" t="str">
        <f t="shared" si="1"/>
        <v>Miles Davis</v>
      </c>
      <c r="M553" s="124">
        <f>IFERROR(VLOOKUP(E553,RISK!A:B,2,FALSE()),"")</f>
        <v>3.368</v>
      </c>
      <c r="N553" s="116" t="str">
        <f t="shared" si="2"/>
        <v>#N/A</v>
      </c>
      <c r="Q553" s="8"/>
      <c r="R553" s="8"/>
      <c r="S553" s="8"/>
      <c r="T553" s="8"/>
    </row>
    <row r="554" ht="14.25" customHeight="1">
      <c r="A554" s="1">
        <v>551.0</v>
      </c>
      <c r="B554" s="1">
        <v>13.0</v>
      </c>
      <c r="C554" s="1" t="s">
        <v>922</v>
      </c>
      <c r="D554" s="1" t="s">
        <v>186</v>
      </c>
      <c r="E554" s="1" t="s">
        <v>883</v>
      </c>
      <c r="F554" s="1">
        <v>10.0</v>
      </c>
      <c r="G554" s="1" t="s">
        <v>1023</v>
      </c>
      <c r="H554" s="1" t="s">
        <v>1023</v>
      </c>
      <c r="I554" s="1" t="s">
        <v>1003</v>
      </c>
      <c r="J554" s="1" t="s">
        <v>1023</v>
      </c>
      <c r="K554" s="1">
        <v>553.0</v>
      </c>
      <c r="L554" s="1" t="str">
        <f t="shared" si="1"/>
        <v>Payne Durham</v>
      </c>
      <c r="M554" s="124">
        <f>IFERROR(VLOOKUP(E554,RISK!A:B,2,FALSE()),"")</f>
        <v>2.2775</v>
      </c>
      <c r="N554" s="116" t="str">
        <f t="shared" si="2"/>
        <v>#N/A</v>
      </c>
      <c r="Q554" s="8"/>
      <c r="R554" s="8"/>
      <c r="S554" s="8"/>
      <c r="T554" s="8"/>
    </row>
    <row r="555" ht="14.25" customHeight="1">
      <c r="A555" s="1">
        <v>552.0</v>
      </c>
      <c r="B555" s="1">
        <v>13.0</v>
      </c>
      <c r="C555" s="1" t="s">
        <v>854</v>
      </c>
      <c r="D555" s="1" t="s">
        <v>196</v>
      </c>
      <c r="E555" s="1" t="s">
        <v>894</v>
      </c>
      <c r="F555" s="1">
        <v>6.0</v>
      </c>
      <c r="G555" s="1" t="s">
        <v>1023</v>
      </c>
      <c r="H555" s="1" t="s">
        <v>1023</v>
      </c>
      <c r="I555" s="1" t="s">
        <v>1002</v>
      </c>
      <c r="J555" s="1" t="s">
        <v>1023</v>
      </c>
      <c r="K555" s="1">
        <v>554.0</v>
      </c>
      <c r="L555" s="1" t="str">
        <f t="shared" si="1"/>
        <v>Ben Sims</v>
      </c>
      <c r="M555" s="124">
        <f>IFERROR(VLOOKUP(E555,RISK!A:B,2,FALSE()),"")</f>
        <v>2.2775</v>
      </c>
      <c r="N555" s="116" t="str">
        <f t="shared" si="2"/>
        <v>#N/A</v>
      </c>
      <c r="Q555" s="8"/>
      <c r="R555" s="8"/>
      <c r="S555" s="8"/>
      <c r="T555" s="8"/>
    </row>
    <row r="556" ht="14.25" customHeight="1">
      <c r="A556" s="1">
        <v>553.0</v>
      </c>
      <c r="B556" s="1">
        <v>13.0</v>
      </c>
      <c r="C556" s="1" t="s">
        <v>1514</v>
      </c>
      <c r="D556" s="1" t="s">
        <v>226</v>
      </c>
      <c r="E556" s="1" t="s">
        <v>1290</v>
      </c>
      <c r="F556" s="1">
        <v>11.0</v>
      </c>
      <c r="G556" s="1" t="s">
        <v>1023</v>
      </c>
      <c r="H556" s="1" t="s">
        <v>1023</v>
      </c>
      <c r="I556" s="1" t="s">
        <v>1007</v>
      </c>
      <c r="J556" s="1" t="s">
        <v>1023</v>
      </c>
      <c r="K556" s="1">
        <v>555.0</v>
      </c>
      <c r="L556" s="1" t="str">
        <f t="shared" si="1"/>
        <v>Ahmani Marshall</v>
      </c>
      <c r="M556" s="124">
        <f>IFERROR(VLOOKUP(E556,RISK!A:B,2,FALSE()),"")</f>
        <v>3.368</v>
      </c>
      <c r="N556" s="116" t="str">
        <f t="shared" si="2"/>
        <v>#N/A</v>
      </c>
      <c r="Q556" s="8"/>
      <c r="R556" s="8"/>
      <c r="S556" s="8"/>
      <c r="T556" s="8"/>
    </row>
    <row r="557" ht="14.25" customHeight="1">
      <c r="A557" s="1">
        <v>554.0</v>
      </c>
      <c r="B557" s="1">
        <v>13.0</v>
      </c>
      <c r="C557" s="1" t="s">
        <v>1515</v>
      </c>
      <c r="D557" s="1" t="s">
        <v>202</v>
      </c>
      <c r="E557" s="1" t="s">
        <v>1200</v>
      </c>
      <c r="F557" s="1">
        <v>11.0</v>
      </c>
      <c r="G557" s="1" t="s">
        <v>1023</v>
      </c>
      <c r="H557" s="1" t="s">
        <v>1023</v>
      </c>
      <c r="I557" s="1" t="s">
        <v>1007</v>
      </c>
      <c r="J557" s="1" t="s">
        <v>1023</v>
      </c>
      <c r="K557" s="1">
        <v>556.0</v>
      </c>
      <c r="L557" s="1" t="str">
        <f t="shared" si="1"/>
        <v>Jake Bobo</v>
      </c>
      <c r="M557" s="124">
        <f>IFERROR(VLOOKUP(E557,RISK!A:B,2,FALSE()),"")</f>
        <v>3.7</v>
      </c>
      <c r="N557" s="116" t="str">
        <f t="shared" si="2"/>
        <v>#N/A</v>
      </c>
      <c r="Q557" s="8"/>
      <c r="R557" s="8"/>
      <c r="S557" s="8"/>
      <c r="T557" s="8"/>
    </row>
    <row r="558" ht="14.25" customHeight="1">
      <c r="A558" s="1">
        <v>555.0</v>
      </c>
      <c r="B558" s="1">
        <v>13.0</v>
      </c>
      <c r="C558" s="1" t="s">
        <v>928</v>
      </c>
      <c r="D558" s="1" t="s">
        <v>150</v>
      </c>
      <c r="E558" s="1" t="s">
        <v>905</v>
      </c>
      <c r="F558" s="1">
        <v>14.0</v>
      </c>
      <c r="G558" s="1" t="s">
        <v>1023</v>
      </c>
      <c r="H558" s="1" t="s">
        <v>1023</v>
      </c>
      <c r="I558" s="1" t="s">
        <v>1003</v>
      </c>
      <c r="J558" s="1" t="s">
        <v>1023</v>
      </c>
      <c r="K558" s="1">
        <v>557.0</v>
      </c>
      <c r="L558" s="1" t="str">
        <f t="shared" si="1"/>
        <v>Brevyn Spann-Ford</v>
      </c>
      <c r="M558" s="124">
        <f>IFERROR(VLOOKUP(E558,RISK!A:B,2,FALSE()),"")</f>
        <v>2.2775</v>
      </c>
      <c r="N558" s="116" t="str">
        <f t="shared" si="2"/>
        <v>#N/A</v>
      </c>
      <c r="Q558" s="8"/>
      <c r="R558" s="8"/>
      <c r="S558" s="8"/>
      <c r="T558" s="8"/>
    </row>
    <row r="559" ht="14.25" customHeight="1">
      <c r="A559" s="1">
        <v>556.0</v>
      </c>
      <c r="B559" s="1">
        <v>13.0</v>
      </c>
      <c r="C559" s="1" t="s">
        <v>943</v>
      </c>
      <c r="D559" s="1" t="s">
        <v>140</v>
      </c>
      <c r="E559" s="1" t="s">
        <v>915</v>
      </c>
      <c r="F559" s="1">
        <v>8.0</v>
      </c>
      <c r="G559" s="1" t="s">
        <v>1023</v>
      </c>
      <c r="H559" s="1" t="s">
        <v>1023</v>
      </c>
      <c r="I559" s="1" t="s">
        <v>1007</v>
      </c>
      <c r="J559" s="1" t="s">
        <v>1023</v>
      </c>
      <c r="K559" s="1">
        <v>558.0</v>
      </c>
      <c r="L559" s="1" t="str">
        <f t="shared" si="1"/>
        <v>Luke Farrell</v>
      </c>
      <c r="M559" s="124">
        <f>IFERROR(VLOOKUP(E559,RISK!A:B,2,FALSE()),"")</f>
        <v>2.2775</v>
      </c>
      <c r="N559" s="116" t="str">
        <f t="shared" si="2"/>
        <v>#N/A</v>
      </c>
      <c r="Q559" s="8"/>
      <c r="R559" s="8"/>
      <c r="S559" s="8"/>
      <c r="T559" s="8"/>
    </row>
    <row r="560" ht="14.25" customHeight="1">
      <c r="A560" s="1">
        <v>557.0</v>
      </c>
      <c r="B560" s="1">
        <v>13.0</v>
      </c>
      <c r="C560" s="1" t="s">
        <v>1516</v>
      </c>
      <c r="D560" s="1" t="s">
        <v>229</v>
      </c>
      <c r="E560" s="1" t="s">
        <v>1291</v>
      </c>
      <c r="F560" s="1">
        <v>11.0</v>
      </c>
      <c r="G560" s="1" t="s">
        <v>1023</v>
      </c>
      <c r="H560" s="1" t="s">
        <v>1023</v>
      </c>
      <c r="I560" s="1" t="s">
        <v>1003</v>
      </c>
      <c r="J560" s="1" t="s">
        <v>1023</v>
      </c>
      <c r="K560" s="1">
        <v>559.0</v>
      </c>
      <c r="L560" s="1" t="str">
        <f t="shared" si="1"/>
        <v>Nathan Carter</v>
      </c>
      <c r="M560" s="124">
        <f>IFERROR(VLOOKUP(E560,RISK!A:B,2,FALSE()),"")</f>
        <v>3.368</v>
      </c>
      <c r="N560" s="116" t="str">
        <f t="shared" si="2"/>
        <v>#N/A</v>
      </c>
      <c r="Q560" s="8"/>
      <c r="R560" s="8"/>
      <c r="S560" s="8"/>
      <c r="T560" s="8"/>
    </row>
    <row r="561" ht="14.25" customHeight="1">
      <c r="A561" s="1">
        <v>558.0</v>
      </c>
      <c r="B561" s="1">
        <v>13.0</v>
      </c>
      <c r="C561" s="1" t="s">
        <v>964</v>
      </c>
      <c r="D561" s="1" t="s">
        <v>226</v>
      </c>
      <c r="E561" s="1" t="s">
        <v>926</v>
      </c>
      <c r="F561" s="1">
        <v>11.0</v>
      </c>
      <c r="G561" s="1" t="s">
        <v>1023</v>
      </c>
      <c r="H561" s="1" t="s">
        <v>1023</v>
      </c>
      <c r="I561" s="1" t="s">
        <v>1007</v>
      </c>
      <c r="J561" s="1" t="s">
        <v>1023</v>
      </c>
      <c r="K561" s="1">
        <v>560.0</v>
      </c>
      <c r="L561" s="1" t="str">
        <f t="shared" si="1"/>
        <v>Blake Whiteheart</v>
      </c>
      <c r="M561" s="124">
        <f>IFERROR(VLOOKUP(E561,RISK!A:B,2,FALSE()),"")</f>
        <v>2.2775</v>
      </c>
      <c r="N561" s="116" t="str">
        <f t="shared" si="2"/>
        <v>#N/A</v>
      </c>
      <c r="Q561" s="8"/>
      <c r="R561" s="8"/>
      <c r="S561" s="8"/>
      <c r="T561" s="8"/>
    </row>
    <row r="562" ht="14.25" customHeight="1">
      <c r="A562" s="1">
        <v>559.0</v>
      </c>
      <c r="B562" s="1">
        <v>13.0</v>
      </c>
      <c r="C562" s="1" t="s">
        <v>1517</v>
      </c>
      <c r="D562" s="1" t="s">
        <v>1383</v>
      </c>
      <c r="E562" s="1" t="s">
        <v>1292</v>
      </c>
      <c r="F562" s="1" t="s">
        <v>1023</v>
      </c>
      <c r="G562" s="1" t="s">
        <v>1023</v>
      </c>
      <c r="H562" s="1" t="s">
        <v>1023</v>
      </c>
      <c r="I562" s="1" t="s">
        <v>1023</v>
      </c>
      <c r="J562" s="1" t="s">
        <v>1023</v>
      </c>
      <c r="K562" s="1">
        <v>561.0</v>
      </c>
      <c r="L562" s="1" t="str">
        <f t="shared" si="1"/>
        <v>Elijah Mitchell</v>
      </c>
      <c r="M562" s="124">
        <f>IFERROR(VLOOKUP(E562,RISK!A:B,2,FALSE()),"")</f>
        <v>3.368</v>
      </c>
      <c r="N562" s="116" t="str">
        <f t="shared" si="2"/>
        <v>#N/A</v>
      </c>
      <c r="Q562" s="8"/>
      <c r="R562" s="8"/>
      <c r="S562" s="8"/>
      <c r="T562" s="8"/>
    </row>
    <row r="563" ht="14.25" customHeight="1">
      <c r="A563" s="1">
        <v>560.0</v>
      </c>
      <c r="B563" s="1">
        <v>13.0</v>
      </c>
      <c r="C563" s="1" t="s">
        <v>1518</v>
      </c>
      <c r="D563" s="1" t="s">
        <v>127</v>
      </c>
      <c r="E563" s="1" t="s">
        <v>1201</v>
      </c>
      <c r="F563" s="1">
        <v>6.0</v>
      </c>
      <c r="G563" s="1" t="s">
        <v>1023</v>
      </c>
      <c r="H563" s="1" t="s">
        <v>1023</v>
      </c>
      <c r="I563" s="1" t="s">
        <v>1004</v>
      </c>
      <c r="J563" s="1" t="s">
        <v>1023</v>
      </c>
      <c r="K563" s="1">
        <v>562.0</v>
      </c>
      <c r="L563" s="1" t="str">
        <f t="shared" si="1"/>
        <v>Dohnte Meyers</v>
      </c>
      <c r="M563" s="124">
        <f>IFERROR(VLOOKUP(E563,RISK!A:B,2,FALSE()),"")</f>
        <v>3.7</v>
      </c>
      <c r="N563" s="116" t="str">
        <f t="shared" si="2"/>
        <v>#N/A</v>
      </c>
      <c r="Q563" s="8"/>
      <c r="R563" s="8"/>
      <c r="S563" s="8"/>
      <c r="T563" s="8"/>
    </row>
    <row r="564" ht="14.25" customHeight="1">
      <c r="A564" s="1">
        <v>561.0</v>
      </c>
      <c r="B564" s="1">
        <v>13.0</v>
      </c>
      <c r="C564" s="1" t="s">
        <v>1031</v>
      </c>
      <c r="D564" s="1" t="s">
        <v>164</v>
      </c>
      <c r="E564" s="1" t="s">
        <v>1202</v>
      </c>
      <c r="F564" s="1">
        <v>7.0</v>
      </c>
      <c r="G564" s="1" t="s">
        <v>1023</v>
      </c>
      <c r="H564" s="1" t="s">
        <v>1023</v>
      </c>
      <c r="I564" s="1" t="s">
        <v>1003</v>
      </c>
      <c r="J564" s="1" t="s">
        <v>1023</v>
      </c>
      <c r="K564" s="1">
        <v>563.0</v>
      </c>
      <c r="L564" s="1" t="str">
        <f t="shared" si="1"/>
        <v>Derius Davis</v>
      </c>
      <c r="M564" s="124">
        <f>IFERROR(VLOOKUP(E564,RISK!A:B,2,FALSE()),"")</f>
        <v>3.7</v>
      </c>
      <c r="N564" s="116" t="str">
        <f t="shared" si="2"/>
        <v>#N/A</v>
      </c>
      <c r="Q564" s="8"/>
      <c r="R564" s="8"/>
      <c r="S564" s="8"/>
      <c r="T564" s="8"/>
    </row>
    <row r="565" ht="14.25" customHeight="1">
      <c r="A565" s="1">
        <v>562.0</v>
      </c>
      <c r="B565" s="1">
        <v>13.0</v>
      </c>
      <c r="C565" s="1" t="s">
        <v>1519</v>
      </c>
      <c r="D565" s="1" t="s">
        <v>229</v>
      </c>
      <c r="E565" s="1" t="s">
        <v>1293</v>
      </c>
      <c r="F565" s="1">
        <v>11.0</v>
      </c>
      <c r="G565" s="1" t="s">
        <v>1023</v>
      </c>
      <c r="H565" s="1" t="s">
        <v>1023</v>
      </c>
      <c r="I565" s="1" t="s">
        <v>1003</v>
      </c>
      <c r="J565" s="1" t="s">
        <v>1023</v>
      </c>
      <c r="K565" s="1">
        <v>564.0</v>
      </c>
      <c r="L565" s="1" t="str">
        <f t="shared" si="1"/>
        <v>Cash Jones</v>
      </c>
      <c r="M565" s="124">
        <f>IFERROR(VLOOKUP(E565,RISK!A:B,2,FALSE()),"")</f>
        <v>3.368</v>
      </c>
      <c r="N565" s="116" t="str">
        <f t="shared" si="2"/>
        <v>#N/A</v>
      </c>
      <c r="Q565" s="8"/>
      <c r="R565" s="8"/>
      <c r="S565" s="8"/>
      <c r="T565" s="8"/>
    </row>
    <row r="566" ht="14.25" customHeight="1">
      <c r="A566" s="1">
        <v>563.0</v>
      </c>
      <c r="B566" s="1">
        <v>13.0</v>
      </c>
      <c r="C566" s="1" t="s">
        <v>1520</v>
      </c>
      <c r="D566" s="1" t="s">
        <v>1383</v>
      </c>
      <c r="E566" s="1" t="s">
        <v>1294</v>
      </c>
      <c r="F566" s="1" t="s">
        <v>1023</v>
      </c>
      <c r="G566" s="1" t="s">
        <v>1023</v>
      </c>
      <c r="H566" s="1" t="s">
        <v>1023</v>
      </c>
      <c r="I566" s="1" t="s">
        <v>1023</v>
      </c>
      <c r="J566" s="1" t="s">
        <v>1023</v>
      </c>
      <c r="K566" s="1">
        <v>565.0</v>
      </c>
      <c r="L566" s="1" t="str">
        <f t="shared" si="1"/>
        <v>Cam Akers</v>
      </c>
      <c r="M566" s="124">
        <f>IFERROR(VLOOKUP(E566,RISK!A:B,2,FALSE()),"")</f>
        <v>3.368</v>
      </c>
      <c r="N566" s="116" t="str">
        <f t="shared" si="2"/>
        <v>#N/A</v>
      </c>
      <c r="Q566" s="8"/>
      <c r="R566" s="8"/>
      <c r="S566" s="8"/>
      <c r="T566" s="8"/>
    </row>
    <row r="567" ht="14.25" customHeight="1">
      <c r="A567" s="1">
        <v>564.0</v>
      </c>
      <c r="B567" s="1">
        <v>13.0</v>
      </c>
      <c r="C567" s="1" t="s">
        <v>1521</v>
      </c>
      <c r="D567" s="1" t="s">
        <v>140</v>
      </c>
      <c r="E567" s="1" t="s">
        <v>1295</v>
      </c>
      <c r="F567" s="1">
        <v>8.0</v>
      </c>
      <c r="G567" s="1" t="s">
        <v>1023</v>
      </c>
      <c r="H567" s="1" t="s">
        <v>1023</v>
      </c>
      <c r="I567" s="1" t="s">
        <v>1003</v>
      </c>
      <c r="J567" s="1">
        <v>-182.0</v>
      </c>
      <c r="K567" s="1">
        <v>566.0</v>
      </c>
      <c r="L567" s="1" t="str">
        <f t="shared" si="1"/>
        <v>Sincere McCormick</v>
      </c>
      <c r="M567" s="124">
        <f>IFERROR(VLOOKUP(E567,RISK!A:B,2,FALSE()),"")</f>
        <v>3.368</v>
      </c>
      <c r="N567" s="116" t="str">
        <f t="shared" si="2"/>
        <v>#N/A</v>
      </c>
      <c r="Q567" s="8"/>
      <c r="R567" s="8"/>
      <c r="S567" s="8"/>
      <c r="T567" s="8"/>
    </row>
    <row r="568" ht="14.25" customHeight="1">
      <c r="A568" s="1">
        <v>565.0</v>
      </c>
      <c r="B568" s="1">
        <v>13.0</v>
      </c>
      <c r="C568" s="1" t="s">
        <v>1522</v>
      </c>
      <c r="D568" s="1" t="s">
        <v>1383</v>
      </c>
      <c r="E568" s="1" t="s">
        <v>1204</v>
      </c>
      <c r="F568" s="1" t="s">
        <v>1023</v>
      </c>
      <c r="G568" s="1" t="s">
        <v>1023</v>
      </c>
      <c r="H568" s="1" t="s">
        <v>1023</v>
      </c>
      <c r="I568" s="1" t="s">
        <v>1023</v>
      </c>
      <c r="J568" s="1" t="s">
        <v>1023</v>
      </c>
      <c r="K568" s="1">
        <v>567.0</v>
      </c>
      <c r="L568" s="1" t="str">
        <f t="shared" si="1"/>
        <v>Brandin Cooks</v>
      </c>
      <c r="M568" s="124">
        <f>IFERROR(VLOOKUP(E568,RISK!A:B,2,FALSE()),"")</f>
        <v>3.7</v>
      </c>
      <c r="N568" s="116" t="str">
        <f t="shared" si="2"/>
        <v>#N/A</v>
      </c>
      <c r="Q568" s="8"/>
      <c r="R568" s="8"/>
      <c r="S568" s="8"/>
      <c r="T568" s="8"/>
    </row>
    <row r="569" ht="14.25" customHeight="1">
      <c r="A569" s="1">
        <v>566.0</v>
      </c>
      <c r="B569" s="1">
        <v>13.0</v>
      </c>
      <c r="C569" s="1" t="s">
        <v>1523</v>
      </c>
      <c r="D569" s="1" t="s">
        <v>1383</v>
      </c>
      <c r="E569" s="1" t="s">
        <v>1206</v>
      </c>
      <c r="F569" s="1" t="s">
        <v>1023</v>
      </c>
      <c r="G569" s="1" t="s">
        <v>1023</v>
      </c>
      <c r="H569" s="1" t="s">
        <v>1023</v>
      </c>
      <c r="I569" s="1" t="s">
        <v>1023</v>
      </c>
      <c r="J569" s="1" t="s">
        <v>1023</v>
      </c>
      <c r="K569" s="1">
        <v>568.0</v>
      </c>
      <c r="L569" s="1" t="str">
        <f t="shared" si="1"/>
        <v>Noah Brown</v>
      </c>
      <c r="M569" s="124">
        <f>IFERROR(VLOOKUP(E569,RISK!A:B,2,FALSE()),"")</f>
        <v>3.7</v>
      </c>
      <c r="N569" s="116" t="str">
        <f t="shared" si="2"/>
        <v>#N/A</v>
      </c>
      <c r="Q569" s="8"/>
      <c r="R569" s="8"/>
      <c r="S569" s="8"/>
      <c r="T569" s="8"/>
    </row>
    <row r="570" ht="14.25" customHeight="1">
      <c r="A570" s="1">
        <v>567.0</v>
      </c>
      <c r="B570" s="1">
        <v>13.0</v>
      </c>
      <c r="C570" s="1" t="s">
        <v>1524</v>
      </c>
      <c r="D570" s="1" t="s">
        <v>94</v>
      </c>
      <c r="E570" s="1" t="s">
        <v>1296</v>
      </c>
      <c r="F570" s="1">
        <v>11.0</v>
      </c>
      <c r="G570" s="1" t="s">
        <v>1023</v>
      </c>
      <c r="H570" s="1" t="s">
        <v>1023</v>
      </c>
      <c r="I570" s="1" t="s">
        <v>1003</v>
      </c>
      <c r="J570" s="1" t="s">
        <v>1023</v>
      </c>
      <c r="K570" s="1">
        <v>569.0</v>
      </c>
      <c r="L570" s="1" t="str">
        <f t="shared" si="1"/>
        <v>JaMycal Hasty</v>
      </c>
      <c r="M570" s="124">
        <f>IFERROR(VLOOKUP(E570,RISK!A:B,2,FALSE()),"")</f>
        <v>3.368</v>
      </c>
      <c r="N570" s="116" t="str">
        <f t="shared" si="2"/>
        <v>#N/A</v>
      </c>
      <c r="Q570" s="8"/>
      <c r="R570" s="8"/>
      <c r="S570" s="8"/>
      <c r="T570" s="8"/>
    </row>
    <row r="571" ht="14.25" customHeight="1">
      <c r="A571" s="1">
        <v>568.0</v>
      </c>
      <c r="B571" s="1">
        <v>13.0</v>
      </c>
      <c r="C571" s="1" t="s">
        <v>1525</v>
      </c>
      <c r="D571" s="1" t="s">
        <v>193</v>
      </c>
      <c r="E571" s="1" t="s">
        <v>1526</v>
      </c>
      <c r="F571" s="1">
        <v>13.0</v>
      </c>
      <c r="G571" s="1" t="s">
        <v>1023</v>
      </c>
      <c r="H571" s="1" t="s">
        <v>1023</v>
      </c>
      <c r="I571" s="1" t="s">
        <v>1004</v>
      </c>
      <c r="J571" s="1" t="s">
        <v>1023</v>
      </c>
      <c r="K571" s="1">
        <v>570.0</v>
      </c>
      <c r="L571" s="1" t="str">
        <f t="shared" si="1"/>
        <v>Anderson Castle</v>
      </c>
      <c r="M571" s="124" t="str">
        <f>IFERROR(VLOOKUP(E571,RISK!A:B,2,FALSE()),"")</f>
        <v/>
      </c>
      <c r="N571" s="116" t="str">
        <f t="shared" si="2"/>
        <v>#N/A</v>
      </c>
      <c r="Q571" s="8"/>
      <c r="R571" s="8"/>
      <c r="S571" s="8"/>
      <c r="T571" s="8"/>
    </row>
    <row r="572" ht="14.25" customHeight="1">
      <c r="A572" s="1">
        <v>569.0</v>
      </c>
      <c r="B572" s="1">
        <v>13.0</v>
      </c>
      <c r="C572" s="1" t="s">
        <v>1527</v>
      </c>
      <c r="D572" s="1" t="s">
        <v>134</v>
      </c>
      <c r="E572" s="1" t="s">
        <v>1528</v>
      </c>
      <c r="F572" s="1">
        <v>8.0</v>
      </c>
      <c r="G572" s="1" t="s">
        <v>1023</v>
      </c>
      <c r="H572" s="1" t="s">
        <v>1023</v>
      </c>
      <c r="I572" s="1" t="s">
        <v>1003</v>
      </c>
      <c r="J572" s="1" t="s">
        <v>1023</v>
      </c>
      <c r="K572" s="1">
        <v>571.0</v>
      </c>
      <c r="L572" s="1" t="str">
        <f t="shared" si="1"/>
        <v>Dominic Zvada</v>
      </c>
      <c r="M572" s="124" t="str">
        <f>IFERROR(VLOOKUP(E572,RISK!A:B,2,FALSE()),"")</f>
        <v/>
      </c>
      <c r="N572" s="116" t="str">
        <f t="shared" si="2"/>
        <v>#N/A</v>
      </c>
      <c r="Q572" s="8"/>
      <c r="R572" s="8"/>
      <c r="S572" s="8"/>
      <c r="T572" s="8"/>
    </row>
    <row r="573" ht="14.25" customHeight="1">
      <c r="A573" s="1">
        <v>570.0</v>
      </c>
      <c r="B573" s="1">
        <v>13.0</v>
      </c>
      <c r="C573" s="1" t="s">
        <v>1529</v>
      </c>
      <c r="D573" s="1" t="s">
        <v>106</v>
      </c>
      <c r="E573" s="1" t="s">
        <v>1530</v>
      </c>
      <c r="F573" s="1">
        <v>7.0</v>
      </c>
      <c r="G573" s="1" t="s">
        <v>1023</v>
      </c>
      <c r="H573" s="1" t="s">
        <v>1023</v>
      </c>
      <c r="I573" s="1" t="s">
        <v>1004</v>
      </c>
      <c r="J573" s="1" t="s">
        <v>1023</v>
      </c>
      <c r="K573" s="1">
        <v>572.0</v>
      </c>
      <c r="L573" s="1" t="str">
        <f t="shared" si="1"/>
        <v>Craig Reynolds</v>
      </c>
      <c r="M573" s="124" t="str">
        <f>IFERROR(VLOOKUP(E573,RISK!A:B,2,FALSE()),"")</f>
        <v/>
      </c>
      <c r="N573" s="116" t="str">
        <f t="shared" si="2"/>
        <v>#N/A</v>
      </c>
      <c r="Q573" s="8"/>
      <c r="R573" s="8"/>
      <c r="S573" s="8"/>
      <c r="T573" s="8"/>
    </row>
    <row r="574" ht="14.25" customHeight="1">
      <c r="A574" s="1">
        <v>571.0</v>
      </c>
      <c r="B574" s="1">
        <v>13.0</v>
      </c>
      <c r="C574" s="1" t="s">
        <v>1531</v>
      </c>
      <c r="D574" s="1" t="s">
        <v>1383</v>
      </c>
      <c r="E574" s="1" t="s">
        <v>1532</v>
      </c>
      <c r="F574" s="1" t="s">
        <v>1023</v>
      </c>
      <c r="G574" s="1" t="s">
        <v>1023</v>
      </c>
      <c r="H574" s="1" t="s">
        <v>1023</v>
      </c>
      <c r="I574" s="1" t="s">
        <v>1023</v>
      </c>
      <c r="J574" s="1" t="s">
        <v>1023</v>
      </c>
      <c r="K574" s="1">
        <v>573.0</v>
      </c>
      <c r="L574" s="1" t="str">
        <f t="shared" si="1"/>
        <v>Kenny McIntosh</v>
      </c>
      <c r="M574" s="124" t="str">
        <f>IFERROR(VLOOKUP(E574,RISK!A:B,2,FALSE()),"")</f>
        <v/>
      </c>
      <c r="N574" s="116" t="str">
        <f t="shared" si="2"/>
        <v>#N/A</v>
      </c>
      <c r="Q574" s="8"/>
      <c r="R574" s="8"/>
      <c r="S574" s="8"/>
      <c r="T574" s="8"/>
    </row>
    <row r="575" ht="14.25" customHeight="1">
      <c r="A575" s="1">
        <v>572.0</v>
      </c>
      <c r="B575" s="1">
        <v>13.0</v>
      </c>
      <c r="C575" s="1" t="s">
        <v>1533</v>
      </c>
      <c r="D575" s="1" t="s">
        <v>189</v>
      </c>
      <c r="E575" s="1" t="s">
        <v>1534</v>
      </c>
      <c r="F575" s="1">
        <v>6.0</v>
      </c>
      <c r="G575" s="1" t="s">
        <v>1023</v>
      </c>
      <c r="H575" s="1" t="s">
        <v>1023</v>
      </c>
      <c r="I575" s="1" t="s">
        <v>1004</v>
      </c>
      <c r="J575" s="1" t="s">
        <v>1023</v>
      </c>
      <c r="K575" s="1">
        <v>574.0</v>
      </c>
      <c r="L575" s="1" t="str">
        <f t="shared" si="1"/>
        <v>Jermar Jefferson</v>
      </c>
      <c r="M575" s="124" t="str">
        <f>IFERROR(VLOOKUP(E575,RISK!A:B,2,FALSE()),"")</f>
        <v/>
      </c>
      <c r="N575" s="116" t="str">
        <f t="shared" si="2"/>
        <v>#N/A</v>
      </c>
      <c r="Q575" s="8"/>
      <c r="R575" s="8"/>
      <c r="S575" s="8"/>
      <c r="T575" s="8"/>
    </row>
    <row r="576" ht="14.25" customHeight="1">
      <c r="A576" s="1">
        <v>573.0</v>
      </c>
      <c r="B576" s="1">
        <v>13.0</v>
      </c>
      <c r="C576" s="1" t="s">
        <v>966</v>
      </c>
      <c r="D576" s="1" t="s">
        <v>94</v>
      </c>
      <c r="E576" s="1" t="s">
        <v>937</v>
      </c>
      <c r="F576" s="1">
        <v>11.0</v>
      </c>
      <c r="G576" s="1" t="s">
        <v>1023</v>
      </c>
      <c r="H576" s="1" t="s">
        <v>1023</v>
      </c>
      <c r="I576" s="1" t="s">
        <v>1004</v>
      </c>
      <c r="J576" s="1" t="s">
        <v>1023</v>
      </c>
      <c r="K576" s="1">
        <v>575.0</v>
      </c>
      <c r="L576" s="1" t="str">
        <f t="shared" si="1"/>
        <v>Julian Hill</v>
      </c>
      <c r="M576" s="124">
        <f>IFERROR(VLOOKUP(E576,RISK!A:B,2,FALSE()),"")</f>
        <v>2.2775</v>
      </c>
      <c r="N576" s="116" t="str">
        <f t="shared" si="2"/>
        <v>#N/A</v>
      </c>
      <c r="Q576" s="8"/>
      <c r="R576" s="8"/>
      <c r="S576" s="8"/>
      <c r="T576" s="8"/>
    </row>
    <row r="577" ht="14.25" customHeight="1">
      <c r="A577" s="1">
        <v>574.0</v>
      </c>
      <c r="B577" s="1">
        <v>13.0</v>
      </c>
      <c r="C577" s="1" t="s">
        <v>1535</v>
      </c>
      <c r="D577" s="1" t="s">
        <v>134</v>
      </c>
      <c r="E577" s="1" t="s">
        <v>1536</v>
      </c>
      <c r="F577" s="1">
        <v>8.0</v>
      </c>
      <c r="G577" s="1" t="s">
        <v>1023</v>
      </c>
      <c r="H577" s="1" t="s">
        <v>1023</v>
      </c>
      <c r="I577" s="1" t="s">
        <v>1004</v>
      </c>
      <c r="J577" s="1" t="s">
        <v>1023</v>
      </c>
      <c r="K577" s="1">
        <v>576.0</v>
      </c>
      <c r="L577" s="1" t="str">
        <f t="shared" si="1"/>
        <v>Eric Gray</v>
      </c>
      <c r="M577" s="124" t="str">
        <f>IFERROR(VLOOKUP(E577,RISK!A:B,2,FALSE()),"")</f>
        <v/>
      </c>
      <c r="N577" s="116" t="str">
        <f t="shared" si="2"/>
        <v>#N/A</v>
      </c>
      <c r="Q577" s="8"/>
      <c r="R577" s="8"/>
      <c r="S577" s="8"/>
      <c r="T577" s="8"/>
    </row>
    <row r="578" ht="14.25" customHeight="1">
      <c r="A578" s="1">
        <v>575.0</v>
      </c>
      <c r="B578" s="1">
        <v>13.0</v>
      </c>
      <c r="C578" s="1" t="s">
        <v>283</v>
      </c>
      <c r="D578" s="1" t="s">
        <v>182</v>
      </c>
      <c r="E578" s="1" t="s">
        <v>1235</v>
      </c>
      <c r="F578" s="1">
        <v>8.0</v>
      </c>
      <c r="G578" s="1" t="s">
        <v>1023</v>
      </c>
      <c r="H578" s="1" t="s">
        <v>1023</v>
      </c>
      <c r="I578" s="1" t="s">
        <v>1007</v>
      </c>
      <c r="J578" s="1" t="s">
        <v>1023</v>
      </c>
      <c r="K578" s="1">
        <v>577.0</v>
      </c>
      <c r="L578" s="1" t="str">
        <f t="shared" si="1"/>
        <v>Spencer Rattler</v>
      </c>
      <c r="M578" s="124">
        <f>IFERROR(VLOOKUP(E578,RISK!A:B,2,FALSE()),"")</f>
        <v>3.2</v>
      </c>
      <c r="N578" s="116" t="str">
        <f t="shared" si="2"/>
        <v>#N/A</v>
      </c>
      <c r="Q578" s="8"/>
      <c r="R578" s="8"/>
      <c r="S578" s="8"/>
      <c r="T578" s="8"/>
    </row>
    <row r="579" ht="14.25" customHeight="1">
      <c r="A579" s="1">
        <v>576.0</v>
      </c>
      <c r="B579" s="1">
        <v>13.0</v>
      </c>
      <c r="C579" s="1" t="s">
        <v>1537</v>
      </c>
      <c r="D579" s="1" t="s">
        <v>1383</v>
      </c>
      <c r="E579" s="1" t="s">
        <v>1207</v>
      </c>
      <c r="F579" s="1" t="s">
        <v>1023</v>
      </c>
      <c r="G579" s="1" t="s">
        <v>1023</v>
      </c>
      <c r="H579" s="1" t="s">
        <v>1023</v>
      </c>
      <c r="I579" s="1" t="s">
        <v>1023</v>
      </c>
      <c r="J579" s="1" t="s">
        <v>1023</v>
      </c>
      <c r="K579" s="1">
        <v>578.0</v>
      </c>
      <c r="L579" s="1" t="str">
        <f t="shared" si="1"/>
        <v>Diontae Johnson</v>
      </c>
      <c r="M579" s="124">
        <f>IFERROR(VLOOKUP(E579,RISK!A:B,2,FALSE()),"")</f>
        <v>3.7</v>
      </c>
      <c r="N579" s="116" t="str">
        <f t="shared" si="2"/>
        <v>#N/A</v>
      </c>
      <c r="Q579" s="8"/>
      <c r="R579" s="8"/>
      <c r="S579" s="8"/>
      <c r="T579" s="8"/>
    </row>
    <row r="580" ht="14.25" customHeight="1">
      <c r="A580" s="1">
        <v>577.0</v>
      </c>
      <c r="B580" s="1">
        <v>13.0</v>
      </c>
      <c r="C580" s="1" t="s">
        <v>1538</v>
      </c>
      <c r="D580" s="1" t="s">
        <v>18</v>
      </c>
      <c r="E580" s="1" t="s">
        <v>1208</v>
      </c>
      <c r="F580" s="1">
        <v>7.0</v>
      </c>
      <c r="G580" s="1" t="s">
        <v>1023</v>
      </c>
      <c r="H580" s="1" t="s">
        <v>1023</v>
      </c>
      <c r="I580" s="1" t="s">
        <v>1004</v>
      </c>
      <c r="J580" s="1" t="s">
        <v>1023</v>
      </c>
      <c r="K580" s="1">
        <v>579.0</v>
      </c>
      <c r="L580" s="1" t="str">
        <f t="shared" si="1"/>
        <v>Mecole Hardman Jr.</v>
      </c>
      <c r="M580" s="124">
        <f>IFERROR(VLOOKUP(E580,RISK!A:B,2,FALSE()),"")</f>
        <v>3.7</v>
      </c>
      <c r="N580" s="116" t="str">
        <f t="shared" si="2"/>
        <v>#N/A</v>
      </c>
      <c r="Q580" s="8"/>
      <c r="R580" s="8"/>
      <c r="S580" s="8"/>
      <c r="T580" s="8"/>
    </row>
    <row r="581" ht="14.25" customHeight="1">
      <c r="A581" s="1">
        <v>578.0</v>
      </c>
      <c r="B581" s="1">
        <v>13.0</v>
      </c>
      <c r="C581" s="1" t="s">
        <v>1539</v>
      </c>
      <c r="D581" s="1" t="s">
        <v>1383</v>
      </c>
      <c r="E581" s="1" t="s">
        <v>1209</v>
      </c>
      <c r="F581" s="1" t="s">
        <v>1023</v>
      </c>
      <c r="G581" s="1" t="s">
        <v>1023</v>
      </c>
      <c r="H581" s="1" t="s">
        <v>1023</v>
      </c>
      <c r="I581" s="1" t="s">
        <v>1023</v>
      </c>
      <c r="J581" s="1" t="s">
        <v>1023</v>
      </c>
      <c r="K581" s="1">
        <v>580.0</v>
      </c>
      <c r="L581" s="1" t="str">
        <f t="shared" si="1"/>
        <v>Curtis Samuel</v>
      </c>
      <c r="M581" s="124">
        <f>IFERROR(VLOOKUP(E581,RISK!A:B,2,FALSE()),"")</f>
        <v>3.7</v>
      </c>
      <c r="N581" s="116" t="str">
        <f t="shared" si="2"/>
        <v>#N/A</v>
      </c>
      <c r="Q581" s="8"/>
      <c r="R581" s="8"/>
      <c r="S581" s="8"/>
      <c r="T581" s="8"/>
    </row>
    <row r="582" ht="14.25" customHeight="1">
      <c r="A582" s="1">
        <v>579.0</v>
      </c>
      <c r="B582" s="1">
        <v>13.0</v>
      </c>
      <c r="C582" s="1" t="s">
        <v>1540</v>
      </c>
      <c r="D582" s="1" t="s">
        <v>229</v>
      </c>
      <c r="E582" s="1" t="s">
        <v>1210</v>
      </c>
      <c r="F582" s="1">
        <v>11.0</v>
      </c>
      <c r="G582" s="1" t="s">
        <v>1023</v>
      </c>
      <c r="H582" s="1" t="s">
        <v>1023</v>
      </c>
      <c r="I582" s="1" t="s">
        <v>1007</v>
      </c>
      <c r="J582" s="1" t="s">
        <v>1023</v>
      </c>
      <c r="K582" s="1">
        <v>581.0</v>
      </c>
      <c r="L582" s="1" t="str">
        <f t="shared" si="1"/>
        <v>Vinny Anthony II</v>
      </c>
      <c r="M582" s="124">
        <f>IFERROR(VLOOKUP(E582,RISK!A:B,2,FALSE()),"")</f>
        <v>3.7</v>
      </c>
      <c r="N582" s="116" t="str">
        <f t="shared" si="2"/>
        <v>#N/A</v>
      </c>
      <c r="Q582" s="8"/>
      <c r="R582" s="8"/>
      <c r="S582" s="8"/>
      <c r="T582" s="8"/>
    </row>
    <row r="583" ht="14.25" customHeight="1">
      <c r="A583" s="1">
        <v>580.0</v>
      </c>
      <c r="B583" s="1">
        <v>13.0</v>
      </c>
      <c r="C583" s="1" t="s">
        <v>1541</v>
      </c>
      <c r="D583" s="1" t="s">
        <v>193</v>
      </c>
      <c r="E583" s="1" t="s">
        <v>1211</v>
      </c>
      <c r="F583" s="1">
        <v>13.0</v>
      </c>
      <c r="G583" s="1" t="s">
        <v>1023</v>
      </c>
      <c r="H583" s="1" t="s">
        <v>1023</v>
      </c>
      <c r="I583" s="1" t="s">
        <v>1004</v>
      </c>
      <c r="J583" s="1" t="s">
        <v>1023</v>
      </c>
      <c r="K583" s="1">
        <v>582.0</v>
      </c>
      <c r="L583" s="1" t="str">
        <f t="shared" si="1"/>
        <v>Coleman Owen</v>
      </c>
      <c r="M583" s="124">
        <f>IFERROR(VLOOKUP(E583,RISK!A:B,2,FALSE()),"")</f>
        <v>3.7</v>
      </c>
      <c r="N583" s="116" t="str">
        <f t="shared" si="2"/>
        <v>#N/A</v>
      </c>
      <c r="Q583" s="8"/>
      <c r="R583" s="8"/>
      <c r="S583" s="8"/>
      <c r="T583" s="8"/>
    </row>
    <row r="584" ht="14.25" customHeight="1">
      <c r="A584" s="1">
        <v>581.0</v>
      </c>
      <c r="B584" s="1">
        <v>13.0</v>
      </c>
      <c r="C584" s="1" t="s">
        <v>301</v>
      </c>
      <c r="D584" s="1" t="s">
        <v>220</v>
      </c>
      <c r="E584" s="1" t="s">
        <v>1236</v>
      </c>
      <c r="F584" s="1">
        <v>9.0</v>
      </c>
      <c r="G584" s="1" t="s">
        <v>1023</v>
      </c>
      <c r="H584" s="1" t="s">
        <v>1023</v>
      </c>
      <c r="I584" s="1" t="s">
        <v>1003</v>
      </c>
      <c r="J584" s="1" t="s">
        <v>1023</v>
      </c>
      <c r="K584" s="1">
        <v>583.0</v>
      </c>
      <c r="L584" s="1" t="str">
        <f t="shared" si="1"/>
        <v>Drew Allar</v>
      </c>
      <c r="M584" s="124">
        <f>IFERROR(VLOOKUP(E584,RISK!A:B,2,FALSE()),"")</f>
        <v>3.2</v>
      </c>
      <c r="N584" s="116" t="str">
        <f t="shared" si="2"/>
        <v>#N/A</v>
      </c>
      <c r="Q584" s="8"/>
      <c r="R584" s="8"/>
      <c r="S584" s="8"/>
      <c r="T584" s="8"/>
    </row>
    <row r="585" ht="14.25" customHeight="1">
      <c r="A585" s="1">
        <v>582.0</v>
      </c>
      <c r="B585" s="1">
        <v>13.0</v>
      </c>
      <c r="C585" s="1" t="s">
        <v>1542</v>
      </c>
      <c r="D585" s="1" t="s">
        <v>1383</v>
      </c>
      <c r="E585" s="1" t="s">
        <v>1212</v>
      </c>
      <c r="F585" s="1" t="s">
        <v>1023</v>
      </c>
      <c r="G585" s="1" t="s">
        <v>1023</v>
      </c>
      <c r="H585" s="1" t="s">
        <v>1023</v>
      </c>
      <c r="I585" s="1" t="s">
        <v>1023</v>
      </c>
      <c r="J585" s="1" t="s">
        <v>1023</v>
      </c>
      <c r="K585" s="1">
        <v>584.0</v>
      </c>
      <c r="L585" s="1" t="str">
        <f t="shared" si="1"/>
        <v>Tahj Washington</v>
      </c>
      <c r="M585" s="124">
        <f>IFERROR(VLOOKUP(E585,RISK!A:B,2,FALSE()),"")</f>
        <v>3.7</v>
      </c>
      <c r="N585" s="116" t="str">
        <f t="shared" si="2"/>
        <v>#N/A</v>
      </c>
      <c r="Q585" s="8"/>
      <c r="R585" s="8"/>
      <c r="S585" s="8"/>
      <c r="T585" s="8"/>
    </row>
    <row r="586" ht="14.25" customHeight="1">
      <c r="A586" s="1">
        <v>583.0</v>
      </c>
      <c r="B586" s="1">
        <v>13.0</v>
      </c>
      <c r="C586" s="1" t="s">
        <v>1543</v>
      </c>
      <c r="D586" s="1" t="s">
        <v>205</v>
      </c>
      <c r="E586" s="1" t="s">
        <v>1213</v>
      </c>
      <c r="F586" s="1">
        <v>8.0</v>
      </c>
      <c r="G586" s="1" t="s">
        <v>1023</v>
      </c>
      <c r="H586" s="1" t="s">
        <v>1023</v>
      </c>
      <c r="I586" s="1" t="s">
        <v>1007</v>
      </c>
      <c r="J586" s="1" t="s">
        <v>1023</v>
      </c>
      <c r="K586" s="1">
        <v>585.0</v>
      </c>
      <c r="L586" s="1" t="str">
        <f t="shared" si="1"/>
        <v>Jared Wayne</v>
      </c>
      <c r="M586" s="124">
        <f>IFERROR(VLOOKUP(E586,RISK!A:B,2,FALSE()),"")</f>
        <v>3.7</v>
      </c>
      <c r="N586" s="116" t="str">
        <f t="shared" si="2"/>
        <v>#N/A</v>
      </c>
      <c r="Q586" s="8"/>
      <c r="R586" s="8"/>
      <c r="S586" s="8"/>
      <c r="T586" s="8"/>
    </row>
    <row r="587" ht="14.25" customHeight="1">
      <c r="A587" s="1">
        <v>584.0</v>
      </c>
      <c r="B587" s="1">
        <v>13.0</v>
      </c>
      <c r="C587" s="1" t="s">
        <v>1544</v>
      </c>
      <c r="D587" s="1" t="s">
        <v>1383</v>
      </c>
      <c r="E587" s="1" t="s">
        <v>1214</v>
      </c>
      <c r="F587" s="1" t="s">
        <v>1023</v>
      </c>
      <c r="G587" s="1" t="s">
        <v>1023</v>
      </c>
      <c r="H587" s="1" t="s">
        <v>1023</v>
      </c>
      <c r="I587" s="1" t="s">
        <v>1023</v>
      </c>
      <c r="J587" s="1" t="s">
        <v>1023</v>
      </c>
      <c r="K587" s="1">
        <v>586.0</v>
      </c>
      <c r="L587" s="1" t="str">
        <f t="shared" si="1"/>
        <v>JuJu Smith-Schuster</v>
      </c>
      <c r="M587" s="124">
        <f>IFERROR(VLOOKUP(E587,RISK!A:B,2,FALSE()),"")</f>
        <v>3.7</v>
      </c>
      <c r="N587" s="116" t="str">
        <f t="shared" si="2"/>
        <v>#N/A</v>
      </c>
      <c r="Q587" s="8"/>
      <c r="R587" s="8"/>
      <c r="S587" s="8"/>
      <c r="T587" s="8"/>
    </row>
    <row r="588" ht="14.25" customHeight="1">
      <c r="A588" s="1">
        <v>585.0</v>
      </c>
      <c r="B588" s="1">
        <v>13.0</v>
      </c>
      <c r="C588" s="1" t="s">
        <v>1375</v>
      </c>
      <c r="D588" s="1" t="s">
        <v>199</v>
      </c>
      <c r="E588" s="1" t="s">
        <v>1215</v>
      </c>
      <c r="F588" s="1">
        <v>11.0</v>
      </c>
      <c r="G588" s="1" t="s">
        <v>1023</v>
      </c>
      <c r="H588" s="1" t="s">
        <v>1023</v>
      </c>
      <c r="I588" s="1" t="s">
        <v>1002</v>
      </c>
      <c r="J588" s="1" t="s">
        <v>1023</v>
      </c>
      <c r="K588" s="1">
        <v>587.0</v>
      </c>
      <c r="L588" s="1" t="str">
        <f t="shared" si="1"/>
        <v>J. Michael Sturdivant</v>
      </c>
      <c r="M588" s="124">
        <f>IFERROR(VLOOKUP(E588,RISK!A:B,2,FALSE()),"")</f>
        <v>3.7</v>
      </c>
      <c r="N588" s="116" t="str">
        <f t="shared" si="2"/>
        <v>#N/A</v>
      </c>
      <c r="Q588" s="8"/>
      <c r="R588" s="8"/>
      <c r="S588" s="8"/>
      <c r="T588" s="8"/>
    </row>
    <row r="589" ht="14.25" customHeight="1">
      <c r="A589" s="1">
        <v>586.0</v>
      </c>
      <c r="B589" s="1">
        <v>13.0</v>
      </c>
      <c r="C589" s="1" t="s">
        <v>1545</v>
      </c>
      <c r="D589" s="1" t="s">
        <v>202</v>
      </c>
      <c r="E589" s="1" t="s">
        <v>1216</v>
      </c>
      <c r="F589" s="1">
        <v>11.0</v>
      </c>
      <c r="G589" s="1" t="s">
        <v>1023</v>
      </c>
      <c r="H589" s="1" t="s">
        <v>1023</v>
      </c>
      <c r="I589" s="1" t="s">
        <v>1007</v>
      </c>
      <c r="J589" s="1" t="s">
        <v>1023</v>
      </c>
      <c r="K589" s="1">
        <v>588.0</v>
      </c>
      <c r="L589" s="1" t="str">
        <f t="shared" si="1"/>
        <v>Velus Jones Jr.</v>
      </c>
      <c r="M589" s="124">
        <f>IFERROR(VLOOKUP(E589,RISK!A:B,2,FALSE()),"")</f>
        <v>3.7</v>
      </c>
      <c r="N589" s="116" t="str">
        <f t="shared" si="2"/>
        <v>#N/A</v>
      </c>
      <c r="Q589" s="8"/>
      <c r="R589" s="8"/>
      <c r="S589" s="8"/>
      <c r="T589" s="8"/>
    </row>
    <row r="590" ht="14.25" customHeight="1">
      <c r="A590" s="1">
        <v>587.0</v>
      </c>
      <c r="B590" s="1">
        <v>13.0</v>
      </c>
      <c r="C590" s="1" t="s">
        <v>684</v>
      </c>
      <c r="D590" s="1" t="s">
        <v>145</v>
      </c>
      <c r="E590" s="1" t="s">
        <v>1546</v>
      </c>
      <c r="F590" s="1">
        <v>7.0</v>
      </c>
      <c r="G590" s="1" t="s">
        <v>1023</v>
      </c>
      <c r="H590" s="1" t="s">
        <v>1023</v>
      </c>
      <c r="I590" s="1" t="s">
        <v>1004</v>
      </c>
      <c r="J590" s="1" t="s">
        <v>1023</v>
      </c>
      <c r="K590" s="1">
        <v>589.0</v>
      </c>
      <c r="L590" s="1" t="str">
        <f t="shared" si="1"/>
        <v>DeeJay Dallas</v>
      </c>
      <c r="M590" s="124" t="str">
        <f>IFERROR(VLOOKUP(E590,RISK!A:B,2,FALSE()),"")</f>
        <v/>
      </c>
      <c r="N590" s="116" t="str">
        <f t="shared" si="2"/>
        <v>#N/A</v>
      </c>
      <c r="Q590" s="8"/>
      <c r="R590" s="8"/>
      <c r="S590" s="8"/>
      <c r="T590" s="8"/>
    </row>
    <row r="591" ht="14.25" customHeight="1">
      <c r="A591" s="1">
        <v>588.0</v>
      </c>
      <c r="B591" s="1">
        <v>13.0</v>
      </c>
      <c r="C591" s="1" t="s">
        <v>1547</v>
      </c>
      <c r="D591" s="1" t="s">
        <v>202</v>
      </c>
      <c r="E591" s="1" t="s">
        <v>1217</v>
      </c>
      <c r="F591" s="1">
        <v>11.0</v>
      </c>
      <c r="G591" s="1" t="s">
        <v>1023</v>
      </c>
      <c r="H591" s="1" t="s">
        <v>1023</v>
      </c>
      <c r="I591" s="1" t="s">
        <v>1007</v>
      </c>
      <c r="J591" s="1" t="s">
        <v>1023</v>
      </c>
      <c r="K591" s="1">
        <v>590.0</v>
      </c>
      <c r="L591" s="1" t="str">
        <f t="shared" si="1"/>
        <v>Montorie Foster Jr.</v>
      </c>
      <c r="M591" s="124">
        <f>IFERROR(VLOOKUP(E591,RISK!A:B,2,FALSE()),"")</f>
        <v>3.7</v>
      </c>
      <c r="N591" s="116" t="str">
        <f t="shared" si="2"/>
        <v>#N/A</v>
      </c>
      <c r="Q591" s="8"/>
      <c r="R591" s="8"/>
      <c r="S591" s="8"/>
      <c r="T591" s="8"/>
    </row>
    <row r="592" ht="14.25" customHeight="1">
      <c r="A592" s="1">
        <v>589.0</v>
      </c>
      <c r="B592" s="1">
        <v>13.0</v>
      </c>
      <c r="C592" s="1" t="s">
        <v>1548</v>
      </c>
      <c r="D592" s="1" t="s">
        <v>208</v>
      </c>
      <c r="E592" s="1" t="s">
        <v>1218</v>
      </c>
      <c r="F592" s="1">
        <v>5.0</v>
      </c>
      <c r="G592" s="1" t="s">
        <v>1023</v>
      </c>
      <c r="H592" s="1" t="s">
        <v>1023</v>
      </c>
      <c r="I592" s="1" t="s">
        <v>1003</v>
      </c>
      <c r="J592" s="1" t="s">
        <v>1023</v>
      </c>
      <c r="K592" s="1">
        <v>591.0</v>
      </c>
      <c r="L592" s="1" t="str">
        <f t="shared" si="1"/>
        <v>Casey Washington</v>
      </c>
      <c r="M592" s="124">
        <f>IFERROR(VLOOKUP(E592,RISK!A:B,2,FALSE()),"")</f>
        <v>3.7</v>
      </c>
      <c r="N592" s="116" t="str">
        <f t="shared" si="2"/>
        <v>#N/A</v>
      </c>
      <c r="Q592" s="8"/>
      <c r="R592" s="8"/>
      <c r="S592" s="8"/>
      <c r="T592" s="8"/>
    </row>
    <row r="593" ht="14.25" customHeight="1">
      <c r="A593" s="1">
        <v>590.0</v>
      </c>
      <c r="B593" s="1">
        <v>13.0</v>
      </c>
      <c r="C593" s="1" t="s">
        <v>1549</v>
      </c>
      <c r="D593" s="1" t="s">
        <v>159</v>
      </c>
      <c r="E593" s="1" t="s">
        <v>1219</v>
      </c>
      <c r="F593" s="1">
        <v>10.0</v>
      </c>
      <c r="G593" s="1" t="s">
        <v>1023</v>
      </c>
      <c r="H593" s="1" t="s">
        <v>1023</v>
      </c>
      <c r="I593" s="1" t="s">
        <v>1007</v>
      </c>
      <c r="J593" s="1" t="s">
        <v>1023</v>
      </c>
      <c r="K593" s="1">
        <v>592.0</v>
      </c>
      <c r="L593" s="1" t="str">
        <f t="shared" si="1"/>
        <v>Maurice Alexander</v>
      </c>
      <c r="M593" s="124">
        <f>IFERROR(VLOOKUP(E593,RISK!A:B,2,FALSE()),"")</f>
        <v>3.7</v>
      </c>
      <c r="N593" s="116" t="str">
        <f t="shared" si="2"/>
        <v>#N/A</v>
      </c>
      <c r="Q593" s="8"/>
      <c r="R593" s="8"/>
      <c r="S593" s="8"/>
      <c r="T593" s="8"/>
    </row>
    <row r="594" ht="14.25" customHeight="1">
      <c r="A594" s="1">
        <v>591.0</v>
      </c>
      <c r="B594" s="1">
        <v>13.0</v>
      </c>
      <c r="C594" s="1" t="s">
        <v>1025</v>
      </c>
      <c r="D594" s="1" t="s">
        <v>182</v>
      </c>
      <c r="E594" s="1" t="s">
        <v>1220</v>
      </c>
      <c r="F594" s="1">
        <v>8.0</v>
      </c>
      <c r="G594" s="1" t="s">
        <v>1023</v>
      </c>
      <c r="H594" s="1" t="s">
        <v>1023</v>
      </c>
      <c r="I594" s="1" t="s">
        <v>1007</v>
      </c>
      <c r="J594" s="1" t="s">
        <v>1023</v>
      </c>
      <c r="K594" s="1">
        <v>593.0</v>
      </c>
      <c r="L594" s="1" t="str">
        <f t="shared" si="1"/>
        <v>Mason Tipton</v>
      </c>
      <c r="M594" s="124">
        <f>IFERROR(VLOOKUP(E594,RISK!A:B,2,FALSE()),"")</f>
        <v>3.7</v>
      </c>
      <c r="N594" s="116" t="str">
        <f t="shared" si="2"/>
        <v>#N/A</v>
      </c>
      <c r="Q594" s="8"/>
      <c r="R594" s="8"/>
      <c r="S594" s="8"/>
      <c r="T594" s="8"/>
    </row>
    <row r="595" ht="14.25" customHeight="1">
      <c r="A595" s="1">
        <v>592.0</v>
      </c>
      <c r="B595" s="1">
        <v>13.0</v>
      </c>
      <c r="C595" s="1" t="s">
        <v>1550</v>
      </c>
      <c r="D595" s="1" t="s">
        <v>199</v>
      </c>
      <c r="E595" s="1" t="s">
        <v>1551</v>
      </c>
      <c r="F595" s="1">
        <v>11.0</v>
      </c>
      <c r="G595" s="1" t="s">
        <v>1023</v>
      </c>
      <c r="H595" s="1" t="s">
        <v>1023</v>
      </c>
      <c r="I595" s="1" t="s">
        <v>1004</v>
      </c>
      <c r="J595" s="1" t="s">
        <v>1023</v>
      </c>
      <c r="K595" s="1">
        <v>594.0</v>
      </c>
      <c r="L595" s="1" t="str">
        <f t="shared" si="1"/>
        <v>Pierre Strong Jr.</v>
      </c>
      <c r="M595" s="124" t="str">
        <f>IFERROR(VLOOKUP(E595,RISK!A:B,2,FALSE()),"")</f>
        <v/>
      </c>
      <c r="N595" s="116" t="str">
        <f t="shared" si="2"/>
        <v>#N/A</v>
      </c>
      <c r="Q595" s="8"/>
      <c r="R595" s="8"/>
      <c r="S595" s="8"/>
      <c r="T595" s="8"/>
    </row>
    <row r="596" ht="14.25" customHeight="1">
      <c r="A596" s="1">
        <v>593.0</v>
      </c>
      <c r="B596" s="1">
        <v>13.0</v>
      </c>
      <c r="C596" s="1" t="s">
        <v>1552</v>
      </c>
      <c r="D596" s="1" t="s">
        <v>18</v>
      </c>
      <c r="E596" s="1" t="s">
        <v>1297</v>
      </c>
      <c r="F596" s="1">
        <v>7.0</v>
      </c>
      <c r="G596" s="1" t="s">
        <v>1023</v>
      </c>
      <c r="H596" s="1" t="s">
        <v>1023</v>
      </c>
      <c r="I596" s="1" t="s">
        <v>1004</v>
      </c>
      <c r="J596" s="1" t="s">
        <v>1023</v>
      </c>
      <c r="K596" s="1">
        <v>595.0</v>
      </c>
      <c r="L596" s="1" t="str">
        <f t="shared" si="1"/>
        <v>Quentin Skinner</v>
      </c>
      <c r="M596" s="124">
        <f>IFERROR(VLOOKUP(E596,RISK!A:B,2,FALSE()),"")</f>
        <v>3.7</v>
      </c>
      <c r="N596" s="116" t="str">
        <f t="shared" si="2"/>
        <v>#N/A</v>
      </c>
      <c r="Q596" s="8"/>
      <c r="R596" s="8"/>
      <c r="S596" s="8"/>
      <c r="T596" s="8"/>
    </row>
    <row r="597" ht="14.25" customHeight="1">
      <c r="A597" s="1">
        <v>594.0</v>
      </c>
      <c r="B597" s="1">
        <v>13.0</v>
      </c>
      <c r="C597" s="1" t="s">
        <v>1346</v>
      </c>
      <c r="D597" s="1" t="s">
        <v>145</v>
      </c>
      <c r="E597" s="1" t="s">
        <v>1298</v>
      </c>
      <c r="F597" s="1">
        <v>7.0</v>
      </c>
      <c r="G597" s="1" t="s">
        <v>1023</v>
      </c>
      <c r="H597" s="1" t="s">
        <v>1023</v>
      </c>
      <c r="I597" s="1" t="s">
        <v>1004</v>
      </c>
      <c r="J597" s="1" t="s">
        <v>1023</v>
      </c>
      <c r="K597" s="1">
        <v>596.0</v>
      </c>
      <c r="L597" s="1" t="str">
        <f t="shared" si="1"/>
        <v>Josh Cameron</v>
      </c>
      <c r="M597" s="124">
        <f>IFERROR(VLOOKUP(E597,RISK!A:B,2,FALSE()),"")</f>
        <v>3.7</v>
      </c>
      <c r="N597" s="116" t="str">
        <f t="shared" si="2"/>
        <v>#N/A</v>
      </c>
      <c r="Q597" s="8"/>
      <c r="R597" s="8"/>
      <c r="S597" s="8"/>
      <c r="T597" s="8"/>
    </row>
    <row r="598" ht="14.25" customHeight="1">
      <c r="A598" s="1">
        <v>595.0</v>
      </c>
      <c r="B598" s="1">
        <v>13.0</v>
      </c>
      <c r="C598" s="1" t="s">
        <v>911</v>
      </c>
      <c r="D598" s="1" t="s">
        <v>199</v>
      </c>
      <c r="E598" s="1" t="s">
        <v>1316</v>
      </c>
      <c r="F598" s="1">
        <v>11.0</v>
      </c>
      <c r="G598" s="1" t="s">
        <v>1023</v>
      </c>
      <c r="H598" s="1" t="s">
        <v>1023</v>
      </c>
      <c r="I598" s="1" t="s">
        <v>1003</v>
      </c>
      <c r="J598" s="1" t="s">
        <v>1023</v>
      </c>
      <c r="K598" s="1">
        <v>597.0</v>
      </c>
      <c r="L598" s="1" t="str">
        <f t="shared" si="1"/>
        <v>Drake Dabney</v>
      </c>
      <c r="M598" s="124">
        <f>IFERROR(VLOOKUP(E598,RISK!A:B,2,FALSE()),"")</f>
        <v>2.2775</v>
      </c>
      <c r="N598" s="116" t="str">
        <f t="shared" si="2"/>
        <v>#N/A</v>
      </c>
      <c r="Q598" s="8"/>
      <c r="R598" s="8"/>
      <c r="S598" s="8"/>
      <c r="T598" s="8"/>
    </row>
    <row r="599" ht="14.25" customHeight="1">
      <c r="A599" s="1">
        <v>596.0</v>
      </c>
      <c r="B599" s="1">
        <v>13.0</v>
      </c>
      <c r="C599" s="1" t="s">
        <v>815</v>
      </c>
      <c r="D599" s="1" t="s">
        <v>182</v>
      </c>
      <c r="E599" s="1" t="s">
        <v>1299</v>
      </c>
      <c r="F599" s="1">
        <v>8.0</v>
      </c>
      <c r="G599" s="1" t="s">
        <v>1023</v>
      </c>
      <c r="H599" s="1" t="s">
        <v>1023</v>
      </c>
      <c r="I599" s="1" t="s">
        <v>1007</v>
      </c>
      <c r="J599" s="1" t="s">
        <v>1023</v>
      </c>
      <c r="K599" s="1">
        <v>598.0</v>
      </c>
      <c r="L599" s="1" t="str">
        <f t="shared" si="1"/>
        <v>Bub Means</v>
      </c>
      <c r="M599" s="124">
        <f>IFERROR(VLOOKUP(E599,RISK!A:B,2,FALSE()),"")</f>
        <v>3.7</v>
      </c>
      <c r="N599" s="116" t="str">
        <f t="shared" si="2"/>
        <v>#N/A</v>
      </c>
      <c r="Q599" s="8"/>
      <c r="R599" s="8"/>
      <c r="S599" s="8"/>
      <c r="T599" s="8"/>
    </row>
    <row r="600" ht="14.25" customHeight="1">
      <c r="A600" s="1">
        <v>597.0</v>
      </c>
      <c r="B600" s="1">
        <v>13.0</v>
      </c>
      <c r="C600" s="1" t="s">
        <v>1553</v>
      </c>
      <c r="D600" s="1" t="s">
        <v>134</v>
      </c>
      <c r="E600" s="1" t="s">
        <v>1300</v>
      </c>
      <c r="F600" s="1">
        <v>8.0</v>
      </c>
      <c r="G600" s="1" t="s">
        <v>1023</v>
      </c>
      <c r="H600" s="1" t="s">
        <v>1023</v>
      </c>
      <c r="I600" s="1" t="s">
        <v>1004</v>
      </c>
      <c r="J600" s="1" t="s">
        <v>1023</v>
      </c>
      <c r="K600" s="1">
        <v>599.0</v>
      </c>
      <c r="L600" s="1" t="str">
        <f t="shared" si="1"/>
        <v>Isaiah Hodgins</v>
      </c>
      <c r="M600" s="124">
        <f>IFERROR(VLOOKUP(E600,RISK!A:B,2,FALSE()),"")</f>
        <v>3.7</v>
      </c>
      <c r="N600" s="116" t="str">
        <f t="shared" si="2"/>
        <v>#N/A</v>
      </c>
      <c r="Q600" s="8"/>
      <c r="R600" s="8"/>
      <c r="S600" s="8"/>
      <c r="T600" s="8"/>
    </row>
    <row r="601" ht="14.25" customHeight="1">
      <c r="A601" s="1">
        <v>598.0</v>
      </c>
      <c r="B601" s="1">
        <v>13.0</v>
      </c>
      <c r="C601" s="1" t="s">
        <v>1554</v>
      </c>
      <c r="D601" s="1" t="s">
        <v>182</v>
      </c>
      <c r="E601" s="1" t="s">
        <v>1301</v>
      </c>
      <c r="F601" s="1">
        <v>8.0</v>
      </c>
      <c r="G601" s="1" t="s">
        <v>1023</v>
      </c>
      <c r="H601" s="1" t="s">
        <v>1023</v>
      </c>
      <c r="I601" s="1" t="s">
        <v>1007</v>
      </c>
      <c r="J601" s="1" t="s">
        <v>1023</v>
      </c>
      <c r="K601" s="1">
        <v>600.0</v>
      </c>
      <c r="L601" s="1" t="str">
        <f t="shared" si="1"/>
        <v>Kevin Austin Jr.</v>
      </c>
      <c r="M601" s="124">
        <f>IFERROR(VLOOKUP(E601,RISK!A:B,2,FALSE()),"")</f>
        <v>3.7</v>
      </c>
      <c r="N601" s="116" t="str">
        <f t="shared" si="2"/>
        <v>#N/A</v>
      </c>
      <c r="Q601" s="8"/>
      <c r="R601" s="8"/>
      <c r="S601" s="8"/>
      <c r="T601" s="8"/>
    </row>
    <row r="602" ht="14.25" customHeight="1">
      <c r="A602" s="1">
        <v>599.0</v>
      </c>
      <c r="B602" s="1">
        <v>13.0</v>
      </c>
      <c r="C602" s="1" t="s">
        <v>910</v>
      </c>
      <c r="D602" s="1" t="s">
        <v>220</v>
      </c>
      <c r="E602" s="1" t="s">
        <v>1317</v>
      </c>
      <c r="F602" s="1">
        <v>9.0</v>
      </c>
      <c r="G602" s="1" t="s">
        <v>1023</v>
      </c>
      <c r="H602" s="1" t="s">
        <v>1023</v>
      </c>
      <c r="I602" s="1" t="s">
        <v>1003</v>
      </c>
      <c r="J602" s="1" t="s">
        <v>1023</v>
      </c>
      <c r="K602" s="1">
        <v>601.0</v>
      </c>
      <c r="L602" s="1" t="str">
        <f t="shared" si="1"/>
        <v>Jaheim Bell</v>
      </c>
      <c r="M602" s="124">
        <f>IFERROR(VLOOKUP(E602,RISK!A:B,2,FALSE()),"")</f>
        <v>2.2775</v>
      </c>
      <c r="N602" s="116" t="str">
        <f t="shared" si="2"/>
        <v>#N/A</v>
      </c>
      <c r="Q602" s="8"/>
      <c r="R602" s="8"/>
      <c r="S602" s="8"/>
      <c r="T602" s="8"/>
    </row>
    <row r="603" ht="14.25" customHeight="1">
      <c r="A603" s="1">
        <v>600.0</v>
      </c>
      <c r="B603" s="1">
        <v>13.0</v>
      </c>
      <c r="C603" s="1" t="s">
        <v>1411</v>
      </c>
      <c r="D603" s="1" t="s">
        <v>193</v>
      </c>
      <c r="E603" s="1" t="s">
        <v>1302</v>
      </c>
      <c r="F603" s="1">
        <v>13.0</v>
      </c>
      <c r="G603" s="1" t="s">
        <v>1023</v>
      </c>
      <c r="H603" s="1" t="s">
        <v>1023</v>
      </c>
      <c r="I603" s="1" t="s">
        <v>1004</v>
      </c>
      <c r="J603" s="1" t="s">
        <v>1023</v>
      </c>
      <c r="K603" s="1">
        <v>602.0</v>
      </c>
      <c r="L603" s="1" t="str">
        <f t="shared" si="1"/>
        <v>Anthony Gould</v>
      </c>
      <c r="M603" s="124">
        <f>IFERROR(VLOOKUP(E603,RISK!A:B,2,FALSE()),"")</f>
        <v>3.7</v>
      </c>
      <c r="N603" s="116" t="str">
        <f t="shared" si="2"/>
        <v>#N/A</v>
      </c>
      <c r="Q603" s="8"/>
      <c r="R603" s="8"/>
      <c r="S603" s="8"/>
      <c r="T603" s="8"/>
    </row>
    <row r="604" ht="14.25" customHeight="1">
      <c r="A604" s="1">
        <v>601.0</v>
      </c>
      <c r="B604" s="1">
        <v>13.0</v>
      </c>
      <c r="C604" s="1" t="s">
        <v>1555</v>
      </c>
      <c r="D604" s="1" t="s">
        <v>127</v>
      </c>
      <c r="E604" s="1" t="s">
        <v>1305</v>
      </c>
      <c r="F604" s="1">
        <v>6.0</v>
      </c>
      <c r="G604" s="1" t="s">
        <v>1023</v>
      </c>
      <c r="H604" s="1" t="s">
        <v>1023</v>
      </c>
      <c r="I604" s="1" t="s">
        <v>1004</v>
      </c>
      <c r="J604" s="1" t="s">
        <v>1023</v>
      </c>
      <c r="K604" s="1">
        <v>603.0</v>
      </c>
      <c r="L604" s="1" t="str">
        <f t="shared" si="1"/>
        <v>Kendric Pryor</v>
      </c>
      <c r="M604" s="124">
        <f>IFERROR(VLOOKUP(E604,RISK!A:B,2,FALSE()),"")</f>
        <v>3.7</v>
      </c>
      <c r="N604" s="116" t="str">
        <f t="shared" si="2"/>
        <v>#N/A</v>
      </c>
      <c r="Q604" s="8"/>
      <c r="R604" s="8"/>
      <c r="S604" s="8"/>
      <c r="T604" s="8"/>
    </row>
    <row r="605" ht="14.25" customHeight="1">
      <c r="A605" s="1">
        <v>602.0</v>
      </c>
      <c r="B605" s="1">
        <v>13.0</v>
      </c>
      <c r="C605" s="1" t="s">
        <v>1556</v>
      </c>
      <c r="D605" s="1" t="s">
        <v>189</v>
      </c>
      <c r="E605" s="1" t="s">
        <v>1306</v>
      </c>
      <c r="F605" s="1">
        <v>6.0</v>
      </c>
      <c r="G605" s="1" t="s">
        <v>1023</v>
      </c>
      <c r="H605" s="1" t="s">
        <v>1023</v>
      </c>
      <c r="I605" s="1" t="s">
        <v>1002</v>
      </c>
      <c r="J605" s="1" t="s">
        <v>1023</v>
      </c>
      <c r="K605" s="1">
        <v>604.0</v>
      </c>
      <c r="L605" s="1" t="str">
        <f t="shared" si="1"/>
        <v>Michael Briscoe</v>
      </c>
      <c r="M605" s="124">
        <f>IFERROR(VLOOKUP(E605,RISK!A:B,2,FALSE()),"")</f>
        <v>3.7</v>
      </c>
      <c r="N605" s="116" t="str">
        <f t="shared" si="2"/>
        <v>#N/A</v>
      </c>
      <c r="Q605" s="8"/>
      <c r="R605" s="8"/>
      <c r="S605" s="8"/>
      <c r="T605" s="8"/>
    </row>
    <row r="606" ht="14.25" customHeight="1">
      <c r="A606" s="1">
        <v>603.0</v>
      </c>
      <c r="B606" s="1">
        <v>13.0</v>
      </c>
      <c r="C606" s="1" t="s">
        <v>1557</v>
      </c>
      <c r="D606" s="1" t="s">
        <v>140</v>
      </c>
      <c r="E606" s="1" t="s">
        <v>1307</v>
      </c>
      <c r="F606" s="1">
        <v>8.0</v>
      </c>
      <c r="G606" s="1" t="s">
        <v>1023</v>
      </c>
      <c r="H606" s="1" t="s">
        <v>1023</v>
      </c>
      <c r="I606" s="1" t="s">
        <v>1003</v>
      </c>
      <c r="J606" s="1" t="s">
        <v>1023</v>
      </c>
      <c r="K606" s="1">
        <v>605.0</v>
      </c>
      <c r="L606" s="1" t="str">
        <f t="shared" si="1"/>
        <v>Jordan Watkins</v>
      </c>
      <c r="M606" s="124">
        <f>IFERROR(VLOOKUP(E606,RISK!A:B,2,FALSE()),"")</f>
        <v>3.7</v>
      </c>
      <c r="N606" s="116" t="str">
        <f t="shared" si="2"/>
        <v>#N/A</v>
      </c>
      <c r="Q606" s="8"/>
      <c r="R606" s="8"/>
      <c r="S606" s="8"/>
      <c r="T606" s="8"/>
    </row>
    <row r="607" ht="14.25" customHeight="1">
      <c r="A607" s="1">
        <v>604.0</v>
      </c>
      <c r="B607" s="1">
        <v>13.0</v>
      </c>
      <c r="C607" s="1" t="s">
        <v>1336</v>
      </c>
      <c r="D607" s="1" t="s">
        <v>226</v>
      </c>
      <c r="E607" s="1" t="s">
        <v>1237</v>
      </c>
      <c r="F607" s="1">
        <v>11.0</v>
      </c>
      <c r="G607" s="1" t="s">
        <v>1023</v>
      </c>
      <c r="H607" s="1" t="s">
        <v>1023</v>
      </c>
      <c r="I607" s="1" t="s">
        <v>1004</v>
      </c>
      <c r="J607" s="1" t="s">
        <v>1023</v>
      </c>
      <c r="K607" s="1">
        <v>606.0</v>
      </c>
      <c r="L607" s="1" t="str">
        <f t="shared" si="1"/>
        <v>Taylen Green</v>
      </c>
      <c r="M607" s="124">
        <f>IFERROR(VLOOKUP(E607,RISK!A:B,2,FALSE()),"")</f>
        <v>3.2</v>
      </c>
      <c r="N607" s="116" t="str">
        <f t="shared" si="2"/>
        <v>#N/A</v>
      </c>
      <c r="Q607" s="8"/>
      <c r="R607" s="8"/>
      <c r="S607" s="8"/>
      <c r="T607" s="8"/>
    </row>
    <row r="608" ht="14.25" customHeight="1">
      <c r="A608" s="1">
        <v>605.0</v>
      </c>
      <c r="B608" s="1">
        <v>13.0</v>
      </c>
      <c r="C608" s="1" t="s">
        <v>1558</v>
      </c>
      <c r="D608" s="1" t="s">
        <v>214</v>
      </c>
      <c r="E608" s="1" t="s">
        <v>1308</v>
      </c>
      <c r="F608" s="1">
        <v>9.0</v>
      </c>
      <c r="G608" s="1" t="s">
        <v>1023</v>
      </c>
      <c r="H608" s="1" t="s">
        <v>1023</v>
      </c>
      <c r="I608" s="1" t="s">
        <v>1007</v>
      </c>
      <c r="J608" s="1" t="s">
        <v>1023</v>
      </c>
      <c r="K608" s="1">
        <v>607.0</v>
      </c>
      <c r="L608" s="1" t="str">
        <f t="shared" si="1"/>
        <v>K.J. Osborn</v>
      </c>
      <c r="M608" s="124">
        <f>IFERROR(VLOOKUP(E608,RISK!A:B,2,FALSE()),"")</f>
        <v>3.7</v>
      </c>
      <c r="N608" s="116" t="str">
        <f t="shared" si="2"/>
        <v>#N/A</v>
      </c>
      <c r="Q608" s="8"/>
      <c r="R608" s="8"/>
      <c r="S608" s="8"/>
      <c r="T608" s="8"/>
    </row>
    <row r="609" ht="14.25" customHeight="1">
      <c r="A609" s="1">
        <v>606.0</v>
      </c>
      <c r="B609" s="1">
        <v>13.0</v>
      </c>
      <c r="C609" s="1" t="s">
        <v>1040</v>
      </c>
      <c r="D609" s="1" t="s">
        <v>150</v>
      </c>
      <c r="E609" s="1" t="s">
        <v>1309</v>
      </c>
      <c r="F609" s="1">
        <v>14.0</v>
      </c>
      <c r="G609" s="1" t="s">
        <v>1023</v>
      </c>
      <c r="H609" s="1" t="s">
        <v>1023</v>
      </c>
      <c r="I609" s="1" t="s">
        <v>1003</v>
      </c>
      <c r="J609" s="1" t="s">
        <v>1023</v>
      </c>
      <c r="K609" s="1">
        <v>608.0</v>
      </c>
      <c r="L609" s="1" t="str">
        <f t="shared" si="1"/>
        <v>Jonathan Mingo</v>
      </c>
      <c r="M609" s="124">
        <f>IFERROR(VLOOKUP(E609,RISK!A:B,2,FALSE()),"")</f>
        <v>3.7</v>
      </c>
      <c r="N609" s="116" t="str">
        <f t="shared" si="2"/>
        <v>#N/A</v>
      </c>
      <c r="Q609" s="8"/>
      <c r="R609" s="8"/>
      <c r="S609" s="8"/>
      <c r="T609" s="8"/>
    </row>
    <row r="610" ht="14.25" customHeight="1">
      <c r="A610" s="1">
        <v>607.0</v>
      </c>
      <c r="B610" s="1">
        <v>13.0</v>
      </c>
      <c r="C610" s="1" t="s">
        <v>1559</v>
      </c>
      <c r="D610" s="1" t="s">
        <v>1383</v>
      </c>
      <c r="E610" s="1" t="s">
        <v>1310</v>
      </c>
      <c r="F610" s="1" t="s">
        <v>1023</v>
      </c>
      <c r="G610" s="1" t="s">
        <v>1023</v>
      </c>
      <c r="H610" s="1" t="s">
        <v>1023</v>
      </c>
      <c r="I610" s="1" t="s">
        <v>1023</v>
      </c>
      <c r="J610" s="1" t="s">
        <v>1023</v>
      </c>
      <c r="K610" s="1">
        <v>609.0</v>
      </c>
      <c r="L610" s="1" t="str">
        <f t="shared" si="1"/>
        <v>Joshua Cephus</v>
      </c>
      <c r="M610" s="124">
        <f>IFERROR(VLOOKUP(E610,RISK!A:B,2,FALSE()),"")</f>
        <v>3.7</v>
      </c>
      <c r="N610" s="116" t="str">
        <f t="shared" si="2"/>
        <v>#N/A</v>
      </c>
      <c r="Q610" s="8"/>
      <c r="R610" s="8"/>
      <c r="S610" s="8"/>
      <c r="T610" s="8"/>
    </row>
    <row r="611" ht="14.25" customHeight="1">
      <c r="A611" s="1">
        <v>608.0</v>
      </c>
      <c r="B611" s="1">
        <v>13.0</v>
      </c>
      <c r="C611" s="1" t="s">
        <v>1560</v>
      </c>
      <c r="D611" s="1" t="s">
        <v>229</v>
      </c>
      <c r="E611" s="1" t="s">
        <v>1238</v>
      </c>
      <c r="F611" s="1">
        <v>11.0</v>
      </c>
      <c r="G611" s="1" t="s">
        <v>1023</v>
      </c>
      <c r="H611" s="1" t="s">
        <v>1023</v>
      </c>
      <c r="I611" s="1" t="s">
        <v>1004</v>
      </c>
      <c r="J611" s="1" t="s">
        <v>1023</v>
      </c>
      <c r="K611" s="1">
        <v>610.0</v>
      </c>
      <c r="L611" s="1" t="str">
        <f t="shared" si="1"/>
        <v>Cooper Rush</v>
      </c>
      <c r="M611" s="124">
        <f>IFERROR(VLOOKUP(E611,RISK!A:B,2,FALSE()),"")</f>
        <v>3.2</v>
      </c>
      <c r="N611" s="116" t="str">
        <f t="shared" si="2"/>
        <v>#N/A</v>
      </c>
      <c r="Q611" s="8"/>
      <c r="R611" s="8"/>
      <c r="S611" s="8"/>
      <c r="T611" s="8"/>
    </row>
    <row r="612" ht="14.25" customHeight="1">
      <c r="A612" s="1">
        <v>609.0</v>
      </c>
      <c r="B612" s="1">
        <v>13.0</v>
      </c>
      <c r="C612" s="1" t="s">
        <v>1561</v>
      </c>
      <c r="D612" s="1" t="s">
        <v>179</v>
      </c>
      <c r="E612" s="1" t="s">
        <v>1311</v>
      </c>
      <c r="F612" s="1">
        <v>6.0</v>
      </c>
      <c r="G612" s="1" t="s">
        <v>1023</v>
      </c>
      <c r="H612" s="1" t="s">
        <v>1023</v>
      </c>
      <c r="I612" s="1" t="s">
        <v>1004</v>
      </c>
      <c r="J612" s="1" t="s">
        <v>1023</v>
      </c>
      <c r="K612" s="1">
        <v>611.0</v>
      </c>
      <c r="L612" s="1" t="str">
        <f t="shared" si="1"/>
        <v>Dominic Lovett</v>
      </c>
      <c r="M612" s="124">
        <f>IFERROR(VLOOKUP(E612,RISK!A:B,2,FALSE()),"")</f>
        <v>3.7</v>
      </c>
      <c r="N612" s="116" t="str">
        <f t="shared" si="2"/>
        <v>#N/A</v>
      </c>
      <c r="Q612" s="8"/>
      <c r="R612" s="8"/>
      <c r="S612" s="8"/>
      <c r="T612" s="8"/>
    </row>
    <row r="613" ht="14.25" customHeight="1">
      <c r="A613" s="1">
        <v>610.0</v>
      </c>
      <c r="B613" s="1">
        <v>13.0</v>
      </c>
      <c r="C613" s="1" t="s">
        <v>1562</v>
      </c>
      <c r="D613" s="1" t="s">
        <v>1383</v>
      </c>
      <c r="E613" s="1" t="s">
        <v>1312</v>
      </c>
      <c r="F613" s="1" t="s">
        <v>1023</v>
      </c>
      <c r="G613" s="1" t="s">
        <v>1023</v>
      </c>
      <c r="H613" s="1" t="s">
        <v>1023</v>
      </c>
      <c r="I613" s="1" t="s">
        <v>1023</v>
      </c>
      <c r="J613" s="1" t="s">
        <v>1023</v>
      </c>
      <c r="K613" s="1">
        <v>612.0</v>
      </c>
      <c r="L613" s="1" t="str">
        <f t="shared" si="1"/>
        <v>Deontay Burnett</v>
      </c>
      <c r="M613" s="124">
        <f>IFERROR(VLOOKUP(E613,RISK!A:B,2,FALSE()),"")</f>
        <v>3.7</v>
      </c>
      <c r="N613" s="116" t="str">
        <f t="shared" si="2"/>
        <v>#N/A</v>
      </c>
      <c r="Q613" s="8"/>
      <c r="R613" s="8"/>
      <c r="S613" s="8"/>
      <c r="T613" s="8"/>
    </row>
    <row r="614" ht="14.25" customHeight="1">
      <c r="A614" s="1">
        <v>611.0</v>
      </c>
      <c r="B614" s="1">
        <v>13.0</v>
      </c>
      <c r="C614" s="1" t="s">
        <v>1343</v>
      </c>
      <c r="D614" s="1" t="s">
        <v>170</v>
      </c>
      <c r="E614" s="1" t="s">
        <v>1563</v>
      </c>
      <c r="F614" s="1">
        <v>10.0</v>
      </c>
      <c r="G614" s="1" t="s">
        <v>1023</v>
      </c>
      <c r="H614" s="1" t="s">
        <v>1023</v>
      </c>
      <c r="I614" s="1" t="s">
        <v>1003</v>
      </c>
      <c r="J614" s="1" t="s">
        <v>1023</v>
      </c>
      <c r="K614" s="1">
        <v>613.0</v>
      </c>
      <c r="L614" s="1" t="str">
        <f t="shared" si="1"/>
        <v>Michael Bandy</v>
      </c>
      <c r="M614" s="124" t="str">
        <f>IFERROR(VLOOKUP(E614,RISK!A:B,2,FALSE()),"")</f>
        <v/>
      </c>
      <c r="N614" s="116" t="str">
        <f t="shared" si="2"/>
        <v>#N/A</v>
      </c>
      <c r="Q614" s="8"/>
      <c r="R614" s="8"/>
      <c r="S614" s="8"/>
      <c r="T614" s="8"/>
    </row>
    <row r="615" ht="14.25" customHeight="1">
      <c r="A615" s="1">
        <v>612.0</v>
      </c>
      <c r="B615" s="1">
        <v>13.0</v>
      </c>
      <c r="C615" s="1" t="s">
        <v>1564</v>
      </c>
      <c r="D615" s="1" t="s">
        <v>202</v>
      </c>
      <c r="E615" s="1" t="s">
        <v>1565</v>
      </c>
      <c r="F615" s="1">
        <v>11.0</v>
      </c>
      <c r="G615" s="1" t="s">
        <v>1023</v>
      </c>
      <c r="H615" s="1" t="s">
        <v>1023</v>
      </c>
      <c r="I615" s="1" t="s">
        <v>1007</v>
      </c>
      <c r="J615" s="1" t="s">
        <v>1023</v>
      </c>
      <c r="K615" s="1">
        <v>614.0</v>
      </c>
      <c r="L615" s="1" t="str">
        <f t="shared" si="1"/>
        <v>Ricky White III</v>
      </c>
      <c r="M615" s="124" t="str">
        <f>IFERROR(VLOOKUP(E615,RISK!A:B,2,FALSE()),"")</f>
        <v/>
      </c>
      <c r="N615" s="116" t="str">
        <f t="shared" si="2"/>
        <v>#N/A</v>
      </c>
      <c r="Q615" s="8"/>
      <c r="R615" s="8"/>
      <c r="S615" s="8"/>
      <c r="T615" s="8"/>
    </row>
    <row r="616" ht="14.25" customHeight="1">
      <c r="A616" s="1">
        <v>613.0</v>
      </c>
      <c r="B616" s="1">
        <v>13.0</v>
      </c>
      <c r="C616" s="1" t="s">
        <v>1098</v>
      </c>
      <c r="D616" s="1" t="s">
        <v>210</v>
      </c>
      <c r="E616" s="1" t="s">
        <v>1566</v>
      </c>
      <c r="F616" s="1">
        <v>13.0</v>
      </c>
      <c r="G616" s="1" t="s">
        <v>1023</v>
      </c>
      <c r="H616" s="1" t="s">
        <v>1023</v>
      </c>
      <c r="I616" s="1" t="s">
        <v>1004</v>
      </c>
      <c r="J616" s="1" t="s">
        <v>1023</v>
      </c>
      <c r="K616" s="1">
        <v>615.0</v>
      </c>
      <c r="L616" s="1" t="str">
        <f t="shared" si="1"/>
        <v>Arian Smith</v>
      </c>
      <c r="M616" s="124" t="str">
        <f>IFERROR(VLOOKUP(E616,RISK!A:B,2,FALSE()),"")</f>
        <v/>
      </c>
      <c r="N616" s="116" t="str">
        <f t="shared" si="2"/>
        <v>#N/A</v>
      </c>
      <c r="Q616" s="8"/>
      <c r="R616" s="8"/>
      <c r="S616" s="8"/>
      <c r="T616" s="8"/>
    </row>
    <row r="617" ht="14.25" customHeight="1">
      <c r="A617" s="1">
        <v>614.0</v>
      </c>
      <c r="B617" s="1">
        <v>13.0</v>
      </c>
      <c r="C617" s="1" t="s">
        <v>1567</v>
      </c>
      <c r="D617" s="1" t="s">
        <v>1383</v>
      </c>
      <c r="E617" s="1" t="s">
        <v>1568</v>
      </c>
      <c r="F617" s="1" t="s">
        <v>1023</v>
      </c>
      <c r="G617" s="1" t="s">
        <v>1023</v>
      </c>
      <c r="H617" s="1" t="s">
        <v>1023</v>
      </c>
      <c r="I617" s="1" t="s">
        <v>1023</v>
      </c>
      <c r="J617" s="1" t="s">
        <v>1023</v>
      </c>
      <c r="K617" s="1">
        <v>616.0</v>
      </c>
      <c r="L617" s="1" t="str">
        <f t="shared" si="1"/>
        <v>Jermaine Burton</v>
      </c>
      <c r="M617" s="124" t="str">
        <f>IFERROR(VLOOKUP(E617,RISK!A:B,2,FALSE()),"")</f>
        <v/>
      </c>
      <c r="N617" s="116" t="str">
        <f t="shared" si="2"/>
        <v>#N/A</v>
      </c>
      <c r="Q617" s="8"/>
      <c r="R617" s="8"/>
      <c r="S617" s="8"/>
      <c r="T617" s="8"/>
    </row>
    <row r="618" ht="14.25" customHeight="1">
      <c r="A618" s="1">
        <v>615.0</v>
      </c>
      <c r="B618" s="1">
        <v>13.0</v>
      </c>
      <c r="C618" s="1" t="s">
        <v>1569</v>
      </c>
      <c r="D618" s="1" t="s">
        <v>196</v>
      </c>
      <c r="E618" s="1" t="s">
        <v>1570</v>
      </c>
      <c r="F618" s="1">
        <v>6.0</v>
      </c>
      <c r="G618" s="1" t="s">
        <v>1023</v>
      </c>
      <c r="H618" s="1" t="s">
        <v>1023</v>
      </c>
      <c r="I618" s="1" t="s">
        <v>1007</v>
      </c>
      <c r="J618" s="1" t="s">
        <v>1023</v>
      </c>
      <c r="K618" s="1">
        <v>617.0</v>
      </c>
      <c r="L618" s="1" t="str">
        <f t="shared" si="1"/>
        <v>Terrace Marshall Jr.</v>
      </c>
      <c r="M618" s="124" t="str">
        <f>IFERROR(VLOOKUP(E618,RISK!A:B,2,FALSE()),"")</f>
        <v/>
      </c>
      <c r="N618" s="116" t="str">
        <f t="shared" si="2"/>
        <v>#N/A</v>
      </c>
      <c r="Q618" s="8"/>
      <c r="R618" s="8"/>
      <c r="S618" s="8"/>
      <c r="T618" s="8"/>
    </row>
    <row r="619" ht="14.25" customHeight="1">
      <c r="A619" s="1">
        <v>616.0</v>
      </c>
      <c r="B619" s="1">
        <v>13.0</v>
      </c>
      <c r="C619" s="1" t="s">
        <v>1167</v>
      </c>
      <c r="D619" s="1" t="s">
        <v>186</v>
      </c>
      <c r="E619" s="1" t="s">
        <v>1571</v>
      </c>
      <c r="F619" s="1">
        <v>10.0</v>
      </c>
      <c r="G619" s="1" t="s">
        <v>1023</v>
      </c>
      <c r="H619" s="1" t="s">
        <v>1023</v>
      </c>
      <c r="I619" s="1" t="s">
        <v>1004</v>
      </c>
      <c r="J619" s="1" t="s">
        <v>1023</v>
      </c>
      <c r="K619" s="1">
        <v>618.0</v>
      </c>
      <c r="L619" s="1" t="str">
        <f t="shared" si="1"/>
        <v>Kameron Johnson</v>
      </c>
      <c r="M619" s="124" t="str">
        <f>IFERROR(VLOOKUP(E619,RISK!A:B,2,FALSE()),"")</f>
        <v/>
      </c>
      <c r="N619" s="116" t="str">
        <f t="shared" si="2"/>
        <v>#N/A</v>
      </c>
      <c r="Q619" s="8"/>
      <c r="R619" s="8"/>
      <c r="S619" s="8"/>
      <c r="T619" s="8"/>
    </row>
    <row r="620" ht="14.25" customHeight="1">
      <c r="A620" s="1">
        <v>617.0</v>
      </c>
      <c r="B620" s="1">
        <v>13.0</v>
      </c>
      <c r="C620" s="1" t="s">
        <v>1037</v>
      </c>
      <c r="D620" s="1" t="s">
        <v>117</v>
      </c>
      <c r="E620" s="1" t="s">
        <v>1572</v>
      </c>
      <c r="F620" s="1">
        <v>10.0</v>
      </c>
      <c r="G620" s="1" t="s">
        <v>1023</v>
      </c>
      <c r="H620" s="1" t="s">
        <v>1023</v>
      </c>
      <c r="I620" s="1" t="s">
        <v>1004</v>
      </c>
      <c r="J620" s="1" t="s">
        <v>1023</v>
      </c>
      <c r="K620" s="1">
        <v>619.0</v>
      </c>
      <c r="L620" s="1" t="str">
        <f t="shared" si="1"/>
        <v>Darius Cooper</v>
      </c>
      <c r="M620" s="124" t="str">
        <f>IFERROR(VLOOKUP(E620,RISK!A:B,2,FALSE()),"")</f>
        <v/>
      </c>
      <c r="N620" s="116" t="str">
        <f t="shared" si="2"/>
        <v>#N/A</v>
      </c>
      <c r="Q620" s="8"/>
      <c r="R620" s="8"/>
      <c r="S620" s="8"/>
      <c r="T620" s="8"/>
    </row>
    <row r="621" ht="14.25" customHeight="1">
      <c r="A621" s="1">
        <v>618.0</v>
      </c>
      <c r="B621" s="1">
        <v>13.0</v>
      </c>
      <c r="C621" s="1" t="s">
        <v>318</v>
      </c>
      <c r="D621" s="1" t="s">
        <v>220</v>
      </c>
      <c r="E621" s="1" t="s">
        <v>1239</v>
      </c>
      <c r="F621" s="1">
        <v>9.0</v>
      </c>
      <c r="G621" s="1" t="s">
        <v>1023</v>
      </c>
      <c r="H621" s="1" t="s">
        <v>1023</v>
      </c>
      <c r="I621" s="1" t="s">
        <v>1003</v>
      </c>
      <c r="J621" s="1" t="s">
        <v>1023</v>
      </c>
      <c r="K621" s="1">
        <v>620.0</v>
      </c>
      <c r="L621" s="1" t="str">
        <f t="shared" si="1"/>
        <v>Mason Rudolph</v>
      </c>
      <c r="M621" s="124">
        <f>IFERROR(VLOOKUP(E621,RISK!A:B,2,FALSE()),"")</f>
        <v>3.2</v>
      </c>
      <c r="N621" s="116" t="str">
        <f t="shared" si="2"/>
        <v>#N/A</v>
      </c>
      <c r="Q621" s="8"/>
      <c r="R621" s="8"/>
      <c r="S621" s="8"/>
      <c r="T621" s="8"/>
    </row>
    <row r="622" ht="14.25" customHeight="1">
      <c r="A622" s="1">
        <v>619.0</v>
      </c>
      <c r="B622" s="1">
        <v>13.0</v>
      </c>
      <c r="C622" s="1" t="s">
        <v>1573</v>
      </c>
      <c r="D622" s="1" t="s">
        <v>176</v>
      </c>
      <c r="E622" s="1" t="s">
        <v>1574</v>
      </c>
      <c r="F622" s="1">
        <v>11.0</v>
      </c>
      <c r="G622" s="1" t="s">
        <v>1023</v>
      </c>
      <c r="H622" s="1" t="s">
        <v>1023</v>
      </c>
      <c r="I622" s="1" t="s">
        <v>1006</v>
      </c>
      <c r="J622" s="1" t="s">
        <v>1023</v>
      </c>
      <c r="K622" s="1">
        <v>621.0</v>
      </c>
      <c r="L622" s="1" t="str">
        <f t="shared" si="1"/>
        <v>Tyler Scott</v>
      </c>
      <c r="M622" s="124" t="str">
        <f>IFERROR(VLOOKUP(E622,RISK!A:B,2,FALSE()),"")</f>
        <v/>
      </c>
      <c r="N622" s="116" t="str">
        <f t="shared" si="2"/>
        <v>#N/A</v>
      </c>
      <c r="Q622" s="8"/>
      <c r="R622" s="8"/>
      <c r="S622" s="8"/>
      <c r="T622" s="8"/>
    </row>
    <row r="623" ht="14.25" customHeight="1">
      <c r="A623" s="1">
        <v>620.0</v>
      </c>
      <c r="B623" s="1">
        <v>13.0</v>
      </c>
      <c r="C623" s="1" t="s">
        <v>1382</v>
      </c>
      <c r="D623" s="1" t="s">
        <v>199</v>
      </c>
      <c r="E623" s="1" t="s">
        <v>1575</v>
      </c>
      <c r="F623" s="1">
        <v>11.0</v>
      </c>
      <c r="G623" s="1" t="s">
        <v>1023</v>
      </c>
      <c r="H623" s="1" t="s">
        <v>1023</v>
      </c>
      <c r="I623" s="1" t="s">
        <v>1002</v>
      </c>
      <c r="J623" s="1" t="s">
        <v>1023</v>
      </c>
      <c r="K623" s="1">
        <v>622.0</v>
      </c>
      <c r="L623" s="1" t="str">
        <f t="shared" si="1"/>
        <v>Skyy Moore</v>
      </c>
      <c r="M623" s="124" t="str">
        <f>IFERROR(VLOOKUP(E623,RISK!A:B,2,FALSE()),"")</f>
        <v/>
      </c>
      <c r="N623" s="116" t="str">
        <f t="shared" si="2"/>
        <v>#N/A</v>
      </c>
      <c r="Q623" s="8"/>
      <c r="R623" s="8"/>
      <c r="S623" s="8"/>
      <c r="T623" s="8"/>
    </row>
    <row r="624" ht="14.25" customHeight="1">
      <c r="A624" s="1">
        <v>621.0</v>
      </c>
      <c r="B624" s="1">
        <v>13.0</v>
      </c>
      <c r="C624" s="1" t="s">
        <v>270</v>
      </c>
      <c r="D624" s="1" t="s">
        <v>61</v>
      </c>
      <c r="E624" s="1" t="s">
        <v>1240</v>
      </c>
      <c r="F624" s="1">
        <v>13.0</v>
      </c>
      <c r="G624" s="1" t="s">
        <v>1023</v>
      </c>
      <c r="H624" s="1" t="s">
        <v>1023</v>
      </c>
      <c r="I624" s="1" t="s">
        <v>1007</v>
      </c>
      <c r="J624" s="1" t="s">
        <v>1023</v>
      </c>
      <c r="K624" s="1">
        <v>623.0</v>
      </c>
      <c r="L624" s="1" t="str">
        <f t="shared" si="1"/>
        <v>Tyler Huntley</v>
      </c>
      <c r="M624" s="124">
        <f>IFERROR(VLOOKUP(E624,RISK!A:B,2,FALSE()),"")</f>
        <v>3.2</v>
      </c>
      <c r="N624" s="116" t="str">
        <f t="shared" si="2"/>
        <v>#N/A</v>
      </c>
      <c r="Q624" s="8"/>
      <c r="R624" s="8"/>
      <c r="S624" s="8"/>
      <c r="T624" s="8"/>
    </row>
    <row r="625" ht="14.25" customHeight="1">
      <c r="A625" s="1">
        <v>622.0</v>
      </c>
      <c r="B625" s="1">
        <v>13.0</v>
      </c>
      <c r="C625" s="1" t="s">
        <v>1030</v>
      </c>
      <c r="D625" s="1" t="s">
        <v>18</v>
      </c>
      <c r="E625" s="1" t="s">
        <v>1576</v>
      </c>
      <c r="F625" s="1">
        <v>7.0</v>
      </c>
      <c r="G625" s="1" t="s">
        <v>1023</v>
      </c>
      <c r="H625" s="1" t="s">
        <v>1023</v>
      </c>
      <c r="I625" s="1" t="s">
        <v>1004</v>
      </c>
      <c r="J625" s="1" t="s">
        <v>1023</v>
      </c>
      <c r="K625" s="1">
        <v>624.0</v>
      </c>
      <c r="L625" s="1" t="str">
        <f t="shared" si="1"/>
        <v>Tyrell Shavers</v>
      </c>
      <c r="M625" s="124" t="str">
        <f>IFERROR(VLOOKUP(E625,RISK!A:B,2,FALSE()),"")</f>
        <v/>
      </c>
      <c r="N625" s="116" t="str">
        <f t="shared" si="2"/>
        <v>#N/A</v>
      </c>
      <c r="Q625" s="8"/>
      <c r="R625" s="8"/>
      <c r="S625" s="8"/>
      <c r="T625" s="8"/>
    </row>
    <row r="626" ht="14.25" customHeight="1">
      <c r="A626" s="1">
        <v>623.0</v>
      </c>
      <c r="B626" s="1">
        <v>13.0</v>
      </c>
      <c r="C626" s="1" t="s">
        <v>280</v>
      </c>
      <c r="D626" s="1" t="s">
        <v>117</v>
      </c>
      <c r="E626" s="1" t="s">
        <v>1241</v>
      </c>
      <c r="F626" s="1">
        <v>10.0</v>
      </c>
      <c r="G626" s="1" t="s">
        <v>1023</v>
      </c>
      <c r="H626" s="1" t="s">
        <v>1023</v>
      </c>
      <c r="I626" s="1" t="s">
        <v>1002</v>
      </c>
      <c r="J626" s="1" t="s">
        <v>1023</v>
      </c>
      <c r="K626" s="1">
        <v>625.0</v>
      </c>
      <c r="L626" s="1" t="str">
        <f t="shared" si="1"/>
        <v>Tanner McKee</v>
      </c>
      <c r="M626" s="124">
        <f>IFERROR(VLOOKUP(E626,RISK!A:B,2,FALSE()),"")</f>
        <v>3.2</v>
      </c>
      <c r="N626" s="116" t="str">
        <f t="shared" si="2"/>
        <v>#N/A</v>
      </c>
      <c r="Q626" s="8"/>
      <c r="R626" s="8"/>
      <c r="S626" s="8"/>
      <c r="T626" s="8"/>
    </row>
    <row r="627" ht="14.25" customHeight="1">
      <c r="A627" s="1">
        <v>624.0</v>
      </c>
      <c r="B627" s="1">
        <v>13.0</v>
      </c>
      <c r="C627" s="1" t="s">
        <v>1577</v>
      </c>
      <c r="D627" s="1" t="s">
        <v>94</v>
      </c>
      <c r="E627" s="1" t="s">
        <v>1578</v>
      </c>
      <c r="F627" s="1">
        <v>11.0</v>
      </c>
      <c r="G627" s="1" t="s">
        <v>1023</v>
      </c>
      <c r="H627" s="1" t="s">
        <v>1023</v>
      </c>
      <c r="I627" s="1" t="s">
        <v>1003</v>
      </c>
      <c r="J627" s="1" t="s">
        <v>1023</v>
      </c>
      <c r="K627" s="1">
        <v>626.0</v>
      </c>
      <c r="L627" s="1" t="str">
        <f t="shared" si="1"/>
        <v>Hassan Haskins</v>
      </c>
      <c r="M627" s="124" t="str">
        <f>IFERROR(VLOOKUP(E627,RISK!A:B,2,FALSE()),"")</f>
        <v/>
      </c>
      <c r="N627" s="116" t="str">
        <f t="shared" si="2"/>
        <v>#N/A</v>
      </c>
      <c r="Q627" s="8"/>
      <c r="R627" s="8"/>
      <c r="S627" s="8"/>
      <c r="T627" s="8"/>
    </row>
    <row r="628" ht="14.25" customHeight="1">
      <c r="A628" s="1">
        <v>625.0</v>
      </c>
      <c r="B628" s="1">
        <v>13.0</v>
      </c>
      <c r="C628" s="1" t="s">
        <v>1410</v>
      </c>
      <c r="D628" s="1" t="s">
        <v>155</v>
      </c>
      <c r="E628" s="1" t="s">
        <v>1579</v>
      </c>
      <c r="F628" s="1">
        <v>5.0</v>
      </c>
      <c r="G628" s="1" t="s">
        <v>1023</v>
      </c>
      <c r="H628" s="1" t="s">
        <v>1023</v>
      </c>
      <c r="I628" s="1" t="s">
        <v>1003</v>
      </c>
      <c r="J628" s="1" t="s">
        <v>1023</v>
      </c>
      <c r="K628" s="1">
        <v>627.0</v>
      </c>
      <c r="L628" s="1" t="str">
        <f t="shared" si="1"/>
        <v>Nikko Remigio</v>
      </c>
      <c r="M628" s="124" t="str">
        <f>IFERROR(VLOOKUP(E628,RISK!A:B,2,FALSE()),"")</f>
        <v/>
      </c>
      <c r="N628" s="116" t="str">
        <f t="shared" si="2"/>
        <v>#N/A</v>
      </c>
      <c r="Q628" s="8"/>
      <c r="R628" s="8"/>
      <c r="S628" s="8"/>
      <c r="T628" s="8"/>
    </row>
    <row r="629" ht="14.25" customHeight="1">
      <c r="A629" s="1">
        <v>626.0</v>
      </c>
      <c r="B629" s="1">
        <v>13.0</v>
      </c>
      <c r="C629" s="1" t="s">
        <v>1093</v>
      </c>
      <c r="D629" s="1" t="s">
        <v>220</v>
      </c>
      <c r="E629" s="1" t="s">
        <v>1580</v>
      </c>
      <c r="F629" s="1">
        <v>9.0</v>
      </c>
      <c r="G629" s="1" t="s">
        <v>1023</v>
      </c>
      <c r="H629" s="1" t="s">
        <v>1023</v>
      </c>
      <c r="I629" s="1" t="s">
        <v>1007</v>
      </c>
      <c r="J629" s="1" t="s">
        <v>1023</v>
      </c>
      <c r="K629" s="1">
        <v>628.0</v>
      </c>
      <c r="L629" s="1" t="str">
        <f t="shared" si="1"/>
        <v>Ben Skowronek</v>
      </c>
      <c r="M629" s="124" t="str">
        <f>IFERROR(VLOOKUP(E629,RISK!A:B,2,FALSE()),"")</f>
        <v/>
      </c>
      <c r="N629" s="116" t="str">
        <f t="shared" si="2"/>
        <v>#N/A</v>
      </c>
      <c r="Q629" s="8"/>
      <c r="R629" s="8"/>
      <c r="S629" s="8"/>
      <c r="T629" s="8"/>
    </row>
    <row r="630" ht="14.25" customHeight="1">
      <c r="A630" s="1">
        <v>627.0</v>
      </c>
      <c r="B630" s="1">
        <v>13.0</v>
      </c>
      <c r="C630" s="1" t="s">
        <v>1262</v>
      </c>
      <c r="D630" s="1" t="s">
        <v>208</v>
      </c>
      <c r="E630" s="1" t="s">
        <v>1581</v>
      </c>
      <c r="F630" s="1">
        <v>5.0</v>
      </c>
      <c r="G630" s="1" t="s">
        <v>1023</v>
      </c>
      <c r="H630" s="1" t="s">
        <v>1023</v>
      </c>
      <c r="I630" s="1" t="s">
        <v>1003</v>
      </c>
      <c r="J630" s="1" t="s">
        <v>1023</v>
      </c>
      <c r="K630" s="1">
        <v>629.0</v>
      </c>
      <c r="L630" s="1" t="str">
        <f t="shared" si="1"/>
        <v>David Moore</v>
      </c>
      <c r="M630" s="124" t="str">
        <f>IFERROR(VLOOKUP(E630,RISK!A:B,2,FALSE()),"")</f>
        <v/>
      </c>
      <c r="N630" s="116" t="str">
        <f t="shared" si="2"/>
        <v>#N/A</v>
      </c>
      <c r="Q630" s="8"/>
      <c r="R630" s="8"/>
      <c r="S630" s="8"/>
      <c r="T630" s="8"/>
    </row>
    <row r="631" ht="14.25" customHeight="1">
      <c r="A631" s="1">
        <v>628.0</v>
      </c>
      <c r="B631" s="1">
        <v>13.0</v>
      </c>
      <c r="C631" s="1" t="s">
        <v>289</v>
      </c>
      <c r="D631" s="1" t="s">
        <v>117</v>
      </c>
      <c r="E631" s="1" t="s">
        <v>1242</v>
      </c>
      <c r="F631" s="1">
        <v>10.0</v>
      </c>
      <c r="G631" s="1" t="s">
        <v>1023</v>
      </c>
      <c r="H631" s="1" t="s">
        <v>1023</v>
      </c>
      <c r="I631" s="1" t="s">
        <v>1002</v>
      </c>
      <c r="J631" s="1" t="s">
        <v>1023</v>
      </c>
      <c r="K631" s="1">
        <v>630.0</v>
      </c>
      <c r="L631" s="1" t="str">
        <f t="shared" si="1"/>
        <v>Andy Dalton</v>
      </c>
      <c r="M631" s="124">
        <f>IFERROR(VLOOKUP(E631,RISK!A:B,2,FALSE()),"")</f>
        <v>3.2</v>
      </c>
      <c r="N631" s="116" t="str">
        <f t="shared" si="2"/>
        <v>#N/A</v>
      </c>
      <c r="Q631" s="8"/>
      <c r="R631" s="8"/>
      <c r="S631" s="8"/>
      <c r="T631" s="8"/>
    </row>
    <row r="632" ht="14.25" customHeight="1">
      <c r="A632" s="1">
        <v>629.0</v>
      </c>
      <c r="B632" s="1">
        <v>14.0</v>
      </c>
      <c r="C632" s="1" t="s">
        <v>1221</v>
      </c>
      <c r="D632" s="1" t="s">
        <v>220</v>
      </c>
      <c r="E632" s="1" t="s">
        <v>1582</v>
      </c>
      <c r="F632" s="1">
        <v>9.0</v>
      </c>
      <c r="G632" s="1" t="s">
        <v>1023</v>
      </c>
      <c r="H632" s="1" t="s">
        <v>1023</v>
      </c>
      <c r="I632" s="1" t="s">
        <v>1007</v>
      </c>
      <c r="J632" s="1" t="s">
        <v>1023</v>
      </c>
      <c r="K632" s="1">
        <v>631.0</v>
      </c>
      <c r="L632" s="1" t="str">
        <f t="shared" si="1"/>
        <v>Kaden Wetjen</v>
      </c>
      <c r="M632" s="124" t="str">
        <f>IFERROR(VLOOKUP(E632,RISK!A:B,2,FALSE()),"")</f>
        <v/>
      </c>
      <c r="N632" s="116" t="str">
        <f t="shared" si="2"/>
        <v>#N/A</v>
      </c>
      <c r="Q632" s="8"/>
      <c r="R632" s="8"/>
      <c r="S632" s="8"/>
      <c r="T632" s="8"/>
    </row>
    <row r="633" ht="14.25" customHeight="1">
      <c r="A633" s="1">
        <v>630.0</v>
      </c>
      <c r="B633" s="1">
        <v>14.0</v>
      </c>
      <c r="C633" s="1" t="s">
        <v>1029</v>
      </c>
      <c r="D633" s="1" t="s">
        <v>199</v>
      </c>
      <c r="E633" s="1" t="s">
        <v>1583</v>
      </c>
      <c r="F633" s="1">
        <v>11.0</v>
      </c>
      <c r="G633" s="1" t="s">
        <v>1023</v>
      </c>
      <c r="H633" s="1" t="s">
        <v>1023</v>
      </c>
      <c r="I633" s="1" t="s">
        <v>1002</v>
      </c>
      <c r="J633" s="1" t="s">
        <v>1023</v>
      </c>
      <c r="K633" s="1">
        <v>632.0</v>
      </c>
      <c r="L633" s="1" t="str">
        <f t="shared" si="1"/>
        <v>Bo Melton</v>
      </c>
      <c r="M633" s="124" t="str">
        <f>IFERROR(VLOOKUP(E633,RISK!A:B,2,FALSE()),"")</f>
        <v/>
      </c>
      <c r="N633" s="116" t="str">
        <f t="shared" si="2"/>
        <v>#N/A</v>
      </c>
      <c r="Q633" s="8"/>
      <c r="R633" s="8"/>
      <c r="S633" s="8"/>
      <c r="T633" s="8"/>
    </row>
    <row r="634" ht="14.25" customHeight="1">
      <c r="A634" s="1">
        <v>631.0</v>
      </c>
      <c r="B634" s="1">
        <v>14.0</v>
      </c>
      <c r="C634" s="1" t="s">
        <v>1035</v>
      </c>
      <c r="D634" s="1" t="s">
        <v>226</v>
      </c>
      <c r="E634" s="1" t="s">
        <v>1584</v>
      </c>
      <c r="F634" s="1">
        <v>11.0</v>
      </c>
      <c r="G634" s="1" t="s">
        <v>1023</v>
      </c>
      <c r="H634" s="1" t="s">
        <v>1023</v>
      </c>
      <c r="I634" s="1" t="s">
        <v>1007</v>
      </c>
      <c r="J634" s="1" t="s">
        <v>1023</v>
      </c>
      <c r="K634" s="1">
        <v>633.0</v>
      </c>
      <c r="L634" s="1" t="str">
        <f t="shared" si="1"/>
        <v>Malachi Corley</v>
      </c>
      <c r="M634" s="124" t="str">
        <f>IFERROR(VLOOKUP(E634,RISK!A:B,2,FALSE()),"")</f>
        <v/>
      </c>
      <c r="N634" s="116" t="str">
        <f t="shared" si="2"/>
        <v>#N/A</v>
      </c>
      <c r="Q634" s="8"/>
      <c r="R634" s="8"/>
      <c r="S634" s="8"/>
      <c r="T634" s="8"/>
    </row>
    <row r="635" ht="14.25" customHeight="1">
      <c r="A635" s="1">
        <v>632.0</v>
      </c>
      <c r="B635" s="1">
        <v>14.0</v>
      </c>
      <c r="C635" s="1" t="s">
        <v>1438</v>
      </c>
      <c r="D635" s="1" t="s">
        <v>226</v>
      </c>
      <c r="E635" s="1" t="s">
        <v>1585</v>
      </c>
      <c r="F635" s="1">
        <v>11.0</v>
      </c>
      <c r="G635" s="1" t="s">
        <v>1023</v>
      </c>
      <c r="H635" s="1" t="s">
        <v>1023</v>
      </c>
      <c r="I635" s="1" t="s">
        <v>1007</v>
      </c>
      <c r="J635" s="1" t="s">
        <v>1023</v>
      </c>
      <c r="K635" s="1">
        <v>634.0</v>
      </c>
      <c r="L635" s="1" t="str">
        <f t="shared" si="1"/>
        <v>Gage Larvadain</v>
      </c>
      <c r="M635" s="124" t="str">
        <f>IFERROR(VLOOKUP(E635,RISK!A:B,2,FALSE()),"")</f>
        <v/>
      </c>
      <c r="N635" s="116" t="str">
        <f t="shared" si="2"/>
        <v>#N/A</v>
      </c>
      <c r="Q635" s="8"/>
      <c r="R635" s="8"/>
      <c r="S635" s="8"/>
      <c r="T635" s="8"/>
    </row>
    <row r="636" ht="14.25" customHeight="1">
      <c r="A636" s="1">
        <v>633.0</v>
      </c>
      <c r="B636" s="1">
        <v>14.0</v>
      </c>
      <c r="C636" s="1" t="s">
        <v>1586</v>
      </c>
      <c r="D636" s="1" t="s">
        <v>202</v>
      </c>
      <c r="E636" s="1" t="s">
        <v>1587</v>
      </c>
      <c r="F636" s="1">
        <v>11.0</v>
      </c>
      <c r="G636" s="1" t="s">
        <v>1023</v>
      </c>
      <c r="H636" s="1" t="s">
        <v>1023</v>
      </c>
      <c r="I636" s="1" t="s">
        <v>1007</v>
      </c>
      <c r="J636" s="1" t="s">
        <v>1023</v>
      </c>
      <c r="K636" s="1">
        <v>635.0</v>
      </c>
      <c r="L636" s="1" t="str">
        <f t="shared" si="1"/>
        <v>Cody White</v>
      </c>
      <c r="M636" s="124" t="str">
        <f>IFERROR(VLOOKUP(E636,RISK!A:B,2,FALSE()),"")</f>
        <v/>
      </c>
      <c r="N636" s="116" t="str">
        <f t="shared" si="2"/>
        <v>#N/A</v>
      </c>
      <c r="Q636" s="8"/>
      <c r="R636" s="8"/>
      <c r="S636" s="8"/>
      <c r="T636" s="8"/>
    </row>
    <row r="637" ht="14.25" customHeight="1">
      <c r="A637" s="1">
        <v>634.0</v>
      </c>
      <c r="B637" s="1">
        <v>14.0</v>
      </c>
      <c r="C637" s="1" t="s">
        <v>1327</v>
      </c>
      <c r="D637" s="1" t="s">
        <v>217</v>
      </c>
      <c r="E637" s="1" t="s">
        <v>1588</v>
      </c>
      <c r="F637" s="1">
        <v>14.0</v>
      </c>
      <c r="G637" s="1" t="s">
        <v>1023</v>
      </c>
      <c r="H637" s="1" t="s">
        <v>1023</v>
      </c>
      <c r="I637" s="1" t="s">
        <v>1003</v>
      </c>
      <c r="J637" s="1" t="s">
        <v>1023</v>
      </c>
      <c r="K637" s="1">
        <v>636.0</v>
      </c>
      <c r="L637" s="1" t="str">
        <f t="shared" si="1"/>
        <v>Devin Duvernay</v>
      </c>
      <c r="M637" s="124" t="str">
        <f>IFERROR(VLOOKUP(E637,RISK!A:B,2,FALSE()),"")</f>
        <v/>
      </c>
      <c r="N637" s="116" t="str">
        <f t="shared" si="2"/>
        <v>#N/A</v>
      </c>
      <c r="Q637" s="8"/>
      <c r="R637" s="8"/>
      <c r="S637" s="8"/>
      <c r="T637" s="8"/>
    </row>
    <row r="638" ht="14.25" customHeight="1">
      <c r="A638" s="1">
        <v>635.0</v>
      </c>
      <c r="B638" s="1">
        <v>14.0</v>
      </c>
      <c r="C638" s="1" t="s">
        <v>1391</v>
      </c>
      <c r="D638" s="1" t="s">
        <v>222</v>
      </c>
      <c r="E638" s="1" t="s">
        <v>1589</v>
      </c>
      <c r="F638" s="1">
        <v>13.0</v>
      </c>
      <c r="G638" s="1" t="s">
        <v>1023</v>
      </c>
      <c r="H638" s="1" t="s">
        <v>1023</v>
      </c>
      <c r="I638" s="1" t="s">
        <v>1003</v>
      </c>
      <c r="J638" s="1" t="s">
        <v>1023</v>
      </c>
      <c r="K638" s="1">
        <v>637.0</v>
      </c>
      <c r="L638" s="1" t="str">
        <f t="shared" si="1"/>
        <v>Dareke Young</v>
      </c>
      <c r="M638" s="124" t="str">
        <f>IFERROR(VLOOKUP(E638,RISK!A:B,2,FALSE()),"")</f>
        <v/>
      </c>
      <c r="N638" s="116" t="str">
        <f t="shared" si="2"/>
        <v>#N/A</v>
      </c>
      <c r="Q638" s="8"/>
      <c r="R638" s="8"/>
      <c r="S638" s="8"/>
      <c r="T638" s="8"/>
    </row>
    <row r="639" ht="14.25" customHeight="1">
      <c r="A639" s="1">
        <v>636.0</v>
      </c>
      <c r="B639" s="1">
        <v>14.0</v>
      </c>
      <c r="C639" s="1" t="s">
        <v>1428</v>
      </c>
      <c r="D639" s="1" t="s">
        <v>127</v>
      </c>
      <c r="E639" s="1" t="s">
        <v>1590</v>
      </c>
      <c r="F639" s="1">
        <v>6.0</v>
      </c>
      <c r="G639" s="1" t="s">
        <v>1023</v>
      </c>
      <c r="H639" s="1" t="s">
        <v>1023</v>
      </c>
      <c r="I639" s="1" t="s">
        <v>1004</v>
      </c>
      <c r="J639" s="1" t="s">
        <v>1023</v>
      </c>
      <c r="K639" s="1">
        <v>638.0</v>
      </c>
      <c r="L639" s="1" t="str">
        <f t="shared" si="1"/>
        <v>Ke'Shawn Williams</v>
      </c>
      <c r="M639" s="124" t="str">
        <f>IFERROR(VLOOKUP(E639,RISK!A:B,2,FALSE()),"")</f>
        <v/>
      </c>
      <c r="N639" s="116" t="str">
        <f t="shared" si="2"/>
        <v>#N/A</v>
      </c>
      <c r="Q639" s="8"/>
      <c r="R639" s="8"/>
      <c r="S639" s="8"/>
      <c r="T639" s="8"/>
    </row>
    <row r="640" ht="14.25" customHeight="1">
      <c r="A640" s="1">
        <v>637.0</v>
      </c>
      <c r="B640" s="1">
        <v>14.0</v>
      </c>
      <c r="C640" s="1" t="s">
        <v>1404</v>
      </c>
      <c r="D640" s="1" t="s">
        <v>127</v>
      </c>
      <c r="E640" s="1" t="s">
        <v>1591</v>
      </c>
      <c r="F640" s="1">
        <v>6.0</v>
      </c>
      <c r="G640" s="1" t="s">
        <v>1023</v>
      </c>
      <c r="H640" s="1" t="s">
        <v>1023</v>
      </c>
      <c r="I640" s="1" t="s">
        <v>1004</v>
      </c>
      <c r="J640" s="1" t="s">
        <v>1023</v>
      </c>
      <c r="K640" s="1">
        <v>639.0</v>
      </c>
      <c r="L640" s="1" t="str">
        <f t="shared" si="1"/>
        <v>Charlie Jones</v>
      </c>
      <c r="M640" s="124" t="str">
        <f>IFERROR(VLOOKUP(E640,RISK!A:B,2,FALSE()),"")</f>
        <v/>
      </c>
      <c r="N640" s="116" t="str">
        <f t="shared" si="2"/>
        <v>#N/A</v>
      </c>
      <c r="Q640" s="8"/>
      <c r="R640" s="8"/>
      <c r="S640" s="8"/>
      <c r="T640" s="8"/>
    </row>
    <row r="641" ht="14.25" customHeight="1">
      <c r="A641" s="1">
        <v>638.0</v>
      </c>
      <c r="B641" s="1">
        <v>14.0</v>
      </c>
      <c r="C641" s="1" t="s">
        <v>1592</v>
      </c>
      <c r="D641" s="1" t="s">
        <v>1383</v>
      </c>
      <c r="E641" s="1" t="s">
        <v>1318</v>
      </c>
      <c r="F641" s="1" t="s">
        <v>1023</v>
      </c>
      <c r="G641" s="1" t="s">
        <v>1023</v>
      </c>
      <c r="H641" s="1" t="s">
        <v>1023</v>
      </c>
      <c r="I641" s="1" t="s">
        <v>1023</v>
      </c>
      <c r="J641" s="1" t="s">
        <v>1023</v>
      </c>
      <c r="K641" s="1">
        <v>640.0</v>
      </c>
      <c r="L641" s="1" t="str">
        <f t="shared" si="1"/>
        <v>Taysom Hill</v>
      </c>
      <c r="M641" s="124">
        <f>IFERROR(VLOOKUP(E641,RISK!A:B,2,FALSE()),"")</f>
        <v>2.2775</v>
      </c>
      <c r="N641" s="116" t="str">
        <f t="shared" si="2"/>
        <v>#N/A</v>
      </c>
      <c r="Q641" s="8"/>
      <c r="R641" s="8"/>
      <c r="S641" s="8"/>
      <c r="T641" s="8"/>
    </row>
    <row r="642" ht="14.25" customHeight="1">
      <c r="A642" s="1">
        <v>639.0</v>
      </c>
      <c r="B642" s="1">
        <v>14.0</v>
      </c>
      <c r="C642" s="1" t="s">
        <v>1388</v>
      </c>
      <c r="D642" s="1" t="s">
        <v>117</v>
      </c>
      <c r="E642" s="1" t="s">
        <v>1593</v>
      </c>
      <c r="F642" s="1">
        <v>10.0</v>
      </c>
      <c r="G642" s="1" t="s">
        <v>1023</v>
      </c>
      <c r="H642" s="1" t="s">
        <v>1023</v>
      </c>
      <c r="I642" s="1" t="s">
        <v>1004</v>
      </c>
      <c r="J642" s="1" t="s">
        <v>1023</v>
      </c>
      <c r="K642" s="1">
        <v>641.0</v>
      </c>
      <c r="L642" s="1" t="str">
        <f t="shared" si="1"/>
        <v>Britain Covey</v>
      </c>
      <c r="M642" s="124" t="str">
        <f>IFERROR(VLOOKUP(E642,RISK!A:B,2,FALSE()),"")</f>
        <v/>
      </c>
      <c r="N642" s="116" t="str">
        <f t="shared" si="2"/>
        <v>#N/A</v>
      </c>
      <c r="Q642" s="8"/>
      <c r="R642" s="8"/>
      <c r="S642" s="8"/>
      <c r="T642" s="8"/>
    </row>
    <row r="643" ht="14.25" customHeight="1">
      <c r="A643" s="1">
        <v>640.0</v>
      </c>
      <c r="B643" s="1">
        <v>14.0</v>
      </c>
      <c r="C643" s="1" t="s">
        <v>900</v>
      </c>
      <c r="D643" s="1" t="s">
        <v>186</v>
      </c>
      <c r="E643" s="1" t="s">
        <v>1319</v>
      </c>
      <c r="F643" s="1">
        <v>10.0</v>
      </c>
      <c r="G643" s="1" t="s">
        <v>1023</v>
      </c>
      <c r="H643" s="1" t="s">
        <v>1023</v>
      </c>
      <c r="I643" s="1" t="s">
        <v>1003</v>
      </c>
      <c r="J643" s="1" t="s">
        <v>1023</v>
      </c>
      <c r="K643" s="1">
        <v>642.0</v>
      </c>
      <c r="L643" s="1" t="str">
        <f t="shared" si="1"/>
        <v>Bauer Sharp</v>
      </c>
      <c r="M643" s="124">
        <f>IFERROR(VLOOKUP(E643,RISK!A:B,2,FALSE()),"")</f>
        <v>2.2775</v>
      </c>
      <c r="N643" s="116" t="str">
        <f t="shared" si="2"/>
        <v>#N/A</v>
      </c>
      <c r="Q643" s="8"/>
      <c r="R643" s="8"/>
      <c r="S643" s="8"/>
      <c r="T643" s="8"/>
    </row>
    <row r="644" ht="14.25" customHeight="1">
      <c r="A644" s="1">
        <v>641.0</v>
      </c>
      <c r="B644" s="1">
        <v>14.0</v>
      </c>
      <c r="C644" s="1" t="s">
        <v>1421</v>
      </c>
      <c r="D644" s="1" t="s">
        <v>61</v>
      </c>
      <c r="E644" s="1" t="s">
        <v>1594</v>
      </c>
      <c r="F644" s="1">
        <v>13.0</v>
      </c>
      <c r="G644" s="1" t="s">
        <v>1023</v>
      </c>
      <c r="H644" s="1" t="s">
        <v>1023</v>
      </c>
      <c r="I644" s="1" t="s">
        <v>1004</v>
      </c>
      <c r="J644" s="1" t="s">
        <v>1023</v>
      </c>
      <c r="K644" s="1">
        <v>643.0</v>
      </c>
      <c r="L644" s="1" t="str">
        <f t="shared" si="1"/>
        <v>LaJohntay Wester</v>
      </c>
      <c r="M644" s="124" t="str">
        <f>IFERROR(VLOOKUP(E644,RISK!A:B,2,FALSE()),"")</f>
        <v/>
      </c>
      <c r="N644" s="116" t="str">
        <f t="shared" si="2"/>
        <v>#N/A</v>
      </c>
      <c r="Q644" s="8"/>
      <c r="R644" s="8"/>
      <c r="S644" s="8"/>
      <c r="T644" s="8"/>
    </row>
    <row r="645" ht="14.25" customHeight="1">
      <c r="A645" s="1">
        <v>642.0</v>
      </c>
      <c r="B645" s="1">
        <v>14.0</v>
      </c>
      <c r="C645" s="1" t="s">
        <v>936</v>
      </c>
      <c r="D645" s="1" t="s">
        <v>226</v>
      </c>
      <c r="E645" s="1" t="s">
        <v>1320</v>
      </c>
      <c r="F645" s="1">
        <v>11.0</v>
      </c>
      <c r="G645" s="1" t="s">
        <v>1023</v>
      </c>
      <c r="H645" s="1" t="s">
        <v>1023</v>
      </c>
      <c r="I645" s="1" t="s">
        <v>1007</v>
      </c>
      <c r="J645" s="1" t="s">
        <v>1023</v>
      </c>
      <c r="K645" s="1">
        <v>644.0</v>
      </c>
      <c r="L645" s="1" t="str">
        <f t="shared" si="1"/>
        <v>Joe Royer</v>
      </c>
      <c r="M645" s="124">
        <f>IFERROR(VLOOKUP(E645,RISK!A:B,2,FALSE()),"")</f>
        <v>2.2775</v>
      </c>
      <c r="N645" s="116" t="str">
        <f t="shared" si="2"/>
        <v>#N/A</v>
      </c>
      <c r="Q645" s="8"/>
      <c r="R645" s="8"/>
      <c r="S645" s="8"/>
      <c r="T645" s="8"/>
    </row>
    <row r="646" ht="14.25" customHeight="1">
      <c r="A646" s="1">
        <v>643.0</v>
      </c>
      <c r="B646" s="1">
        <v>14.0</v>
      </c>
      <c r="C646" s="1" t="s">
        <v>914</v>
      </c>
      <c r="D646" s="1" t="s">
        <v>196</v>
      </c>
      <c r="E646" s="1" t="s">
        <v>1321</v>
      </c>
      <c r="F646" s="1">
        <v>6.0</v>
      </c>
      <c r="G646" s="1" t="s">
        <v>1023</v>
      </c>
      <c r="H646" s="1" t="s">
        <v>1023</v>
      </c>
      <c r="I646" s="1" t="s">
        <v>1002</v>
      </c>
      <c r="J646" s="1" t="s">
        <v>1023</v>
      </c>
      <c r="K646" s="1">
        <v>645.0</v>
      </c>
      <c r="L646" s="1" t="str">
        <f t="shared" si="1"/>
        <v>Seydou Traore</v>
      </c>
      <c r="M646" s="124">
        <f>IFERROR(VLOOKUP(E646,RISK!A:B,2,FALSE()),"")</f>
        <v>2.2775</v>
      </c>
      <c r="N646" s="116" t="str">
        <f t="shared" si="2"/>
        <v>#N/A</v>
      </c>
      <c r="Q646" s="8"/>
      <c r="R646" s="8"/>
      <c r="S646" s="8"/>
      <c r="T646" s="8"/>
    </row>
    <row r="647" ht="14.25" customHeight="1">
      <c r="A647" s="1">
        <v>644.0</v>
      </c>
      <c r="B647" s="1">
        <v>14.0</v>
      </c>
      <c r="C647" s="1" t="s">
        <v>1595</v>
      </c>
      <c r="D647" s="1" t="s">
        <v>134</v>
      </c>
      <c r="E647" s="1" t="s">
        <v>1322</v>
      </c>
      <c r="F647" s="1">
        <v>8.0</v>
      </c>
      <c r="G647" s="1" t="s">
        <v>1023</v>
      </c>
      <c r="H647" s="1" t="s">
        <v>1023</v>
      </c>
      <c r="I647" s="1" t="s">
        <v>1007</v>
      </c>
      <c r="J647" s="1" t="s">
        <v>1023</v>
      </c>
      <c r="K647" s="1">
        <v>646.0</v>
      </c>
      <c r="L647" s="1" t="str">
        <f t="shared" si="1"/>
        <v>Thomas Fidone II</v>
      </c>
      <c r="M647" s="124">
        <f>IFERROR(VLOOKUP(E647,RISK!A:B,2,FALSE()),"")</f>
        <v>2.2775</v>
      </c>
      <c r="N647" s="116" t="str">
        <f t="shared" si="2"/>
        <v>#N/A</v>
      </c>
      <c r="Q647" s="8"/>
      <c r="R647" s="8"/>
      <c r="S647" s="8"/>
      <c r="T647" s="8"/>
    </row>
    <row r="648" ht="14.25" customHeight="1">
      <c r="A648" s="1">
        <v>645.0</v>
      </c>
      <c r="B648" s="1">
        <v>14.0</v>
      </c>
      <c r="C648" s="1" t="s">
        <v>1332</v>
      </c>
      <c r="D648" s="1" t="s">
        <v>214</v>
      </c>
      <c r="E648" s="1" t="s">
        <v>1596</v>
      </c>
      <c r="F648" s="1">
        <v>9.0</v>
      </c>
      <c r="G648" s="1" t="s">
        <v>1023</v>
      </c>
      <c r="H648" s="1" t="s">
        <v>1023</v>
      </c>
      <c r="I648" s="1" t="s">
        <v>1007</v>
      </c>
      <c r="J648" s="1" t="s">
        <v>1023</v>
      </c>
      <c r="K648" s="1">
        <v>647.0</v>
      </c>
      <c r="L648" s="1" t="str">
        <f t="shared" si="1"/>
        <v>Mason Kinsey</v>
      </c>
      <c r="M648" s="124" t="str">
        <f>IFERROR(VLOOKUP(E648,RISK!A:B,2,FALSE()),"")</f>
        <v/>
      </c>
      <c r="N648" s="116" t="str">
        <f t="shared" si="2"/>
        <v>#N/A</v>
      </c>
      <c r="Q648" s="8"/>
      <c r="R648" s="8"/>
      <c r="S648" s="8"/>
      <c r="T648" s="8"/>
    </row>
    <row r="649" ht="14.25" customHeight="1">
      <c r="A649" s="1">
        <v>646.0</v>
      </c>
      <c r="B649" s="1">
        <v>14.0</v>
      </c>
      <c r="C649" s="1" t="s">
        <v>1597</v>
      </c>
      <c r="D649" s="1" t="s">
        <v>155</v>
      </c>
      <c r="E649" s="1" t="s">
        <v>1323</v>
      </c>
      <c r="F649" s="1">
        <v>5.0</v>
      </c>
      <c r="G649" s="1" t="s">
        <v>1023</v>
      </c>
      <c r="H649" s="1" t="s">
        <v>1023</v>
      </c>
      <c r="I649" s="1" t="s">
        <v>1004</v>
      </c>
      <c r="J649" s="1" t="s">
        <v>1023</v>
      </c>
      <c r="K649" s="1">
        <v>648.0</v>
      </c>
      <c r="L649" s="1" t="str">
        <f t="shared" si="1"/>
        <v>Jared Wiley</v>
      </c>
      <c r="M649" s="124">
        <f>IFERROR(VLOOKUP(E649,RISK!A:B,2,FALSE()),"")</f>
        <v>2.2775</v>
      </c>
      <c r="N649" s="116" t="str">
        <f t="shared" si="2"/>
        <v>#N/A</v>
      </c>
      <c r="Q649" s="8"/>
      <c r="R649" s="8"/>
      <c r="S649" s="8"/>
      <c r="T649" s="8"/>
    </row>
    <row r="650" ht="14.25" customHeight="1">
      <c r="A650" s="1">
        <v>647.0</v>
      </c>
      <c r="B650" s="1">
        <v>14.0</v>
      </c>
      <c r="C650" s="1" t="s">
        <v>954</v>
      </c>
      <c r="D650" s="1" t="s">
        <v>222</v>
      </c>
      <c r="E650" s="1" t="s">
        <v>1324</v>
      </c>
      <c r="F650" s="1">
        <v>13.0</v>
      </c>
      <c r="G650" s="1" t="s">
        <v>1023</v>
      </c>
      <c r="H650" s="1" t="s">
        <v>1023</v>
      </c>
      <c r="I650" s="1" t="s">
        <v>1007</v>
      </c>
      <c r="J650" s="1" t="s">
        <v>1023</v>
      </c>
      <c r="K650" s="1">
        <v>649.0</v>
      </c>
      <c r="L650" s="1" t="str">
        <f t="shared" si="1"/>
        <v>Ian Thomas</v>
      </c>
      <c r="M650" s="124">
        <f>IFERROR(VLOOKUP(E650,RISK!A:B,2,FALSE()),"")</f>
        <v>2.2775</v>
      </c>
      <c r="N650" s="116" t="str">
        <f t="shared" si="2"/>
        <v>#N/A</v>
      </c>
      <c r="Q650" s="8"/>
      <c r="R650" s="8"/>
      <c r="S650" s="8"/>
      <c r="T650" s="8"/>
    </row>
    <row r="651" ht="14.25" customHeight="1">
      <c r="A651" s="1">
        <v>648.0</v>
      </c>
      <c r="B651" s="1">
        <v>14.0</v>
      </c>
      <c r="C651" s="1" t="s">
        <v>957</v>
      </c>
      <c r="D651" s="1" t="s">
        <v>226</v>
      </c>
      <c r="E651" s="1" t="s">
        <v>1325</v>
      </c>
      <c r="F651" s="1">
        <v>11.0</v>
      </c>
      <c r="G651" s="1" t="s">
        <v>1023</v>
      </c>
      <c r="H651" s="1" t="s">
        <v>1023</v>
      </c>
      <c r="I651" s="1" t="s">
        <v>1007</v>
      </c>
      <c r="J651" s="1" t="s">
        <v>1023</v>
      </c>
      <c r="K651" s="1">
        <v>650.0</v>
      </c>
      <c r="L651" s="1" t="str">
        <f t="shared" si="1"/>
        <v>Jack Stoll</v>
      </c>
      <c r="M651" s="124">
        <f>IFERROR(VLOOKUP(E651,RISK!A:B,2,FALSE()),"")</f>
        <v>2.2775</v>
      </c>
      <c r="N651" s="116" t="str">
        <f t="shared" si="2"/>
        <v>#N/A</v>
      </c>
      <c r="Q651" s="8"/>
      <c r="R651" s="8"/>
      <c r="S651" s="8"/>
      <c r="T651" s="8"/>
    </row>
    <row r="652" ht="14.25" customHeight="1">
      <c r="A652" s="1">
        <v>649.0</v>
      </c>
      <c r="B652" s="1">
        <v>14.0</v>
      </c>
      <c r="C652" s="1" t="s">
        <v>951</v>
      </c>
      <c r="D652" s="1" t="s">
        <v>202</v>
      </c>
      <c r="E652" s="1" t="s">
        <v>1326</v>
      </c>
      <c r="F652" s="1">
        <v>11.0</v>
      </c>
      <c r="G652" s="1" t="s">
        <v>1023</v>
      </c>
      <c r="H652" s="1" t="s">
        <v>1023</v>
      </c>
      <c r="I652" s="1" t="s">
        <v>1007</v>
      </c>
      <c r="J652" s="1" t="s">
        <v>1023</v>
      </c>
      <c r="K652" s="1">
        <v>651.0</v>
      </c>
      <c r="L652" s="1" t="str">
        <f t="shared" si="1"/>
        <v>Eric Saubert</v>
      </c>
      <c r="M652" s="124">
        <f>IFERROR(VLOOKUP(E652,RISK!A:B,2,FALSE()),"")</f>
        <v>2.2775</v>
      </c>
      <c r="N652" s="116" t="str">
        <f t="shared" si="2"/>
        <v>#N/A</v>
      </c>
      <c r="Q652" s="8"/>
      <c r="R652" s="8"/>
      <c r="S652" s="8"/>
      <c r="T652" s="8"/>
    </row>
    <row r="653" ht="14.25" customHeight="1">
      <c r="A653" s="1">
        <v>650.0</v>
      </c>
      <c r="B653" s="1">
        <v>14.0</v>
      </c>
      <c r="C653" s="1" t="s">
        <v>948</v>
      </c>
      <c r="D653" s="1" t="s">
        <v>193</v>
      </c>
      <c r="E653" s="1" t="s">
        <v>1328</v>
      </c>
      <c r="F653" s="1">
        <v>13.0</v>
      </c>
      <c r="G653" s="1" t="s">
        <v>1023</v>
      </c>
      <c r="H653" s="1" t="s">
        <v>1023</v>
      </c>
      <c r="I653" s="1" t="s">
        <v>1007</v>
      </c>
      <c r="J653" s="1" t="s">
        <v>1023</v>
      </c>
      <c r="K653" s="1">
        <v>652.0</v>
      </c>
      <c r="L653" s="1" t="str">
        <f t="shared" si="1"/>
        <v>Drew Ogletree</v>
      </c>
      <c r="M653" s="124">
        <f>IFERROR(VLOOKUP(E653,RISK!A:B,2,FALSE()),"")</f>
        <v>2.2775</v>
      </c>
      <c r="N653" s="116" t="str">
        <f t="shared" si="2"/>
        <v>#N/A</v>
      </c>
      <c r="Q653" s="8"/>
      <c r="R653" s="8"/>
      <c r="S653" s="8"/>
      <c r="T653" s="8"/>
    </row>
    <row r="654" ht="14.25" customHeight="1">
      <c r="A654" s="1">
        <v>651.0</v>
      </c>
      <c r="B654" s="1">
        <v>14.0</v>
      </c>
      <c r="C654" s="1" t="s">
        <v>1598</v>
      </c>
      <c r="D654" s="1" t="s">
        <v>117</v>
      </c>
      <c r="E654" s="1" t="s">
        <v>1329</v>
      </c>
      <c r="F654" s="1">
        <v>10.0</v>
      </c>
      <c r="G654" s="1" t="s">
        <v>1023</v>
      </c>
      <c r="H654" s="1" t="s">
        <v>1023</v>
      </c>
      <c r="I654" s="1" t="s">
        <v>1004</v>
      </c>
      <c r="J654" s="1" t="s">
        <v>1023</v>
      </c>
      <c r="K654" s="1">
        <v>653.0</v>
      </c>
      <c r="L654" s="1" t="str">
        <f t="shared" si="1"/>
        <v>Stone Smartt</v>
      </c>
      <c r="M654" s="124">
        <f>IFERROR(VLOOKUP(E654,RISK!A:B,2,FALSE()),"")</f>
        <v>2.2775</v>
      </c>
      <c r="N654" s="116" t="str">
        <f t="shared" si="2"/>
        <v>#N/A</v>
      </c>
      <c r="Q654" s="8"/>
      <c r="R654" s="8"/>
      <c r="S654" s="8"/>
      <c r="T654" s="8"/>
    </row>
    <row r="655" ht="14.25" customHeight="1">
      <c r="A655" s="1">
        <v>652.0</v>
      </c>
      <c r="B655" s="1">
        <v>14.0</v>
      </c>
      <c r="C655" s="1" t="s">
        <v>953</v>
      </c>
      <c r="D655" s="1" t="s">
        <v>217</v>
      </c>
      <c r="E655" s="1" t="s">
        <v>1599</v>
      </c>
      <c r="F655" s="1">
        <v>14.0</v>
      </c>
      <c r="G655" s="1" t="s">
        <v>1023</v>
      </c>
      <c r="H655" s="1" t="s">
        <v>1023</v>
      </c>
      <c r="I655" s="1" t="s">
        <v>1003</v>
      </c>
      <c r="J655" s="1" t="s">
        <v>1023</v>
      </c>
      <c r="K655" s="1">
        <v>654.0</v>
      </c>
      <c r="L655" s="1" t="str">
        <f t="shared" si="1"/>
        <v>Tip Reiman</v>
      </c>
      <c r="M655" s="124" t="str">
        <f>IFERROR(VLOOKUP(E655,RISK!A:B,2,FALSE()),"")</f>
        <v/>
      </c>
      <c r="N655" s="116" t="str">
        <f t="shared" si="2"/>
        <v>#N/A</v>
      </c>
      <c r="Q655" s="8"/>
      <c r="R655" s="8"/>
      <c r="S655" s="8"/>
      <c r="T655" s="8"/>
    </row>
    <row r="656" ht="14.25" customHeight="1">
      <c r="A656" s="1">
        <v>653.0</v>
      </c>
      <c r="B656" s="1">
        <v>14.0</v>
      </c>
      <c r="C656" s="1" t="s">
        <v>1600</v>
      </c>
      <c r="D656" s="1" t="s">
        <v>214</v>
      </c>
      <c r="E656" s="1" t="s">
        <v>1601</v>
      </c>
      <c r="F656" s="1">
        <v>9.0</v>
      </c>
      <c r="G656" s="1" t="s">
        <v>1023</v>
      </c>
      <c r="H656" s="1" t="s">
        <v>1023</v>
      </c>
      <c r="I656" s="1" t="s">
        <v>1007</v>
      </c>
      <c r="J656" s="1" t="s">
        <v>1023</v>
      </c>
      <c r="K656" s="1">
        <v>655.0</v>
      </c>
      <c r="L656" s="1" t="str">
        <f t="shared" si="1"/>
        <v>Kylen Granson</v>
      </c>
      <c r="M656" s="124" t="str">
        <f>IFERROR(VLOOKUP(E656,RISK!A:B,2,FALSE()),"")</f>
        <v/>
      </c>
      <c r="N656" s="116" t="str">
        <f t="shared" si="2"/>
        <v>#N/A</v>
      </c>
      <c r="Q656" s="8"/>
      <c r="R656" s="8"/>
      <c r="S656" s="8"/>
      <c r="T656" s="8"/>
    </row>
    <row r="657" ht="14.25" customHeight="1">
      <c r="A657" s="1">
        <v>654.0</v>
      </c>
      <c r="B657" s="1">
        <v>14.0</v>
      </c>
      <c r="C657" s="1" t="s">
        <v>1602</v>
      </c>
      <c r="D657" s="1" t="s">
        <v>61</v>
      </c>
      <c r="E657" s="1" t="s">
        <v>1603</v>
      </c>
      <c r="F657" s="1">
        <v>13.0</v>
      </c>
      <c r="G657" s="1" t="s">
        <v>1023</v>
      </c>
      <c r="H657" s="1" t="s">
        <v>1023</v>
      </c>
      <c r="I657" s="1" t="s">
        <v>1007</v>
      </c>
      <c r="J657" s="1" t="s">
        <v>1023</v>
      </c>
      <c r="K657" s="1">
        <v>656.0</v>
      </c>
      <c r="L657" s="1" t="str">
        <f t="shared" si="1"/>
        <v>Elijah Tau-Tolliver</v>
      </c>
      <c r="M657" s="124" t="str">
        <f>IFERROR(VLOOKUP(E657,RISK!A:B,2,FALSE()),"")</f>
        <v/>
      </c>
      <c r="N657" s="116" t="str">
        <f t="shared" si="2"/>
        <v>#N/A</v>
      </c>
      <c r="Q657" s="8"/>
      <c r="R657" s="8"/>
      <c r="S657" s="8"/>
      <c r="T657" s="8"/>
    </row>
    <row r="658" ht="14.25" customHeight="1">
      <c r="A658" s="1">
        <v>655.0</v>
      </c>
      <c r="B658" s="1">
        <v>14.0</v>
      </c>
      <c r="C658" s="1" t="s">
        <v>1604</v>
      </c>
      <c r="D658" s="1" t="s">
        <v>217</v>
      </c>
      <c r="E658" s="1" t="s">
        <v>1605</v>
      </c>
      <c r="F658" s="1">
        <v>14.0</v>
      </c>
      <c r="G658" s="1" t="s">
        <v>1023</v>
      </c>
      <c r="H658" s="1" t="s">
        <v>1023</v>
      </c>
      <c r="I658" s="1" t="s">
        <v>1003</v>
      </c>
      <c r="J658" s="1">
        <v>-335.0</v>
      </c>
      <c r="K658" s="1">
        <v>657.0</v>
      </c>
      <c r="L658" s="1" t="str">
        <f t="shared" si="1"/>
        <v>Teagan Quitoriano</v>
      </c>
      <c r="M658" s="124" t="str">
        <f>IFERROR(VLOOKUP(E658,RISK!A:B,2,FALSE()),"")</f>
        <v/>
      </c>
      <c r="N658" s="116" t="str">
        <f t="shared" si="2"/>
        <v>#N/A</v>
      </c>
      <c r="Q658" s="8"/>
      <c r="R658" s="8"/>
      <c r="S658" s="8"/>
      <c r="T658" s="8"/>
    </row>
    <row r="659" ht="14.25" customHeight="1">
      <c r="A659" s="1">
        <v>656.0</v>
      </c>
      <c r="B659" s="1">
        <v>14.0</v>
      </c>
      <c r="C659" s="1" t="s">
        <v>893</v>
      </c>
      <c r="D659" s="1" t="s">
        <v>117</v>
      </c>
      <c r="E659" s="1" t="s">
        <v>1606</v>
      </c>
      <c r="F659" s="1">
        <v>10.0</v>
      </c>
      <c r="G659" s="1" t="s">
        <v>1023</v>
      </c>
      <c r="H659" s="1" t="s">
        <v>1023</v>
      </c>
      <c r="I659" s="1" t="s">
        <v>1004</v>
      </c>
      <c r="J659" s="1" t="s">
        <v>1023</v>
      </c>
      <c r="K659" s="1">
        <v>658.0</v>
      </c>
      <c r="L659" s="1" t="str">
        <f t="shared" si="1"/>
        <v>Grant Calcaterra</v>
      </c>
      <c r="M659" s="124" t="str">
        <f>IFERROR(VLOOKUP(E659,RISK!A:B,2,FALSE()),"")</f>
        <v/>
      </c>
      <c r="N659" s="116" t="str">
        <f t="shared" si="2"/>
        <v>#N/A</v>
      </c>
      <c r="Q659" s="8"/>
      <c r="R659" s="8"/>
      <c r="S659" s="8"/>
      <c r="T659" s="8"/>
    </row>
    <row r="660" ht="14.25" customHeight="1">
      <c r="A660" s="1">
        <v>657.0</v>
      </c>
      <c r="B660" s="1">
        <v>14.0</v>
      </c>
      <c r="C660" s="1" t="s">
        <v>1607</v>
      </c>
      <c r="D660" s="1" t="s">
        <v>155</v>
      </c>
      <c r="E660" s="1" t="s">
        <v>1608</v>
      </c>
      <c r="F660" s="1">
        <v>5.0</v>
      </c>
      <c r="G660" s="1" t="s">
        <v>1023</v>
      </c>
      <c r="H660" s="1" t="s">
        <v>1023</v>
      </c>
      <c r="I660" s="1" t="s">
        <v>1004</v>
      </c>
      <c r="J660" s="1" t="s">
        <v>1023</v>
      </c>
      <c r="K660" s="1">
        <v>659.0</v>
      </c>
      <c r="L660" s="1" t="str">
        <f t="shared" si="1"/>
        <v>Jake Briningstool</v>
      </c>
      <c r="M660" s="124" t="str">
        <f>IFERROR(VLOOKUP(E660,RISK!A:B,2,FALSE()),"")</f>
        <v/>
      </c>
      <c r="N660" s="116" t="str">
        <f t="shared" si="2"/>
        <v>#N/A</v>
      </c>
      <c r="Q660" s="8"/>
      <c r="R660" s="8"/>
      <c r="S660" s="8"/>
      <c r="T660" s="8"/>
    </row>
    <row r="661" ht="14.25" customHeight="1">
      <c r="A661" s="1">
        <v>658.0</v>
      </c>
      <c r="B661" s="1">
        <v>14.0</v>
      </c>
      <c r="C661" s="1" t="s">
        <v>941</v>
      </c>
      <c r="D661" s="1" t="s">
        <v>170</v>
      </c>
      <c r="E661" s="1" t="s">
        <v>1609</v>
      </c>
      <c r="F661" s="1">
        <v>10.0</v>
      </c>
      <c r="G661" s="1" t="s">
        <v>1023</v>
      </c>
      <c r="H661" s="1" t="s">
        <v>1023</v>
      </c>
      <c r="I661" s="1" t="s">
        <v>1004</v>
      </c>
      <c r="J661" s="1" t="s">
        <v>1023</v>
      </c>
      <c r="K661" s="1">
        <v>660.0</v>
      </c>
      <c r="L661" s="1" t="str">
        <f t="shared" si="1"/>
        <v>Lucas Krull</v>
      </c>
      <c r="M661" s="124" t="str">
        <f>IFERROR(VLOOKUP(E661,RISK!A:B,2,FALSE()),"")</f>
        <v/>
      </c>
      <c r="N661" s="116" t="str">
        <f t="shared" si="2"/>
        <v>#N/A</v>
      </c>
      <c r="Q661" s="8"/>
      <c r="R661" s="8"/>
      <c r="S661" s="8"/>
      <c r="T661" s="8"/>
    </row>
    <row r="662" ht="14.25" customHeight="1">
      <c r="A662" s="1">
        <v>659.0</v>
      </c>
      <c r="B662" s="1">
        <v>14.0</v>
      </c>
      <c r="C662" s="1" t="s">
        <v>1610</v>
      </c>
      <c r="D662" s="1" t="s">
        <v>189</v>
      </c>
      <c r="E662" s="1" t="s">
        <v>1611</v>
      </c>
      <c r="F662" s="1">
        <v>6.0</v>
      </c>
      <c r="G662" s="1" t="s">
        <v>1023</v>
      </c>
      <c r="H662" s="1" t="s">
        <v>1023</v>
      </c>
      <c r="I662" s="1" t="s">
        <v>1004</v>
      </c>
      <c r="J662" s="1" t="s">
        <v>1023</v>
      </c>
      <c r="K662" s="1">
        <v>661.0</v>
      </c>
      <c r="L662" s="1" t="str">
        <f t="shared" si="1"/>
        <v>Ben Yurosek</v>
      </c>
      <c r="M662" s="124" t="str">
        <f>IFERROR(VLOOKUP(E662,RISK!A:B,2,FALSE()),"")</f>
        <v/>
      </c>
      <c r="N662" s="116" t="str">
        <f t="shared" si="2"/>
        <v>#N/A</v>
      </c>
      <c r="Q662" s="8"/>
      <c r="R662" s="8"/>
      <c r="S662" s="8"/>
      <c r="T662" s="8"/>
    </row>
    <row r="663" ht="14.25" customHeight="1">
      <c r="A663" s="1">
        <v>660.0</v>
      </c>
      <c r="B663" s="1">
        <v>14.0</v>
      </c>
      <c r="C663" s="1" t="s">
        <v>907</v>
      </c>
      <c r="D663" s="1" t="s">
        <v>134</v>
      </c>
      <c r="E663" s="1" t="s">
        <v>1612</v>
      </c>
      <c r="F663" s="1">
        <v>8.0</v>
      </c>
      <c r="G663" s="1" t="s">
        <v>1023</v>
      </c>
      <c r="H663" s="1" t="s">
        <v>1023</v>
      </c>
      <c r="I663" s="1" t="s">
        <v>1007</v>
      </c>
      <c r="J663" s="1" t="s">
        <v>1023</v>
      </c>
      <c r="K663" s="1">
        <v>662.0</v>
      </c>
      <c r="L663" s="1" t="str">
        <f t="shared" si="1"/>
        <v>Tanner Conner</v>
      </c>
      <c r="M663" s="124" t="str">
        <f>IFERROR(VLOOKUP(E663,RISK!A:B,2,FALSE()),"")</f>
        <v/>
      </c>
      <c r="N663" s="116" t="str">
        <f t="shared" si="2"/>
        <v>#N/A</v>
      </c>
      <c r="Q663" s="8"/>
      <c r="R663" s="8"/>
      <c r="S663" s="8"/>
      <c r="T663" s="8"/>
    </row>
    <row r="664" ht="14.25" customHeight="1">
      <c r="A664" s="1">
        <v>661.0</v>
      </c>
      <c r="B664" s="1">
        <v>14.0</v>
      </c>
      <c r="C664" s="1" t="s">
        <v>1613</v>
      </c>
      <c r="D664" s="1" t="s">
        <v>222</v>
      </c>
      <c r="E664" s="1" t="s">
        <v>1614</v>
      </c>
      <c r="F664" s="1">
        <v>13.0</v>
      </c>
      <c r="G664" s="1" t="s">
        <v>1023</v>
      </c>
      <c r="H664" s="1" t="s">
        <v>1023</v>
      </c>
      <c r="I664" s="1" t="s">
        <v>1007</v>
      </c>
      <c r="J664" s="1" t="s">
        <v>1023</v>
      </c>
      <c r="K664" s="1">
        <v>663.0</v>
      </c>
      <c r="L664" s="1" t="str">
        <f t="shared" si="1"/>
        <v>Albert Okwuegbunam Jr.</v>
      </c>
      <c r="M664" s="124" t="str">
        <f>IFERROR(VLOOKUP(E664,RISK!A:B,2,FALSE()),"")</f>
        <v/>
      </c>
      <c r="N664" s="116" t="str">
        <f t="shared" si="2"/>
        <v>#N/A</v>
      </c>
      <c r="Q664" s="8"/>
      <c r="R664" s="8"/>
      <c r="S664" s="8"/>
      <c r="T664" s="8"/>
    </row>
    <row r="665" ht="14.25" customHeight="1">
      <c r="A665" s="1">
        <v>662.0</v>
      </c>
      <c r="B665" s="1">
        <v>14.0</v>
      </c>
      <c r="C665" s="1" t="s">
        <v>888</v>
      </c>
      <c r="D665" s="1" t="s">
        <v>193</v>
      </c>
      <c r="E665" s="1" t="s">
        <v>1615</v>
      </c>
      <c r="F665" s="1">
        <v>13.0</v>
      </c>
      <c r="G665" s="1" t="s">
        <v>1023</v>
      </c>
      <c r="H665" s="1" t="s">
        <v>1023</v>
      </c>
      <c r="I665" s="1" t="s">
        <v>1007</v>
      </c>
      <c r="J665" s="1" t="s">
        <v>1023</v>
      </c>
      <c r="K665" s="1">
        <v>664.0</v>
      </c>
      <c r="L665" s="1" t="str">
        <f t="shared" si="1"/>
        <v>Will Mallory</v>
      </c>
      <c r="M665" s="124" t="str">
        <f>IFERROR(VLOOKUP(E665,RISK!A:B,2,FALSE()),"")</f>
        <v/>
      </c>
      <c r="N665" s="116" t="str">
        <f t="shared" si="2"/>
        <v>#N/A</v>
      </c>
      <c r="Q665" s="8"/>
      <c r="R665" s="8"/>
      <c r="S665" s="8"/>
      <c r="T665" s="8"/>
    </row>
    <row r="666" ht="14.25" customHeight="1">
      <c r="A666" s="1">
        <v>663.0</v>
      </c>
      <c r="B666" s="1">
        <v>14.0</v>
      </c>
      <c r="C666" s="1" t="s">
        <v>955</v>
      </c>
      <c r="D666" s="1" t="s">
        <v>117</v>
      </c>
      <c r="E666" s="1" t="s">
        <v>1616</v>
      </c>
      <c r="F666" s="1">
        <v>10.0</v>
      </c>
      <c r="G666" s="1" t="s">
        <v>1023</v>
      </c>
      <c r="H666" s="1" t="s">
        <v>1023</v>
      </c>
      <c r="I666" s="1" t="s">
        <v>1004</v>
      </c>
      <c r="J666" s="1" t="s">
        <v>1023</v>
      </c>
      <c r="K666" s="1">
        <v>665.0</v>
      </c>
      <c r="L666" s="1" t="str">
        <f t="shared" si="1"/>
        <v>Johnny Mundt</v>
      </c>
      <c r="M666" s="124" t="str">
        <f>IFERROR(VLOOKUP(E666,RISK!A:B,2,FALSE()),"")</f>
        <v/>
      </c>
      <c r="N666" s="116" t="str">
        <f t="shared" si="2"/>
        <v>#N/A</v>
      </c>
      <c r="Q666" s="8"/>
      <c r="R666" s="8"/>
      <c r="S666" s="8"/>
      <c r="T666" s="8"/>
    </row>
    <row r="667" ht="14.25" customHeight="1">
      <c r="A667" s="1">
        <v>664.0</v>
      </c>
      <c r="B667" s="1">
        <v>14.0</v>
      </c>
      <c r="C667" s="1" t="s">
        <v>898</v>
      </c>
      <c r="D667" s="1" t="s">
        <v>229</v>
      </c>
      <c r="E667" s="1" t="s">
        <v>1617</v>
      </c>
      <c r="F667" s="1">
        <v>11.0</v>
      </c>
      <c r="G667" s="1" t="s">
        <v>1023</v>
      </c>
      <c r="H667" s="1" t="s">
        <v>1023</v>
      </c>
      <c r="I667" s="1" t="s">
        <v>1007</v>
      </c>
      <c r="J667" s="1" t="s">
        <v>1023</v>
      </c>
      <c r="K667" s="1">
        <v>666.0</v>
      </c>
      <c r="L667" s="1" t="str">
        <f t="shared" si="1"/>
        <v>Charlie Woerner</v>
      </c>
      <c r="M667" s="124" t="str">
        <f>IFERROR(VLOOKUP(E667,RISK!A:B,2,FALSE()),"")</f>
        <v/>
      </c>
      <c r="N667" s="116" t="str">
        <f t="shared" si="2"/>
        <v>#N/A</v>
      </c>
      <c r="Q667" s="8"/>
      <c r="R667" s="8"/>
      <c r="S667" s="8"/>
      <c r="T667" s="8"/>
    </row>
    <row r="668" ht="14.25" customHeight="1">
      <c r="A668" s="1">
        <v>665.0</v>
      </c>
      <c r="B668" s="1">
        <v>14.0</v>
      </c>
      <c r="C668" s="1" t="s">
        <v>1618</v>
      </c>
      <c r="D668" s="1" t="s">
        <v>214</v>
      </c>
      <c r="E668" s="1" t="s">
        <v>1619</v>
      </c>
      <c r="F668" s="1">
        <v>9.0</v>
      </c>
      <c r="G668" s="1" t="s">
        <v>1023</v>
      </c>
      <c r="H668" s="1" t="s">
        <v>1023</v>
      </c>
      <c r="I668" s="1" t="s">
        <v>1007</v>
      </c>
      <c r="J668" s="1" t="s">
        <v>1023</v>
      </c>
      <c r="K668" s="1">
        <v>667.0</v>
      </c>
      <c r="L668" s="1" t="str">
        <f t="shared" si="1"/>
        <v>David Martin-Robinson</v>
      </c>
      <c r="M668" s="124" t="str">
        <f>IFERROR(VLOOKUP(E668,RISK!A:B,2,FALSE()),"")</f>
        <v/>
      </c>
      <c r="N668" s="116" t="str">
        <f t="shared" si="2"/>
        <v>#N/A</v>
      </c>
      <c r="Q668" s="8"/>
      <c r="R668" s="8"/>
      <c r="S668" s="8"/>
      <c r="T668" s="8"/>
    </row>
    <row r="669" ht="14.25" customHeight="1">
      <c r="A669" s="1">
        <v>666.0</v>
      </c>
      <c r="B669" s="1">
        <v>14.0</v>
      </c>
      <c r="C669" s="1" t="s">
        <v>1620</v>
      </c>
      <c r="D669" s="1" t="s">
        <v>217</v>
      </c>
      <c r="E669" s="1" t="s">
        <v>1621</v>
      </c>
      <c r="F669" s="1">
        <v>14.0</v>
      </c>
      <c r="G669" s="1" t="s">
        <v>1023</v>
      </c>
      <c r="H669" s="1" t="s">
        <v>1023</v>
      </c>
      <c r="I669" s="1" t="s">
        <v>1003</v>
      </c>
      <c r="J669" s="1" t="s">
        <v>1023</v>
      </c>
      <c r="K669" s="1">
        <v>668.0</v>
      </c>
      <c r="L669" s="1" t="str">
        <f t="shared" si="1"/>
        <v>Corey Kiner</v>
      </c>
      <c r="M669" s="124" t="str">
        <f>IFERROR(VLOOKUP(E669,RISK!A:B,2,FALSE()),"")</f>
        <v/>
      </c>
      <c r="N669" s="116" t="str">
        <f t="shared" si="2"/>
        <v>#N/A</v>
      </c>
      <c r="Q669" s="8"/>
      <c r="R669" s="8"/>
      <c r="S669" s="8"/>
      <c r="T669" s="8"/>
    </row>
    <row r="670" ht="14.25" customHeight="1">
      <c r="A670" s="1">
        <v>667.0</v>
      </c>
      <c r="B670" s="1">
        <v>14.0</v>
      </c>
      <c r="C670" s="1" t="s">
        <v>944</v>
      </c>
      <c r="D670" s="1" t="s">
        <v>94</v>
      </c>
      <c r="E670" s="1" t="s">
        <v>1622</v>
      </c>
      <c r="F670" s="1">
        <v>11.0</v>
      </c>
      <c r="G670" s="1" t="s">
        <v>1023</v>
      </c>
      <c r="H670" s="1" t="s">
        <v>1023</v>
      </c>
      <c r="I670" s="1" t="s">
        <v>1004</v>
      </c>
      <c r="J670" s="1" t="s">
        <v>1023</v>
      </c>
      <c r="K670" s="1">
        <v>669.0</v>
      </c>
      <c r="L670" s="1" t="str">
        <f t="shared" si="1"/>
        <v>CJ Dippre</v>
      </c>
      <c r="M670" s="124" t="str">
        <f>IFERROR(VLOOKUP(E670,RISK!A:B,2,FALSE()),"")</f>
        <v/>
      </c>
      <c r="N670" s="116" t="str">
        <f t="shared" si="2"/>
        <v>#N/A</v>
      </c>
      <c r="Q670" s="8"/>
      <c r="R670" s="8"/>
      <c r="S670" s="8"/>
      <c r="T670" s="8"/>
    </row>
    <row r="671" ht="14.25" customHeight="1">
      <c r="A671" s="1">
        <v>668.0</v>
      </c>
      <c r="B671" s="1">
        <v>14.0</v>
      </c>
      <c r="C671" s="1" t="s">
        <v>1623</v>
      </c>
      <c r="D671" s="1" t="s">
        <v>140</v>
      </c>
      <c r="E671" s="1" t="s">
        <v>1624</v>
      </c>
      <c r="F671" s="1">
        <v>8.0</v>
      </c>
      <c r="G671" s="1" t="s">
        <v>1023</v>
      </c>
      <c r="H671" s="1" t="s">
        <v>1023</v>
      </c>
      <c r="I671" s="1" t="s">
        <v>1007</v>
      </c>
      <c r="J671" s="1" t="s">
        <v>1023</v>
      </c>
      <c r="K671" s="1">
        <v>670.0</v>
      </c>
      <c r="L671" s="1" t="str">
        <f t="shared" si="1"/>
        <v>Brayden Willis</v>
      </c>
      <c r="M671" s="124" t="str">
        <f>IFERROR(VLOOKUP(E671,RISK!A:B,2,FALSE()),"")</f>
        <v/>
      </c>
      <c r="N671" s="116" t="str">
        <f t="shared" si="2"/>
        <v>#N/A</v>
      </c>
      <c r="Q671" s="8"/>
      <c r="R671" s="8"/>
      <c r="S671" s="8"/>
      <c r="T671" s="8"/>
    </row>
    <row r="672" ht="14.25" customHeight="1">
      <c r="A672" s="1">
        <v>669.0</v>
      </c>
      <c r="B672" s="1">
        <v>14.0</v>
      </c>
      <c r="C672" s="1" t="s">
        <v>1625</v>
      </c>
      <c r="D672" s="1" t="s">
        <v>205</v>
      </c>
      <c r="E672" s="1" t="s">
        <v>1626</v>
      </c>
      <c r="F672" s="1">
        <v>8.0</v>
      </c>
      <c r="G672" s="1" t="s">
        <v>1023</v>
      </c>
      <c r="H672" s="1" t="s">
        <v>1023</v>
      </c>
      <c r="I672" s="1" t="s">
        <v>1004</v>
      </c>
      <c r="J672" s="1" t="s">
        <v>1023</v>
      </c>
      <c r="K672" s="1">
        <v>671.0</v>
      </c>
      <c r="L672" s="1" t="str">
        <f t="shared" si="1"/>
        <v>Brevin Jordan</v>
      </c>
      <c r="M672" s="124" t="str">
        <f>IFERROR(VLOOKUP(E672,RISK!A:B,2,FALSE()),"")</f>
        <v/>
      </c>
      <c r="N672" s="116" t="str">
        <f t="shared" si="2"/>
        <v>#N/A</v>
      </c>
      <c r="Q672" s="8"/>
      <c r="R672" s="8"/>
      <c r="S672" s="8"/>
      <c r="T672" s="8"/>
    </row>
    <row r="673" ht="14.25" customHeight="1">
      <c r="A673" s="1">
        <v>670.0</v>
      </c>
      <c r="B673" s="1">
        <v>14.0</v>
      </c>
      <c r="C673" s="1" t="s">
        <v>1627</v>
      </c>
      <c r="D673" s="1" t="s">
        <v>106</v>
      </c>
      <c r="E673" s="1" t="s">
        <v>1628</v>
      </c>
      <c r="F673" s="1">
        <v>7.0</v>
      </c>
      <c r="G673" s="1" t="s">
        <v>1023</v>
      </c>
      <c r="H673" s="1" t="s">
        <v>1023</v>
      </c>
      <c r="I673" s="1" t="s">
        <v>1006</v>
      </c>
      <c r="J673" s="1" t="s">
        <v>1023</v>
      </c>
      <c r="K673" s="1">
        <v>672.0</v>
      </c>
      <c r="L673" s="1" t="str">
        <f t="shared" si="1"/>
        <v>Colson Yankoff</v>
      </c>
      <c r="M673" s="124" t="str">
        <f>IFERROR(VLOOKUP(E673,RISK!A:B,2,FALSE()),"")</f>
        <v/>
      </c>
      <c r="N673" s="116" t="str">
        <f t="shared" si="2"/>
        <v>#N/A</v>
      </c>
      <c r="Q673" s="8"/>
      <c r="R673" s="8"/>
      <c r="S673" s="8"/>
      <c r="T673" s="8"/>
    </row>
    <row r="674" ht="14.25" customHeight="1">
      <c r="A674" s="1">
        <v>671.0</v>
      </c>
      <c r="B674" s="1">
        <v>14.0</v>
      </c>
      <c r="C674" s="1" t="s">
        <v>1629</v>
      </c>
      <c r="D674" s="1" t="s">
        <v>117</v>
      </c>
      <c r="E674" s="1" t="s">
        <v>1630</v>
      </c>
      <c r="F674" s="1">
        <v>10.0</v>
      </c>
      <c r="G674" s="1" t="s">
        <v>1023</v>
      </c>
      <c r="H674" s="1" t="s">
        <v>1023</v>
      </c>
      <c r="I674" s="1" t="s">
        <v>1004</v>
      </c>
      <c r="J674" s="1" t="s">
        <v>1023</v>
      </c>
      <c r="K674" s="1">
        <v>673.0</v>
      </c>
      <c r="L674" s="1" t="str">
        <f t="shared" si="1"/>
        <v>Cameron Latu</v>
      </c>
      <c r="M674" s="124" t="str">
        <f>IFERROR(VLOOKUP(E674,RISK!A:B,2,FALSE()),"")</f>
        <v/>
      </c>
      <c r="N674" s="116" t="str">
        <f t="shared" si="2"/>
        <v>#N/A</v>
      </c>
      <c r="Q674" s="8"/>
      <c r="R674" s="8"/>
      <c r="S674" s="8"/>
      <c r="T674" s="8"/>
    </row>
    <row r="675" ht="14.25" customHeight="1">
      <c r="A675" s="1">
        <v>672.0</v>
      </c>
      <c r="B675" s="1">
        <v>14.0</v>
      </c>
      <c r="C675" s="1" t="s">
        <v>886</v>
      </c>
      <c r="D675" s="1" t="s">
        <v>140</v>
      </c>
      <c r="E675" s="1" t="s">
        <v>1631</v>
      </c>
      <c r="F675" s="1">
        <v>8.0</v>
      </c>
      <c r="G675" s="1" t="s">
        <v>1023</v>
      </c>
      <c r="H675" s="1" t="s">
        <v>1023</v>
      </c>
      <c r="I675" s="1" t="s">
        <v>1007</v>
      </c>
      <c r="J675" s="1" t="s">
        <v>1023</v>
      </c>
      <c r="K675" s="1">
        <v>674.0</v>
      </c>
      <c r="L675" s="1" t="str">
        <f t="shared" si="1"/>
        <v>Hayden Rucci</v>
      </c>
      <c r="M675" s="124" t="str">
        <f>IFERROR(VLOOKUP(E675,RISK!A:B,2,FALSE()),"")</f>
        <v/>
      </c>
      <c r="N675" s="116" t="str">
        <f t="shared" si="2"/>
        <v>#N/A</v>
      </c>
      <c r="Q675" s="8"/>
      <c r="R675" s="8"/>
      <c r="S675" s="8"/>
      <c r="T675" s="8"/>
    </row>
    <row r="676" ht="14.25" customHeight="1">
      <c r="A676" s="1">
        <v>673.0</v>
      </c>
      <c r="B676" s="1">
        <v>14.0</v>
      </c>
      <c r="C676" s="1" t="s">
        <v>1632</v>
      </c>
      <c r="D676" s="1" t="s">
        <v>189</v>
      </c>
      <c r="E676" s="1" t="s">
        <v>1633</v>
      </c>
      <c r="F676" s="1">
        <v>6.0</v>
      </c>
      <c r="G676" s="1" t="s">
        <v>1023</v>
      </c>
      <c r="H676" s="1" t="s">
        <v>1023</v>
      </c>
      <c r="I676" s="1" t="s">
        <v>1004</v>
      </c>
      <c r="J676" s="1" t="s">
        <v>1023</v>
      </c>
      <c r="K676" s="1">
        <v>675.0</v>
      </c>
      <c r="L676" s="1" t="str">
        <f t="shared" si="1"/>
        <v>Gavin Bartholomew</v>
      </c>
      <c r="M676" s="124" t="str">
        <f>IFERROR(VLOOKUP(E676,RISK!A:B,2,FALSE()),"")</f>
        <v/>
      </c>
      <c r="N676" s="116" t="str">
        <f t="shared" si="2"/>
        <v>#N/A</v>
      </c>
      <c r="Q676" s="8"/>
      <c r="R676" s="8"/>
      <c r="S676" s="8"/>
      <c r="T676" s="8"/>
    </row>
    <row r="677" ht="14.25" customHeight="1">
      <c r="A677" s="1">
        <v>674.0</v>
      </c>
      <c r="B677" s="1">
        <v>14.0</v>
      </c>
      <c r="C677" s="1" t="s">
        <v>934</v>
      </c>
      <c r="D677" s="1" t="s">
        <v>186</v>
      </c>
      <c r="E677" s="1" t="s">
        <v>1634</v>
      </c>
      <c r="F677" s="1">
        <v>10.0</v>
      </c>
      <c r="G677" s="1" t="s">
        <v>1023</v>
      </c>
      <c r="H677" s="1" t="s">
        <v>1023</v>
      </c>
      <c r="I677" s="1" t="s">
        <v>1003</v>
      </c>
      <c r="J677" s="1" t="s">
        <v>1023</v>
      </c>
      <c r="K677" s="1">
        <v>676.0</v>
      </c>
      <c r="L677" s="1" t="str">
        <f t="shared" si="1"/>
        <v>Devin Culp</v>
      </c>
      <c r="M677" s="124" t="str">
        <f>IFERROR(VLOOKUP(E677,RISK!A:B,2,FALSE()),"")</f>
        <v/>
      </c>
      <c r="N677" s="116" t="str">
        <f t="shared" si="2"/>
        <v>#N/A</v>
      </c>
      <c r="Q677" s="8"/>
      <c r="R677" s="8"/>
      <c r="S677" s="8"/>
      <c r="T677" s="8"/>
    </row>
    <row r="678" ht="14.25" customHeight="1">
      <c r="A678" s="1">
        <v>675.0</v>
      </c>
      <c r="B678" s="1">
        <v>14.0</v>
      </c>
      <c r="C678" s="1" t="s">
        <v>940</v>
      </c>
      <c r="D678" s="1" t="s">
        <v>145</v>
      </c>
      <c r="E678" s="1" t="s">
        <v>1635</v>
      </c>
      <c r="F678" s="1">
        <v>7.0</v>
      </c>
      <c r="G678" s="1" t="s">
        <v>1023</v>
      </c>
      <c r="H678" s="1" t="s">
        <v>1023</v>
      </c>
      <c r="I678" s="1" t="s">
        <v>1007</v>
      </c>
      <c r="J678" s="1" t="s">
        <v>1023</v>
      </c>
      <c r="K678" s="1">
        <v>677.0</v>
      </c>
      <c r="L678" s="1" t="str">
        <f t="shared" si="1"/>
        <v>Hunter Long</v>
      </c>
      <c r="M678" s="124" t="str">
        <f>IFERROR(VLOOKUP(E678,RISK!A:B,2,FALSE()),"")</f>
        <v/>
      </c>
      <c r="N678" s="116" t="str">
        <f t="shared" si="2"/>
        <v>#N/A</v>
      </c>
      <c r="Q678" s="8"/>
      <c r="R678" s="8"/>
      <c r="S678" s="8"/>
      <c r="T678" s="8"/>
    </row>
    <row r="679" ht="14.25" customHeight="1">
      <c r="A679" s="1">
        <v>676.0</v>
      </c>
      <c r="B679" s="1">
        <v>14.0</v>
      </c>
      <c r="C679" s="1" t="s">
        <v>958</v>
      </c>
      <c r="D679" s="1" t="s">
        <v>134</v>
      </c>
      <c r="E679" s="1" t="s">
        <v>1636</v>
      </c>
      <c r="F679" s="1">
        <v>8.0</v>
      </c>
      <c r="G679" s="1" t="s">
        <v>1023</v>
      </c>
      <c r="H679" s="1" t="s">
        <v>1023</v>
      </c>
      <c r="I679" s="1" t="s">
        <v>1007</v>
      </c>
      <c r="J679" s="1" t="s">
        <v>1023</v>
      </c>
      <c r="K679" s="1">
        <v>678.0</v>
      </c>
      <c r="L679" s="1" t="str">
        <f t="shared" si="1"/>
        <v>Chris Manhertz</v>
      </c>
      <c r="M679" s="124" t="str">
        <f>IFERROR(VLOOKUP(E679,RISK!A:B,2,FALSE()),"")</f>
        <v/>
      </c>
      <c r="N679" s="116" t="str">
        <f t="shared" si="2"/>
        <v>#N/A</v>
      </c>
      <c r="Q679" s="8"/>
      <c r="R679" s="8"/>
      <c r="S679" s="8"/>
      <c r="T679" s="8"/>
    </row>
    <row r="680" ht="14.25" customHeight="1">
      <c r="A680" s="1">
        <v>677.0</v>
      </c>
      <c r="B680" s="1">
        <v>14.0</v>
      </c>
      <c r="C680" s="1" t="s">
        <v>945</v>
      </c>
      <c r="D680" s="1" t="s">
        <v>186</v>
      </c>
      <c r="E680" s="1" t="s">
        <v>1637</v>
      </c>
      <c r="F680" s="1">
        <v>10.0</v>
      </c>
      <c r="G680" s="1" t="s">
        <v>1023</v>
      </c>
      <c r="H680" s="1" t="s">
        <v>1023</v>
      </c>
      <c r="I680" s="1" t="s">
        <v>1003</v>
      </c>
      <c r="J680" s="1" t="s">
        <v>1023</v>
      </c>
      <c r="K680" s="1">
        <v>679.0</v>
      </c>
      <c r="L680" s="1" t="str">
        <f t="shared" si="1"/>
        <v>Ko Kieft</v>
      </c>
      <c r="M680" s="124" t="str">
        <f>IFERROR(VLOOKUP(E680,RISK!A:B,2,FALSE()),"")</f>
        <v/>
      </c>
      <c r="N680" s="116" t="str">
        <f t="shared" si="2"/>
        <v>#N/A</v>
      </c>
      <c r="Q680" s="8"/>
      <c r="R680" s="8"/>
      <c r="S680" s="8"/>
      <c r="T680" s="8"/>
    </row>
    <row r="681" ht="14.25" customHeight="1">
      <c r="A681" s="1">
        <v>678.0</v>
      </c>
      <c r="B681" s="1">
        <v>14.0</v>
      </c>
      <c r="C681" s="1" t="s">
        <v>1638</v>
      </c>
      <c r="D681" s="1" t="s">
        <v>61</v>
      </c>
      <c r="E681" s="1" t="s">
        <v>1639</v>
      </c>
      <c r="F681" s="1">
        <v>13.0</v>
      </c>
      <c r="G681" s="1" t="s">
        <v>1023</v>
      </c>
      <c r="H681" s="1" t="s">
        <v>1023</v>
      </c>
      <c r="I681" s="1" t="s">
        <v>1004</v>
      </c>
      <c r="J681" s="1" t="s">
        <v>1023</v>
      </c>
      <c r="K681" s="1">
        <v>680.0</v>
      </c>
      <c r="L681" s="1" t="str">
        <f t="shared" si="1"/>
        <v>Ty Pezza</v>
      </c>
      <c r="M681" s="124" t="str">
        <f>IFERROR(VLOOKUP(E681,RISK!A:B,2,FALSE()),"")</f>
        <v/>
      </c>
      <c r="N681" s="116" t="str">
        <f t="shared" si="2"/>
        <v>#N/A</v>
      </c>
      <c r="Q681" s="8"/>
      <c r="R681" s="8"/>
      <c r="S681" s="8"/>
      <c r="T681" s="8"/>
    </row>
    <row r="682" ht="14.25" customHeight="1">
      <c r="A682" s="1">
        <v>679.0</v>
      </c>
      <c r="B682" s="1">
        <v>14.0</v>
      </c>
      <c r="C682" s="1" t="s">
        <v>961</v>
      </c>
      <c r="D682" s="1" t="s">
        <v>196</v>
      </c>
      <c r="E682" s="1" t="s">
        <v>1640</v>
      </c>
      <c r="F682" s="1">
        <v>6.0</v>
      </c>
      <c r="G682" s="1" t="s">
        <v>1023</v>
      </c>
      <c r="H682" s="1" t="s">
        <v>1023</v>
      </c>
      <c r="I682" s="1" t="s">
        <v>1002</v>
      </c>
      <c r="J682" s="1" t="s">
        <v>1023</v>
      </c>
      <c r="K682" s="1">
        <v>681.0</v>
      </c>
      <c r="L682" s="1" t="str">
        <f t="shared" si="1"/>
        <v>Cole Turner</v>
      </c>
      <c r="M682" s="124" t="str">
        <f>IFERROR(VLOOKUP(E682,RISK!A:B,2,FALSE()),"")</f>
        <v/>
      </c>
      <c r="N682" s="116" t="str">
        <f t="shared" si="2"/>
        <v>#N/A</v>
      </c>
      <c r="Q682" s="8"/>
      <c r="R682" s="8"/>
      <c r="S682" s="8"/>
      <c r="T682" s="8"/>
    </row>
    <row r="683" ht="14.25" customHeight="1">
      <c r="A683" s="1">
        <v>680.0</v>
      </c>
      <c r="B683" s="1">
        <v>14.0</v>
      </c>
      <c r="C683" s="1" t="s">
        <v>1641</v>
      </c>
      <c r="D683" s="1" t="s">
        <v>179</v>
      </c>
      <c r="E683" s="1" t="s">
        <v>1642</v>
      </c>
      <c r="F683" s="1">
        <v>6.0</v>
      </c>
      <c r="G683" s="1" t="s">
        <v>1023</v>
      </c>
      <c r="H683" s="1" t="s">
        <v>1023</v>
      </c>
      <c r="I683" s="1" t="s">
        <v>1002</v>
      </c>
      <c r="J683" s="1" t="s">
        <v>1023</v>
      </c>
      <c r="K683" s="1">
        <v>682.0</v>
      </c>
      <c r="L683" s="1" t="str">
        <f t="shared" si="1"/>
        <v>Raheem Blackshear</v>
      </c>
      <c r="M683" s="124" t="str">
        <f>IFERROR(VLOOKUP(E683,RISK!A:B,2,FALSE()),"")</f>
        <v/>
      </c>
      <c r="N683" s="116" t="str">
        <f t="shared" si="2"/>
        <v>#N/A</v>
      </c>
      <c r="Q683" s="8"/>
      <c r="R683" s="8"/>
      <c r="S683" s="8"/>
      <c r="T683" s="8"/>
    </row>
    <row r="684" ht="14.25" customHeight="1">
      <c r="A684" s="1">
        <v>681.0</v>
      </c>
      <c r="B684" s="1">
        <v>14.0</v>
      </c>
      <c r="C684" s="1" t="s">
        <v>1643</v>
      </c>
      <c r="D684" s="1" t="s">
        <v>1383</v>
      </c>
      <c r="E684" s="1" t="s">
        <v>1644</v>
      </c>
      <c r="F684" s="1" t="s">
        <v>1023</v>
      </c>
      <c r="G684" s="1" t="s">
        <v>1023</v>
      </c>
      <c r="H684" s="1" t="s">
        <v>1023</v>
      </c>
      <c r="I684" s="1" t="s">
        <v>1023</v>
      </c>
      <c r="J684" s="1" t="s">
        <v>1023</v>
      </c>
      <c r="K684" s="1">
        <v>683.0</v>
      </c>
      <c r="L684" s="1" t="str">
        <f t="shared" si="1"/>
        <v>Mario Williams</v>
      </c>
      <c r="M684" s="124" t="str">
        <f>IFERROR(VLOOKUP(E684,RISK!A:B,2,FALSE()),"")</f>
        <v/>
      </c>
      <c r="N684" s="116" t="str">
        <f t="shared" si="2"/>
        <v>#N/A</v>
      </c>
      <c r="Q684" s="8"/>
      <c r="R684" s="8"/>
      <c r="S684" s="8"/>
      <c r="T684" s="8"/>
    </row>
    <row r="685" ht="14.25" customHeight="1">
      <c r="A685" s="1">
        <v>682.0</v>
      </c>
      <c r="B685" s="1">
        <v>14.0</v>
      </c>
      <c r="C685" s="1" t="s">
        <v>1645</v>
      </c>
      <c r="D685" s="1" t="s">
        <v>214</v>
      </c>
      <c r="E685" s="1" t="s">
        <v>1646</v>
      </c>
      <c r="F685" s="1">
        <v>9.0</v>
      </c>
      <c r="G685" s="1" t="s">
        <v>1023</v>
      </c>
      <c r="H685" s="1" t="s">
        <v>1023</v>
      </c>
      <c r="I685" s="1" t="s">
        <v>1007</v>
      </c>
      <c r="J685" s="1" t="s">
        <v>1023</v>
      </c>
      <c r="K685" s="1">
        <v>684.0</v>
      </c>
      <c r="L685" s="1" t="str">
        <f t="shared" si="1"/>
        <v>Joel Wilson</v>
      </c>
      <c r="M685" s="124" t="str">
        <f>IFERROR(VLOOKUP(E685,RISK!A:B,2,FALSE()),"")</f>
        <v/>
      </c>
      <c r="N685" s="116" t="str">
        <f t="shared" si="2"/>
        <v>#N/A</v>
      </c>
      <c r="Q685" s="8"/>
      <c r="R685" s="8"/>
      <c r="S685" s="8"/>
      <c r="T685" s="8"/>
    </row>
    <row r="686" ht="14.25" customHeight="1">
      <c r="A686" s="1">
        <v>683.0</v>
      </c>
      <c r="B686" s="1">
        <v>14.0</v>
      </c>
      <c r="C686" s="1" t="s">
        <v>1647</v>
      </c>
      <c r="D686" s="1" t="s">
        <v>229</v>
      </c>
      <c r="E686" s="1" t="s">
        <v>1648</v>
      </c>
      <c r="F686" s="1">
        <v>11.0</v>
      </c>
      <c r="G686" s="1" t="s">
        <v>1023</v>
      </c>
      <c r="H686" s="1" t="s">
        <v>1023</v>
      </c>
      <c r="I686" s="1" t="s">
        <v>1007</v>
      </c>
      <c r="J686" s="1" t="s">
        <v>1023</v>
      </c>
      <c r="K686" s="1">
        <v>685.0</v>
      </c>
      <c r="L686" s="1" t="str">
        <f t="shared" si="1"/>
        <v>Juice Wells Jr.</v>
      </c>
      <c r="M686" s="124" t="str">
        <f>IFERROR(VLOOKUP(E686,RISK!A:B,2,FALSE()),"")</f>
        <v/>
      </c>
      <c r="N686" s="116" t="str">
        <f t="shared" si="2"/>
        <v>#N/A</v>
      </c>
      <c r="Q686" s="8"/>
      <c r="R686" s="8"/>
      <c r="S686" s="8"/>
      <c r="T686" s="8"/>
    </row>
    <row r="687" ht="14.25" customHeight="1">
      <c r="A687" s="1">
        <v>684.0</v>
      </c>
      <c r="B687" s="1">
        <v>14.0</v>
      </c>
      <c r="C687" s="1" t="s">
        <v>593</v>
      </c>
      <c r="D687" s="1" t="s">
        <v>159</v>
      </c>
      <c r="E687" s="1" t="s">
        <v>1649</v>
      </c>
      <c r="F687" s="1">
        <v>10.0</v>
      </c>
      <c r="G687" s="1" t="s">
        <v>1023</v>
      </c>
      <c r="H687" s="1" t="s">
        <v>1023</v>
      </c>
      <c r="I687" s="1" t="s">
        <v>1003</v>
      </c>
      <c r="J687" s="1" t="s">
        <v>1023</v>
      </c>
      <c r="K687" s="1">
        <v>686.0</v>
      </c>
      <c r="L687" s="1" t="str">
        <f t="shared" si="1"/>
        <v>Salvon Ahmed</v>
      </c>
      <c r="M687" s="124" t="str">
        <f>IFERROR(VLOOKUP(E687,RISK!A:B,2,FALSE()),"")</f>
        <v/>
      </c>
      <c r="N687" s="116" t="str">
        <f t="shared" si="2"/>
        <v>#N/A</v>
      </c>
      <c r="Q687" s="8"/>
      <c r="R687" s="8"/>
      <c r="S687" s="8"/>
      <c r="T687" s="8"/>
    </row>
    <row r="688" ht="14.25" customHeight="1">
      <c r="A688" s="1">
        <v>685.0</v>
      </c>
      <c r="B688" s="1">
        <v>14.0</v>
      </c>
      <c r="C688" s="1" t="s">
        <v>1650</v>
      </c>
      <c r="D688" s="1" t="s">
        <v>179</v>
      </c>
      <c r="E688" s="1" t="s">
        <v>1651</v>
      </c>
      <c r="F688" s="1">
        <v>6.0</v>
      </c>
      <c r="G688" s="1" t="s">
        <v>1023</v>
      </c>
      <c r="H688" s="1" t="s">
        <v>1023</v>
      </c>
      <c r="I688" s="1" t="s">
        <v>1007</v>
      </c>
      <c r="J688" s="1" t="s">
        <v>1023</v>
      </c>
      <c r="K688" s="1">
        <v>687.0</v>
      </c>
      <c r="L688" s="1" t="str">
        <f t="shared" si="1"/>
        <v>Zach Horton</v>
      </c>
      <c r="M688" s="124" t="str">
        <f>IFERROR(VLOOKUP(E688,RISK!A:B,2,FALSE()),"")</f>
        <v/>
      </c>
      <c r="N688" s="116" t="str">
        <f t="shared" si="2"/>
        <v>#N/A</v>
      </c>
      <c r="Q688" s="8"/>
      <c r="R688" s="8"/>
      <c r="S688" s="8"/>
      <c r="T688" s="8"/>
    </row>
    <row r="689" ht="14.25" customHeight="1">
      <c r="A689" s="1">
        <v>686.0</v>
      </c>
      <c r="B689" s="1">
        <v>14.0</v>
      </c>
      <c r="C689" s="1" t="s">
        <v>1652</v>
      </c>
      <c r="D689" s="1" t="s">
        <v>226</v>
      </c>
      <c r="E689" s="1" t="s">
        <v>1653</v>
      </c>
      <c r="F689" s="1">
        <v>11.0</v>
      </c>
      <c r="G689" s="1" t="s">
        <v>1023</v>
      </c>
      <c r="H689" s="1" t="s">
        <v>1023</v>
      </c>
      <c r="I689" s="1" t="s">
        <v>1007</v>
      </c>
      <c r="J689" s="1" t="s">
        <v>1023</v>
      </c>
      <c r="K689" s="1">
        <v>688.0</v>
      </c>
      <c r="L689" s="1" t="str">
        <f t="shared" si="1"/>
        <v>Carsen Ryan</v>
      </c>
      <c r="M689" s="124" t="str">
        <f>IFERROR(VLOOKUP(E689,RISK!A:B,2,FALSE()),"")</f>
        <v/>
      </c>
      <c r="N689" s="116" t="str">
        <f t="shared" si="2"/>
        <v>#N/A</v>
      </c>
      <c r="Q689" s="8"/>
      <c r="R689" s="8"/>
      <c r="S689" s="8"/>
      <c r="T689" s="8"/>
    </row>
    <row r="690" ht="14.25" customHeight="1">
      <c r="A690" s="1">
        <v>687.0</v>
      </c>
      <c r="B690" s="1">
        <v>14.0</v>
      </c>
      <c r="C690" s="1" t="s">
        <v>1654</v>
      </c>
      <c r="D690" s="1" t="s">
        <v>226</v>
      </c>
      <c r="E690" s="1" t="s">
        <v>1655</v>
      </c>
      <c r="F690" s="1">
        <v>11.0</v>
      </c>
      <c r="G690" s="1" t="s">
        <v>1023</v>
      </c>
      <c r="H690" s="1" t="s">
        <v>1023</v>
      </c>
      <c r="I690" s="1" t="s">
        <v>1007</v>
      </c>
      <c r="J690" s="1" t="s">
        <v>1023</v>
      </c>
      <c r="K690" s="1">
        <v>689.0</v>
      </c>
      <c r="L690" s="1" t="str">
        <f t="shared" si="1"/>
        <v>Brenden Bates</v>
      </c>
      <c r="M690" s="124" t="str">
        <f>IFERROR(VLOOKUP(E690,RISK!A:B,2,FALSE()),"")</f>
        <v/>
      </c>
      <c r="N690" s="116" t="str">
        <f t="shared" si="2"/>
        <v>#N/A</v>
      </c>
      <c r="Q690" s="8"/>
      <c r="R690" s="8"/>
      <c r="S690" s="8"/>
      <c r="T690" s="8"/>
    </row>
    <row r="691" ht="14.25" customHeight="1">
      <c r="A691" s="1">
        <v>688.0</v>
      </c>
      <c r="B691" s="1">
        <v>14.0</v>
      </c>
      <c r="C691" s="1" t="s">
        <v>1656</v>
      </c>
      <c r="D691" s="1" t="s">
        <v>1383</v>
      </c>
      <c r="E691" s="1" t="s">
        <v>1657</v>
      </c>
      <c r="F691" s="1" t="s">
        <v>1023</v>
      </c>
      <c r="G691" s="1" t="s">
        <v>1023</v>
      </c>
      <c r="H691" s="1" t="s">
        <v>1023</v>
      </c>
      <c r="I691" s="1" t="s">
        <v>1023</v>
      </c>
      <c r="J691" s="1" t="s">
        <v>1023</v>
      </c>
      <c r="K691" s="1">
        <v>690.0</v>
      </c>
      <c r="L691" s="1" t="str">
        <f t="shared" si="1"/>
        <v>Josiah Deguara</v>
      </c>
      <c r="M691" s="124" t="str">
        <f>IFERROR(VLOOKUP(E691,RISK!A:B,2,FALSE()),"")</f>
        <v/>
      </c>
      <c r="N691" s="116" t="str">
        <f t="shared" si="2"/>
        <v>#N/A</v>
      </c>
      <c r="Q691" s="8"/>
      <c r="R691" s="8"/>
      <c r="S691" s="8"/>
      <c r="T691" s="8"/>
    </row>
    <row r="692" ht="14.25" customHeight="1">
      <c r="A692" s="1">
        <v>689.0</v>
      </c>
      <c r="B692" s="1">
        <v>14.0</v>
      </c>
      <c r="C692" s="1" t="s">
        <v>1658</v>
      </c>
      <c r="D692" s="1" t="s">
        <v>1383</v>
      </c>
      <c r="E692" s="1" t="s">
        <v>1659</v>
      </c>
      <c r="F692" s="1" t="s">
        <v>1023</v>
      </c>
      <c r="G692" s="1" t="s">
        <v>1023</v>
      </c>
      <c r="H692" s="1" t="s">
        <v>1023</v>
      </c>
      <c r="I692" s="1" t="s">
        <v>1023</v>
      </c>
      <c r="J692" s="1" t="s">
        <v>1023</v>
      </c>
      <c r="K692" s="1">
        <v>691.0</v>
      </c>
      <c r="L692" s="1" t="str">
        <f t="shared" si="1"/>
        <v>Anthony Hankerson</v>
      </c>
      <c r="M692" s="124" t="str">
        <f>IFERROR(VLOOKUP(E692,RISK!A:B,2,FALSE()),"")</f>
        <v/>
      </c>
      <c r="N692" s="116" t="str">
        <f t="shared" si="2"/>
        <v>#N/A</v>
      </c>
      <c r="Q692" s="8"/>
      <c r="R692" s="8"/>
      <c r="S692" s="8"/>
      <c r="T692" s="8"/>
    </row>
    <row r="693" ht="14.25" customHeight="1">
      <c r="A693" s="1">
        <v>690.0</v>
      </c>
      <c r="B693" s="1">
        <v>14.0</v>
      </c>
      <c r="C693" s="1" t="s">
        <v>960</v>
      </c>
      <c r="D693" s="1" t="s">
        <v>145</v>
      </c>
      <c r="E693" s="1" t="s">
        <v>1660</v>
      </c>
      <c r="F693" s="1">
        <v>7.0</v>
      </c>
      <c r="G693" s="1" t="s">
        <v>1023</v>
      </c>
      <c r="H693" s="1" t="s">
        <v>1023</v>
      </c>
      <c r="I693" s="1" t="s">
        <v>1007</v>
      </c>
      <c r="J693" s="1" t="s">
        <v>1023</v>
      </c>
      <c r="K693" s="1">
        <v>692.0</v>
      </c>
      <c r="L693" s="1" t="str">
        <f t="shared" si="1"/>
        <v>Quintin Morris</v>
      </c>
      <c r="M693" s="124" t="str">
        <f>IFERROR(VLOOKUP(E693,RISK!A:B,2,FALSE()),"")</f>
        <v/>
      </c>
      <c r="N693" s="116" t="str">
        <f t="shared" si="2"/>
        <v>#N/A</v>
      </c>
      <c r="Q693" s="8"/>
      <c r="R693" s="8"/>
      <c r="S693" s="8"/>
      <c r="T693" s="8"/>
    </row>
    <row r="694" ht="14.25" customHeight="1">
      <c r="A694" s="1">
        <v>691.0</v>
      </c>
      <c r="B694" s="1">
        <v>14.0</v>
      </c>
      <c r="C694" s="1" t="s">
        <v>1661</v>
      </c>
      <c r="D694" s="1" t="s">
        <v>189</v>
      </c>
      <c r="E694" s="1" t="s">
        <v>1662</v>
      </c>
      <c r="F694" s="1">
        <v>6.0</v>
      </c>
      <c r="G694" s="1" t="s">
        <v>1023</v>
      </c>
      <c r="H694" s="1" t="s">
        <v>1023</v>
      </c>
      <c r="I694" s="1" t="s">
        <v>1004</v>
      </c>
      <c r="J694" s="1" t="s">
        <v>1023</v>
      </c>
      <c r="K694" s="1">
        <v>693.0</v>
      </c>
      <c r="L694" s="1" t="str">
        <f t="shared" si="1"/>
        <v>Bryson Nesbit</v>
      </c>
      <c r="M694" s="124" t="str">
        <f>IFERROR(VLOOKUP(E694,RISK!A:B,2,FALSE()),"")</f>
        <v/>
      </c>
      <c r="N694" s="116" t="str">
        <f t="shared" si="2"/>
        <v>#N/A</v>
      </c>
      <c r="Q694" s="8"/>
      <c r="R694" s="8"/>
      <c r="S694" s="8"/>
      <c r="T694" s="8"/>
    </row>
    <row r="695" ht="14.25" customHeight="1">
      <c r="A695" s="1">
        <v>692.0</v>
      </c>
      <c r="B695" s="1">
        <v>14.0</v>
      </c>
      <c r="C695" s="1" t="s">
        <v>1663</v>
      </c>
      <c r="D695" s="1" t="s">
        <v>117</v>
      </c>
      <c r="E695" s="1" t="s">
        <v>1664</v>
      </c>
      <c r="F695" s="1">
        <v>10.0</v>
      </c>
      <c r="G695" s="1" t="s">
        <v>1023</v>
      </c>
      <c r="H695" s="1" t="s">
        <v>1023</v>
      </c>
      <c r="I695" s="1" t="s">
        <v>1004</v>
      </c>
      <c r="J695" s="1" t="s">
        <v>1023</v>
      </c>
      <c r="K695" s="1">
        <v>694.0</v>
      </c>
      <c r="L695" s="1" t="str">
        <f t="shared" si="1"/>
        <v>E.J. Jenkins</v>
      </c>
      <c r="M695" s="124" t="str">
        <f>IFERROR(VLOOKUP(E695,RISK!A:B,2,FALSE()),"")</f>
        <v/>
      </c>
      <c r="N695" s="116" t="str">
        <f t="shared" si="2"/>
        <v>#N/A</v>
      </c>
      <c r="Q695" s="8"/>
      <c r="R695" s="8"/>
      <c r="S695" s="8"/>
      <c r="T695" s="8"/>
    </row>
    <row r="696" ht="14.25" customHeight="1">
      <c r="A696" s="1">
        <v>693.0</v>
      </c>
      <c r="B696" s="1">
        <v>14.0</v>
      </c>
      <c r="C696" s="1" t="s">
        <v>1665</v>
      </c>
      <c r="D696" s="1" t="s">
        <v>229</v>
      </c>
      <c r="E696" s="1" t="s">
        <v>1666</v>
      </c>
      <c r="F696" s="1">
        <v>11.0</v>
      </c>
      <c r="G696" s="1" t="s">
        <v>1023</v>
      </c>
      <c r="H696" s="1" t="s">
        <v>1023</v>
      </c>
      <c r="I696" s="1" t="s">
        <v>1007</v>
      </c>
      <c r="J696" s="1" t="s">
        <v>1023</v>
      </c>
      <c r="K696" s="1">
        <v>695.0</v>
      </c>
      <c r="L696" s="1" t="str">
        <f t="shared" si="1"/>
        <v>Joshua Simon</v>
      </c>
      <c r="M696" s="124" t="str">
        <f>IFERROR(VLOOKUP(E696,RISK!A:B,2,FALSE()),"")</f>
        <v/>
      </c>
      <c r="N696" s="116" t="str">
        <f t="shared" si="2"/>
        <v>#N/A</v>
      </c>
      <c r="Q696" s="8"/>
      <c r="R696" s="8"/>
      <c r="S696" s="8"/>
      <c r="T696" s="8"/>
    </row>
    <row r="697" ht="14.25" customHeight="1">
      <c r="A697" s="1">
        <v>694.0</v>
      </c>
      <c r="B697" s="1">
        <v>14.0</v>
      </c>
      <c r="C697" s="1" t="s">
        <v>892</v>
      </c>
      <c r="D697" s="1" t="s">
        <v>127</v>
      </c>
      <c r="E697" s="1" t="s">
        <v>1667</v>
      </c>
      <c r="F697" s="1">
        <v>6.0</v>
      </c>
      <c r="G697" s="1" t="s">
        <v>1023</v>
      </c>
      <c r="H697" s="1" t="s">
        <v>1023</v>
      </c>
      <c r="I697" s="1" t="s">
        <v>1007</v>
      </c>
      <c r="J697" s="1" t="s">
        <v>1023</v>
      </c>
      <c r="K697" s="1">
        <v>696.0</v>
      </c>
      <c r="L697" s="1" t="str">
        <f t="shared" si="1"/>
        <v>Cam Grandy</v>
      </c>
      <c r="M697" s="124" t="str">
        <f>IFERROR(VLOOKUP(E697,RISK!A:B,2,FALSE()),"")</f>
        <v/>
      </c>
      <c r="N697" s="116" t="str">
        <f t="shared" si="2"/>
        <v>#N/A</v>
      </c>
      <c r="Q697" s="8"/>
      <c r="R697" s="8"/>
      <c r="S697" s="8"/>
      <c r="T697" s="8"/>
    </row>
    <row r="698" ht="14.25" customHeight="1">
      <c r="A698" s="1">
        <v>695.0</v>
      </c>
      <c r="B698" s="1">
        <v>14.0</v>
      </c>
      <c r="C698" s="1" t="s">
        <v>646</v>
      </c>
      <c r="D698" s="1" t="s">
        <v>210</v>
      </c>
      <c r="E698" s="1" t="s">
        <v>1668</v>
      </c>
      <c r="F698" s="1">
        <v>13.0</v>
      </c>
      <c r="G698" s="1" t="s">
        <v>1023</v>
      </c>
      <c r="H698" s="1" t="s">
        <v>1023</v>
      </c>
      <c r="I698" s="1" t="s">
        <v>1004</v>
      </c>
      <c r="J698" s="1" t="s">
        <v>1023</v>
      </c>
      <c r="K698" s="1">
        <v>697.0</v>
      </c>
      <c r="L698" s="1" t="str">
        <f t="shared" si="1"/>
        <v>Andrew Beck</v>
      </c>
      <c r="M698" s="124" t="str">
        <f>IFERROR(VLOOKUP(E698,RISK!A:B,2,FALSE()),"")</f>
        <v/>
      </c>
      <c r="N698" s="116" t="str">
        <f t="shared" si="2"/>
        <v>#N/A</v>
      </c>
      <c r="Q698" s="8"/>
      <c r="R698" s="8"/>
      <c r="S698" s="8"/>
      <c r="T698" s="8"/>
    </row>
    <row r="699" ht="14.25" customHeight="1">
      <c r="A699" s="1">
        <v>696.0</v>
      </c>
      <c r="B699" s="1">
        <v>14.0</v>
      </c>
      <c r="C699" s="1" t="s">
        <v>1669</v>
      </c>
      <c r="D699" s="1" t="s">
        <v>217</v>
      </c>
      <c r="E699" s="1" t="s">
        <v>1670</v>
      </c>
      <c r="F699" s="1">
        <v>14.0</v>
      </c>
      <c r="G699" s="1" t="s">
        <v>1023</v>
      </c>
      <c r="H699" s="1" t="s">
        <v>1023</v>
      </c>
      <c r="I699" s="1" t="s">
        <v>1003</v>
      </c>
      <c r="J699" s="1" t="s">
        <v>1023</v>
      </c>
      <c r="K699" s="1">
        <v>698.0</v>
      </c>
      <c r="L699" s="1" t="str">
        <f t="shared" si="1"/>
        <v>Rivaldo Fairweather</v>
      </c>
      <c r="M699" s="124" t="str">
        <f>IFERROR(VLOOKUP(E699,RISK!A:B,2,FALSE()),"")</f>
        <v/>
      </c>
      <c r="N699" s="116" t="str">
        <f t="shared" si="2"/>
        <v>#N/A</v>
      </c>
      <c r="Q699" s="8"/>
      <c r="R699" s="8"/>
      <c r="S699" s="8"/>
      <c r="T699" s="8"/>
    </row>
    <row r="700" ht="14.25" customHeight="1">
      <c r="A700" s="1">
        <v>697.0</v>
      </c>
      <c r="B700" s="1">
        <v>14.0</v>
      </c>
      <c r="C700" s="1" t="s">
        <v>1376</v>
      </c>
      <c r="D700" s="1" t="s">
        <v>229</v>
      </c>
      <c r="E700" s="1" t="s">
        <v>1671</v>
      </c>
      <c r="F700" s="1">
        <v>11.0</v>
      </c>
      <c r="G700" s="1" t="s">
        <v>1023</v>
      </c>
      <c r="H700" s="1" t="s">
        <v>1023</v>
      </c>
      <c r="I700" s="1" t="s">
        <v>1007</v>
      </c>
      <c r="J700" s="1" t="s">
        <v>1023</v>
      </c>
      <c r="K700" s="1">
        <v>699.0</v>
      </c>
      <c r="L700" s="1" t="str">
        <f t="shared" si="1"/>
        <v>Jack Velling</v>
      </c>
      <c r="M700" s="124" t="str">
        <f>IFERROR(VLOOKUP(E700,RISK!A:B,2,FALSE()),"")</f>
        <v/>
      </c>
      <c r="N700" s="116" t="str">
        <f t="shared" si="2"/>
        <v>#N/A</v>
      </c>
      <c r="Q700" s="8"/>
      <c r="R700" s="8"/>
      <c r="S700" s="8"/>
      <c r="T700" s="8"/>
    </row>
    <row r="701" ht="14.25" customHeight="1">
      <c r="A701" s="1">
        <v>698.0</v>
      </c>
      <c r="B701" s="1">
        <v>14.0</v>
      </c>
      <c r="C701" s="1" t="s">
        <v>1672</v>
      </c>
      <c r="D701" s="1" t="s">
        <v>150</v>
      </c>
      <c r="E701" s="1" t="s">
        <v>1673</v>
      </c>
      <c r="F701" s="1">
        <v>14.0</v>
      </c>
      <c r="G701" s="1" t="s">
        <v>1023</v>
      </c>
      <c r="H701" s="1" t="s">
        <v>1023</v>
      </c>
      <c r="I701" s="1" t="s">
        <v>1003</v>
      </c>
      <c r="J701" s="1" t="s">
        <v>1023</v>
      </c>
      <c r="K701" s="1">
        <v>700.0</v>
      </c>
      <c r="L701" s="1" t="str">
        <f t="shared" si="1"/>
        <v>Princeton Fant</v>
      </c>
      <c r="M701" s="124" t="str">
        <f>IFERROR(VLOOKUP(E701,RISK!A:B,2,FALSE()),"")</f>
        <v/>
      </c>
      <c r="N701" s="116" t="str">
        <f t="shared" si="2"/>
        <v>#N/A</v>
      </c>
      <c r="Q701" s="8"/>
      <c r="R701" s="8"/>
      <c r="S701" s="8"/>
      <c r="T701" s="8"/>
    </row>
    <row r="702" ht="14.25" customHeight="1">
      <c r="A702" s="1">
        <v>699.0</v>
      </c>
      <c r="B702" s="1">
        <v>14.0</v>
      </c>
      <c r="C702" s="1" t="s">
        <v>1674</v>
      </c>
      <c r="D702" s="1" t="s">
        <v>220</v>
      </c>
      <c r="E702" s="1" t="s">
        <v>1675</v>
      </c>
      <c r="F702" s="1">
        <v>9.0</v>
      </c>
      <c r="G702" s="1" t="s">
        <v>1023</v>
      </c>
      <c r="H702" s="1" t="s">
        <v>1023</v>
      </c>
      <c r="I702" s="1" t="s">
        <v>1003</v>
      </c>
      <c r="J702" s="1" t="s">
        <v>1023</v>
      </c>
      <c r="K702" s="1">
        <v>701.0</v>
      </c>
      <c r="L702" s="1" t="str">
        <f t="shared" si="1"/>
        <v>Lance Mason</v>
      </c>
      <c r="M702" s="124" t="str">
        <f>IFERROR(VLOOKUP(E702,RISK!A:B,2,FALSE()),"")</f>
        <v/>
      </c>
      <c r="N702" s="116" t="str">
        <f t="shared" si="2"/>
        <v>#N/A</v>
      </c>
      <c r="Q702" s="8"/>
      <c r="R702" s="8"/>
      <c r="S702" s="8"/>
      <c r="T702" s="8"/>
    </row>
    <row r="703" ht="14.25" customHeight="1">
      <c r="A703" s="1">
        <v>700.0</v>
      </c>
      <c r="B703" s="1">
        <v>14.0</v>
      </c>
      <c r="C703" s="1" t="s">
        <v>1676</v>
      </c>
      <c r="D703" s="1" t="s">
        <v>18</v>
      </c>
      <c r="E703" s="1" t="s">
        <v>1677</v>
      </c>
      <c r="F703" s="1">
        <v>7.0</v>
      </c>
      <c r="G703" s="1" t="s">
        <v>1023</v>
      </c>
      <c r="H703" s="1" t="s">
        <v>1023</v>
      </c>
      <c r="I703" s="1" t="s">
        <v>1007</v>
      </c>
      <c r="J703" s="1" t="s">
        <v>1023</v>
      </c>
      <c r="K703" s="1">
        <v>702.0</v>
      </c>
      <c r="L703" s="1" t="str">
        <f t="shared" si="1"/>
        <v>Shane Zylstra</v>
      </c>
      <c r="M703" s="124" t="str">
        <f>IFERROR(VLOOKUP(E703,RISK!A:B,2,FALSE()),"")</f>
        <v/>
      </c>
      <c r="N703" s="116" t="str">
        <f t="shared" si="2"/>
        <v>#N/A</v>
      </c>
      <c r="Q703" s="8"/>
      <c r="R703" s="8"/>
      <c r="S703" s="8"/>
      <c r="T703" s="8"/>
    </row>
    <row r="704" ht="14.25" customHeight="1">
      <c r="A704" s="1">
        <v>701.0</v>
      </c>
      <c r="B704" s="1">
        <v>14.0</v>
      </c>
      <c r="C704" s="1" t="s">
        <v>1353</v>
      </c>
      <c r="D704" s="1" t="s">
        <v>127</v>
      </c>
      <c r="E704" s="1" t="s">
        <v>1678</v>
      </c>
      <c r="F704" s="1">
        <v>6.0</v>
      </c>
      <c r="G704" s="1" t="s">
        <v>1023</v>
      </c>
      <c r="H704" s="1" t="s">
        <v>1023</v>
      </c>
      <c r="I704" s="1" t="s">
        <v>1003</v>
      </c>
      <c r="J704" s="1" t="s">
        <v>1023</v>
      </c>
      <c r="K704" s="1">
        <v>703.0</v>
      </c>
      <c r="L704" s="1" t="str">
        <f t="shared" si="1"/>
        <v>Jamal Haynes</v>
      </c>
      <c r="M704" s="124" t="str">
        <f>IFERROR(VLOOKUP(E704,RISK!A:B,2,FALSE()),"")</f>
        <v/>
      </c>
      <c r="N704" s="116" t="str">
        <f t="shared" si="2"/>
        <v>#N/A</v>
      </c>
      <c r="Q704" s="8"/>
      <c r="R704" s="8"/>
      <c r="S704" s="8"/>
      <c r="T704" s="8"/>
    </row>
    <row r="705" ht="14.25" customHeight="1">
      <c r="A705" s="1">
        <v>702.0</v>
      </c>
      <c r="B705" s="1">
        <v>14.0</v>
      </c>
      <c r="C705" s="1" t="s">
        <v>1679</v>
      </c>
      <c r="D705" s="1" t="s">
        <v>150</v>
      </c>
      <c r="E705" s="1" t="s">
        <v>1680</v>
      </c>
      <c r="F705" s="1">
        <v>14.0</v>
      </c>
      <c r="G705" s="1" t="s">
        <v>1023</v>
      </c>
      <c r="H705" s="1" t="s">
        <v>1023</v>
      </c>
      <c r="I705" s="1" t="s">
        <v>1003</v>
      </c>
      <c r="J705" s="1" t="s">
        <v>1023</v>
      </c>
      <c r="K705" s="1">
        <v>704.0</v>
      </c>
      <c r="L705" s="1" t="str">
        <f t="shared" si="1"/>
        <v>DJ Rogers</v>
      </c>
      <c r="M705" s="124" t="str">
        <f>IFERROR(VLOOKUP(E705,RISK!A:B,2,FALSE()),"")</f>
        <v/>
      </c>
      <c r="N705" s="116" t="str">
        <f t="shared" si="2"/>
        <v>#N/A</v>
      </c>
      <c r="Q705" s="8"/>
      <c r="R705" s="8"/>
      <c r="S705" s="8"/>
      <c r="T705" s="8"/>
    </row>
    <row r="706" ht="14.25" customHeight="1">
      <c r="A706" s="1">
        <v>703.0</v>
      </c>
      <c r="B706" s="1">
        <v>14.0</v>
      </c>
      <c r="C706" s="1" t="s">
        <v>1681</v>
      </c>
      <c r="D706" s="1" t="s">
        <v>94</v>
      </c>
      <c r="E706" s="1" t="s">
        <v>1682</v>
      </c>
      <c r="F706" s="1">
        <v>11.0</v>
      </c>
      <c r="G706" s="1" t="s">
        <v>1023</v>
      </c>
      <c r="H706" s="1" t="s">
        <v>1023</v>
      </c>
      <c r="I706" s="1" t="s">
        <v>1004</v>
      </c>
      <c r="J706" s="1" t="s">
        <v>1023</v>
      </c>
      <c r="K706" s="1">
        <v>705.0</v>
      </c>
      <c r="L706" s="1" t="str">
        <f t="shared" si="1"/>
        <v>Tanner Arkin</v>
      </c>
      <c r="M706" s="124" t="str">
        <f>IFERROR(VLOOKUP(E706,RISK!A:B,2,FALSE()),"")</f>
        <v/>
      </c>
      <c r="N706" s="116" t="str">
        <f t="shared" si="2"/>
        <v>#N/A</v>
      </c>
      <c r="Q706" s="8"/>
      <c r="R706" s="8"/>
      <c r="S706" s="8"/>
      <c r="T706" s="8"/>
    </row>
    <row r="707" ht="14.25" customHeight="1">
      <c r="A707" s="1">
        <v>704.0</v>
      </c>
      <c r="B707" s="1">
        <v>14.0</v>
      </c>
      <c r="C707" s="1" t="s">
        <v>1683</v>
      </c>
      <c r="D707" s="1" t="s">
        <v>220</v>
      </c>
      <c r="E707" s="1" t="s">
        <v>1684</v>
      </c>
      <c r="F707" s="1">
        <v>9.0</v>
      </c>
      <c r="G707" s="1" t="s">
        <v>1023</v>
      </c>
      <c r="H707" s="1" t="s">
        <v>1023</v>
      </c>
      <c r="I707" s="1" t="s">
        <v>1003</v>
      </c>
      <c r="J707" s="1" t="s">
        <v>1023</v>
      </c>
      <c r="K707" s="1">
        <v>706.0</v>
      </c>
      <c r="L707" s="1" t="str">
        <f t="shared" si="1"/>
        <v>Lake McRee</v>
      </c>
      <c r="M707" s="124" t="str">
        <f>IFERROR(VLOOKUP(E707,RISK!A:B,2,FALSE()),"")</f>
        <v/>
      </c>
      <c r="N707" s="116" t="str">
        <f t="shared" si="2"/>
        <v>#N/A</v>
      </c>
      <c r="Q707" s="8"/>
      <c r="R707" s="8"/>
      <c r="S707" s="8"/>
      <c r="T707" s="8"/>
    </row>
    <row r="708" ht="14.25" customHeight="1">
      <c r="A708" s="1">
        <v>705.0</v>
      </c>
      <c r="B708" s="1">
        <v>14.0</v>
      </c>
      <c r="C708" s="1" t="s">
        <v>1685</v>
      </c>
      <c r="D708" s="1" t="s">
        <v>202</v>
      </c>
      <c r="E708" s="1" t="s">
        <v>1686</v>
      </c>
      <c r="F708" s="1">
        <v>11.0</v>
      </c>
      <c r="G708" s="1" t="s">
        <v>1023</v>
      </c>
      <c r="H708" s="1" t="s">
        <v>1023</v>
      </c>
      <c r="I708" s="1" t="s">
        <v>1007</v>
      </c>
      <c r="J708" s="1" t="s">
        <v>1023</v>
      </c>
      <c r="K708" s="1">
        <v>707.0</v>
      </c>
      <c r="L708" s="1" t="str">
        <f t="shared" si="1"/>
        <v>Nick Kallerup</v>
      </c>
      <c r="M708" s="124" t="str">
        <f>IFERROR(VLOOKUP(E708,RISK!A:B,2,FALSE()),"")</f>
        <v/>
      </c>
      <c r="N708" s="116" t="str">
        <f t="shared" si="2"/>
        <v>#N/A</v>
      </c>
      <c r="Q708" s="8"/>
      <c r="R708" s="8"/>
      <c r="S708" s="8"/>
      <c r="T708" s="8"/>
    </row>
    <row r="709" ht="14.25" customHeight="1">
      <c r="A709" s="1">
        <v>706.0</v>
      </c>
      <c r="B709" s="1">
        <v>14.0</v>
      </c>
      <c r="C709" s="1" t="s">
        <v>1687</v>
      </c>
      <c r="D709" s="1" t="s">
        <v>94</v>
      </c>
      <c r="E709" s="1" t="s">
        <v>1688</v>
      </c>
      <c r="F709" s="1">
        <v>11.0</v>
      </c>
      <c r="G709" s="1" t="s">
        <v>1023</v>
      </c>
      <c r="H709" s="1" t="s">
        <v>1023</v>
      </c>
      <c r="I709" s="1" t="s">
        <v>1004</v>
      </c>
      <c r="J709" s="1" t="s">
        <v>1023</v>
      </c>
      <c r="K709" s="1">
        <v>708.0</v>
      </c>
      <c r="L709" s="1" t="str">
        <f t="shared" si="1"/>
        <v>Jack Westover</v>
      </c>
      <c r="M709" s="124" t="str">
        <f>IFERROR(VLOOKUP(E709,RISK!A:B,2,FALSE()),"")</f>
        <v/>
      </c>
      <c r="N709" s="116" t="str">
        <f t="shared" si="2"/>
        <v>#N/A</v>
      </c>
      <c r="Q709" s="8"/>
      <c r="R709" s="8"/>
      <c r="S709" s="8"/>
      <c r="T709" s="8"/>
    </row>
    <row r="710" ht="14.25" customHeight="1">
      <c r="A710" s="1">
        <v>707.0</v>
      </c>
      <c r="B710" s="1">
        <v>14.0</v>
      </c>
      <c r="C710" s="1" t="s">
        <v>1689</v>
      </c>
      <c r="D710" s="1" t="s">
        <v>205</v>
      </c>
      <c r="E710" s="1" t="s">
        <v>1690</v>
      </c>
      <c r="F710" s="1">
        <v>8.0</v>
      </c>
      <c r="G710" s="1" t="s">
        <v>1023</v>
      </c>
      <c r="H710" s="1" t="s">
        <v>1023</v>
      </c>
      <c r="I710" s="1" t="s">
        <v>1004</v>
      </c>
      <c r="J710" s="1" t="s">
        <v>1023</v>
      </c>
      <c r="K710" s="1">
        <v>709.0</v>
      </c>
      <c r="L710" s="1" t="str">
        <f t="shared" si="1"/>
        <v>Owen Wright</v>
      </c>
      <c r="M710" s="124" t="str">
        <f>IFERROR(VLOOKUP(E710,RISK!A:B,2,FALSE()),"")</f>
        <v/>
      </c>
      <c r="N710" s="116" t="str">
        <f t="shared" si="2"/>
        <v>#N/A</v>
      </c>
      <c r="Q710" s="8"/>
      <c r="R710" s="8"/>
      <c r="S710" s="8"/>
      <c r="T710" s="8"/>
    </row>
    <row r="711" ht="14.25" customHeight="1">
      <c r="A711" s="1">
        <v>708.0</v>
      </c>
      <c r="B711" s="1">
        <v>14.0</v>
      </c>
      <c r="C711" s="1" t="s">
        <v>1691</v>
      </c>
      <c r="D711" s="1" t="s">
        <v>193</v>
      </c>
      <c r="E711" s="1" t="s">
        <v>1692</v>
      </c>
      <c r="F711" s="1">
        <v>13.0</v>
      </c>
      <c r="G711" s="1" t="s">
        <v>1023</v>
      </c>
      <c r="H711" s="1" t="s">
        <v>1023</v>
      </c>
      <c r="I711" s="1" t="s">
        <v>1007</v>
      </c>
      <c r="J711" s="1" t="s">
        <v>1023</v>
      </c>
      <c r="K711" s="1">
        <v>710.0</v>
      </c>
      <c r="L711" s="1" t="str">
        <f t="shared" si="1"/>
        <v>Pharaoh Brown</v>
      </c>
      <c r="M711" s="124" t="str">
        <f>IFERROR(VLOOKUP(E711,RISK!A:B,2,FALSE()),"")</f>
        <v/>
      </c>
      <c r="N711" s="116" t="str">
        <f t="shared" si="2"/>
        <v>#N/A</v>
      </c>
      <c r="Q711" s="8"/>
      <c r="R711" s="8"/>
      <c r="S711" s="8"/>
      <c r="T711" s="8"/>
    </row>
    <row r="712" ht="14.25" customHeight="1">
      <c r="A712" s="1">
        <v>709.0</v>
      </c>
      <c r="B712" s="1">
        <v>14.0</v>
      </c>
      <c r="C712" s="1" t="s">
        <v>1693</v>
      </c>
      <c r="D712" s="1" t="s">
        <v>186</v>
      </c>
      <c r="E712" s="1" t="s">
        <v>1694</v>
      </c>
      <c r="F712" s="1">
        <v>10.0</v>
      </c>
      <c r="G712" s="1" t="s">
        <v>1023</v>
      </c>
      <c r="H712" s="1" t="s">
        <v>1023</v>
      </c>
      <c r="I712" s="1" t="s">
        <v>1003</v>
      </c>
      <c r="J712" s="1" t="s">
        <v>1023</v>
      </c>
      <c r="K712" s="1">
        <v>711.0</v>
      </c>
      <c r="L712" s="1" t="str">
        <f t="shared" si="1"/>
        <v>Kenny Fletcher Jr.</v>
      </c>
      <c r="M712" s="124" t="str">
        <f>IFERROR(VLOOKUP(E712,RISK!A:B,2,FALSE()),"")</f>
        <v/>
      </c>
      <c r="N712" s="116" t="str">
        <f t="shared" si="2"/>
        <v>#N/A</v>
      </c>
      <c r="Q712" s="8"/>
      <c r="R712" s="8"/>
      <c r="S712" s="8"/>
      <c r="T712" s="8"/>
    </row>
    <row r="713" ht="14.25" customHeight="1">
      <c r="A713" s="1">
        <v>710.0</v>
      </c>
      <c r="B713" s="1">
        <v>14.0</v>
      </c>
      <c r="C713" s="1" t="s">
        <v>1695</v>
      </c>
      <c r="D713" s="1" t="s">
        <v>208</v>
      </c>
      <c r="E713" s="1" t="s">
        <v>1696</v>
      </c>
      <c r="F713" s="1">
        <v>5.0</v>
      </c>
      <c r="G713" s="1" t="s">
        <v>1023</v>
      </c>
      <c r="H713" s="1" t="s">
        <v>1023</v>
      </c>
      <c r="I713" s="1" t="s">
        <v>1003</v>
      </c>
      <c r="J713" s="1" t="s">
        <v>1023</v>
      </c>
      <c r="K713" s="1">
        <v>712.0</v>
      </c>
      <c r="L713" s="1" t="str">
        <f t="shared" si="1"/>
        <v>James Mitchell</v>
      </c>
      <c r="M713" s="124" t="str">
        <f>IFERROR(VLOOKUP(E713,RISK!A:B,2,FALSE()),"")</f>
        <v/>
      </c>
      <c r="N713" s="116" t="str">
        <f t="shared" si="2"/>
        <v>#N/A</v>
      </c>
      <c r="Q713" s="8"/>
      <c r="R713" s="8"/>
      <c r="S713" s="8"/>
      <c r="T713" s="8"/>
    </row>
    <row r="714" ht="14.25" customHeight="1">
      <c r="A714" s="1">
        <v>711.0</v>
      </c>
      <c r="B714" s="1">
        <v>14.0</v>
      </c>
      <c r="C714" s="1" t="s">
        <v>902</v>
      </c>
      <c r="D714" s="1" t="s">
        <v>182</v>
      </c>
      <c r="E714" s="1" t="s">
        <v>1697</v>
      </c>
      <c r="F714" s="1">
        <v>8.0</v>
      </c>
      <c r="G714" s="1" t="s">
        <v>1023</v>
      </c>
      <c r="H714" s="1" t="s">
        <v>1023</v>
      </c>
      <c r="I714" s="1" t="s">
        <v>1003</v>
      </c>
      <c r="J714" s="1" t="s">
        <v>1023</v>
      </c>
      <c r="K714" s="1">
        <v>713.0</v>
      </c>
      <c r="L714" s="1" t="str">
        <f t="shared" si="1"/>
        <v>Zaire Mitchell-Paden</v>
      </c>
      <c r="M714" s="124" t="str">
        <f>IFERROR(VLOOKUP(E714,RISK!A:B,2,FALSE()),"")</f>
        <v/>
      </c>
      <c r="N714" s="116" t="str">
        <f t="shared" si="2"/>
        <v>#N/A</v>
      </c>
      <c r="Q714" s="8"/>
      <c r="R714" s="8"/>
      <c r="S714" s="8"/>
      <c r="T714" s="8"/>
    </row>
    <row r="715" ht="14.25" customHeight="1">
      <c r="A715" s="1">
        <v>712.0</v>
      </c>
      <c r="B715" s="1">
        <v>14.0</v>
      </c>
      <c r="C715" s="1" t="s">
        <v>1341</v>
      </c>
      <c r="D715" s="1" t="s">
        <v>176</v>
      </c>
      <c r="E715" s="1" t="s">
        <v>1698</v>
      </c>
      <c r="F715" s="1">
        <v>11.0</v>
      </c>
      <c r="G715" s="1" t="s">
        <v>1023</v>
      </c>
      <c r="H715" s="1" t="s">
        <v>1023</v>
      </c>
      <c r="I715" s="1" t="s">
        <v>1002</v>
      </c>
      <c r="J715" s="1" t="s">
        <v>1023</v>
      </c>
      <c r="K715" s="1">
        <v>714.0</v>
      </c>
      <c r="L715" s="1" t="str">
        <f t="shared" si="1"/>
        <v>Dean Connors</v>
      </c>
      <c r="M715" s="124" t="str">
        <f>IFERROR(VLOOKUP(E715,RISK!A:B,2,FALSE()),"")</f>
        <v/>
      </c>
      <c r="N715" s="116" t="str">
        <f t="shared" si="2"/>
        <v>#N/A</v>
      </c>
      <c r="Q715" s="8"/>
      <c r="R715" s="8"/>
      <c r="S715" s="8"/>
      <c r="T715" s="8"/>
    </row>
    <row r="716" ht="14.25" customHeight="1">
      <c r="A716" s="1">
        <v>713.0</v>
      </c>
      <c r="B716" s="1">
        <v>14.0</v>
      </c>
      <c r="C716" s="1" t="s">
        <v>1699</v>
      </c>
      <c r="D716" s="1" t="s">
        <v>106</v>
      </c>
      <c r="E716" s="1" t="s">
        <v>1700</v>
      </c>
      <c r="F716" s="1">
        <v>7.0</v>
      </c>
      <c r="G716" s="1" t="s">
        <v>1023</v>
      </c>
      <c r="H716" s="1" t="s">
        <v>1023</v>
      </c>
      <c r="I716" s="1" t="s">
        <v>1006</v>
      </c>
      <c r="J716" s="1" t="s">
        <v>1023</v>
      </c>
      <c r="K716" s="1">
        <v>715.0</v>
      </c>
      <c r="L716" s="1" t="str">
        <f t="shared" si="1"/>
        <v>Quentin Moore</v>
      </c>
      <c r="M716" s="124" t="str">
        <f>IFERROR(VLOOKUP(E716,RISK!A:B,2,FALSE()),"")</f>
        <v/>
      </c>
      <c r="N716" s="116" t="str">
        <f t="shared" si="2"/>
        <v>#N/A</v>
      </c>
      <c r="Q716" s="8"/>
      <c r="R716" s="8"/>
      <c r="S716" s="8"/>
      <c r="T716" s="8"/>
    </row>
    <row r="717" ht="14.25" customHeight="1">
      <c r="A717" s="1">
        <v>714.0</v>
      </c>
      <c r="B717" s="1">
        <v>14.0</v>
      </c>
      <c r="C717" s="1" t="s">
        <v>490</v>
      </c>
      <c r="D717" s="1" t="s">
        <v>208</v>
      </c>
      <c r="E717" s="1" t="s">
        <v>1701</v>
      </c>
      <c r="F717" s="1">
        <v>5.0</v>
      </c>
      <c r="G717" s="1" t="s">
        <v>1023</v>
      </c>
      <c r="H717" s="1" t="s">
        <v>1023</v>
      </c>
      <c r="I717" s="1" t="s">
        <v>1006</v>
      </c>
      <c r="J717" s="1" t="s">
        <v>1023</v>
      </c>
      <c r="K717" s="1">
        <v>716.0</v>
      </c>
      <c r="L717" s="1" t="str">
        <f t="shared" si="1"/>
        <v>AJ Dillon</v>
      </c>
      <c r="M717" s="124" t="str">
        <f>IFERROR(VLOOKUP(E717,RISK!A:B,2,FALSE()),"")</f>
        <v/>
      </c>
      <c r="N717" s="116" t="str">
        <f t="shared" si="2"/>
        <v>#N/A</v>
      </c>
      <c r="Q717" s="8"/>
      <c r="R717" s="8"/>
      <c r="S717" s="8"/>
      <c r="T717" s="8"/>
    </row>
    <row r="718" ht="14.25" customHeight="1">
      <c r="A718" s="1">
        <v>715.0</v>
      </c>
      <c r="B718" s="1">
        <v>14.0</v>
      </c>
      <c r="C718" s="1" t="s">
        <v>1702</v>
      </c>
      <c r="D718" s="1" t="s">
        <v>61</v>
      </c>
      <c r="E718" s="1" t="s">
        <v>1703</v>
      </c>
      <c r="F718" s="1">
        <v>13.0</v>
      </c>
      <c r="G718" s="1" t="s">
        <v>1023</v>
      </c>
      <c r="H718" s="1" t="s">
        <v>1023</v>
      </c>
      <c r="I718" s="1" t="s">
        <v>1007</v>
      </c>
      <c r="J718" s="1" t="s">
        <v>1023</v>
      </c>
      <c r="K718" s="1">
        <v>717.0</v>
      </c>
      <c r="L718" s="1" t="str">
        <f t="shared" si="1"/>
        <v>Dontae McMillan</v>
      </c>
      <c r="M718" s="124" t="str">
        <f>IFERROR(VLOOKUP(E718,RISK!A:B,2,FALSE()),"")</f>
        <v/>
      </c>
      <c r="N718" s="116" t="str">
        <f t="shared" si="2"/>
        <v>#N/A</v>
      </c>
      <c r="Q718" s="8"/>
      <c r="R718" s="8"/>
      <c r="S718" s="8"/>
      <c r="T718" s="8"/>
    </row>
    <row r="719" ht="14.25" customHeight="1">
      <c r="A719" s="1">
        <v>716.0</v>
      </c>
      <c r="B719" s="1">
        <v>14.0</v>
      </c>
      <c r="C719" s="1" t="s">
        <v>1704</v>
      </c>
      <c r="D719" s="1" t="s">
        <v>145</v>
      </c>
      <c r="E719" s="1" t="s">
        <v>1705</v>
      </c>
      <c r="F719" s="1">
        <v>7.0</v>
      </c>
      <c r="G719" s="1" t="s">
        <v>1023</v>
      </c>
      <c r="H719" s="1" t="s">
        <v>1023</v>
      </c>
      <c r="I719" s="1" t="s">
        <v>1007</v>
      </c>
      <c r="J719" s="1" t="s">
        <v>1023</v>
      </c>
      <c r="K719" s="1">
        <v>718.0</v>
      </c>
      <c r="L719" s="1" t="str">
        <f t="shared" si="1"/>
        <v>Patrick Herbert</v>
      </c>
      <c r="M719" s="124" t="str">
        <f>IFERROR(VLOOKUP(E719,RISK!A:B,2,FALSE()),"")</f>
        <v/>
      </c>
      <c r="N719" s="116" t="str">
        <f t="shared" si="2"/>
        <v>#N/A</v>
      </c>
      <c r="Q719" s="8"/>
      <c r="R719" s="8"/>
      <c r="S719" s="8"/>
      <c r="T719" s="8"/>
    </row>
    <row r="720" ht="14.25" customHeight="1">
      <c r="A720" s="1">
        <v>717.0</v>
      </c>
      <c r="B720" s="1">
        <v>14.0</v>
      </c>
      <c r="C720" s="1" t="s">
        <v>1706</v>
      </c>
      <c r="D720" s="1" t="s">
        <v>199</v>
      </c>
      <c r="E720" s="1" t="s">
        <v>1707</v>
      </c>
      <c r="F720" s="1">
        <v>11.0</v>
      </c>
      <c r="G720" s="1" t="s">
        <v>1023</v>
      </c>
      <c r="H720" s="1" t="s">
        <v>1023</v>
      </c>
      <c r="I720" s="1" t="s">
        <v>1003</v>
      </c>
      <c r="J720" s="1" t="s">
        <v>1023</v>
      </c>
      <c r="K720" s="1">
        <v>719.0</v>
      </c>
      <c r="L720" s="1" t="str">
        <f t="shared" si="1"/>
        <v>Messiah Swinson</v>
      </c>
      <c r="M720" s="124" t="str">
        <f>IFERROR(VLOOKUP(E720,RISK!A:B,2,FALSE()),"")</f>
        <v/>
      </c>
      <c r="N720" s="116" t="str">
        <f t="shared" si="2"/>
        <v>#N/A</v>
      </c>
      <c r="Q720" s="8"/>
      <c r="R720" s="8"/>
      <c r="S720" s="8"/>
      <c r="T720" s="8"/>
    </row>
    <row r="721" ht="14.25" customHeight="1">
      <c r="A721" s="1">
        <v>718.0</v>
      </c>
      <c r="B721" s="1">
        <v>14.0</v>
      </c>
      <c r="C721" s="1" t="s">
        <v>1708</v>
      </c>
      <c r="D721" s="1" t="s">
        <v>222</v>
      </c>
      <c r="E721" s="1" t="s">
        <v>1709</v>
      </c>
      <c r="F721" s="1">
        <v>13.0</v>
      </c>
      <c r="G721" s="1" t="s">
        <v>1023</v>
      </c>
      <c r="H721" s="1" t="s">
        <v>1023</v>
      </c>
      <c r="I721" s="1" t="s">
        <v>1007</v>
      </c>
      <c r="J721" s="1" t="s">
        <v>1023</v>
      </c>
      <c r="K721" s="1">
        <v>720.0</v>
      </c>
      <c r="L721" s="1" t="str">
        <f t="shared" si="1"/>
        <v>Chris Myarick</v>
      </c>
      <c r="M721" s="124" t="str">
        <f>IFERROR(VLOOKUP(E721,RISK!A:B,2,FALSE()),"")</f>
        <v/>
      </c>
      <c r="N721" s="116" t="str">
        <f t="shared" si="2"/>
        <v>#N/A</v>
      </c>
      <c r="Q721" s="8"/>
      <c r="R721" s="8"/>
      <c r="S721" s="8"/>
      <c r="T721" s="8"/>
    </row>
    <row r="722" ht="14.25" customHeight="1">
      <c r="A722" s="1">
        <v>719.0</v>
      </c>
      <c r="B722" s="1">
        <v>14.0</v>
      </c>
      <c r="C722" s="1" t="s">
        <v>1358</v>
      </c>
      <c r="D722" s="1" t="s">
        <v>182</v>
      </c>
      <c r="E722" s="1" t="s">
        <v>1710</v>
      </c>
      <c r="F722" s="1">
        <v>8.0</v>
      </c>
      <c r="G722" s="1" t="s">
        <v>1023</v>
      </c>
      <c r="H722" s="1" t="s">
        <v>1023</v>
      </c>
      <c r="I722" s="1" t="s">
        <v>1007</v>
      </c>
      <c r="J722" s="1" t="s">
        <v>1023</v>
      </c>
      <c r="K722" s="1">
        <v>721.0</v>
      </c>
      <c r="L722" s="1" t="str">
        <f t="shared" si="1"/>
        <v>CJ Donaldson</v>
      </c>
      <c r="M722" s="124" t="str">
        <f>IFERROR(VLOOKUP(E722,RISK!A:B,2,FALSE()),"")</f>
        <v/>
      </c>
      <c r="N722" s="116" t="str">
        <f t="shared" si="2"/>
        <v>#N/A</v>
      </c>
      <c r="Q722" s="8"/>
      <c r="R722" s="8"/>
      <c r="S722" s="8"/>
      <c r="T722" s="8"/>
    </row>
    <row r="723" ht="14.25" customHeight="1">
      <c r="A723" s="1">
        <v>720.0</v>
      </c>
      <c r="B723" s="1">
        <v>14.0</v>
      </c>
      <c r="C723" s="1" t="s">
        <v>1711</v>
      </c>
      <c r="D723" s="1" t="s">
        <v>210</v>
      </c>
      <c r="E723" s="1" t="s">
        <v>1712</v>
      </c>
      <c r="F723" s="1">
        <v>13.0</v>
      </c>
      <c r="G723" s="1" t="s">
        <v>1023</v>
      </c>
      <c r="H723" s="1" t="s">
        <v>1023</v>
      </c>
      <c r="I723" s="1" t="s">
        <v>1004</v>
      </c>
      <c r="J723" s="1" t="s">
        <v>1023</v>
      </c>
      <c r="K723" s="1">
        <v>722.0</v>
      </c>
      <c r="L723" s="1" t="str">
        <f t="shared" si="1"/>
        <v>Chase Curtis</v>
      </c>
      <c r="M723" s="124" t="str">
        <f>IFERROR(VLOOKUP(E723,RISK!A:B,2,FALSE()),"")</f>
        <v/>
      </c>
      <c r="N723" s="116" t="str">
        <f t="shared" si="2"/>
        <v>#N/A</v>
      </c>
      <c r="Q723" s="8"/>
      <c r="R723" s="8"/>
      <c r="S723" s="8"/>
      <c r="T723" s="8"/>
    </row>
    <row r="724" ht="14.25" customHeight="1">
      <c r="A724" s="1">
        <v>721.0</v>
      </c>
      <c r="B724" s="1">
        <v>14.0</v>
      </c>
      <c r="C724" s="1" t="s">
        <v>1355</v>
      </c>
      <c r="D724" s="1" t="s">
        <v>210</v>
      </c>
      <c r="E724" s="1" t="s">
        <v>1713</v>
      </c>
      <c r="F724" s="1">
        <v>13.0</v>
      </c>
      <c r="G724" s="1" t="s">
        <v>1023</v>
      </c>
      <c r="H724" s="1" t="s">
        <v>1023</v>
      </c>
      <c r="I724" s="1" t="s">
        <v>1007</v>
      </c>
      <c r="J724" s="1" t="s">
        <v>1023</v>
      </c>
      <c r="K724" s="1">
        <v>723.0</v>
      </c>
      <c r="L724" s="1" t="str">
        <f t="shared" si="1"/>
        <v>Chip Trayanum</v>
      </c>
      <c r="M724" s="124" t="str">
        <f>IFERROR(VLOOKUP(E724,RISK!A:B,2,FALSE()),"")</f>
        <v/>
      </c>
      <c r="N724" s="116" t="str">
        <f t="shared" si="2"/>
        <v>#N/A</v>
      </c>
      <c r="Q724" s="8"/>
      <c r="R724" s="8"/>
      <c r="S724" s="8"/>
      <c r="T724" s="8"/>
    </row>
    <row r="725" ht="14.25" customHeight="1">
      <c r="A725" s="1">
        <v>722.0</v>
      </c>
      <c r="B725" s="1">
        <v>14.0</v>
      </c>
      <c r="C725" s="1" t="s">
        <v>1714</v>
      </c>
      <c r="D725" s="1" t="s">
        <v>18</v>
      </c>
      <c r="E725" s="1" t="s">
        <v>1715</v>
      </c>
      <c r="F725" s="1">
        <v>7.0</v>
      </c>
      <c r="G725" s="1" t="s">
        <v>1023</v>
      </c>
      <c r="H725" s="1" t="s">
        <v>1023</v>
      </c>
      <c r="I725" s="1" t="s">
        <v>1007</v>
      </c>
      <c r="J725" s="1" t="s">
        <v>1023</v>
      </c>
      <c r="K725" s="1">
        <v>724.0</v>
      </c>
      <c r="L725" s="1" t="str">
        <f t="shared" si="1"/>
        <v>Keleki Latu</v>
      </c>
      <c r="M725" s="124" t="str">
        <f>IFERROR(VLOOKUP(E725,RISK!A:B,2,FALSE()),"")</f>
        <v/>
      </c>
      <c r="N725" s="116" t="str">
        <f t="shared" si="2"/>
        <v>#N/A</v>
      </c>
      <c r="Q725" s="8"/>
      <c r="R725" s="8"/>
      <c r="S725" s="8"/>
      <c r="T725" s="8"/>
    </row>
    <row r="726" ht="14.25" customHeight="1">
      <c r="A726" s="1">
        <v>723.0</v>
      </c>
      <c r="B726" s="1">
        <v>14.0</v>
      </c>
      <c r="C726" s="1" t="s">
        <v>657</v>
      </c>
      <c r="D726" s="1" t="s">
        <v>222</v>
      </c>
      <c r="E726" s="1" t="s">
        <v>1716</v>
      </c>
      <c r="F726" s="1">
        <v>13.0</v>
      </c>
      <c r="G726" s="1" t="s">
        <v>1023</v>
      </c>
      <c r="H726" s="1" t="s">
        <v>1023</v>
      </c>
      <c r="I726" s="1" t="s">
        <v>1007</v>
      </c>
      <c r="J726" s="1" t="s">
        <v>1023</v>
      </c>
      <c r="K726" s="1">
        <v>725.0</v>
      </c>
      <c r="L726" s="1" t="str">
        <f t="shared" si="1"/>
        <v>Connor Heyward</v>
      </c>
      <c r="M726" s="124" t="str">
        <f>IFERROR(VLOOKUP(E726,RISK!A:B,2,FALSE()),"")</f>
        <v/>
      </c>
      <c r="N726" s="116" t="str">
        <f t="shared" si="2"/>
        <v>#N/A</v>
      </c>
      <c r="Q726" s="8"/>
      <c r="R726" s="8"/>
      <c r="S726" s="8"/>
      <c r="T726" s="8"/>
    </row>
    <row r="727" ht="14.25" customHeight="1">
      <c r="A727" s="1">
        <v>724.0</v>
      </c>
      <c r="B727" s="1">
        <v>14.0</v>
      </c>
      <c r="C727" s="1" t="s">
        <v>1717</v>
      </c>
      <c r="D727" s="1" t="s">
        <v>145</v>
      </c>
      <c r="E727" s="1" t="s">
        <v>1718</v>
      </c>
      <c r="F727" s="1">
        <v>7.0</v>
      </c>
      <c r="G727" s="1" t="s">
        <v>1023</v>
      </c>
      <c r="H727" s="1" t="s">
        <v>1023</v>
      </c>
      <c r="I727" s="1" t="s">
        <v>1004</v>
      </c>
      <c r="J727" s="1" t="s">
        <v>1023</v>
      </c>
      <c r="K727" s="1">
        <v>726.0</v>
      </c>
      <c r="L727" s="1" t="str">
        <f t="shared" si="1"/>
        <v>Ameer Abdullah</v>
      </c>
      <c r="M727" s="124" t="str">
        <f>IFERROR(VLOOKUP(E727,RISK!A:B,2,FALSE()),"")</f>
        <v/>
      </c>
      <c r="N727" s="116" t="str">
        <f t="shared" si="2"/>
        <v>#N/A</v>
      </c>
      <c r="Q727" s="8"/>
      <c r="R727" s="8"/>
      <c r="S727" s="8"/>
      <c r="T727" s="8"/>
    </row>
    <row r="728" ht="14.25" customHeight="1">
      <c r="A728" s="1">
        <v>725.0</v>
      </c>
      <c r="B728" s="1">
        <v>14.0</v>
      </c>
      <c r="C728" s="1" t="s">
        <v>1369</v>
      </c>
      <c r="D728" s="1" t="s">
        <v>1383</v>
      </c>
      <c r="E728" s="1" t="s">
        <v>1719</v>
      </c>
      <c r="F728" s="1" t="s">
        <v>1023</v>
      </c>
      <c r="G728" s="1" t="s">
        <v>1023</v>
      </c>
      <c r="H728" s="1" t="s">
        <v>1023</v>
      </c>
      <c r="I728" s="1" t="s">
        <v>1023</v>
      </c>
      <c r="J728" s="1" t="s">
        <v>1023</v>
      </c>
      <c r="K728" s="1">
        <v>727.0</v>
      </c>
      <c r="L728" s="1" t="str">
        <f t="shared" si="1"/>
        <v>Dae'Quan Wright</v>
      </c>
      <c r="M728" s="124" t="str">
        <f>IFERROR(VLOOKUP(E728,RISK!A:B,2,FALSE()),"")</f>
        <v/>
      </c>
      <c r="N728" s="116" t="str">
        <f t="shared" si="2"/>
        <v>#N/A</v>
      </c>
      <c r="Q728" s="8"/>
      <c r="R728" s="8"/>
      <c r="S728" s="8"/>
      <c r="T728" s="8"/>
    </row>
    <row r="729" ht="14.25" customHeight="1">
      <c r="A729" s="1">
        <v>726.0</v>
      </c>
      <c r="B729" s="1">
        <v>14.0</v>
      </c>
      <c r="C729" s="1" t="s">
        <v>1720</v>
      </c>
      <c r="D729" s="1" t="s">
        <v>222</v>
      </c>
      <c r="E729" s="1" t="s">
        <v>1721</v>
      </c>
      <c r="F729" s="1">
        <v>13.0</v>
      </c>
      <c r="G729" s="1" t="s">
        <v>1023</v>
      </c>
      <c r="H729" s="1" t="s">
        <v>1023</v>
      </c>
      <c r="I729" s="1" t="s">
        <v>1007</v>
      </c>
      <c r="J729" s="1" t="s">
        <v>1023</v>
      </c>
      <c r="K729" s="1">
        <v>728.0</v>
      </c>
      <c r="L729" s="1" t="str">
        <f t="shared" si="1"/>
        <v>Carter Runyon</v>
      </c>
      <c r="M729" s="124" t="str">
        <f>IFERROR(VLOOKUP(E729,RISK!A:B,2,FALSE()),"")</f>
        <v/>
      </c>
      <c r="N729" s="116" t="str">
        <f t="shared" si="2"/>
        <v>#N/A</v>
      </c>
      <c r="Q729" s="8"/>
      <c r="R729" s="8"/>
      <c r="S729" s="8"/>
      <c r="T729" s="8"/>
    </row>
    <row r="730" ht="14.25" customHeight="1">
      <c r="A730" s="1">
        <v>727.0</v>
      </c>
      <c r="B730" s="1">
        <v>15.0</v>
      </c>
      <c r="C730" s="1" t="s">
        <v>1722</v>
      </c>
      <c r="D730" s="1" t="s">
        <v>159</v>
      </c>
      <c r="E730" s="1" t="s">
        <v>1723</v>
      </c>
      <c r="F730" s="1">
        <v>10.0</v>
      </c>
      <c r="G730" s="1" t="s">
        <v>1023</v>
      </c>
      <c r="H730" s="1" t="s">
        <v>1023</v>
      </c>
      <c r="I730" s="1" t="s">
        <v>1003</v>
      </c>
      <c r="J730" s="1" t="s">
        <v>1023</v>
      </c>
      <c r="K730" s="1">
        <v>729.0</v>
      </c>
      <c r="L730" s="1" t="str">
        <f t="shared" si="1"/>
        <v>Stephen Carlson</v>
      </c>
      <c r="M730" s="124" t="str">
        <f>IFERROR(VLOOKUP(E730,RISK!A:B,2,FALSE()),"")</f>
        <v/>
      </c>
      <c r="N730" s="116" t="str">
        <f t="shared" si="2"/>
        <v>#N/A</v>
      </c>
      <c r="Q730" s="8"/>
      <c r="R730" s="8"/>
      <c r="S730" s="8"/>
      <c r="T730" s="8"/>
    </row>
    <row r="731" ht="14.25" customHeight="1">
      <c r="A731" s="1">
        <v>728.0</v>
      </c>
      <c r="B731" s="1">
        <v>15.0</v>
      </c>
      <c r="C731" s="1" t="s">
        <v>1724</v>
      </c>
      <c r="D731" s="1" t="s">
        <v>182</v>
      </c>
      <c r="E731" s="1" t="s">
        <v>1725</v>
      </c>
      <c r="F731" s="1">
        <v>8.0</v>
      </c>
      <c r="G731" s="1" t="s">
        <v>1023</v>
      </c>
      <c r="H731" s="1" t="s">
        <v>1023</v>
      </c>
      <c r="I731" s="1" t="s">
        <v>1003</v>
      </c>
      <c r="J731" s="1" t="s">
        <v>1023</v>
      </c>
      <c r="K731" s="1">
        <v>730.0</v>
      </c>
      <c r="L731" s="1" t="str">
        <f t="shared" si="1"/>
        <v>Treyton Welch</v>
      </c>
      <c r="M731" s="124" t="str">
        <f>IFERROR(VLOOKUP(E731,RISK!A:B,2,FALSE()),"")</f>
        <v/>
      </c>
      <c r="N731" s="116" t="str">
        <f t="shared" si="2"/>
        <v>#N/A</v>
      </c>
      <c r="Q731" s="8"/>
      <c r="R731" s="8"/>
      <c r="S731" s="8"/>
      <c r="T731" s="8"/>
    </row>
    <row r="732" ht="14.25" customHeight="1">
      <c r="A732" s="1">
        <v>729.0</v>
      </c>
      <c r="B732" s="1">
        <v>15.0</v>
      </c>
      <c r="C732" s="1" t="s">
        <v>1726</v>
      </c>
      <c r="D732" s="1" t="s">
        <v>1383</v>
      </c>
      <c r="E732" s="1" t="s">
        <v>1727</v>
      </c>
      <c r="F732" s="1" t="s">
        <v>1023</v>
      </c>
      <c r="G732" s="1" t="s">
        <v>1023</v>
      </c>
      <c r="H732" s="1" t="s">
        <v>1023</v>
      </c>
      <c r="I732" s="1" t="s">
        <v>1023</v>
      </c>
      <c r="J732" s="1" t="s">
        <v>1023</v>
      </c>
      <c r="K732" s="1">
        <v>731.0</v>
      </c>
      <c r="L732" s="1" t="str">
        <f t="shared" si="1"/>
        <v>Ja'Quinden Jackson</v>
      </c>
      <c r="M732" s="124" t="str">
        <f>IFERROR(VLOOKUP(E732,RISK!A:B,2,FALSE()),"")</f>
        <v/>
      </c>
      <c r="N732" s="116" t="str">
        <f t="shared" si="2"/>
        <v>#N/A</v>
      </c>
      <c r="Q732" s="8"/>
      <c r="R732" s="8"/>
      <c r="S732" s="8"/>
      <c r="T732" s="8"/>
    </row>
    <row r="733" ht="14.25" customHeight="1">
      <c r="A733" s="1">
        <v>730.0</v>
      </c>
      <c r="B733" s="1">
        <v>15.0</v>
      </c>
      <c r="C733" s="1" t="s">
        <v>1348</v>
      </c>
      <c r="D733" s="1" t="s">
        <v>179</v>
      </c>
      <c r="E733" s="1" t="s">
        <v>1728</v>
      </c>
      <c r="F733" s="1">
        <v>6.0</v>
      </c>
      <c r="G733" s="1" t="s">
        <v>1023</v>
      </c>
      <c r="H733" s="1" t="s">
        <v>1023</v>
      </c>
      <c r="I733" s="1" t="s">
        <v>1004</v>
      </c>
      <c r="J733" s="1" t="s">
        <v>1023</v>
      </c>
      <c r="K733" s="1">
        <v>732.0</v>
      </c>
      <c r="L733" s="1" t="str">
        <f t="shared" si="1"/>
        <v>Kendrick Law</v>
      </c>
      <c r="M733" s="124" t="str">
        <f>IFERROR(VLOOKUP(E733,RISK!A:B,2,FALSE()),"")</f>
        <v/>
      </c>
      <c r="N733" s="116" t="str">
        <f t="shared" si="2"/>
        <v>#N/A</v>
      </c>
      <c r="Q733" s="8"/>
      <c r="R733" s="8"/>
      <c r="S733" s="8"/>
      <c r="T733" s="8"/>
    </row>
    <row r="734" ht="14.25" customHeight="1">
      <c r="A734" s="1">
        <v>731.0</v>
      </c>
      <c r="B734" s="1">
        <v>15.0</v>
      </c>
      <c r="C734" s="1" t="s">
        <v>1729</v>
      </c>
      <c r="D734" s="1" t="s">
        <v>164</v>
      </c>
      <c r="E734" s="1" t="s">
        <v>1730</v>
      </c>
      <c r="F734" s="1">
        <v>7.0</v>
      </c>
      <c r="G734" s="1" t="s">
        <v>1023</v>
      </c>
      <c r="H734" s="1" t="s">
        <v>1023</v>
      </c>
      <c r="I734" s="1" t="s">
        <v>1004</v>
      </c>
      <c r="J734" s="1" t="s">
        <v>1023</v>
      </c>
      <c r="K734" s="1">
        <v>733.0</v>
      </c>
      <c r="L734" s="1" t="str">
        <f t="shared" si="1"/>
        <v>Evan Svoboda</v>
      </c>
      <c r="M734" s="124" t="str">
        <f>IFERROR(VLOOKUP(E734,RISK!A:B,2,FALSE()),"")</f>
        <v/>
      </c>
      <c r="N734" s="116" t="str">
        <f t="shared" si="2"/>
        <v>#N/A</v>
      </c>
      <c r="Q734" s="8"/>
      <c r="R734" s="8"/>
      <c r="S734" s="8"/>
      <c r="T734" s="8"/>
    </row>
    <row r="735" ht="14.25" customHeight="1">
      <c r="A735" s="1">
        <v>732.0</v>
      </c>
      <c r="B735" s="1">
        <v>15.0</v>
      </c>
      <c r="C735" s="1" t="s">
        <v>896</v>
      </c>
      <c r="D735" s="1" t="s">
        <v>170</v>
      </c>
      <c r="E735" s="1" t="s">
        <v>1731</v>
      </c>
      <c r="F735" s="1">
        <v>10.0</v>
      </c>
      <c r="G735" s="1" t="s">
        <v>1023</v>
      </c>
      <c r="H735" s="1" t="s">
        <v>1023</v>
      </c>
      <c r="I735" s="1" t="s">
        <v>1004</v>
      </c>
      <c r="J735" s="1" t="s">
        <v>1023</v>
      </c>
      <c r="K735" s="1">
        <v>734.0</v>
      </c>
      <c r="L735" s="1" t="str">
        <f t="shared" si="1"/>
        <v>Dallen Bentley</v>
      </c>
      <c r="M735" s="124" t="str">
        <f>IFERROR(VLOOKUP(E735,RISK!A:B,2,FALSE()),"")</f>
        <v/>
      </c>
      <c r="N735" s="116" t="str">
        <f t="shared" si="2"/>
        <v>#N/A</v>
      </c>
      <c r="Q735" s="8"/>
      <c r="R735" s="8"/>
      <c r="S735" s="8"/>
      <c r="T735" s="8"/>
    </row>
    <row r="736" ht="14.25" customHeight="1">
      <c r="A736" s="1">
        <v>733.0</v>
      </c>
      <c r="B736" s="1">
        <v>15.0</v>
      </c>
      <c r="C736" s="1" t="s">
        <v>1732</v>
      </c>
      <c r="D736" s="1" t="s">
        <v>159</v>
      </c>
      <c r="E736" s="1" t="s">
        <v>1733</v>
      </c>
      <c r="F736" s="1">
        <v>10.0</v>
      </c>
      <c r="G736" s="1" t="s">
        <v>1023</v>
      </c>
      <c r="H736" s="1" t="s">
        <v>1023</v>
      </c>
      <c r="I736" s="1" t="s">
        <v>1003</v>
      </c>
      <c r="J736" s="1" t="s">
        <v>1023</v>
      </c>
      <c r="K736" s="1">
        <v>735.0</v>
      </c>
      <c r="L736" s="1" t="str">
        <f t="shared" si="1"/>
        <v>Brittain Brown</v>
      </c>
      <c r="M736" s="124" t="str">
        <f>IFERROR(VLOOKUP(E736,RISK!A:B,2,FALSE()),"")</f>
        <v/>
      </c>
      <c r="N736" s="116" t="str">
        <f t="shared" si="2"/>
        <v>#N/A</v>
      </c>
      <c r="Q736" s="8"/>
      <c r="R736" s="8"/>
      <c r="S736" s="8"/>
      <c r="T736" s="8"/>
    </row>
    <row r="737" ht="14.25" customHeight="1">
      <c r="A737" s="1">
        <v>734.0</v>
      </c>
      <c r="B737" s="1">
        <v>15.0</v>
      </c>
      <c r="C737" s="1" t="s">
        <v>1734</v>
      </c>
      <c r="D737" s="1" t="s">
        <v>182</v>
      </c>
      <c r="E737" s="1" t="s">
        <v>1735</v>
      </c>
      <c r="F737" s="1">
        <v>8.0</v>
      </c>
      <c r="G737" s="1" t="s">
        <v>1023</v>
      </c>
      <c r="H737" s="1" t="s">
        <v>1023</v>
      </c>
      <c r="I737" s="1" t="s">
        <v>1003</v>
      </c>
      <c r="J737" s="1" t="s">
        <v>1023</v>
      </c>
      <c r="K737" s="1">
        <v>736.0</v>
      </c>
      <c r="L737" s="1" t="str">
        <f t="shared" si="1"/>
        <v>Cody Hardy</v>
      </c>
      <c r="M737" s="124" t="str">
        <f>IFERROR(VLOOKUP(E737,RISK!A:B,2,FALSE()),"")</f>
        <v/>
      </c>
      <c r="N737" s="116" t="str">
        <f t="shared" si="2"/>
        <v>#N/A</v>
      </c>
      <c r="Q737" s="8"/>
      <c r="R737" s="8"/>
      <c r="S737" s="8"/>
      <c r="T737" s="8"/>
    </row>
    <row r="738" ht="14.25" customHeight="1">
      <c r="A738" s="1">
        <v>735.0</v>
      </c>
      <c r="B738" s="1">
        <v>15.0</v>
      </c>
      <c r="C738" s="1" t="s">
        <v>1380</v>
      </c>
      <c r="D738" s="1" t="s">
        <v>127</v>
      </c>
      <c r="E738" s="1" t="s">
        <v>1736</v>
      </c>
      <c r="F738" s="1">
        <v>6.0</v>
      </c>
      <c r="G738" s="1" t="s">
        <v>1023</v>
      </c>
      <c r="H738" s="1" t="s">
        <v>1023</v>
      </c>
      <c r="I738" s="1" t="s">
        <v>1003</v>
      </c>
      <c r="J738" s="1" t="s">
        <v>1023</v>
      </c>
      <c r="K738" s="1">
        <v>737.0</v>
      </c>
      <c r="L738" s="1" t="str">
        <f t="shared" si="1"/>
        <v>Kentrel Bullock</v>
      </c>
      <c r="M738" s="124" t="str">
        <f>IFERROR(VLOOKUP(E738,RISK!A:B,2,FALSE()),"")</f>
        <v/>
      </c>
      <c r="N738" s="116" t="str">
        <f t="shared" si="2"/>
        <v>#N/A</v>
      </c>
      <c r="Q738" s="8"/>
      <c r="R738" s="8"/>
      <c r="S738" s="8"/>
      <c r="T738" s="8"/>
    </row>
    <row r="739" ht="14.25" customHeight="1">
      <c r="A739" s="1">
        <v>736.0</v>
      </c>
      <c r="B739" s="1">
        <v>15.0</v>
      </c>
      <c r="C739" s="1" t="s">
        <v>1737</v>
      </c>
      <c r="D739" s="1" t="s">
        <v>222</v>
      </c>
      <c r="E739" s="1" t="s">
        <v>1738</v>
      </c>
      <c r="F739" s="1">
        <v>13.0</v>
      </c>
      <c r="G739" s="1" t="s">
        <v>1023</v>
      </c>
      <c r="H739" s="1" t="s">
        <v>1023</v>
      </c>
      <c r="I739" s="1" t="s">
        <v>1007</v>
      </c>
      <c r="J739" s="1" t="s">
        <v>1023</v>
      </c>
      <c r="K739" s="1">
        <v>738.0</v>
      </c>
      <c r="L739" s="1" t="str">
        <f t="shared" si="1"/>
        <v>Patrick Gurd</v>
      </c>
      <c r="M739" s="124" t="str">
        <f>IFERROR(VLOOKUP(E739,RISK!A:B,2,FALSE()),"")</f>
        <v/>
      </c>
      <c r="N739" s="116" t="str">
        <f t="shared" si="2"/>
        <v>#N/A</v>
      </c>
      <c r="Q739" s="8"/>
      <c r="R739" s="8"/>
      <c r="S739" s="8"/>
      <c r="T739" s="8"/>
    </row>
    <row r="740" ht="14.25" customHeight="1">
      <c r="A740" s="1">
        <v>737.0</v>
      </c>
      <c r="B740" s="1">
        <v>15.0</v>
      </c>
      <c r="C740" s="1" t="s">
        <v>1739</v>
      </c>
      <c r="D740" s="1" t="s">
        <v>145</v>
      </c>
      <c r="E740" s="1" t="s">
        <v>1740</v>
      </c>
      <c r="F740" s="1">
        <v>7.0</v>
      </c>
      <c r="G740" s="1" t="s">
        <v>1023</v>
      </c>
      <c r="H740" s="1" t="s">
        <v>1023</v>
      </c>
      <c r="I740" s="1" t="s">
        <v>1004</v>
      </c>
      <c r="J740" s="1" t="s">
        <v>1023</v>
      </c>
      <c r="K740" s="1">
        <v>739.0</v>
      </c>
      <c r="L740" s="1" t="str">
        <f t="shared" si="1"/>
        <v>Michael Wortham</v>
      </c>
      <c r="M740" s="124" t="str">
        <f>IFERROR(VLOOKUP(E740,RISK!A:B,2,FALSE()),"")</f>
        <v/>
      </c>
      <c r="N740" s="116" t="str">
        <f t="shared" si="2"/>
        <v>#N/A</v>
      </c>
      <c r="Q740" s="8"/>
      <c r="R740" s="8"/>
      <c r="S740" s="8"/>
      <c r="T740" s="8"/>
    </row>
    <row r="741" ht="14.25" customHeight="1">
      <c r="A741" s="1">
        <v>738.0</v>
      </c>
      <c r="B741" s="1">
        <v>15.0</v>
      </c>
      <c r="C741" s="1" t="s">
        <v>1741</v>
      </c>
      <c r="D741" s="1" t="s">
        <v>176</v>
      </c>
      <c r="E741" s="1" t="s">
        <v>1742</v>
      </c>
      <c r="F741" s="1">
        <v>11.0</v>
      </c>
      <c r="G741" s="1" t="s">
        <v>1023</v>
      </c>
      <c r="H741" s="1" t="s">
        <v>1023</v>
      </c>
      <c r="I741" s="1" t="s">
        <v>1004</v>
      </c>
      <c r="J741" s="1" t="s">
        <v>1023</v>
      </c>
      <c r="K741" s="1">
        <v>740.0</v>
      </c>
      <c r="L741" s="1" t="str">
        <f t="shared" si="1"/>
        <v>Mark Redman</v>
      </c>
      <c r="M741" s="124" t="str">
        <f>IFERROR(VLOOKUP(E741,RISK!A:B,2,FALSE()),"")</f>
        <v/>
      </c>
      <c r="N741" s="116" t="str">
        <f t="shared" si="2"/>
        <v>#N/A</v>
      </c>
      <c r="Q741" s="8"/>
      <c r="R741" s="8"/>
      <c r="S741" s="8"/>
      <c r="T741" s="8"/>
    </row>
    <row r="742" ht="14.25" customHeight="1">
      <c r="A742" s="1">
        <v>739.0</v>
      </c>
      <c r="B742" s="1">
        <v>15.0</v>
      </c>
      <c r="C742" s="1" t="s">
        <v>1743</v>
      </c>
      <c r="D742" s="1" t="s">
        <v>150</v>
      </c>
      <c r="E742" s="1" t="s">
        <v>1744</v>
      </c>
      <c r="F742" s="1">
        <v>14.0</v>
      </c>
      <c r="G742" s="1" t="s">
        <v>1023</v>
      </c>
      <c r="H742" s="1" t="s">
        <v>1023</v>
      </c>
      <c r="I742" s="1" t="s">
        <v>1003</v>
      </c>
      <c r="J742" s="1" t="s">
        <v>1023</v>
      </c>
      <c r="K742" s="1">
        <v>741.0</v>
      </c>
      <c r="L742" s="1" t="str">
        <f t="shared" si="1"/>
        <v>Tyler Johnson</v>
      </c>
      <c r="M742" s="124" t="str">
        <f>IFERROR(VLOOKUP(E742,RISK!A:B,2,FALSE()),"")</f>
        <v/>
      </c>
      <c r="N742" s="116" t="str">
        <f t="shared" si="2"/>
        <v>#N/A</v>
      </c>
      <c r="Q742" s="8"/>
      <c r="R742" s="8"/>
      <c r="S742" s="8"/>
      <c r="T742" s="8"/>
    </row>
    <row r="743" ht="14.25" customHeight="1">
      <c r="A743" s="1">
        <v>740.0</v>
      </c>
      <c r="B743" s="1">
        <v>15.0</v>
      </c>
      <c r="C743" s="1" t="s">
        <v>1745</v>
      </c>
      <c r="D743" s="1" t="s">
        <v>176</v>
      </c>
      <c r="E743" s="1" t="s">
        <v>1746</v>
      </c>
      <c r="F743" s="1">
        <v>11.0</v>
      </c>
      <c r="G743" s="1" t="s">
        <v>1023</v>
      </c>
      <c r="H743" s="1" t="s">
        <v>1023</v>
      </c>
      <c r="I743" s="1" t="s">
        <v>1004</v>
      </c>
      <c r="J743" s="1" t="s">
        <v>1023</v>
      </c>
      <c r="K743" s="1">
        <v>742.0</v>
      </c>
      <c r="L743" s="1" t="str">
        <f t="shared" si="1"/>
        <v>Dan Villari</v>
      </c>
      <c r="M743" s="124" t="str">
        <f>IFERROR(VLOOKUP(E743,RISK!A:B,2,FALSE()),"")</f>
        <v/>
      </c>
      <c r="N743" s="116" t="str">
        <f t="shared" si="2"/>
        <v>#N/A</v>
      </c>
      <c r="Q743" s="8"/>
      <c r="R743" s="8"/>
      <c r="S743" s="8"/>
      <c r="T743" s="8"/>
    </row>
    <row r="744" ht="14.25" customHeight="1">
      <c r="A744" s="1">
        <v>741.0</v>
      </c>
      <c r="B744" s="1">
        <v>15.0</v>
      </c>
      <c r="C744" s="1" t="s">
        <v>1345</v>
      </c>
      <c r="D744" s="1" t="s">
        <v>155</v>
      </c>
      <c r="E744" s="1" t="s">
        <v>1747</v>
      </c>
      <c r="F744" s="1">
        <v>5.0</v>
      </c>
      <c r="G744" s="1" t="s">
        <v>1023</v>
      </c>
      <c r="H744" s="1" t="s">
        <v>1023</v>
      </c>
      <c r="I744" s="1" t="s">
        <v>1007</v>
      </c>
      <c r="J744" s="1" t="s">
        <v>1023</v>
      </c>
      <c r="K744" s="1">
        <v>743.0</v>
      </c>
      <c r="L744" s="1" t="str">
        <f t="shared" si="1"/>
        <v>Terion Stewart</v>
      </c>
      <c r="M744" s="124" t="str">
        <f>IFERROR(VLOOKUP(E744,RISK!A:B,2,FALSE()),"")</f>
        <v/>
      </c>
      <c r="N744" s="116" t="str">
        <f t="shared" si="2"/>
        <v>#N/A</v>
      </c>
      <c r="Q744" s="8"/>
      <c r="R744" s="8"/>
      <c r="S744" s="8"/>
      <c r="T744" s="8"/>
    </row>
    <row r="745" ht="14.25" customHeight="1">
      <c r="A745" s="1">
        <v>742.0</v>
      </c>
      <c r="B745" s="1">
        <v>15.0</v>
      </c>
      <c r="C745" s="1" t="s">
        <v>1748</v>
      </c>
      <c r="D745" s="1" t="s">
        <v>164</v>
      </c>
      <c r="E745" s="1" t="s">
        <v>1749</v>
      </c>
      <c r="F745" s="1">
        <v>7.0</v>
      </c>
      <c r="G745" s="1" t="s">
        <v>1023</v>
      </c>
      <c r="H745" s="1" t="s">
        <v>1023</v>
      </c>
      <c r="I745" s="1" t="s">
        <v>1004</v>
      </c>
      <c r="J745" s="1" t="s">
        <v>1023</v>
      </c>
      <c r="K745" s="1">
        <v>744.0</v>
      </c>
      <c r="L745" s="1" t="str">
        <f t="shared" si="1"/>
        <v>Johnny Pascuzzi</v>
      </c>
      <c r="M745" s="124" t="str">
        <f>IFERROR(VLOOKUP(E745,RISK!A:B,2,FALSE()),"")</f>
        <v/>
      </c>
      <c r="N745" s="116" t="str">
        <f t="shared" si="2"/>
        <v>#N/A</v>
      </c>
      <c r="Q745" s="8"/>
      <c r="R745" s="8"/>
      <c r="S745" s="8"/>
      <c r="T745" s="8"/>
    </row>
    <row r="746" ht="14.25" customHeight="1">
      <c r="A746" s="1">
        <v>743.0</v>
      </c>
      <c r="B746" s="1">
        <v>15.0</v>
      </c>
      <c r="C746" s="1" t="s">
        <v>1750</v>
      </c>
      <c r="D746" s="1" t="s">
        <v>127</v>
      </c>
      <c r="E746" s="1" t="s">
        <v>1751</v>
      </c>
      <c r="F746" s="1">
        <v>6.0</v>
      </c>
      <c r="G746" s="1" t="s">
        <v>1023</v>
      </c>
      <c r="H746" s="1" t="s">
        <v>1023</v>
      </c>
      <c r="I746" s="1" t="s">
        <v>1003</v>
      </c>
      <c r="J746" s="1" t="s">
        <v>1023</v>
      </c>
      <c r="K746" s="1">
        <v>745.0</v>
      </c>
      <c r="L746" s="1" t="str">
        <f t="shared" si="1"/>
        <v>Gary Brightwell</v>
      </c>
      <c r="M746" s="124" t="str">
        <f>IFERROR(VLOOKUP(E746,RISK!A:B,2,FALSE()),"")</f>
        <v/>
      </c>
      <c r="N746" s="116" t="str">
        <f t="shared" si="2"/>
        <v>#N/A</v>
      </c>
      <c r="Q746" s="8"/>
      <c r="R746" s="8"/>
      <c r="S746" s="8"/>
      <c r="T746" s="8"/>
    </row>
    <row r="747" ht="14.25" customHeight="1">
      <c r="A747" s="1">
        <v>744.0</v>
      </c>
      <c r="B747" s="1">
        <v>15.0</v>
      </c>
      <c r="C747" s="1" t="s">
        <v>1752</v>
      </c>
      <c r="D747" s="1" t="s">
        <v>159</v>
      </c>
      <c r="E747" s="1" t="s">
        <v>1753</v>
      </c>
      <c r="F747" s="1">
        <v>10.0</v>
      </c>
      <c r="G747" s="1" t="s">
        <v>1023</v>
      </c>
      <c r="H747" s="1" t="s">
        <v>1023</v>
      </c>
      <c r="I747" s="1" t="s">
        <v>1003</v>
      </c>
      <c r="J747" s="1" t="s">
        <v>1023</v>
      </c>
      <c r="K747" s="1">
        <v>746.0</v>
      </c>
      <c r="L747" s="1" t="str">
        <f t="shared" si="1"/>
        <v>Hayden Large</v>
      </c>
      <c r="M747" s="124" t="str">
        <f>IFERROR(VLOOKUP(E747,RISK!A:B,2,FALSE()),"")</f>
        <v/>
      </c>
      <c r="N747" s="116" t="str">
        <f t="shared" si="2"/>
        <v>#N/A</v>
      </c>
      <c r="Q747" s="8"/>
      <c r="R747" s="8"/>
      <c r="S747" s="8"/>
      <c r="T747" s="8"/>
    </row>
    <row r="748" ht="14.25" customHeight="1">
      <c r="A748" s="1">
        <v>745.0</v>
      </c>
      <c r="B748" s="1">
        <v>15.0</v>
      </c>
      <c r="C748" s="1" t="s">
        <v>1754</v>
      </c>
      <c r="D748" s="1" t="s">
        <v>176</v>
      </c>
      <c r="E748" s="1" t="s">
        <v>1755</v>
      </c>
      <c r="F748" s="1">
        <v>11.0</v>
      </c>
      <c r="G748" s="1" t="s">
        <v>1023</v>
      </c>
      <c r="H748" s="1" t="s">
        <v>1023</v>
      </c>
      <c r="I748" s="1" t="s">
        <v>1004</v>
      </c>
      <c r="J748" s="1" t="s">
        <v>1023</v>
      </c>
      <c r="K748" s="1">
        <v>747.0</v>
      </c>
      <c r="L748" s="1" t="str">
        <f t="shared" si="1"/>
        <v>Rohan Jones</v>
      </c>
      <c r="M748" s="124" t="str">
        <f>IFERROR(VLOOKUP(E748,RISK!A:B,2,FALSE()),"")</f>
        <v/>
      </c>
      <c r="N748" s="116" t="str">
        <f t="shared" si="2"/>
        <v>#N/A</v>
      </c>
      <c r="Q748" s="8"/>
      <c r="R748" s="8"/>
      <c r="S748" s="8"/>
      <c r="T748" s="8"/>
    </row>
    <row r="749" ht="14.25" customHeight="1">
      <c r="A749" s="1">
        <v>746.0</v>
      </c>
      <c r="B749" s="1">
        <v>15.0</v>
      </c>
      <c r="C749" s="1" t="s">
        <v>1352</v>
      </c>
      <c r="D749" s="1" t="s">
        <v>1383</v>
      </c>
      <c r="E749" s="1" t="s">
        <v>1756</v>
      </c>
      <c r="F749" s="1" t="s">
        <v>1023</v>
      </c>
      <c r="G749" s="1" t="s">
        <v>1023</v>
      </c>
      <c r="H749" s="1" t="s">
        <v>1023</v>
      </c>
      <c r="I749" s="1" t="s">
        <v>1023</v>
      </c>
      <c r="J749" s="1" t="s">
        <v>1023</v>
      </c>
      <c r="K749" s="1">
        <v>748.0</v>
      </c>
      <c r="L749" s="1" t="str">
        <f t="shared" si="1"/>
        <v>Desmond Reid</v>
      </c>
      <c r="M749" s="124" t="str">
        <f>IFERROR(VLOOKUP(E749,RISK!A:B,2,FALSE()),"")</f>
        <v/>
      </c>
      <c r="N749" s="116" t="str">
        <f t="shared" si="2"/>
        <v>#N/A</v>
      </c>
      <c r="Q749" s="8"/>
      <c r="R749" s="8"/>
      <c r="S749" s="8"/>
      <c r="T749" s="8"/>
    </row>
    <row r="750" ht="14.25" customHeight="1">
      <c r="A750" s="1">
        <v>747.0</v>
      </c>
      <c r="B750" s="1">
        <v>15.0</v>
      </c>
      <c r="C750" s="1" t="s">
        <v>1757</v>
      </c>
      <c r="D750" s="1" t="s">
        <v>1383</v>
      </c>
      <c r="E750" s="1" t="s">
        <v>1758</v>
      </c>
      <c r="F750" s="1" t="s">
        <v>1023</v>
      </c>
      <c r="G750" s="1" t="s">
        <v>1023</v>
      </c>
      <c r="H750" s="1" t="s">
        <v>1023</v>
      </c>
      <c r="I750" s="1" t="s">
        <v>1023</v>
      </c>
      <c r="J750" s="1">
        <v>-414.0</v>
      </c>
      <c r="K750" s="1">
        <v>749.0</v>
      </c>
      <c r="L750" s="1" t="str">
        <f t="shared" si="1"/>
        <v>Gus Edwards</v>
      </c>
      <c r="M750" s="124" t="str">
        <f>IFERROR(VLOOKUP(E750,RISK!A:B,2,FALSE()),"")</f>
        <v/>
      </c>
      <c r="N750" s="116" t="str">
        <f t="shared" si="2"/>
        <v>#N/A</v>
      </c>
      <c r="Q750" s="8"/>
      <c r="R750" s="8"/>
      <c r="S750" s="8"/>
      <c r="T750" s="8"/>
    </row>
    <row r="751" ht="14.25" customHeight="1">
      <c r="A751" s="1">
        <v>748.0</v>
      </c>
      <c r="B751" s="1">
        <v>15.0</v>
      </c>
      <c r="C751" s="1" t="s">
        <v>1759</v>
      </c>
      <c r="D751" s="1" t="s">
        <v>229</v>
      </c>
      <c r="E751" s="1" t="s">
        <v>1760</v>
      </c>
      <c r="F751" s="1">
        <v>11.0</v>
      </c>
      <c r="G751" s="1" t="s">
        <v>1023</v>
      </c>
      <c r="H751" s="1" t="s">
        <v>1023</v>
      </c>
      <c r="I751" s="1" t="s">
        <v>1007</v>
      </c>
      <c r="J751" s="1" t="s">
        <v>1023</v>
      </c>
      <c r="K751" s="1">
        <v>750.0</v>
      </c>
      <c r="L751" s="1" t="str">
        <f t="shared" si="1"/>
        <v>Dylan Drummond</v>
      </c>
      <c r="M751" s="124" t="str">
        <f>IFERROR(VLOOKUP(E751,RISK!A:B,2,FALSE()),"")</f>
        <v/>
      </c>
      <c r="N751" s="116" t="str">
        <f t="shared" si="2"/>
        <v>#N/A</v>
      </c>
      <c r="Q751" s="8"/>
      <c r="R751" s="8"/>
      <c r="S751" s="8"/>
      <c r="T751" s="8"/>
    </row>
    <row r="752" ht="14.25" customHeight="1">
      <c r="A752" s="1">
        <v>749.0</v>
      </c>
      <c r="B752" s="1">
        <v>15.0</v>
      </c>
      <c r="C752" s="1" t="s">
        <v>1761</v>
      </c>
      <c r="D752" s="1" t="s">
        <v>159</v>
      </c>
      <c r="E752" s="1" t="s">
        <v>1762</v>
      </c>
      <c r="F752" s="1">
        <v>10.0</v>
      </c>
      <c r="G752" s="1" t="s">
        <v>1023</v>
      </c>
      <c r="H752" s="1" t="s">
        <v>1023</v>
      </c>
      <c r="I752" s="1" t="s">
        <v>1007</v>
      </c>
      <c r="J752" s="1" t="s">
        <v>1023</v>
      </c>
      <c r="K752" s="1">
        <v>751.0</v>
      </c>
      <c r="L752" s="1" t="str">
        <f t="shared" si="1"/>
        <v>Ray-Ray McCloud III</v>
      </c>
      <c r="M752" s="124" t="str">
        <f>IFERROR(VLOOKUP(E752,RISK!A:B,2,FALSE()),"")</f>
        <v/>
      </c>
      <c r="N752" s="116" t="str">
        <f t="shared" si="2"/>
        <v>#N/A</v>
      </c>
      <c r="Q752" s="8"/>
      <c r="R752" s="8"/>
      <c r="S752" s="8"/>
      <c r="T752" s="8"/>
    </row>
    <row r="753" ht="14.25" customHeight="1">
      <c r="A753" s="1">
        <v>750.0</v>
      </c>
      <c r="B753" s="1">
        <v>15.0</v>
      </c>
      <c r="C753" s="1" t="s">
        <v>1763</v>
      </c>
      <c r="D753" s="1" t="s">
        <v>127</v>
      </c>
      <c r="E753" s="1" t="s">
        <v>1764</v>
      </c>
      <c r="F753" s="1">
        <v>6.0</v>
      </c>
      <c r="G753" s="1" t="s">
        <v>1023</v>
      </c>
      <c r="H753" s="1" t="s">
        <v>1023</v>
      </c>
      <c r="I753" s="1" t="s">
        <v>1007</v>
      </c>
      <c r="J753" s="1" t="s">
        <v>1023</v>
      </c>
      <c r="K753" s="1">
        <v>752.0</v>
      </c>
      <c r="L753" s="1" t="str">
        <f t="shared" si="1"/>
        <v>Josh Kattus</v>
      </c>
      <c r="M753" s="124" t="str">
        <f>IFERROR(VLOOKUP(E753,RISK!A:B,2,FALSE()),"")</f>
        <v/>
      </c>
      <c r="N753" s="116" t="str">
        <f t="shared" si="2"/>
        <v>#N/A</v>
      </c>
      <c r="Q753" s="8"/>
      <c r="R753" s="8"/>
      <c r="S753" s="8"/>
      <c r="T753" s="8"/>
    </row>
    <row r="754" ht="14.25" customHeight="1">
      <c r="A754" s="1">
        <v>751.0</v>
      </c>
      <c r="B754" s="1">
        <v>15.0</v>
      </c>
      <c r="C754" s="1" t="s">
        <v>1765</v>
      </c>
      <c r="D754" s="1" t="s">
        <v>164</v>
      </c>
      <c r="E754" s="1" t="s">
        <v>1766</v>
      </c>
      <c r="F754" s="1">
        <v>7.0</v>
      </c>
      <c r="G754" s="1" t="s">
        <v>1023</v>
      </c>
      <c r="H754" s="1" t="s">
        <v>1023</v>
      </c>
      <c r="I754" s="1" t="s">
        <v>1007</v>
      </c>
      <c r="J754" s="1" t="s">
        <v>1023</v>
      </c>
      <c r="K754" s="1">
        <v>753.0</v>
      </c>
      <c r="L754" s="1" t="str">
        <f t="shared" si="1"/>
        <v>Amar Johnson</v>
      </c>
      <c r="M754" s="124" t="str">
        <f>IFERROR(VLOOKUP(E754,RISK!A:B,2,FALSE()),"")</f>
        <v/>
      </c>
      <c r="N754" s="116" t="str">
        <f t="shared" si="2"/>
        <v>#N/A</v>
      </c>
      <c r="Q754" s="8"/>
      <c r="R754" s="8"/>
      <c r="S754" s="8"/>
      <c r="T754" s="8"/>
    </row>
    <row r="755" ht="14.25" customHeight="1">
      <c r="A755" s="1">
        <v>752.0</v>
      </c>
      <c r="B755" s="1">
        <v>15.0</v>
      </c>
      <c r="C755" s="1" t="s">
        <v>1767</v>
      </c>
      <c r="D755" s="1" t="s">
        <v>226</v>
      </c>
      <c r="E755" s="1" t="s">
        <v>1768</v>
      </c>
      <c r="F755" s="1">
        <v>11.0</v>
      </c>
      <c r="G755" s="1" t="s">
        <v>1023</v>
      </c>
      <c r="H755" s="1" t="s">
        <v>1023</v>
      </c>
      <c r="I755" s="1" t="s">
        <v>1007</v>
      </c>
      <c r="J755" s="1" t="s">
        <v>1023</v>
      </c>
      <c r="K755" s="1">
        <v>754.0</v>
      </c>
      <c r="L755" s="1" t="str">
        <f t="shared" si="1"/>
        <v>Davon Booth</v>
      </c>
      <c r="M755" s="124" t="str">
        <f>IFERROR(VLOOKUP(E755,RISK!A:B,2,FALSE()),"")</f>
        <v/>
      </c>
      <c r="N755" s="116" t="str">
        <f t="shared" si="2"/>
        <v>#N/A</v>
      </c>
      <c r="Q755" s="8"/>
      <c r="R755" s="8"/>
      <c r="S755" s="8"/>
      <c r="T755" s="8"/>
    </row>
    <row r="756" ht="14.25" customHeight="1">
      <c r="A756" s="1">
        <v>753.0</v>
      </c>
      <c r="B756" s="1">
        <v>15.0</v>
      </c>
      <c r="C756" s="1" t="s">
        <v>1769</v>
      </c>
      <c r="D756" s="1" t="s">
        <v>1383</v>
      </c>
      <c r="E756" s="1" t="s">
        <v>1770</v>
      </c>
      <c r="F756" s="1" t="s">
        <v>1023</v>
      </c>
      <c r="G756" s="1" t="s">
        <v>1023</v>
      </c>
      <c r="H756" s="1" t="s">
        <v>1023</v>
      </c>
      <c r="I756" s="1" t="s">
        <v>1023</v>
      </c>
      <c r="J756" s="1" t="s">
        <v>1023</v>
      </c>
      <c r="K756" s="1">
        <v>755.0</v>
      </c>
      <c r="L756" s="1" t="str">
        <f t="shared" si="1"/>
        <v>Zack Moss</v>
      </c>
      <c r="M756" s="124" t="str">
        <f>IFERROR(VLOOKUP(E756,RISK!A:B,2,FALSE()),"")</f>
        <v/>
      </c>
      <c r="N756" s="116" t="str">
        <f t="shared" si="2"/>
        <v>#N/A</v>
      </c>
      <c r="Q756" s="8"/>
      <c r="R756" s="8"/>
      <c r="S756" s="8"/>
      <c r="T756" s="8"/>
    </row>
    <row r="757" ht="14.25" customHeight="1">
      <c r="A757" s="1">
        <v>754.0</v>
      </c>
      <c r="B757" s="1">
        <v>15.0</v>
      </c>
      <c r="C757" s="1" t="s">
        <v>1351</v>
      </c>
      <c r="D757" s="1" t="s">
        <v>1383</v>
      </c>
      <c r="E757" s="1" t="s">
        <v>1771</v>
      </c>
      <c r="F757" s="1" t="s">
        <v>1023</v>
      </c>
      <c r="G757" s="1" t="s">
        <v>1023</v>
      </c>
      <c r="H757" s="1" t="s">
        <v>1023</v>
      </c>
      <c r="I757" s="1" t="s">
        <v>1023</v>
      </c>
      <c r="J757" s="1" t="s">
        <v>1023</v>
      </c>
      <c r="K757" s="1">
        <v>756.0</v>
      </c>
      <c r="L757" s="1" t="str">
        <f t="shared" si="1"/>
        <v>Jeff Caldwell</v>
      </c>
      <c r="M757" s="124" t="str">
        <f>IFERROR(VLOOKUP(E757,RISK!A:B,2,FALSE()),"")</f>
        <v/>
      </c>
      <c r="N757" s="116" t="str">
        <f t="shared" si="2"/>
        <v>#N/A</v>
      </c>
      <c r="Q757" s="8"/>
      <c r="R757" s="8"/>
      <c r="S757" s="8"/>
      <c r="T757" s="8"/>
    </row>
    <row r="758" ht="14.25" customHeight="1">
      <c r="A758" s="1">
        <v>755.0</v>
      </c>
      <c r="B758" s="1">
        <v>15.0</v>
      </c>
      <c r="C758" s="1" t="s">
        <v>1772</v>
      </c>
      <c r="D758" s="1" t="s">
        <v>155</v>
      </c>
      <c r="E758" s="1" t="s">
        <v>1773</v>
      </c>
      <c r="F758" s="1">
        <v>5.0</v>
      </c>
      <c r="G758" s="1" t="s">
        <v>1023</v>
      </c>
      <c r="H758" s="1" t="s">
        <v>1023</v>
      </c>
      <c r="I758" s="1" t="s">
        <v>1007</v>
      </c>
      <c r="J758" s="1" t="s">
        <v>1023</v>
      </c>
      <c r="K758" s="1">
        <v>757.0</v>
      </c>
      <c r="L758" s="1" t="str">
        <f t="shared" si="1"/>
        <v>EJ Smith</v>
      </c>
      <c r="M758" s="124" t="str">
        <f>IFERROR(VLOOKUP(E758,RISK!A:B,2,FALSE()),"")</f>
        <v/>
      </c>
      <c r="N758" s="116" t="str">
        <f t="shared" si="2"/>
        <v>#N/A</v>
      </c>
      <c r="Q758" s="8"/>
      <c r="R758" s="8"/>
      <c r="S758" s="8"/>
      <c r="T758" s="8"/>
    </row>
    <row r="759" ht="14.25" customHeight="1">
      <c r="A759" s="1">
        <v>756.0</v>
      </c>
      <c r="B759" s="1">
        <v>15.0</v>
      </c>
      <c r="C759" s="1" t="s">
        <v>1774</v>
      </c>
      <c r="D759" s="1" t="s">
        <v>182</v>
      </c>
      <c r="E759" s="1" t="s">
        <v>1775</v>
      </c>
      <c r="F759" s="1">
        <v>8.0</v>
      </c>
      <c r="G759" s="1" t="s">
        <v>1023</v>
      </c>
      <c r="H759" s="1" t="s">
        <v>1023</v>
      </c>
      <c r="I759" s="1" t="s">
        <v>1007</v>
      </c>
      <c r="J759" s="1" t="s">
        <v>1023</v>
      </c>
      <c r="K759" s="1">
        <v>758.0</v>
      </c>
      <c r="L759" s="1" t="str">
        <f t="shared" si="1"/>
        <v>Ronnie Bell</v>
      </c>
      <c r="M759" s="124" t="str">
        <f>IFERROR(VLOOKUP(E759,RISK!A:B,2,FALSE()),"")</f>
        <v/>
      </c>
      <c r="N759" s="116" t="str">
        <f t="shared" si="2"/>
        <v>#N/A</v>
      </c>
      <c r="Q759" s="8"/>
      <c r="R759" s="8"/>
      <c r="S759" s="8"/>
      <c r="T759" s="8"/>
    </row>
    <row r="760" ht="14.25" customHeight="1">
      <c r="A760" s="1">
        <v>757.0</v>
      </c>
      <c r="B760" s="1">
        <v>15.0</v>
      </c>
      <c r="C760" s="1" t="s">
        <v>1776</v>
      </c>
      <c r="D760" s="1" t="s">
        <v>229</v>
      </c>
      <c r="E760" s="1" t="s">
        <v>1777</v>
      </c>
      <c r="F760" s="1">
        <v>11.0</v>
      </c>
      <c r="G760" s="1" t="s">
        <v>1023</v>
      </c>
      <c r="H760" s="1" t="s">
        <v>1023</v>
      </c>
      <c r="I760" s="1" t="s">
        <v>1003</v>
      </c>
      <c r="J760" s="1" t="s">
        <v>1023</v>
      </c>
      <c r="K760" s="1">
        <v>759.0</v>
      </c>
      <c r="L760" s="1" t="str">
        <f t="shared" si="1"/>
        <v>Trey Sermon</v>
      </c>
      <c r="M760" s="124" t="str">
        <f>IFERROR(VLOOKUP(E760,RISK!A:B,2,FALSE()),"")</f>
        <v/>
      </c>
      <c r="N760" s="116" t="str">
        <f t="shared" si="2"/>
        <v>#N/A</v>
      </c>
      <c r="Q760" s="8"/>
      <c r="R760" s="8"/>
      <c r="S760" s="8"/>
      <c r="T760" s="8"/>
    </row>
    <row r="761" ht="14.25" customHeight="1">
      <c r="A761" s="1">
        <v>758.0</v>
      </c>
      <c r="B761" s="1">
        <v>15.0</v>
      </c>
      <c r="C761" s="1" t="s">
        <v>1778</v>
      </c>
      <c r="D761" s="1" t="s">
        <v>222</v>
      </c>
      <c r="E761" s="1" t="s">
        <v>1779</v>
      </c>
      <c r="F761" s="1">
        <v>13.0</v>
      </c>
      <c r="G761" s="1" t="s">
        <v>1023</v>
      </c>
      <c r="H761" s="1" t="s">
        <v>1023</v>
      </c>
      <c r="I761" s="1" t="s">
        <v>1003</v>
      </c>
      <c r="J761" s="1" t="s">
        <v>1023</v>
      </c>
      <c r="K761" s="1">
        <v>760.0</v>
      </c>
      <c r="L761" s="1" t="str">
        <f t="shared" si="1"/>
        <v>Shedrick Jackson</v>
      </c>
      <c r="M761" s="124" t="str">
        <f>IFERROR(VLOOKUP(E761,RISK!A:B,2,FALSE()),"")</f>
        <v/>
      </c>
      <c r="N761" s="116" t="str">
        <f t="shared" si="2"/>
        <v>#N/A</v>
      </c>
      <c r="Q761" s="8"/>
      <c r="R761" s="8"/>
      <c r="S761" s="8"/>
      <c r="T761" s="8"/>
    </row>
    <row r="762" ht="14.25" customHeight="1">
      <c r="A762" s="1">
        <v>759.0</v>
      </c>
      <c r="B762" s="1">
        <v>15.0</v>
      </c>
      <c r="C762" s="1" t="s">
        <v>1780</v>
      </c>
      <c r="D762" s="1" t="s">
        <v>1383</v>
      </c>
      <c r="E762" s="1" t="s">
        <v>1781</v>
      </c>
      <c r="F762" s="1" t="s">
        <v>1023</v>
      </c>
      <c r="G762" s="1" t="s">
        <v>1023</v>
      </c>
      <c r="H762" s="1" t="s">
        <v>1023</v>
      </c>
      <c r="I762" s="1" t="s">
        <v>1023</v>
      </c>
      <c r="J762" s="1" t="s">
        <v>1023</v>
      </c>
      <c r="K762" s="1">
        <v>761.0</v>
      </c>
      <c r="L762" s="1" t="str">
        <f t="shared" si="1"/>
        <v>Jeff Wilson Jr.</v>
      </c>
      <c r="M762" s="124" t="str">
        <f>IFERROR(VLOOKUP(E762,RISK!A:B,2,FALSE()),"")</f>
        <v/>
      </c>
      <c r="N762" s="116" t="str">
        <f t="shared" si="2"/>
        <v>#N/A</v>
      </c>
      <c r="Q762" s="8"/>
      <c r="R762" s="8"/>
      <c r="S762" s="8"/>
      <c r="T762" s="8"/>
    </row>
    <row r="763" ht="14.25" customHeight="1">
      <c r="A763" s="1">
        <v>760.0</v>
      </c>
      <c r="B763" s="1">
        <v>15.0</v>
      </c>
      <c r="C763" s="1" t="s">
        <v>1782</v>
      </c>
      <c r="D763" s="1" t="s">
        <v>222</v>
      </c>
      <c r="E763" s="1" t="s">
        <v>1783</v>
      </c>
      <c r="F763" s="1">
        <v>13.0</v>
      </c>
      <c r="G763" s="1" t="s">
        <v>1023</v>
      </c>
      <c r="H763" s="1" t="s">
        <v>1023</v>
      </c>
      <c r="I763" s="1" t="s">
        <v>1003</v>
      </c>
      <c r="J763" s="1" t="s">
        <v>1023</v>
      </c>
      <c r="K763" s="1">
        <v>762.0</v>
      </c>
      <c r="L763" s="1" t="str">
        <f t="shared" si="1"/>
        <v>Deven Thompkins</v>
      </c>
      <c r="M763" s="124" t="str">
        <f>IFERROR(VLOOKUP(E763,RISK!A:B,2,FALSE()),"")</f>
        <v/>
      </c>
      <c r="N763" s="116" t="str">
        <f t="shared" si="2"/>
        <v>#N/A</v>
      </c>
      <c r="Q763" s="8"/>
      <c r="R763" s="8"/>
      <c r="S763" s="8"/>
      <c r="T763" s="8"/>
    </row>
    <row r="764" ht="14.25" customHeight="1">
      <c r="A764" s="1">
        <v>761.0</v>
      </c>
      <c r="B764" s="1">
        <v>15.0</v>
      </c>
      <c r="C764" s="1" t="s">
        <v>1784</v>
      </c>
      <c r="D764" s="1" t="s">
        <v>18</v>
      </c>
      <c r="E764" s="1" t="s">
        <v>1785</v>
      </c>
      <c r="F764" s="1">
        <v>7.0</v>
      </c>
      <c r="G764" s="1" t="s">
        <v>1023</v>
      </c>
      <c r="H764" s="1" t="s">
        <v>1023</v>
      </c>
      <c r="I764" s="1" t="s">
        <v>1004</v>
      </c>
      <c r="J764" s="1" t="s">
        <v>1023</v>
      </c>
      <c r="K764" s="1">
        <v>763.0</v>
      </c>
      <c r="L764" s="1" t="str">
        <f t="shared" si="1"/>
        <v>Dante Pettis</v>
      </c>
      <c r="M764" s="124" t="str">
        <f>IFERROR(VLOOKUP(E764,RISK!A:B,2,FALSE()),"")</f>
        <v/>
      </c>
      <c r="N764" s="116" t="str">
        <f t="shared" si="2"/>
        <v>#N/A</v>
      </c>
      <c r="Q764" s="8"/>
      <c r="R764" s="8"/>
      <c r="S764" s="8"/>
      <c r="T764" s="8"/>
    </row>
    <row r="765" ht="14.25" customHeight="1">
      <c r="A765" s="1">
        <v>762.0</v>
      </c>
      <c r="B765" s="1">
        <v>15.0</v>
      </c>
      <c r="C765" s="1" t="s">
        <v>1786</v>
      </c>
      <c r="D765" s="1" t="s">
        <v>1383</v>
      </c>
      <c r="E765" s="1" t="s">
        <v>1787</v>
      </c>
      <c r="F765" s="1" t="s">
        <v>1023</v>
      </c>
      <c r="G765" s="1" t="s">
        <v>1023</v>
      </c>
      <c r="H765" s="1" t="s">
        <v>1023</v>
      </c>
      <c r="I765" s="1" t="s">
        <v>1023</v>
      </c>
      <c r="J765" s="1" t="s">
        <v>1023</v>
      </c>
      <c r="K765" s="1">
        <v>764.0</v>
      </c>
      <c r="L765" s="1" t="str">
        <f t="shared" si="1"/>
        <v>Royce Freeman</v>
      </c>
      <c r="M765" s="124" t="str">
        <f>IFERROR(VLOOKUP(E765,RISK!A:B,2,FALSE()),"")</f>
        <v/>
      </c>
      <c r="N765" s="116" t="str">
        <f t="shared" si="2"/>
        <v>#N/A</v>
      </c>
      <c r="Q765" s="8"/>
      <c r="R765" s="8"/>
      <c r="S765" s="8"/>
      <c r="T765" s="8"/>
    </row>
    <row r="766" ht="14.25" customHeight="1">
      <c r="A766" s="1">
        <v>763.0</v>
      </c>
      <c r="B766" s="1">
        <v>15.0</v>
      </c>
      <c r="C766" s="1" t="s">
        <v>874</v>
      </c>
      <c r="D766" s="1" t="s">
        <v>202</v>
      </c>
      <c r="E766" s="1" t="s">
        <v>1788</v>
      </c>
      <c r="F766" s="1">
        <v>11.0</v>
      </c>
      <c r="G766" s="1" t="s">
        <v>1023</v>
      </c>
      <c r="H766" s="1" t="s">
        <v>1023</v>
      </c>
      <c r="I766" s="1" t="s">
        <v>1007</v>
      </c>
      <c r="J766" s="1" t="s">
        <v>1023</v>
      </c>
      <c r="K766" s="1">
        <v>765.0</v>
      </c>
      <c r="L766" s="1" t="str">
        <f t="shared" si="1"/>
        <v>Nick Vannett</v>
      </c>
      <c r="M766" s="124" t="str">
        <f>IFERROR(VLOOKUP(E766,RISK!A:B,2,FALSE()),"")</f>
        <v/>
      </c>
      <c r="N766" s="116" t="str">
        <f t="shared" si="2"/>
        <v>#N/A</v>
      </c>
      <c r="Q766" s="8"/>
      <c r="R766" s="8"/>
      <c r="S766" s="8"/>
      <c r="T766" s="8"/>
    </row>
    <row r="767" ht="14.25" customHeight="1">
      <c r="A767" s="1">
        <v>764.0</v>
      </c>
      <c r="B767" s="1">
        <v>15.0</v>
      </c>
      <c r="C767" s="1" t="s">
        <v>1789</v>
      </c>
      <c r="D767" s="1" t="s">
        <v>214</v>
      </c>
      <c r="E767" s="1" t="s">
        <v>1790</v>
      </c>
      <c r="F767" s="1">
        <v>9.0</v>
      </c>
      <c r="G767" s="1" t="s">
        <v>1023</v>
      </c>
      <c r="H767" s="1" t="s">
        <v>1023</v>
      </c>
      <c r="I767" s="1" t="s">
        <v>1007</v>
      </c>
      <c r="J767" s="1" t="s">
        <v>1023</v>
      </c>
      <c r="K767" s="1">
        <v>766.0</v>
      </c>
      <c r="L767" s="1" t="str">
        <f t="shared" si="1"/>
        <v>Julius Chestnut</v>
      </c>
      <c r="M767" s="124" t="str">
        <f>IFERROR(VLOOKUP(E767,RISK!A:B,2,FALSE()),"")</f>
        <v/>
      </c>
      <c r="N767" s="116" t="str">
        <f t="shared" si="2"/>
        <v>#N/A</v>
      </c>
      <c r="Q767" s="8"/>
      <c r="R767" s="8"/>
      <c r="S767" s="8"/>
      <c r="T767" s="8"/>
    </row>
    <row r="768" ht="14.25" customHeight="1">
      <c r="A768" s="1">
        <v>765.0</v>
      </c>
      <c r="B768" s="1">
        <v>15.0</v>
      </c>
      <c r="C768" s="1" t="s">
        <v>1791</v>
      </c>
      <c r="D768" s="1" t="s">
        <v>217</v>
      </c>
      <c r="E768" s="1" t="s">
        <v>1792</v>
      </c>
      <c r="F768" s="1">
        <v>14.0</v>
      </c>
      <c r="G768" s="1" t="s">
        <v>1023</v>
      </c>
      <c r="H768" s="1" t="s">
        <v>1023</v>
      </c>
      <c r="I768" s="1" t="s">
        <v>1003</v>
      </c>
      <c r="J768" s="1" t="s">
        <v>1023</v>
      </c>
      <c r="K768" s="1">
        <v>767.0</v>
      </c>
      <c r="L768" s="1" t="str">
        <f t="shared" si="1"/>
        <v>Simi Fehoko</v>
      </c>
      <c r="M768" s="124" t="str">
        <f>IFERROR(VLOOKUP(E768,RISK!A:B,2,FALSE()),"")</f>
        <v/>
      </c>
      <c r="N768" s="116" t="str">
        <f t="shared" si="2"/>
        <v>#N/A</v>
      </c>
      <c r="Q768" s="8"/>
      <c r="R768" s="8"/>
      <c r="S768" s="8"/>
      <c r="T768" s="8"/>
    </row>
    <row r="769" ht="14.25" customHeight="1">
      <c r="A769" s="1">
        <v>766.0</v>
      </c>
      <c r="B769" s="1">
        <v>15.0</v>
      </c>
      <c r="C769" s="1" t="s">
        <v>1793</v>
      </c>
      <c r="D769" s="1" t="s">
        <v>226</v>
      </c>
      <c r="E769" s="1" t="s">
        <v>1794</v>
      </c>
      <c r="F769" s="1">
        <v>11.0</v>
      </c>
      <c r="G769" s="1" t="s">
        <v>1023</v>
      </c>
      <c r="H769" s="1" t="s">
        <v>1023</v>
      </c>
      <c r="I769" s="1" t="s">
        <v>1007</v>
      </c>
      <c r="J769" s="1" t="s">
        <v>1023</v>
      </c>
      <c r="K769" s="1">
        <v>768.0</v>
      </c>
      <c r="L769" s="1" t="str">
        <f t="shared" si="1"/>
        <v>Tylan Wallace</v>
      </c>
      <c r="M769" s="124" t="str">
        <f>IFERROR(VLOOKUP(E769,RISK!A:B,2,FALSE()),"")</f>
        <v/>
      </c>
      <c r="N769" s="116" t="str">
        <f t="shared" si="2"/>
        <v>#N/A</v>
      </c>
      <c r="Q769" s="8"/>
      <c r="R769" s="8"/>
      <c r="S769" s="8"/>
      <c r="T769" s="8"/>
    </row>
    <row r="770" ht="14.25" customHeight="1">
      <c r="A770" s="1">
        <v>767.0</v>
      </c>
      <c r="B770" s="1">
        <v>15.0</v>
      </c>
      <c r="C770" s="1" t="s">
        <v>1795</v>
      </c>
      <c r="D770" s="1" t="s">
        <v>170</v>
      </c>
      <c r="E770" s="1" t="s">
        <v>1796</v>
      </c>
      <c r="F770" s="1">
        <v>10.0</v>
      </c>
      <c r="G770" s="1" t="s">
        <v>1023</v>
      </c>
      <c r="H770" s="1" t="s">
        <v>1023</v>
      </c>
      <c r="I770" s="1" t="s">
        <v>1003</v>
      </c>
      <c r="J770" s="1" t="s">
        <v>1023</v>
      </c>
      <c r="K770" s="1">
        <v>769.0</v>
      </c>
      <c r="L770" s="1" t="str">
        <f t="shared" si="1"/>
        <v>Cody Schrader</v>
      </c>
      <c r="M770" s="124" t="str">
        <f>IFERROR(VLOOKUP(E770,RISK!A:B,2,FALSE()),"")</f>
        <v/>
      </c>
      <c r="N770" s="116" t="str">
        <f t="shared" si="2"/>
        <v>#N/A</v>
      </c>
      <c r="Q770" s="8"/>
      <c r="R770" s="8"/>
      <c r="S770" s="8"/>
      <c r="T770" s="8"/>
    </row>
    <row r="771" ht="14.25" customHeight="1">
      <c r="A771" s="1">
        <v>768.0</v>
      </c>
      <c r="B771" s="1">
        <v>15.0</v>
      </c>
      <c r="C771" s="1" t="s">
        <v>553</v>
      </c>
      <c r="D771" s="1" t="s">
        <v>179</v>
      </c>
      <c r="E771" s="1" t="s">
        <v>1797</v>
      </c>
      <c r="F771" s="1">
        <v>6.0</v>
      </c>
      <c r="G771" s="1" t="s">
        <v>1023</v>
      </c>
      <c r="H771" s="1" t="s">
        <v>1023</v>
      </c>
      <c r="I771" s="1" t="s">
        <v>1002</v>
      </c>
      <c r="J771" s="1" t="s">
        <v>1023</v>
      </c>
      <c r="K771" s="1">
        <v>770.0</v>
      </c>
      <c r="L771" s="1" t="str">
        <f t="shared" si="1"/>
        <v>Trayveon Williams</v>
      </c>
      <c r="M771" s="124" t="str">
        <f>IFERROR(VLOOKUP(E771,RISK!A:B,2,FALSE()),"")</f>
        <v/>
      </c>
      <c r="N771" s="116" t="str">
        <f t="shared" si="2"/>
        <v>#N/A</v>
      </c>
      <c r="Q771" s="8"/>
      <c r="R771" s="8"/>
      <c r="S771" s="8"/>
      <c r="T771" s="8"/>
    </row>
    <row r="772" ht="14.25" customHeight="1">
      <c r="A772" s="1">
        <v>769.0</v>
      </c>
      <c r="B772" s="1">
        <v>15.0</v>
      </c>
      <c r="C772" s="1" t="s">
        <v>1798</v>
      </c>
      <c r="D772" s="1" t="s">
        <v>179</v>
      </c>
      <c r="E772" s="1" t="s">
        <v>1799</v>
      </c>
      <c r="F772" s="1">
        <v>6.0</v>
      </c>
      <c r="G772" s="1" t="s">
        <v>1023</v>
      </c>
      <c r="H772" s="1" t="s">
        <v>1023</v>
      </c>
      <c r="I772" s="1" t="s">
        <v>1004</v>
      </c>
      <c r="J772" s="1" t="s">
        <v>1023</v>
      </c>
      <c r="K772" s="1">
        <v>771.0</v>
      </c>
      <c r="L772" s="1" t="str">
        <f t="shared" si="1"/>
        <v>Tom Kennedy</v>
      </c>
      <c r="M772" s="124" t="str">
        <f>IFERROR(VLOOKUP(E772,RISK!A:B,2,FALSE()),"")</f>
        <v/>
      </c>
      <c r="N772" s="116" t="str">
        <f t="shared" si="2"/>
        <v>#N/A</v>
      </c>
      <c r="Q772" s="8"/>
      <c r="R772" s="8"/>
      <c r="S772" s="8"/>
      <c r="T772" s="8"/>
    </row>
    <row r="773" ht="14.25" customHeight="1">
      <c r="A773" s="1">
        <v>770.0</v>
      </c>
      <c r="B773" s="1">
        <v>15.0</v>
      </c>
      <c r="C773" s="1" t="s">
        <v>1800</v>
      </c>
      <c r="D773" s="1" t="s">
        <v>199</v>
      </c>
      <c r="E773" s="1" t="s">
        <v>1801</v>
      </c>
      <c r="F773" s="1">
        <v>11.0</v>
      </c>
      <c r="G773" s="1" t="s">
        <v>1023</v>
      </c>
      <c r="H773" s="1" t="s">
        <v>1023</v>
      </c>
      <c r="I773" s="1" t="s">
        <v>1004</v>
      </c>
      <c r="J773" s="1" t="s">
        <v>1023</v>
      </c>
      <c r="K773" s="1">
        <v>772.0</v>
      </c>
      <c r="L773" s="1" t="str">
        <f t="shared" si="1"/>
        <v>Jaden Nixon</v>
      </c>
      <c r="M773" s="124" t="str">
        <f>IFERROR(VLOOKUP(E773,RISK!A:B,2,FALSE()),"")</f>
        <v/>
      </c>
      <c r="N773" s="116" t="str">
        <f t="shared" si="2"/>
        <v>#N/A</v>
      </c>
      <c r="Q773" s="8"/>
      <c r="R773" s="8"/>
      <c r="S773" s="8"/>
      <c r="T773" s="8"/>
    </row>
    <row r="774" ht="14.25" customHeight="1">
      <c r="A774" s="1">
        <v>771.0</v>
      </c>
      <c r="B774" s="1">
        <v>15.0</v>
      </c>
      <c r="C774" s="1" t="s">
        <v>1802</v>
      </c>
      <c r="D774" s="1" t="s">
        <v>1383</v>
      </c>
      <c r="E774" s="1" t="s">
        <v>1803</v>
      </c>
      <c r="F774" s="1" t="s">
        <v>1023</v>
      </c>
      <c r="G774" s="1" t="s">
        <v>1023</v>
      </c>
      <c r="H774" s="1" t="s">
        <v>1023</v>
      </c>
      <c r="I774" s="1" t="s">
        <v>1023</v>
      </c>
      <c r="J774" s="1" t="s">
        <v>1023</v>
      </c>
      <c r="K774" s="1">
        <v>773.0</v>
      </c>
      <c r="L774" s="1" t="str">
        <f t="shared" si="1"/>
        <v>D'Onta Foreman</v>
      </c>
      <c r="M774" s="124" t="str">
        <f>IFERROR(VLOOKUP(E774,RISK!A:B,2,FALSE()),"")</f>
        <v/>
      </c>
      <c r="N774" s="116" t="str">
        <f t="shared" si="2"/>
        <v>#N/A</v>
      </c>
      <c r="Q774" s="8"/>
      <c r="R774" s="8"/>
      <c r="S774" s="8"/>
      <c r="T774" s="8"/>
    </row>
    <row r="775" ht="14.25" customHeight="1">
      <c r="A775" s="1">
        <v>772.0</v>
      </c>
      <c r="B775" s="1">
        <v>15.0</v>
      </c>
      <c r="C775" s="1" t="s">
        <v>1804</v>
      </c>
      <c r="D775" s="1" t="s">
        <v>217</v>
      </c>
      <c r="E775" s="1" t="s">
        <v>1805</v>
      </c>
      <c r="F775" s="1">
        <v>14.0</v>
      </c>
      <c r="G775" s="1" t="s">
        <v>1023</v>
      </c>
      <c r="H775" s="1" t="s">
        <v>1023</v>
      </c>
      <c r="I775" s="1" t="s">
        <v>1003</v>
      </c>
      <c r="J775" s="1" t="s">
        <v>1023</v>
      </c>
      <c r="K775" s="1">
        <v>774.0</v>
      </c>
      <c r="L775" s="1" t="str">
        <f t="shared" si="1"/>
        <v>Xavier Weaver</v>
      </c>
      <c r="M775" s="124" t="str">
        <f>IFERROR(VLOOKUP(E775,RISK!A:B,2,FALSE()),"")</f>
        <v/>
      </c>
      <c r="N775" s="116" t="str">
        <f t="shared" si="2"/>
        <v>#N/A</v>
      </c>
      <c r="Q775" s="8"/>
      <c r="R775" s="8"/>
      <c r="S775" s="8"/>
      <c r="T775" s="8"/>
    </row>
    <row r="776" ht="14.25" customHeight="1">
      <c r="A776" s="1">
        <v>773.0</v>
      </c>
      <c r="B776" s="1">
        <v>15.0</v>
      </c>
      <c r="C776" s="1" t="s">
        <v>1806</v>
      </c>
      <c r="D776" s="1" t="s">
        <v>117</v>
      </c>
      <c r="E776" s="1" t="s">
        <v>1807</v>
      </c>
      <c r="F776" s="1">
        <v>10.0</v>
      </c>
      <c r="G776" s="1" t="s">
        <v>1023</v>
      </c>
      <c r="H776" s="1" t="s">
        <v>1023</v>
      </c>
      <c r="I776" s="1" t="s">
        <v>1004</v>
      </c>
      <c r="J776" s="1" t="s">
        <v>1023</v>
      </c>
      <c r="K776" s="1">
        <v>775.0</v>
      </c>
      <c r="L776" s="1" t="str">
        <f t="shared" si="1"/>
        <v>Carson Steele</v>
      </c>
      <c r="M776" s="124" t="str">
        <f>IFERROR(VLOOKUP(E776,RISK!A:B,2,FALSE()),"")</f>
        <v/>
      </c>
      <c r="N776" s="116" t="str">
        <f t="shared" si="2"/>
        <v>#N/A</v>
      </c>
      <c r="Q776" s="8"/>
      <c r="R776" s="8"/>
      <c r="S776" s="8"/>
      <c r="T776" s="8"/>
    </row>
    <row r="777" ht="14.25" customHeight="1">
      <c r="A777" s="1">
        <v>774.0</v>
      </c>
      <c r="B777" s="1">
        <v>15.0</v>
      </c>
      <c r="C777" s="1" t="s">
        <v>602</v>
      </c>
      <c r="D777" s="1" t="s">
        <v>196</v>
      </c>
      <c r="E777" s="1" t="s">
        <v>1808</v>
      </c>
      <c r="F777" s="1">
        <v>6.0</v>
      </c>
      <c r="G777" s="1" t="s">
        <v>1023</v>
      </c>
      <c r="H777" s="1" t="s">
        <v>1023</v>
      </c>
      <c r="I777" s="1" t="s">
        <v>1007</v>
      </c>
      <c r="J777" s="1" t="s">
        <v>1023</v>
      </c>
      <c r="K777" s="1">
        <v>776.0</v>
      </c>
      <c r="L777" s="1" t="str">
        <f t="shared" si="1"/>
        <v>Carlos Washington Jr.</v>
      </c>
      <c r="M777" s="124" t="str">
        <f>IFERROR(VLOOKUP(E777,RISK!A:B,2,FALSE()),"")</f>
        <v/>
      </c>
      <c r="N777" s="116" t="str">
        <f t="shared" si="2"/>
        <v>#N/A</v>
      </c>
      <c r="Q777" s="8"/>
      <c r="R777" s="8"/>
      <c r="S777" s="8"/>
      <c r="T777" s="8"/>
    </row>
    <row r="778" ht="14.25" customHeight="1">
      <c r="A778" s="1">
        <v>775.0</v>
      </c>
      <c r="B778" s="1">
        <v>15.0</v>
      </c>
      <c r="C778" s="1" t="s">
        <v>1809</v>
      </c>
      <c r="D778" s="1" t="s">
        <v>134</v>
      </c>
      <c r="E778" s="1" t="s">
        <v>1810</v>
      </c>
      <c r="F778" s="1">
        <v>8.0</v>
      </c>
      <c r="G778" s="1" t="s">
        <v>1023</v>
      </c>
      <c r="H778" s="1" t="s">
        <v>1023</v>
      </c>
      <c r="I778" s="1" t="s">
        <v>1004</v>
      </c>
      <c r="J778" s="1" t="s">
        <v>1023</v>
      </c>
      <c r="K778" s="1">
        <v>777.0</v>
      </c>
      <c r="L778" s="1" t="str">
        <f t="shared" si="1"/>
        <v>Jalin Hyatt</v>
      </c>
      <c r="M778" s="124" t="str">
        <f>IFERROR(VLOOKUP(E778,RISK!A:B,2,FALSE()),"")</f>
        <v/>
      </c>
      <c r="N778" s="116" t="str">
        <f t="shared" si="2"/>
        <v>#N/A</v>
      </c>
      <c r="Q778" s="8"/>
      <c r="R778" s="8"/>
      <c r="S778" s="8"/>
      <c r="T778" s="8"/>
    </row>
    <row r="779" ht="14.25" customHeight="1">
      <c r="A779" s="1">
        <v>776.0</v>
      </c>
      <c r="B779" s="1">
        <v>15.0</v>
      </c>
      <c r="C779" s="1" t="s">
        <v>1811</v>
      </c>
      <c r="D779" s="1" t="s">
        <v>222</v>
      </c>
      <c r="E779" s="1" t="s">
        <v>1812</v>
      </c>
      <c r="F779" s="1">
        <v>13.0</v>
      </c>
      <c r="G779" s="1" t="s">
        <v>1023</v>
      </c>
      <c r="H779" s="1" t="s">
        <v>1023</v>
      </c>
      <c r="I779" s="1" t="s">
        <v>1003</v>
      </c>
      <c r="J779" s="1" t="s">
        <v>1023</v>
      </c>
      <c r="K779" s="1">
        <v>778.0</v>
      </c>
      <c r="L779" s="1" t="str">
        <f t="shared" si="1"/>
        <v>Dare Ogunbowale</v>
      </c>
      <c r="M779" s="124" t="str">
        <f>IFERROR(VLOOKUP(E779,RISK!A:B,2,FALSE()),"")</f>
        <v/>
      </c>
      <c r="N779" s="116" t="str">
        <f t="shared" si="2"/>
        <v>#N/A</v>
      </c>
      <c r="Q779" s="8"/>
      <c r="R779" s="8"/>
      <c r="S779" s="8"/>
      <c r="T779" s="8"/>
    </row>
    <row r="780" ht="14.25" customHeight="1">
      <c r="A780" s="1">
        <v>777.0</v>
      </c>
      <c r="B780" s="1">
        <v>15.0</v>
      </c>
      <c r="C780" s="1" t="s">
        <v>1813</v>
      </c>
      <c r="D780" s="1" t="s">
        <v>182</v>
      </c>
      <c r="E780" s="1" t="s">
        <v>1814</v>
      </c>
      <c r="F780" s="1">
        <v>8.0</v>
      </c>
      <c r="G780" s="1" t="s">
        <v>1023</v>
      </c>
      <c r="H780" s="1" t="s">
        <v>1023</v>
      </c>
      <c r="I780" s="1" t="s">
        <v>1007</v>
      </c>
      <c r="J780" s="1" t="s">
        <v>1023</v>
      </c>
      <c r="K780" s="1">
        <v>779.0</v>
      </c>
      <c r="L780" s="1" t="str">
        <f t="shared" si="1"/>
        <v>Zamir White</v>
      </c>
      <c r="M780" s="124" t="str">
        <f>IFERROR(VLOOKUP(E780,RISK!A:B,2,FALSE()),"")</f>
        <v/>
      </c>
      <c r="N780" s="116" t="str">
        <f t="shared" si="2"/>
        <v>#N/A</v>
      </c>
      <c r="Q780" s="8"/>
      <c r="R780" s="8"/>
      <c r="S780" s="8"/>
      <c r="T780" s="8"/>
    </row>
    <row r="781" ht="14.25" customHeight="1">
      <c r="A781" s="1">
        <v>778.0</v>
      </c>
      <c r="B781" s="1">
        <v>15.0</v>
      </c>
      <c r="C781" s="1" t="s">
        <v>1815</v>
      </c>
      <c r="D781" s="1" t="s">
        <v>179</v>
      </c>
      <c r="E781" s="1" t="s">
        <v>1816</v>
      </c>
      <c r="F781" s="1">
        <v>6.0</v>
      </c>
      <c r="G781" s="1" t="s">
        <v>1023</v>
      </c>
      <c r="H781" s="1" t="s">
        <v>1023</v>
      </c>
      <c r="I781" s="1" t="s">
        <v>1004</v>
      </c>
      <c r="J781" s="1" t="s">
        <v>1023</v>
      </c>
      <c r="K781" s="1">
        <v>780.0</v>
      </c>
      <c r="L781" s="1" t="str">
        <f t="shared" si="1"/>
        <v>Tay Martin</v>
      </c>
      <c r="M781" s="124" t="str">
        <f>IFERROR(VLOOKUP(E781,RISK!A:B,2,FALSE()),"")</f>
        <v/>
      </c>
      <c r="N781" s="116" t="str">
        <f t="shared" si="2"/>
        <v>#N/A</v>
      </c>
      <c r="Q781" s="8"/>
      <c r="R781" s="8"/>
      <c r="S781" s="8"/>
      <c r="T781" s="8"/>
    </row>
    <row r="782" ht="14.25" customHeight="1">
      <c r="A782" s="1">
        <v>779.0</v>
      </c>
      <c r="B782" s="1">
        <v>15.0</v>
      </c>
      <c r="C782" s="1" t="s">
        <v>1817</v>
      </c>
      <c r="D782" s="1" t="s">
        <v>61</v>
      </c>
      <c r="E782" s="1" t="s">
        <v>1818</v>
      </c>
      <c r="F782" s="1">
        <v>13.0</v>
      </c>
      <c r="G782" s="1" t="s">
        <v>1023</v>
      </c>
      <c r="H782" s="1" t="s">
        <v>1023</v>
      </c>
      <c r="I782" s="1" t="s">
        <v>1004</v>
      </c>
      <c r="J782" s="1" t="s">
        <v>1023</v>
      </c>
      <c r="K782" s="1">
        <v>781.0</v>
      </c>
      <c r="L782" s="1" t="str">
        <f t="shared" si="1"/>
        <v>Chris Moore</v>
      </c>
      <c r="M782" s="124" t="str">
        <f>IFERROR(VLOOKUP(E782,RISK!A:B,2,FALSE()),"")</f>
        <v/>
      </c>
      <c r="N782" s="116" t="str">
        <f t="shared" si="2"/>
        <v>#N/A</v>
      </c>
      <c r="Q782" s="8"/>
      <c r="R782" s="8"/>
      <c r="S782" s="8"/>
      <c r="T782" s="8"/>
    </row>
    <row r="783" ht="14.25" customHeight="1">
      <c r="A783" s="1">
        <v>780.0</v>
      </c>
      <c r="B783" s="1">
        <v>15.0</v>
      </c>
      <c r="C783" s="1" t="s">
        <v>1224</v>
      </c>
      <c r="D783" s="1" t="s">
        <v>193</v>
      </c>
      <c r="E783" s="1" t="s">
        <v>1819</v>
      </c>
      <c r="F783" s="1">
        <v>13.0</v>
      </c>
      <c r="G783" s="1" t="s">
        <v>1023</v>
      </c>
      <c r="H783" s="1" t="s">
        <v>1023</v>
      </c>
      <c r="I783" s="1" t="s">
        <v>1004</v>
      </c>
      <c r="J783" s="1">
        <v>-498.0</v>
      </c>
      <c r="K783" s="1">
        <v>782.0</v>
      </c>
      <c r="L783" s="1" t="str">
        <f t="shared" si="1"/>
        <v>Laquon Treadwell</v>
      </c>
      <c r="M783" s="124" t="str">
        <f>IFERROR(VLOOKUP(E783,RISK!A:B,2,FALSE()),"")</f>
        <v/>
      </c>
      <c r="N783" s="116" t="str">
        <f t="shared" si="2"/>
        <v>#N/A</v>
      </c>
      <c r="Q783" s="8"/>
      <c r="R783" s="8"/>
      <c r="S783" s="8"/>
      <c r="T783" s="8"/>
    </row>
    <row r="784" ht="14.25" customHeight="1">
      <c r="A784" s="1">
        <v>781.0</v>
      </c>
      <c r="B784" s="1">
        <v>15.0</v>
      </c>
      <c r="C784" s="1" t="s">
        <v>1820</v>
      </c>
      <c r="D784" s="1" t="s">
        <v>164</v>
      </c>
      <c r="E784" s="1" t="s">
        <v>1821</v>
      </c>
      <c r="F784" s="1">
        <v>7.0</v>
      </c>
      <c r="G784" s="1" t="s">
        <v>1023</v>
      </c>
      <c r="H784" s="1" t="s">
        <v>1023</v>
      </c>
      <c r="I784" s="1" t="s">
        <v>1007</v>
      </c>
      <c r="J784" s="1" t="s">
        <v>1023</v>
      </c>
      <c r="K784" s="1">
        <v>783.0</v>
      </c>
      <c r="L784" s="1" t="str">
        <f t="shared" si="1"/>
        <v>Gregory Desrosiers</v>
      </c>
      <c r="M784" s="124" t="str">
        <f>IFERROR(VLOOKUP(E784,RISK!A:B,2,FALSE()),"")</f>
        <v/>
      </c>
      <c r="N784" s="116" t="str">
        <f t="shared" si="2"/>
        <v>#N/A</v>
      </c>
      <c r="Q784" s="8"/>
      <c r="R784" s="8"/>
      <c r="S784" s="8"/>
      <c r="T784" s="8"/>
    </row>
    <row r="785" ht="14.25" customHeight="1">
      <c r="A785" s="1">
        <v>782.0</v>
      </c>
      <c r="B785" s="1">
        <v>15.0</v>
      </c>
      <c r="C785" s="1" t="s">
        <v>1822</v>
      </c>
      <c r="D785" s="1" t="s">
        <v>217</v>
      </c>
      <c r="E785" s="1" t="s">
        <v>1823</v>
      </c>
      <c r="F785" s="1">
        <v>14.0</v>
      </c>
      <c r="G785" s="1" t="s">
        <v>1023</v>
      </c>
      <c r="H785" s="1" t="s">
        <v>1023</v>
      </c>
      <c r="I785" s="1" t="s">
        <v>1003</v>
      </c>
      <c r="J785" s="1" t="s">
        <v>1023</v>
      </c>
      <c r="K785" s="1">
        <v>784.0</v>
      </c>
      <c r="L785" s="1" t="str">
        <f t="shared" si="1"/>
        <v>Evan Hull</v>
      </c>
      <c r="M785" s="124" t="str">
        <f>IFERROR(VLOOKUP(E785,RISK!A:B,2,FALSE()),"")</f>
        <v/>
      </c>
      <c r="N785" s="116" t="str">
        <f t="shared" si="2"/>
        <v>#N/A</v>
      </c>
      <c r="Q785" s="8"/>
      <c r="R785" s="8"/>
      <c r="S785" s="8"/>
      <c r="T785" s="8"/>
    </row>
    <row r="786" ht="14.25" customHeight="1">
      <c r="A786" s="1">
        <v>783.0</v>
      </c>
      <c r="B786" s="1">
        <v>15.0</v>
      </c>
      <c r="C786" s="1" t="s">
        <v>1824</v>
      </c>
      <c r="D786" s="1" t="s">
        <v>1383</v>
      </c>
      <c r="E786" s="1" t="s">
        <v>1825</v>
      </c>
      <c r="F786" s="1" t="s">
        <v>1023</v>
      </c>
      <c r="G786" s="1" t="s">
        <v>1023</v>
      </c>
      <c r="H786" s="1" t="s">
        <v>1023</v>
      </c>
      <c r="I786" s="1" t="s">
        <v>1023</v>
      </c>
      <c r="J786" s="1" t="s">
        <v>1023</v>
      </c>
      <c r="K786" s="1">
        <v>785.0</v>
      </c>
      <c r="L786" s="1" t="str">
        <f t="shared" si="1"/>
        <v>Clyde Edwards-Helaire</v>
      </c>
      <c r="M786" s="124" t="str">
        <f>IFERROR(VLOOKUP(E786,RISK!A:B,2,FALSE()),"")</f>
        <v/>
      </c>
      <c r="N786" s="116" t="str">
        <f t="shared" si="2"/>
        <v>#N/A</v>
      </c>
      <c r="Q786" s="8"/>
      <c r="R786" s="8"/>
      <c r="S786" s="8"/>
      <c r="T786" s="8"/>
    </row>
    <row r="787" ht="14.25" customHeight="1">
      <c r="A787" s="1">
        <v>784.0</v>
      </c>
      <c r="B787" s="1">
        <v>15.0</v>
      </c>
      <c r="C787" s="1" t="s">
        <v>1826</v>
      </c>
      <c r="D787" s="1" t="s">
        <v>214</v>
      </c>
      <c r="E787" s="1" t="s">
        <v>1827</v>
      </c>
      <c r="F787" s="1">
        <v>9.0</v>
      </c>
      <c r="G787" s="1" t="s">
        <v>1023</v>
      </c>
      <c r="H787" s="1" t="s">
        <v>1023</v>
      </c>
      <c r="I787" s="1" t="s">
        <v>1007</v>
      </c>
      <c r="J787" s="1" t="s">
        <v>1023</v>
      </c>
      <c r="K787" s="1">
        <v>786.0</v>
      </c>
      <c r="L787" s="1" t="str">
        <f t="shared" si="1"/>
        <v>Bryce Oliver</v>
      </c>
      <c r="M787" s="124" t="str">
        <f>IFERROR(VLOOKUP(E787,RISK!A:B,2,FALSE()),"")</f>
        <v/>
      </c>
      <c r="N787" s="116" t="str">
        <f t="shared" si="2"/>
        <v>#N/A</v>
      </c>
      <c r="Q787" s="8"/>
      <c r="R787" s="8"/>
      <c r="S787" s="8"/>
      <c r="T787" s="8"/>
    </row>
    <row r="788" ht="14.25" customHeight="1">
      <c r="A788" s="1">
        <v>785.0</v>
      </c>
      <c r="B788" s="1">
        <v>15.0</v>
      </c>
      <c r="C788" s="1" t="s">
        <v>1828</v>
      </c>
      <c r="D788" s="1" t="s">
        <v>155</v>
      </c>
      <c r="E788" s="1" t="s">
        <v>1829</v>
      </c>
      <c r="F788" s="1">
        <v>5.0</v>
      </c>
      <c r="G788" s="1" t="s">
        <v>1023</v>
      </c>
      <c r="H788" s="1" t="s">
        <v>1023</v>
      </c>
      <c r="I788" s="1" t="s">
        <v>1003</v>
      </c>
      <c r="J788" s="1" t="s">
        <v>1023</v>
      </c>
      <c r="K788" s="1">
        <v>787.0</v>
      </c>
      <c r="L788" s="1" t="str">
        <f t="shared" si="1"/>
        <v>Jason Brownlee</v>
      </c>
      <c r="M788" s="124" t="str">
        <f>IFERROR(VLOOKUP(E788,RISK!A:B,2,FALSE()),"")</f>
        <v/>
      </c>
      <c r="N788" s="116" t="str">
        <f t="shared" si="2"/>
        <v>#N/A</v>
      </c>
      <c r="Q788" s="8"/>
      <c r="R788" s="8"/>
      <c r="S788" s="8"/>
      <c r="T788" s="8"/>
    </row>
    <row r="789" ht="14.25" customHeight="1">
      <c r="A789" s="1">
        <v>786.0</v>
      </c>
      <c r="B789" s="1">
        <v>15.0</v>
      </c>
      <c r="C789" s="1" t="s">
        <v>1830</v>
      </c>
      <c r="D789" s="1" t="s">
        <v>1383</v>
      </c>
      <c r="E789" s="1" t="s">
        <v>1831</v>
      </c>
      <c r="F789" s="1" t="s">
        <v>1023</v>
      </c>
      <c r="G789" s="1" t="s">
        <v>1023</v>
      </c>
      <c r="H789" s="1" t="s">
        <v>1023</v>
      </c>
      <c r="I789" s="1" t="s">
        <v>1023</v>
      </c>
      <c r="J789" s="1" t="s">
        <v>1023</v>
      </c>
      <c r="K789" s="1">
        <v>788.0</v>
      </c>
      <c r="L789" s="1" t="str">
        <f t="shared" si="1"/>
        <v>Myles Gaskin</v>
      </c>
      <c r="M789" s="124" t="str">
        <f>IFERROR(VLOOKUP(E789,RISK!A:B,2,FALSE()),"")</f>
        <v/>
      </c>
      <c r="N789" s="116" t="str">
        <f t="shared" si="2"/>
        <v>#N/A</v>
      </c>
      <c r="Q789" s="8"/>
      <c r="R789" s="8"/>
      <c r="S789" s="8"/>
      <c r="T789" s="8"/>
    </row>
    <row r="790" ht="14.25" customHeight="1">
      <c r="A790" s="1">
        <v>787.0</v>
      </c>
      <c r="B790" s="1">
        <v>15.0</v>
      </c>
      <c r="C790" s="1" t="s">
        <v>1832</v>
      </c>
      <c r="D790" s="1" t="s">
        <v>1383</v>
      </c>
      <c r="E790" s="1" t="s">
        <v>1833</v>
      </c>
      <c r="F790" s="1" t="s">
        <v>1023</v>
      </c>
      <c r="G790" s="1" t="s">
        <v>1023</v>
      </c>
      <c r="H790" s="1" t="s">
        <v>1023</v>
      </c>
      <c r="I790" s="1" t="s">
        <v>1023</v>
      </c>
      <c r="J790" s="1" t="s">
        <v>1023</v>
      </c>
      <c r="K790" s="1">
        <v>789.0</v>
      </c>
      <c r="L790" s="1" t="str">
        <f t="shared" si="1"/>
        <v>Sam Scott</v>
      </c>
      <c r="M790" s="124" t="str">
        <f>IFERROR(VLOOKUP(E790,RISK!A:B,2,FALSE()),"")</f>
        <v/>
      </c>
      <c r="N790" s="116" t="str">
        <f t="shared" si="2"/>
        <v>#N/A</v>
      </c>
      <c r="Q790" s="8"/>
      <c r="R790" s="8"/>
      <c r="S790" s="8"/>
      <c r="T790" s="8"/>
    </row>
    <row r="791" ht="14.25" customHeight="1">
      <c r="A791" s="1">
        <v>788.0</v>
      </c>
      <c r="B791" s="1">
        <v>15.0</v>
      </c>
      <c r="C791" s="1" t="s">
        <v>1834</v>
      </c>
      <c r="D791" s="1" t="s">
        <v>1383</v>
      </c>
      <c r="E791" s="1" t="s">
        <v>1835</v>
      </c>
      <c r="F791" s="1" t="s">
        <v>1023</v>
      </c>
      <c r="G791" s="1" t="s">
        <v>1023</v>
      </c>
      <c r="H791" s="1" t="s">
        <v>1023</v>
      </c>
      <c r="I791" s="1" t="s">
        <v>1023</v>
      </c>
      <c r="J791" s="1" t="s">
        <v>1023</v>
      </c>
      <c r="K791" s="1">
        <v>790.0</v>
      </c>
      <c r="L791" s="1" t="str">
        <f t="shared" si="1"/>
        <v>Darrynton Evans</v>
      </c>
      <c r="M791" s="124" t="str">
        <f>IFERROR(VLOOKUP(E791,RISK!A:B,2,FALSE()),"")</f>
        <v/>
      </c>
      <c r="N791" s="116" t="str">
        <f t="shared" si="2"/>
        <v>#N/A</v>
      </c>
      <c r="Q791" s="8"/>
      <c r="R791" s="8"/>
      <c r="S791" s="8"/>
      <c r="T791" s="8"/>
    </row>
    <row r="792" ht="14.25" customHeight="1">
      <c r="A792" s="1">
        <v>789.0</v>
      </c>
      <c r="B792" s="1">
        <v>15.0</v>
      </c>
      <c r="C792" s="1" t="s">
        <v>1836</v>
      </c>
      <c r="D792" s="1" t="s">
        <v>140</v>
      </c>
      <c r="E792" s="1" t="s">
        <v>1837</v>
      </c>
      <c r="F792" s="1">
        <v>8.0</v>
      </c>
      <c r="G792" s="1" t="s">
        <v>1023</v>
      </c>
      <c r="H792" s="1" t="s">
        <v>1023</v>
      </c>
      <c r="I792" s="1" t="s">
        <v>1003</v>
      </c>
      <c r="J792" s="1" t="s">
        <v>1023</v>
      </c>
      <c r="K792" s="1">
        <v>791.0</v>
      </c>
      <c r="L792" s="1" t="str">
        <f t="shared" si="1"/>
        <v>KhaDarel Hodge</v>
      </c>
      <c r="M792" s="124" t="str">
        <f>IFERROR(VLOOKUP(E792,RISK!A:B,2,FALSE()),"")</f>
        <v/>
      </c>
      <c r="N792" s="116" t="str">
        <f t="shared" si="2"/>
        <v>#N/A</v>
      </c>
      <c r="Q792" s="8"/>
      <c r="R792" s="8"/>
      <c r="S792" s="8"/>
      <c r="T792" s="8"/>
    </row>
    <row r="793" ht="14.25" customHeight="1">
      <c r="A793" s="1">
        <v>790.0</v>
      </c>
      <c r="B793" s="1">
        <v>15.0</v>
      </c>
      <c r="C793" s="1" t="s">
        <v>1838</v>
      </c>
      <c r="D793" s="1" t="s">
        <v>1383</v>
      </c>
      <c r="E793" s="1" t="s">
        <v>1839</v>
      </c>
      <c r="F793" s="1" t="s">
        <v>1023</v>
      </c>
      <c r="G793" s="1" t="s">
        <v>1023</v>
      </c>
      <c r="H793" s="1" t="s">
        <v>1023</v>
      </c>
      <c r="I793" s="1" t="s">
        <v>1023</v>
      </c>
      <c r="J793" s="1" t="s">
        <v>1023</v>
      </c>
      <c r="K793" s="1">
        <v>792.0</v>
      </c>
      <c r="L793" s="1" t="str">
        <f t="shared" si="1"/>
        <v>Tyrion Davis-Price</v>
      </c>
      <c r="M793" s="124" t="str">
        <f>IFERROR(VLOOKUP(E793,RISK!A:B,2,FALSE()),"")</f>
        <v/>
      </c>
      <c r="N793" s="116" t="str">
        <f t="shared" si="2"/>
        <v>#N/A</v>
      </c>
      <c r="Q793" s="8"/>
      <c r="R793" s="8"/>
      <c r="S793" s="8"/>
      <c r="T793" s="8"/>
    </row>
    <row r="794" ht="14.25" customHeight="1">
      <c r="A794" s="1">
        <v>791.0</v>
      </c>
      <c r="B794" s="1">
        <v>15.0</v>
      </c>
      <c r="C794" s="1" t="s">
        <v>1840</v>
      </c>
      <c r="D794" s="1" t="s">
        <v>150</v>
      </c>
      <c r="E794" s="1" t="s">
        <v>1841</v>
      </c>
      <c r="F794" s="1">
        <v>14.0</v>
      </c>
      <c r="G794" s="1" t="s">
        <v>1023</v>
      </c>
      <c r="H794" s="1" t="s">
        <v>1023</v>
      </c>
      <c r="I794" s="1" t="s">
        <v>1003</v>
      </c>
      <c r="J794" s="1" t="s">
        <v>1023</v>
      </c>
      <c r="K794" s="1">
        <v>793.0</v>
      </c>
      <c r="L794" s="1" t="str">
        <f t="shared" si="1"/>
        <v>Camden Brown</v>
      </c>
      <c r="M794" s="124" t="str">
        <f>IFERROR(VLOOKUP(E794,RISK!A:B,2,FALSE()),"")</f>
        <v/>
      </c>
      <c r="N794" s="116" t="str">
        <f t="shared" si="2"/>
        <v>#N/A</v>
      </c>
      <c r="Q794" s="8"/>
      <c r="R794" s="8"/>
      <c r="S794" s="8"/>
      <c r="T794" s="8"/>
    </row>
    <row r="795" ht="14.25" customHeight="1">
      <c r="A795" s="1">
        <v>792.0</v>
      </c>
      <c r="B795" s="1">
        <v>15.0</v>
      </c>
      <c r="C795" s="1" t="s">
        <v>1842</v>
      </c>
      <c r="D795" s="1" t="s">
        <v>150</v>
      </c>
      <c r="E795" s="1" t="s">
        <v>1843</v>
      </c>
      <c r="F795" s="1">
        <v>14.0</v>
      </c>
      <c r="G795" s="1" t="s">
        <v>1023</v>
      </c>
      <c r="H795" s="1" t="s">
        <v>1023</v>
      </c>
      <c r="I795" s="1" t="s">
        <v>1004</v>
      </c>
      <c r="J795" s="1" t="s">
        <v>1023</v>
      </c>
      <c r="K795" s="1">
        <v>794.0</v>
      </c>
      <c r="L795" s="1" t="str">
        <f t="shared" si="1"/>
        <v>Jashaun Corbin</v>
      </c>
      <c r="M795" s="124" t="str">
        <f>IFERROR(VLOOKUP(E795,RISK!A:B,2,FALSE()),"")</f>
        <v/>
      </c>
      <c r="N795" s="116" t="str">
        <f t="shared" si="2"/>
        <v>#N/A</v>
      </c>
      <c r="Q795" s="8"/>
      <c r="R795" s="8"/>
      <c r="S795" s="8"/>
      <c r="T795" s="8"/>
    </row>
    <row r="796" ht="14.25" customHeight="1">
      <c r="A796" s="1">
        <v>793.0</v>
      </c>
      <c r="B796" s="1">
        <v>15.0</v>
      </c>
      <c r="C796" s="1" t="s">
        <v>1844</v>
      </c>
      <c r="D796" s="1" t="s">
        <v>176</v>
      </c>
      <c r="E796" s="1" t="s">
        <v>1845</v>
      </c>
      <c r="F796" s="1">
        <v>11.0</v>
      </c>
      <c r="G796" s="1" t="s">
        <v>1023</v>
      </c>
      <c r="H796" s="1" t="s">
        <v>1023</v>
      </c>
      <c r="I796" s="1" t="s">
        <v>1006</v>
      </c>
      <c r="J796" s="1" t="s">
        <v>1023</v>
      </c>
      <c r="K796" s="1">
        <v>795.0</v>
      </c>
      <c r="L796" s="1" t="str">
        <f t="shared" si="1"/>
        <v>Alex Bachman</v>
      </c>
      <c r="M796" s="124" t="str">
        <f>IFERROR(VLOOKUP(E796,RISK!A:B,2,FALSE()),"")</f>
        <v/>
      </c>
      <c r="N796" s="116" t="str">
        <f t="shared" si="2"/>
        <v>#N/A</v>
      </c>
      <c r="Q796" s="8"/>
      <c r="R796" s="8"/>
      <c r="S796" s="8"/>
      <c r="T796" s="8"/>
    </row>
    <row r="797" ht="14.25" customHeight="1">
      <c r="A797" s="1">
        <v>794.0</v>
      </c>
      <c r="B797" s="1">
        <v>15.0</v>
      </c>
      <c r="C797" s="1" t="s">
        <v>1846</v>
      </c>
      <c r="D797" s="1" t="s">
        <v>1383</v>
      </c>
      <c r="E797" s="1" t="s">
        <v>1847</v>
      </c>
      <c r="F797" s="1" t="s">
        <v>1023</v>
      </c>
      <c r="G797" s="1" t="s">
        <v>1023</v>
      </c>
      <c r="H797" s="1" t="s">
        <v>1023</v>
      </c>
      <c r="I797" s="1" t="s">
        <v>1023</v>
      </c>
      <c r="J797" s="1" t="s">
        <v>1023</v>
      </c>
      <c r="K797" s="1">
        <v>796.0</v>
      </c>
      <c r="L797" s="1" t="str">
        <f t="shared" si="1"/>
        <v>Gabe Davis</v>
      </c>
      <c r="M797" s="124" t="str">
        <f>IFERROR(VLOOKUP(E797,RISK!A:B,2,FALSE()),"")</f>
        <v/>
      </c>
      <c r="N797" s="116" t="str">
        <f t="shared" si="2"/>
        <v>#N/A</v>
      </c>
      <c r="Q797" s="8"/>
      <c r="R797" s="8"/>
      <c r="S797" s="8"/>
      <c r="T797" s="8"/>
    </row>
    <row r="798" ht="14.25" customHeight="1">
      <c r="A798" s="1">
        <v>795.0</v>
      </c>
      <c r="B798" s="1">
        <v>15.0</v>
      </c>
      <c r="C798" s="1" t="s">
        <v>1313</v>
      </c>
      <c r="D798" s="1" t="s">
        <v>134</v>
      </c>
      <c r="E798" s="1" t="s">
        <v>1848</v>
      </c>
      <c r="F798" s="1">
        <v>8.0</v>
      </c>
      <c r="G798" s="1" t="s">
        <v>1023</v>
      </c>
      <c r="H798" s="1" t="s">
        <v>1023</v>
      </c>
      <c r="I798" s="1" t="s">
        <v>1004</v>
      </c>
      <c r="J798" s="1" t="s">
        <v>1023</v>
      </c>
      <c r="K798" s="1">
        <v>797.0</v>
      </c>
      <c r="L798" s="1" t="str">
        <f t="shared" si="1"/>
        <v>Braxton Berrios</v>
      </c>
      <c r="M798" s="124" t="str">
        <f>IFERROR(VLOOKUP(E798,RISK!A:B,2,FALSE()),"")</f>
        <v/>
      </c>
      <c r="N798" s="116" t="str">
        <f t="shared" si="2"/>
        <v>#N/A</v>
      </c>
      <c r="Q798" s="8"/>
      <c r="R798" s="8"/>
      <c r="S798" s="8"/>
      <c r="T798" s="8"/>
    </row>
    <row r="799" ht="14.25" customHeight="1">
      <c r="A799" s="1">
        <v>796.0</v>
      </c>
      <c r="B799" s="1">
        <v>15.0</v>
      </c>
      <c r="C799" s="1" t="s">
        <v>1849</v>
      </c>
      <c r="D799" s="1" t="s">
        <v>155</v>
      </c>
      <c r="E799" s="1" t="s">
        <v>1850</v>
      </c>
      <c r="F799" s="1">
        <v>5.0</v>
      </c>
      <c r="G799" s="1" t="s">
        <v>1023</v>
      </c>
      <c r="H799" s="1" t="s">
        <v>1023</v>
      </c>
      <c r="I799" s="1" t="s">
        <v>1003</v>
      </c>
      <c r="J799" s="1" t="s">
        <v>1023</v>
      </c>
      <c r="K799" s="1">
        <v>798.0</v>
      </c>
      <c r="L799" s="1" t="str">
        <f t="shared" si="1"/>
        <v>Jimmy Holiday</v>
      </c>
      <c r="M799" s="124" t="str">
        <f>IFERROR(VLOOKUP(E799,RISK!A:B,2,FALSE()),"")</f>
        <v/>
      </c>
      <c r="N799" s="116" t="str">
        <f t="shared" si="2"/>
        <v>#N/A</v>
      </c>
      <c r="Q799" s="8"/>
      <c r="R799" s="8"/>
      <c r="S799" s="8"/>
      <c r="T799" s="8"/>
    </row>
    <row r="800" ht="14.25" customHeight="1">
      <c r="A800" s="1">
        <v>797.0</v>
      </c>
      <c r="B800" s="1">
        <v>15.0</v>
      </c>
      <c r="C800" s="1" t="s">
        <v>1851</v>
      </c>
      <c r="D800" s="1" t="s">
        <v>214</v>
      </c>
      <c r="E800" s="1" t="s">
        <v>1852</v>
      </c>
      <c r="F800" s="1">
        <v>9.0</v>
      </c>
      <c r="G800" s="1" t="s">
        <v>1023</v>
      </c>
      <c r="H800" s="1" t="s">
        <v>1023</v>
      </c>
      <c r="I800" s="1" t="s">
        <v>1007</v>
      </c>
      <c r="J800" s="1" t="s">
        <v>1023</v>
      </c>
      <c r="K800" s="1">
        <v>799.0</v>
      </c>
      <c r="L800" s="1" t="str">
        <f t="shared" si="1"/>
        <v>D'Ernest Johnson</v>
      </c>
      <c r="M800" s="124" t="str">
        <f>IFERROR(VLOOKUP(E800,RISK!A:B,2,FALSE()),"")</f>
        <v/>
      </c>
      <c r="N800" s="116" t="str">
        <f t="shared" si="2"/>
        <v>#N/A</v>
      </c>
      <c r="Q800" s="8"/>
      <c r="R800" s="8"/>
      <c r="S800" s="8"/>
      <c r="T800" s="8"/>
    </row>
    <row r="801" ht="14.25" customHeight="1">
      <c r="A801" s="1">
        <v>798.0</v>
      </c>
      <c r="B801" s="1">
        <v>15.0</v>
      </c>
      <c r="C801" s="1" t="s">
        <v>1853</v>
      </c>
      <c r="D801" s="1" t="s">
        <v>117</v>
      </c>
      <c r="E801" s="1" t="s">
        <v>1854</v>
      </c>
      <c r="F801" s="1">
        <v>10.0</v>
      </c>
      <c r="G801" s="1" t="s">
        <v>1023</v>
      </c>
      <c r="H801" s="1" t="s">
        <v>1023</v>
      </c>
      <c r="I801" s="1" t="s">
        <v>1004</v>
      </c>
      <c r="J801" s="1" t="s">
        <v>1023</v>
      </c>
      <c r="K801" s="1">
        <v>800.0</v>
      </c>
      <c r="L801" s="1" t="str">
        <f t="shared" si="1"/>
        <v>Samori Toure</v>
      </c>
      <c r="M801" s="124" t="str">
        <f>IFERROR(VLOOKUP(E801,RISK!A:B,2,FALSE()),"")</f>
        <v/>
      </c>
      <c r="N801" s="116" t="str">
        <f t="shared" si="2"/>
        <v>#N/A</v>
      </c>
      <c r="Q801" s="8"/>
      <c r="R801" s="8"/>
      <c r="S801" s="8"/>
      <c r="T801" s="8"/>
    </row>
    <row r="802" ht="14.25" customHeight="1">
      <c r="A802" s="1">
        <v>799.0</v>
      </c>
      <c r="B802" s="1">
        <v>15.0</v>
      </c>
      <c r="C802" s="1" t="s">
        <v>1855</v>
      </c>
      <c r="D802" s="1" t="s">
        <v>18</v>
      </c>
      <c r="E802" s="1" t="s">
        <v>1856</v>
      </c>
      <c r="F802" s="1">
        <v>7.0</v>
      </c>
      <c r="G802" s="1" t="s">
        <v>1023</v>
      </c>
      <c r="H802" s="1" t="s">
        <v>1023</v>
      </c>
      <c r="I802" s="1" t="s">
        <v>1004</v>
      </c>
      <c r="J802" s="1" t="s">
        <v>1023</v>
      </c>
      <c r="K802" s="1">
        <v>801.0</v>
      </c>
      <c r="L802" s="1" t="str">
        <f t="shared" si="1"/>
        <v>Trent Sherfield Sr.</v>
      </c>
      <c r="M802" s="124" t="str">
        <f>IFERROR(VLOOKUP(E802,RISK!A:B,2,FALSE()),"")</f>
        <v/>
      </c>
      <c r="N802" s="116" t="str">
        <f t="shared" si="2"/>
        <v>#N/A</v>
      </c>
      <c r="Q802" s="8"/>
      <c r="R802" s="8"/>
      <c r="S802" s="8"/>
      <c r="T802" s="8"/>
    </row>
    <row r="803" ht="14.25" customHeight="1">
      <c r="A803" s="1">
        <v>800.0</v>
      </c>
      <c r="B803" s="1">
        <v>15.0</v>
      </c>
      <c r="C803" s="1" t="s">
        <v>1857</v>
      </c>
      <c r="D803" s="1" t="s">
        <v>193</v>
      </c>
      <c r="E803" s="1" t="s">
        <v>1858</v>
      </c>
      <c r="F803" s="1">
        <v>13.0</v>
      </c>
      <c r="G803" s="1" t="s">
        <v>1023</v>
      </c>
      <c r="H803" s="1" t="s">
        <v>1023</v>
      </c>
      <c r="I803" s="1" t="s">
        <v>1004</v>
      </c>
      <c r="J803" s="1" t="s">
        <v>1023</v>
      </c>
      <c r="K803" s="1">
        <v>802.0</v>
      </c>
      <c r="L803" s="1" t="str">
        <f t="shared" si="1"/>
        <v>Eli Pancol</v>
      </c>
      <c r="M803" s="124" t="str">
        <f>IFERROR(VLOOKUP(E803,RISK!A:B,2,FALSE()),"")</f>
        <v/>
      </c>
      <c r="N803" s="116" t="str">
        <f t="shared" si="2"/>
        <v>#N/A</v>
      </c>
      <c r="Q803" s="8"/>
      <c r="R803" s="8"/>
      <c r="S803" s="8"/>
      <c r="T803" s="8"/>
    </row>
    <row r="804" ht="14.25" customHeight="1">
      <c r="A804" s="1">
        <v>801.0</v>
      </c>
      <c r="B804" s="1">
        <v>15.0</v>
      </c>
      <c r="C804" s="1" t="s">
        <v>1859</v>
      </c>
      <c r="D804" s="1" t="s">
        <v>205</v>
      </c>
      <c r="E804" s="1" t="s">
        <v>1860</v>
      </c>
      <c r="F804" s="1">
        <v>8.0</v>
      </c>
      <c r="G804" s="1" t="s">
        <v>1023</v>
      </c>
      <c r="H804" s="1" t="s">
        <v>1023</v>
      </c>
      <c r="I804" s="1" t="s">
        <v>1007</v>
      </c>
      <c r="J804" s="1">
        <v>-450.0</v>
      </c>
      <c r="K804" s="1">
        <v>803.0</v>
      </c>
      <c r="L804" s="1" t="str">
        <f t="shared" si="1"/>
        <v>Zay Jones</v>
      </c>
      <c r="M804" s="124" t="str">
        <f>IFERROR(VLOOKUP(E804,RISK!A:B,2,FALSE()),"")</f>
        <v/>
      </c>
      <c r="N804" s="116" t="str">
        <f t="shared" si="2"/>
        <v>#N/A</v>
      </c>
      <c r="Q804" s="8"/>
      <c r="R804" s="8"/>
      <c r="S804" s="8"/>
      <c r="T804" s="8"/>
    </row>
    <row r="805" ht="14.25" customHeight="1">
      <c r="A805" s="1">
        <v>802.0</v>
      </c>
      <c r="B805" s="1">
        <v>15.0</v>
      </c>
      <c r="C805" s="1" t="s">
        <v>1861</v>
      </c>
      <c r="D805" s="1" t="s">
        <v>202</v>
      </c>
      <c r="E805" s="1" t="s">
        <v>1862</v>
      </c>
      <c r="F805" s="1">
        <v>11.0</v>
      </c>
      <c r="G805" s="1" t="s">
        <v>1023</v>
      </c>
      <c r="H805" s="1" t="s">
        <v>1023</v>
      </c>
      <c r="I805" s="1" t="s">
        <v>1007</v>
      </c>
      <c r="J805" s="1" t="s">
        <v>1023</v>
      </c>
      <c r="K805" s="1">
        <v>804.0</v>
      </c>
      <c r="L805" s="1" t="str">
        <f t="shared" si="1"/>
        <v>Emmanuel Henderson Jr.</v>
      </c>
      <c r="M805" s="124" t="str">
        <f>IFERROR(VLOOKUP(E805,RISK!A:B,2,FALSE()),"")</f>
        <v/>
      </c>
      <c r="N805" s="116" t="str">
        <f t="shared" si="2"/>
        <v>#N/A</v>
      </c>
      <c r="Q805" s="8"/>
      <c r="R805" s="8"/>
      <c r="S805" s="8"/>
      <c r="T805" s="8"/>
    </row>
    <row r="806" ht="14.25" customHeight="1">
      <c r="A806" s="1">
        <v>803.0</v>
      </c>
      <c r="B806" s="1">
        <v>15.0</v>
      </c>
      <c r="C806" s="1" t="s">
        <v>1863</v>
      </c>
      <c r="D806" s="1" t="s">
        <v>94</v>
      </c>
      <c r="E806" s="1" t="s">
        <v>1864</v>
      </c>
      <c r="F806" s="1">
        <v>11.0</v>
      </c>
      <c r="G806" s="1" t="s">
        <v>1023</v>
      </c>
      <c r="H806" s="1" t="s">
        <v>1023</v>
      </c>
      <c r="I806" s="1" t="s">
        <v>1003</v>
      </c>
      <c r="J806" s="1" t="s">
        <v>1023</v>
      </c>
      <c r="K806" s="1">
        <v>805.0</v>
      </c>
      <c r="L806" s="1" t="str">
        <f t="shared" si="1"/>
        <v>Tejhaun Palmer</v>
      </c>
      <c r="M806" s="124" t="str">
        <f>IFERROR(VLOOKUP(E806,RISK!A:B,2,FALSE()),"")</f>
        <v/>
      </c>
      <c r="N806" s="116" t="str">
        <f t="shared" si="2"/>
        <v>#N/A</v>
      </c>
      <c r="Q806" s="8"/>
      <c r="R806" s="8"/>
      <c r="S806" s="8"/>
      <c r="T806" s="8"/>
    </row>
    <row r="807" ht="14.25" customHeight="1">
      <c r="A807" s="1">
        <v>804.0</v>
      </c>
      <c r="B807" s="1">
        <v>15.0</v>
      </c>
      <c r="C807" s="1" t="s">
        <v>1865</v>
      </c>
      <c r="D807" s="1" t="s">
        <v>134</v>
      </c>
      <c r="E807" s="1" t="s">
        <v>1866</v>
      </c>
      <c r="F807" s="1">
        <v>8.0</v>
      </c>
      <c r="G807" s="1" t="s">
        <v>1023</v>
      </c>
      <c r="H807" s="1" t="s">
        <v>1023</v>
      </c>
      <c r="I807" s="1" t="s">
        <v>1004</v>
      </c>
      <c r="J807" s="1" t="s">
        <v>1023</v>
      </c>
      <c r="K807" s="1">
        <v>806.0</v>
      </c>
      <c r="L807" s="1" t="str">
        <f t="shared" si="1"/>
        <v>Xavier Gipson</v>
      </c>
      <c r="M807" s="124" t="str">
        <f>IFERROR(VLOOKUP(E807,RISK!A:B,2,FALSE()),"")</f>
        <v/>
      </c>
      <c r="N807" s="116" t="str">
        <f t="shared" si="2"/>
        <v>#N/A</v>
      </c>
      <c r="Q807" s="8"/>
      <c r="R807" s="8"/>
      <c r="S807" s="8"/>
      <c r="T807" s="8"/>
    </row>
    <row r="808" ht="14.25" customHeight="1">
      <c r="A808" s="1">
        <v>805.0</v>
      </c>
      <c r="B808" s="1">
        <v>15.0</v>
      </c>
      <c r="C808" s="1" t="s">
        <v>1867</v>
      </c>
      <c r="D808" s="1" t="s">
        <v>199</v>
      </c>
      <c r="E808" s="1" t="s">
        <v>1868</v>
      </c>
      <c r="F808" s="1">
        <v>11.0</v>
      </c>
      <c r="G808" s="1" t="s">
        <v>1023</v>
      </c>
      <c r="H808" s="1" t="s">
        <v>1023</v>
      </c>
      <c r="I808" s="1" t="s">
        <v>1002</v>
      </c>
      <c r="J808" s="1" t="s">
        <v>1023</v>
      </c>
      <c r="K808" s="1">
        <v>807.0</v>
      </c>
      <c r="L808" s="1" t="str">
        <f t="shared" si="1"/>
        <v>Isaiah Neyor</v>
      </c>
      <c r="M808" s="124" t="str">
        <f>IFERROR(VLOOKUP(E808,RISK!A:B,2,FALSE()),"")</f>
        <v/>
      </c>
      <c r="N808" s="116" t="str">
        <f t="shared" si="2"/>
        <v>#N/A</v>
      </c>
      <c r="Q808" s="8"/>
      <c r="R808" s="8"/>
      <c r="S808" s="8"/>
      <c r="T808" s="8"/>
    </row>
    <row r="809" ht="14.25" customHeight="1">
      <c r="A809" s="1">
        <v>806.0</v>
      </c>
      <c r="B809" s="1">
        <v>15.0</v>
      </c>
      <c r="C809" s="1" t="s">
        <v>1869</v>
      </c>
      <c r="D809" s="1" t="s">
        <v>155</v>
      </c>
      <c r="E809" s="1" t="s">
        <v>1870</v>
      </c>
      <c r="F809" s="1">
        <v>5.0</v>
      </c>
      <c r="G809" s="1" t="s">
        <v>1023</v>
      </c>
      <c r="H809" s="1" t="s">
        <v>1023</v>
      </c>
      <c r="I809" s="1" t="s">
        <v>1003</v>
      </c>
      <c r="J809" s="1" t="s">
        <v>1023</v>
      </c>
      <c r="K809" s="1">
        <v>808.0</v>
      </c>
      <c r="L809" s="1" t="str">
        <f t="shared" si="1"/>
        <v>Andrew Armstrong</v>
      </c>
      <c r="M809" s="124" t="str">
        <f>IFERROR(VLOOKUP(E809,RISK!A:B,2,FALSE()),"")</f>
        <v/>
      </c>
      <c r="N809" s="116" t="str">
        <f t="shared" si="2"/>
        <v>#N/A</v>
      </c>
      <c r="Q809" s="8"/>
      <c r="R809" s="8"/>
      <c r="S809" s="8"/>
      <c r="T809" s="8"/>
    </row>
    <row r="810" ht="14.25" customHeight="1">
      <c r="A810" s="1">
        <v>807.0</v>
      </c>
      <c r="B810" s="1">
        <v>15.0</v>
      </c>
      <c r="C810" s="1" t="s">
        <v>1871</v>
      </c>
      <c r="D810" s="1" t="s">
        <v>193</v>
      </c>
      <c r="E810" s="1" t="s">
        <v>1872</v>
      </c>
      <c r="F810" s="1">
        <v>13.0</v>
      </c>
      <c r="G810" s="1" t="s">
        <v>1023</v>
      </c>
      <c r="H810" s="1" t="s">
        <v>1023</v>
      </c>
      <c r="I810" s="1" t="s">
        <v>1004</v>
      </c>
      <c r="J810" s="1" t="s">
        <v>1023</v>
      </c>
      <c r="K810" s="1">
        <v>809.0</v>
      </c>
      <c r="L810" s="1" t="str">
        <f t="shared" si="1"/>
        <v>Raylen Sharpe</v>
      </c>
      <c r="M810" s="124" t="str">
        <f>IFERROR(VLOOKUP(E810,RISK!A:B,2,FALSE()),"")</f>
        <v/>
      </c>
      <c r="N810" s="116" t="str">
        <f t="shared" si="2"/>
        <v>#N/A</v>
      </c>
      <c r="Q810" s="8"/>
      <c r="R810" s="8"/>
      <c r="S810" s="8"/>
      <c r="T810" s="8"/>
    </row>
    <row r="811" ht="14.25" customHeight="1">
      <c r="A811" s="1">
        <v>808.0</v>
      </c>
      <c r="B811" s="1">
        <v>15.0</v>
      </c>
      <c r="C811" s="1" t="s">
        <v>1873</v>
      </c>
      <c r="D811" s="1" t="s">
        <v>1383</v>
      </c>
      <c r="E811" s="1" t="s">
        <v>1874</v>
      </c>
      <c r="F811" s="1" t="s">
        <v>1023</v>
      </c>
      <c r="G811" s="1" t="s">
        <v>1023</v>
      </c>
      <c r="H811" s="1" t="s">
        <v>1023</v>
      </c>
      <c r="I811" s="1" t="s">
        <v>1023</v>
      </c>
      <c r="J811" s="1" t="s">
        <v>1023</v>
      </c>
      <c r="K811" s="1">
        <v>810.0</v>
      </c>
      <c r="L811" s="1" t="str">
        <f t="shared" si="1"/>
        <v>Sederrick Cunningham</v>
      </c>
      <c r="M811" s="124" t="str">
        <f>IFERROR(VLOOKUP(E811,RISK!A:B,2,FALSE()),"")</f>
        <v/>
      </c>
      <c r="N811" s="116" t="str">
        <f t="shared" si="2"/>
        <v>#N/A</v>
      </c>
      <c r="Q811" s="8"/>
      <c r="R811" s="8"/>
      <c r="S811" s="8"/>
      <c r="T811" s="8"/>
    </row>
    <row r="812" ht="14.25" customHeight="1">
      <c r="A812" s="1">
        <v>809.0</v>
      </c>
      <c r="B812" s="1">
        <v>15.0</v>
      </c>
      <c r="C812" s="1" t="s">
        <v>1875</v>
      </c>
      <c r="D812" s="1" t="s">
        <v>155</v>
      </c>
      <c r="E812" s="1" t="s">
        <v>1876</v>
      </c>
      <c r="F812" s="1">
        <v>5.0</v>
      </c>
      <c r="G812" s="1" t="s">
        <v>1023</v>
      </c>
      <c r="H812" s="1" t="s">
        <v>1023</v>
      </c>
      <c r="I812" s="1" t="s">
        <v>1003</v>
      </c>
      <c r="J812" s="1" t="s">
        <v>1023</v>
      </c>
      <c r="K812" s="1">
        <v>811.0</v>
      </c>
      <c r="L812" s="1" t="str">
        <f t="shared" si="1"/>
        <v>Jacob De Jesus</v>
      </c>
      <c r="M812" s="124" t="str">
        <f>IFERROR(VLOOKUP(E812,RISK!A:B,2,FALSE()),"")</f>
        <v/>
      </c>
      <c r="N812" s="116" t="str">
        <f t="shared" si="2"/>
        <v>#N/A</v>
      </c>
      <c r="Q812" s="8"/>
      <c r="R812" s="8"/>
      <c r="S812" s="8"/>
      <c r="T812" s="8"/>
    </row>
    <row r="813" ht="14.25" customHeight="1">
      <c r="A813" s="1">
        <v>810.0</v>
      </c>
      <c r="B813" s="1">
        <v>15.0</v>
      </c>
      <c r="C813" s="1" t="s">
        <v>1877</v>
      </c>
      <c r="D813" s="1" t="s">
        <v>193</v>
      </c>
      <c r="E813" s="1" t="s">
        <v>1878</v>
      </c>
      <c r="F813" s="1">
        <v>13.0</v>
      </c>
      <c r="G813" s="1" t="s">
        <v>1023</v>
      </c>
      <c r="H813" s="1" t="s">
        <v>1023</v>
      </c>
      <c r="I813" s="1" t="s">
        <v>1004</v>
      </c>
      <c r="J813" s="1" t="s">
        <v>1023</v>
      </c>
      <c r="K813" s="1">
        <v>812.0</v>
      </c>
      <c r="L813" s="1" t="str">
        <f t="shared" si="1"/>
        <v>Sahmir Hagans</v>
      </c>
      <c r="M813" s="124" t="str">
        <f>IFERROR(VLOOKUP(E813,RISK!A:B,2,FALSE()),"")</f>
        <v/>
      </c>
      <c r="N813" s="116" t="str">
        <f t="shared" si="2"/>
        <v>#N/A</v>
      </c>
      <c r="Q813" s="8"/>
      <c r="R813" s="8"/>
      <c r="S813" s="8"/>
      <c r="T813" s="8"/>
    </row>
    <row r="814" ht="14.25" customHeight="1">
      <c r="A814" s="1">
        <v>811.0</v>
      </c>
      <c r="B814" s="1">
        <v>15.0</v>
      </c>
      <c r="C814" s="1" t="s">
        <v>1879</v>
      </c>
      <c r="D814" s="1" t="s">
        <v>159</v>
      </c>
      <c r="E814" s="1" t="s">
        <v>1880</v>
      </c>
      <c r="F814" s="1">
        <v>10.0</v>
      </c>
      <c r="G814" s="1" t="s">
        <v>1023</v>
      </c>
      <c r="H814" s="1" t="s">
        <v>1023</v>
      </c>
      <c r="I814" s="1" t="s">
        <v>1007</v>
      </c>
      <c r="J814" s="1" t="s">
        <v>1023</v>
      </c>
      <c r="K814" s="1">
        <v>813.0</v>
      </c>
      <c r="L814" s="1" t="str">
        <f t="shared" si="1"/>
        <v>Omari Kelly</v>
      </c>
      <c r="M814" s="124" t="str">
        <f>IFERROR(VLOOKUP(E814,RISK!A:B,2,FALSE()),"")</f>
        <v/>
      </c>
      <c r="N814" s="116" t="str">
        <f t="shared" si="2"/>
        <v>#N/A</v>
      </c>
      <c r="Q814" s="8"/>
      <c r="R814" s="8"/>
      <c r="S814" s="8"/>
      <c r="T814" s="8"/>
    </row>
    <row r="815" ht="14.25" customHeight="1">
      <c r="A815" s="1">
        <v>812.0</v>
      </c>
      <c r="B815" s="1">
        <v>15.0</v>
      </c>
      <c r="C815" s="1" t="s">
        <v>1881</v>
      </c>
      <c r="D815" s="1" t="s">
        <v>140</v>
      </c>
      <c r="E815" s="1" t="s">
        <v>1882</v>
      </c>
      <c r="F815" s="1">
        <v>8.0</v>
      </c>
      <c r="G815" s="1" t="s">
        <v>1023</v>
      </c>
      <c r="H815" s="1" t="s">
        <v>1023</v>
      </c>
      <c r="I815" s="1" t="s">
        <v>1003</v>
      </c>
      <c r="J815" s="1" t="s">
        <v>1023</v>
      </c>
      <c r="K815" s="1">
        <v>814.0</v>
      </c>
      <c r="L815" s="1" t="str">
        <f t="shared" si="1"/>
        <v>Malik Turner</v>
      </c>
      <c r="M815" s="124" t="str">
        <f>IFERROR(VLOOKUP(E815,RISK!A:B,2,FALSE()),"")</f>
        <v/>
      </c>
      <c r="N815" s="116" t="str">
        <f t="shared" si="2"/>
        <v>#N/A</v>
      </c>
      <c r="Q815" s="8"/>
      <c r="R815" s="8"/>
      <c r="S815" s="8"/>
      <c r="T815" s="8"/>
    </row>
    <row r="816" ht="14.25" customHeight="1">
      <c r="A816" s="1">
        <v>813.0</v>
      </c>
      <c r="B816" s="1">
        <v>15.0</v>
      </c>
      <c r="C816" s="1" t="s">
        <v>1883</v>
      </c>
      <c r="D816" s="1" t="s">
        <v>150</v>
      </c>
      <c r="E816" s="1" t="s">
        <v>1884</v>
      </c>
      <c r="F816" s="1">
        <v>14.0</v>
      </c>
      <c r="G816" s="1" t="s">
        <v>1023</v>
      </c>
      <c r="H816" s="1" t="s">
        <v>1023</v>
      </c>
      <c r="I816" s="1" t="s">
        <v>1003</v>
      </c>
      <c r="J816" s="1" t="s">
        <v>1023</v>
      </c>
      <c r="K816" s="1">
        <v>815.0</v>
      </c>
      <c r="L816" s="1" t="str">
        <f t="shared" si="1"/>
        <v>Anthony Smith</v>
      </c>
      <c r="M816" s="124" t="str">
        <f>IFERROR(VLOOKUP(E816,RISK!A:B,2,FALSE()),"")</f>
        <v/>
      </c>
      <c r="N816" s="116" t="str">
        <f t="shared" si="2"/>
        <v>#N/A</v>
      </c>
      <c r="Q816" s="8"/>
      <c r="R816" s="8"/>
      <c r="S816" s="8"/>
      <c r="T816" s="8"/>
    </row>
    <row r="817" ht="14.25" customHeight="1">
      <c r="A817" s="1">
        <v>814.0</v>
      </c>
      <c r="B817" s="1">
        <v>15.0</v>
      </c>
      <c r="C817" s="1" t="s">
        <v>1885</v>
      </c>
      <c r="D817" s="1" t="s">
        <v>176</v>
      </c>
      <c r="E817" s="1" t="s">
        <v>1886</v>
      </c>
      <c r="F817" s="1">
        <v>11.0</v>
      </c>
      <c r="G817" s="1" t="s">
        <v>1023</v>
      </c>
      <c r="H817" s="1" t="s">
        <v>1023</v>
      </c>
      <c r="I817" s="1" t="s">
        <v>1006</v>
      </c>
      <c r="J817" s="1" t="s">
        <v>1023</v>
      </c>
      <c r="K817" s="1">
        <v>816.0</v>
      </c>
      <c r="L817" s="1" t="str">
        <f t="shared" si="1"/>
        <v>Brennan Presley</v>
      </c>
      <c r="M817" s="124" t="str">
        <f>IFERROR(VLOOKUP(E817,RISK!A:B,2,FALSE()),"")</f>
        <v/>
      </c>
      <c r="N817" s="116" t="str">
        <f t="shared" si="2"/>
        <v>#N/A</v>
      </c>
      <c r="Q817" s="8"/>
      <c r="R817" s="8"/>
      <c r="S817" s="8"/>
      <c r="T817" s="8"/>
    </row>
    <row r="818" ht="14.25" customHeight="1">
      <c r="A818" s="1">
        <v>815.0</v>
      </c>
      <c r="B818" s="1">
        <v>15.0</v>
      </c>
      <c r="C818" s="1" t="s">
        <v>1887</v>
      </c>
      <c r="D818" s="1" t="s">
        <v>199</v>
      </c>
      <c r="E818" s="1" t="s">
        <v>1888</v>
      </c>
      <c r="F818" s="1">
        <v>11.0</v>
      </c>
      <c r="G818" s="1" t="s">
        <v>1023</v>
      </c>
      <c r="H818" s="1" t="s">
        <v>1023</v>
      </c>
      <c r="I818" s="1" t="s">
        <v>1002</v>
      </c>
      <c r="J818" s="1" t="s">
        <v>1023</v>
      </c>
      <c r="K818" s="1">
        <v>817.0</v>
      </c>
      <c r="L818" s="1" t="str">
        <f t="shared" si="1"/>
        <v>Kaden Prather</v>
      </c>
      <c r="M818" s="124" t="str">
        <f>IFERROR(VLOOKUP(E818,RISK!A:B,2,FALSE()),"")</f>
        <v/>
      </c>
      <c r="N818" s="116" t="str">
        <f t="shared" si="2"/>
        <v>#N/A</v>
      </c>
      <c r="Q818" s="8"/>
      <c r="R818" s="8"/>
      <c r="S818" s="8"/>
      <c r="T818" s="8"/>
    </row>
    <row r="819" ht="14.25" customHeight="1">
      <c r="A819" s="1">
        <v>816.0</v>
      </c>
      <c r="B819" s="1">
        <v>15.0</v>
      </c>
      <c r="C819" s="1" t="s">
        <v>1889</v>
      </c>
      <c r="D819" s="1" t="s">
        <v>155</v>
      </c>
      <c r="E819" s="1" t="s">
        <v>1890</v>
      </c>
      <c r="F819" s="1">
        <v>5.0</v>
      </c>
      <c r="G819" s="1" t="s">
        <v>1023</v>
      </c>
      <c r="H819" s="1" t="s">
        <v>1023</v>
      </c>
      <c r="I819" s="1" t="s">
        <v>1003</v>
      </c>
      <c r="J819" s="1" t="s">
        <v>1023</v>
      </c>
      <c r="K819" s="1">
        <v>818.0</v>
      </c>
      <c r="L819" s="1" t="str">
        <f t="shared" si="1"/>
        <v>Omari Evans</v>
      </c>
      <c r="M819" s="124" t="str">
        <f>IFERROR(VLOOKUP(E819,RISK!A:B,2,FALSE()),"")</f>
        <v/>
      </c>
      <c r="N819" s="116" t="str">
        <f t="shared" si="2"/>
        <v>#N/A</v>
      </c>
      <c r="Q819" s="8"/>
      <c r="R819" s="8"/>
      <c r="S819" s="8"/>
      <c r="T819" s="8"/>
    </row>
    <row r="820" ht="14.25" customHeight="1">
      <c r="A820" s="1">
        <v>817.0</v>
      </c>
      <c r="B820" s="1">
        <v>15.0</v>
      </c>
      <c r="C820" s="1" t="s">
        <v>1891</v>
      </c>
      <c r="D820" s="1" t="s">
        <v>176</v>
      </c>
      <c r="E820" s="1" t="s">
        <v>1892</v>
      </c>
      <c r="F820" s="1">
        <v>11.0</v>
      </c>
      <c r="G820" s="1" t="s">
        <v>1023</v>
      </c>
      <c r="H820" s="1" t="s">
        <v>1023</v>
      </c>
      <c r="I820" s="1" t="s">
        <v>1006</v>
      </c>
      <c r="J820" s="1" t="s">
        <v>1023</v>
      </c>
      <c r="K820" s="1">
        <v>819.0</v>
      </c>
      <c r="L820" s="1" t="str">
        <f t="shared" si="1"/>
        <v>Tru Edwards</v>
      </c>
      <c r="M820" s="8"/>
      <c r="N820" s="116" t="str">
        <f t="shared" si="2"/>
        <v>#N/A</v>
      </c>
      <c r="Q820" s="8"/>
      <c r="R820" s="8"/>
      <c r="S820" s="8"/>
      <c r="T820" s="8"/>
    </row>
    <row r="821" ht="14.25" customHeight="1">
      <c r="A821" s="1">
        <v>818.0</v>
      </c>
      <c r="B821" s="1">
        <v>15.0</v>
      </c>
      <c r="C821" s="1" t="s">
        <v>1893</v>
      </c>
      <c r="D821" s="1" t="s">
        <v>159</v>
      </c>
      <c r="E821" s="1" t="s">
        <v>1894</v>
      </c>
      <c r="F821" s="1">
        <v>10.0</v>
      </c>
      <c r="G821" s="1" t="s">
        <v>1023</v>
      </c>
      <c r="H821" s="1" t="s">
        <v>1023</v>
      </c>
      <c r="I821" s="1" t="s">
        <v>1007</v>
      </c>
      <c r="J821" s="1" t="s">
        <v>1023</v>
      </c>
      <c r="K821" s="1">
        <v>820.0</v>
      </c>
      <c r="L821" s="1" t="str">
        <f t="shared" si="1"/>
        <v>JP Richardson</v>
      </c>
      <c r="M821" s="8"/>
      <c r="N821" s="116" t="str">
        <f t="shared" si="2"/>
        <v>#N/A</v>
      </c>
      <c r="Q821" s="8"/>
      <c r="R821" s="8"/>
      <c r="S821" s="8"/>
      <c r="T821" s="8"/>
    </row>
    <row r="822" ht="14.25" customHeight="1">
      <c r="A822" s="1">
        <v>819.0</v>
      </c>
      <c r="B822" s="1">
        <v>15.0</v>
      </c>
      <c r="C822" s="1" t="s">
        <v>1895</v>
      </c>
      <c r="D822" s="1" t="s">
        <v>155</v>
      </c>
      <c r="E822" s="1" t="s">
        <v>1896</v>
      </c>
      <c r="F822" s="1">
        <v>5.0</v>
      </c>
      <c r="G822" s="1" t="s">
        <v>1023</v>
      </c>
      <c r="H822" s="1" t="s">
        <v>1023</v>
      </c>
      <c r="I822" s="1" t="s">
        <v>1003</v>
      </c>
      <c r="J822" s="1" t="s">
        <v>1023</v>
      </c>
      <c r="K822" s="1">
        <v>821.0</v>
      </c>
      <c r="L822" s="1" t="str">
        <f t="shared" si="1"/>
        <v>Xavier Loyd</v>
      </c>
      <c r="M822" s="8"/>
      <c r="N822" s="116" t="str">
        <f t="shared" si="2"/>
        <v>#N/A</v>
      </c>
      <c r="Q822" s="8"/>
      <c r="R822" s="8"/>
      <c r="S822" s="8"/>
      <c r="T822" s="8"/>
    </row>
    <row r="823" ht="14.25" customHeight="1">
      <c r="A823" s="1">
        <v>820.0</v>
      </c>
      <c r="B823" s="1">
        <v>15.0</v>
      </c>
      <c r="C823" s="1" t="s">
        <v>1045</v>
      </c>
      <c r="D823" s="1" t="s">
        <v>205</v>
      </c>
      <c r="E823" s="1" t="s">
        <v>1897</v>
      </c>
      <c r="F823" s="1">
        <v>8.0</v>
      </c>
      <c r="G823" s="1" t="s">
        <v>1023</v>
      </c>
      <c r="H823" s="1" t="s">
        <v>1023</v>
      </c>
      <c r="I823" s="1" t="s">
        <v>1007</v>
      </c>
      <c r="J823" s="1" t="s">
        <v>1023</v>
      </c>
      <c r="K823" s="1">
        <v>822.0</v>
      </c>
      <c r="L823" s="1" t="str">
        <f t="shared" si="1"/>
        <v>Lewis Bond</v>
      </c>
      <c r="M823" s="8"/>
      <c r="N823" s="116" t="str">
        <f t="shared" si="2"/>
        <v>#N/A</v>
      </c>
      <c r="Q823" s="8"/>
      <c r="R823" s="8"/>
      <c r="S823" s="8"/>
      <c r="T823" s="8"/>
    </row>
    <row r="824" ht="14.25" customHeight="1">
      <c r="A824" s="1">
        <v>821.0</v>
      </c>
      <c r="B824" s="1">
        <v>15.0</v>
      </c>
      <c r="C824" s="1" t="s">
        <v>1898</v>
      </c>
      <c r="D824" s="1" t="s">
        <v>134</v>
      </c>
      <c r="E824" s="1" t="s">
        <v>1899</v>
      </c>
      <c r="F824" s="1">
        <v>8.0</v>
      </c>
      <c r="G824" s="1" t="s">
        <v>1023</v>
      </c>
      <c r="H824" s="1" t="s">
        <v>1023</v>
      </c>
      <c r="I824" s="1" t="s">
        <v>1004</v>
      </c>
      <c r="J824" s="1" t="s">
        <v>1023</v>
      </c>
      <c r="K824" s="1">
        <v>823.0</v>
      </c>
      <c r="L824" s="1" t="str">
        <f t="shared" si="1"/>
        <v>Dalen Cambre</v>
      </c>
      <c r="M824" s="8"/>
      <c r="N824" s="116" t="str">
        <f t="shared" si="2"/>
        <v>#N/A</v>
      </c>
      <c r="Q824" s="8"/>
      <c r="R824" s="8"/>
      <c r="S824" s="8"/>
      <c r="T824" s="8"/>
    </row>
    <row r="825" ht="14.25" customHeight="1">
      <c r="A825" s="1">
        <v>822.0</v>
      </c>
      <c r="B825" s="1">
        <v>15.0</v>
      </c>
      <c r="C825" s="1" t="s">
        <v>1900</v>
      </c>
      <c r="D825" s="1" t="s">
        <v>164</v>
      </c>
      <c r="E825" s="1" t="s">
        <v>1901</v>
      </c>
      <c r="F825" s="1">
        <v>7.0</v>
      </c>
      <c r="G825" s="1" t="s">
        <v>1023</v>
      </c>
      <c r="H825" s="1" t="s">
        <v>1023</v>
      </c>
      <c r="I825" s="1" t="s">
        <v>1003</v>
      </c>
      <c r="J825" s="1" t="s">
        <v>1023</v>
      </c>
      <c r="K825" s="1">
        <v>824.0</v>
      </c>
      <c r="L825" s="1" t="str">
        <f t="shared" si="1"/>
        <v>Devonte Ross</v>
      </c>
      <c r="M825" s="8"/>
      <c r="N825" s="116" t="str">
        <f t="shared" si="2"/>
        <v>#N/A</v>
      </c>
      <c r="Q825" s="8"/>
      <c r="R825" s="8"/>
      <c r="S825" s="8"/>
      <c r="T825" s="8"/>
    </row>
    <row r="826" ht="14.25" customHeight="1">
      <c r="A826" s="1">
        <v>823.0</v>
      </c>
      <c r="B826" s="1">
        <v>15.0</v>
      </c>
      <c r="C826" s="1" t="s">
        <v>1902</v>
      </c>
      <c r="D826" s="1" t="s">
        <v>106</v>
      </c>
      <c r="E826" s="1" t="s">
        <v>1903</v>
      </c>
      <c r="F826" s="1">
        <v>7.0</v>
      </c>
      <c r="G826" s="1" t="s">
        <v>1023</v>
      </c>
      <c r="H826" s="1" t="s">
        <v>1023</v>
      </c>
      <c r="I826" s="1" t="s">
        <v>1003</v>
      </c>
      <c r="J826" s="1" t="s">
        <v>1023</v>
      </c>
      <c r="M826" s="8"/>
      <c r="N826" s="116" t="str">
        <f t="shared" si="2"/>
        <v>#N/A</v>
      </c>
      <c r="Q826" s="8"/>
      <c r="R826" s="8"/>
      <c r="S826" s="8"/>
      <c r="T826" s="8"/>
    </row>
    <row r="827" ht="14.25" customHeight="1">
      <c r="A827" s="1">
        <v>824.0</v>
      </c>
      <c r="B827" s="1">
        <v>15.0</v>
      </c>
      <c r="C827" s="1" t="s">
        <v>1904</v>
      </c>
      <c r="D827" s="1" t="s">
        <v>127</v>
      </c>
      <c r="E827" s="1" t="s">
        <v>1905</v>
      </c>
      <c r="F827" s="1">
        <v>6.0</v>
      </c>
      <c r="G827" s="1" t="s">
        <v>1023</v>
      </c>
      <c r="H827" s="1" t="s">
        <v>1023</v>
      </c>
      <c r="I827" s="1" t="s">
        <v>1004</v>
      </c>
      <c r="J827" s="1" t="s">
        <v>1023</v>
      </c>
      <c r="M827" s="8"/>
      <c r="N827" s="116" t="str">
        <f t="shared" si="2"/>
        <v>#N/A</v>
      </c>
      <c r="Q827" s="8"/>
      <c r="R827" s="8"/>
      <c r="S827" s="8"/>
      <c r="T827" s="8"/>
    </row>
    <row r="828" ht="14.25" customHeight="1">
      <c r="A828" s="1">
        <v>825.0</v>
      </c>
      <c r="B828" s="1">
        <v>15.0</v>
      </c>
      <c r="C828" s="1" t="s">
        <v>1906</v>
      </c>
      <c r="D828" s="1" t="s">
        <v>199</v>
      </c>
      <c r="E828" s="1" t="s">
        <v>1907</v>
      </c>
      <c r="F828" s="1">
        <v>11.0</v>
      </c>
      <c r="G828" s="1" t="s">
        <v>1023</v>
      </c>
      <c r="H828" s="1" t="s">
        <v>1023</v>
      </c>
      <c r="I828" s="1" t="s">
        <v>1002</v>
      </c>
      <c r="J828" s="1" t="s">
        <v>1023</v>
      </c>
      <c r="M828" s="8"/>
      <c r="N828" s="116" t="str">
        <f t="shared" si="2"/>
        <v>#N/A</v>
      </c>
      <c r="Q828" s="8"/>
      <c r="R828" s="8"/>
      <c r="S828" s="8"/>
      <c r="T828" s="8"/>
    </row>
    <row r="829" ht="14.25" customHeight="1">
      <c r="A829" s="1">
        <v>826.0</v>
      </c>
      <c r="B829" s="1">
        <v>15.0</v>
      </c>
      <c r="C829" s="1" t="s">
        <v>1908</v>
      </c>
      <c r="D829" s="1" t="s">
        <v>220</v>
      </c>
      <c r="E829" s="1" t="s">
        <v>1909</v>
      </c>
      <c r="F829" s="1">
        <v>9.0</v>
      </c>
      <c r="G829" s="1" t="s">
        <v>1023</v>
      </c>
      <c r="H829" s="1" t="s">
        <v>1023</v>
      </c>
      <c r="I829" s="1" t="s">
        <v>1007</v>
      </c>
      <c r="J829" s="1" t="s">
        <v>1023</v>
      </c>
      <c r="M829" s="8"/>
      <c r="N829" s="116" t="str">
        <f t="shared" si="2"/>
        <v>#N/A</v>
      </c>
      <c r="Q829" s="8"/>
      <c r="R829" s="8"/>
      <c r="S829" s="8"/>
      <c r="T829" s="8"/>
    </row>
    <row r="830" ht="14.25" customHeight="1">
      <c r="A830" s="1">
        <v>827.0</v>
      </c>
      <c r="B830" s="1">
        <v>16.0</v>
      </c>
      <c r="C830" s="1" t="s">
        <v>1910</v>
      </c>
      <c r="D830" s="1" t="s">
        <v>164</v>
      </c>
      <c r="E830" s="1" t="s">
        <v>1911</v>
      </c>
      <c r="F830" s="1">
        <v>7.0</v>
      </c>
      <c r="G830" s="1" t="s">
        <v>1023</v>
      </c>
      <c r="H830" s="1" t="s">
        <v>1023</v>
      </c>
      <c r="I830" s="1" t="s">
        <v>1003</v>
      </c>
      <c r="J830" s="1" t="s">
        <v>1023</v>
      </c>
      <c r="M830" s="8"/>
      <c r="N830" s="116" t="str">
        <f t="shared" si="2"/>
        <v>#N/A</v>
      </c>
      <c r="Q830" s="8"/>
      <c r="R830" s="8"/>
      <c r="S830" s="8"/>
      <c r="T830" s="8"/>
    </row>
    <row r="831" ht="14.25" customHeight="1">
      <c r="A831" s="1">
        <v>828.0</v>
      </c>
      <c r="B831" s="1">
        <v>16.0</v>
      </c>
      <c r="C831" s="1" t="s">
        <v>1912</v>
      </c>
      <c r="D831" s="1" t="s">
        <v>210</v>
      </c>
      <c r="E831" s="1" t="s">
        <v>1913</v>
      </c>
      <c r="F831" s="1">
        <v>13.0</v>
      </c>
      <c r="G831" s="1" t="s">
        <v>1023</v>
      </c>
      <c r="H831" s="1" t="s">
        <v>1023</v>
      </c>
      <c r="I831" s="1" t="s">
        <v>1004</v>
      </c>
      <c r="J831" s="1" t="s">
        <v>1023</v>
      </c>
      <c r="M831" s="8"/>
      <c r="N831" s="116" t="str">
        <f t="shared" si="2"/>
        <v>#N/A</v>
      </c>
      <c r="Q831" s="8"/>
      <c r="R831" s="8"/>
      <c r="S831" s="8"/>
      <c r="T831" s="8"/>
    </row>
    <row r="832" ht="14.25" customHeight="1">
      <c r="A832" s="1">
        <v>829.0</v>
      </c>
      <c r="B832" s="1">
        <v>16.0</v>
      </c>
      <c r="C832" s="1" t="s">
        <v>1914</v>
      </c>
      <c r="D832" s="1" t="s">
        <v>106</v>
      </c>
      <c r="E832" s="1" t="s">
        <v>1915</v>
      </c>
      <c r="F832" s="1">
        <v>7.0</v>
      </c>
      <c r="G832" s="1" t="s">
        <v>1023</v>
      </c>
      <c r="H832" s="1" t="s">
        <v>1023</v>
      </c>
      <c r="I832" s="1" t="s">
        <v>1003</v>
      </c>
      <c r="J832" s="1" t="s">
        <v>1023</v>
      </c>
      <c r="M832" s="8"/>
      <c r="N832" s="116" t="str">
        <f t="shared" si="2"/>
        <v>#N/A</v>
      </c>
      <c r="Q832" s="8"/>
      <c r="R832" s="8"/>
      <c r="S832" s="8"/>
      <c r="T832" s="8"/>
    </row>
    <row r="833" ht="14.25" customHeight="1">
      <c r="A833" s="1">
        <v>830.0</v>
      </c>
      <c r="B833" s="1">
        <v>16.0</v>
      </c>
      <c r="C833" s="1" t="s">
        <v>1365</v>
      </c>
      <c r="D833" s="1" t="s">
        <v>127</v>
      </c>
      <c r="E833" s="1" t="s">
        <v>1916</v>
      </c>
      <c r="F833" s="1">
        <v>6.0</v>
      </c>
      <c r="G833" s="1" t="s">
        <v>1023</v>
      </c>
      <c r="H833" s="1" t="s">
        <v>1023</v>
      </c>
      <c r="I833" s="1" t="s">
        <v>1004</v>
      </c>
      <c r="J833" s="1" t="s">
        <v>1023</v>
      </c>
      <c r="M833" s="8"/>
      <c r="N833" s="116" t="str">
        <f t="shared" si="2"/>
        <v>#N/A</v>
      </c>
      <c r="Q833" s="8"/>
      <c r="R833" s="8"/>
      <c r="S833" s="8"/>
      <c r="T833" s="8"/>
    </row>
    <row r="834" ht="14.25" customHeight="1">
      <c r="A834" s="1">
        <v>831.0</v>
      </c>
      <c r="B834" s="1">
        <v>16.0</v>
      </c>
      <c r="C834" s="1" t="s">
        <v>1362</v>
      </c>
      <c r="D834" s="1" t="s">
        <v>214</v>
      </c>
      <c r="E834" s="1" t="s">
        <v>1917</v>
      </c>
      <c r="F834" s="1">
        <v>9.0</v>
      </c>
      <c r="G834" s="1" t="s">
        <v>1023</v>
      </c>
      <c r="H834" s="1" t="s">
        <v>1023</v>
      </c>
      <c r="I834" s="1" t="s">
        <v>1007</v>
      </c>
      <c r="J834" s="1" t="s">
        <v>1023</v>
      </c>
      <c r="M834" s="8"/>
      <c r="N834" s="116" t="str">
        <f t="shared" si="2"/>
        <v>#N/A</v>
      </c>
      <c r="Q834" s="8"/>
      <c r="R834" s="8"/>
      <c r="S834" s="8"/>
      <c r="T834" s="8"/>
    </row>
    <row r="835" ht="14.25" customHeight="1">
      <c r="A835" s="1">
        <v>832.0</v>
      </c>
      <c r="B835" s="1">
        <v>16.0</v>
      </c>
      <c r="C835" s="1" t="s">
        <v>1918</v>
      </c>
      <c r="D835" s="1" t="s">
        <v>202</v>
      </c>
      <c r="E835" s="1" t="s">
        <v>1919</v>
      </c>
      <c r="F835" s="1">
        <v>11.0</v>
      </c>
      <c r="G835" s="1" t="s">
        <v>1023</v>
      </c>
      <c r="H835" s="1" t="s">
        <v>1023</v>
      </c>
      <c r="I835" s="1" t="s">
        <v>1007</v>
      </c>
      <c r="J835" s="1" t="s">
        <v>1023</v>
      </c>
      <c r="M835" s="8"/>
      <c r="N835" s="116" t="str">
        <f t="shared" si="2"/>
        <v>#N/A</v>
      </c>
      <c r="Q835" s="8"/>
      <c r="R835" s="8"/>
      <c r="S835" s="8"/>
      <c r="T835" s="8"/>
    </row>
    <row r="836" ht="14.25" customHeight="1">
      <c r="A836" s="1">
        <v>833.0</v>
      </c>
      <c r="B836" s="1">
        <v>16.0</v>
      </c>
      <c r="C836" s="1" t="s">
        <v>1920</v>
      </c>
      <c r="D836" s="1" t="s">
        <v>222</v>
      </c>
      <c r="E836" s="1" t="s">
        <v>1921</v>
      </c>
      <c r="F836" s="1">
        <v>13.0</v>
      </c>
      <c r="G836" s="1" t="s">
        <v>1023</v>
      </c>
      <c r="H836" s="1" t="s">
        <v>1023</v>
      </c>
      <c r="I836" s="1" t="s">
        <v>1003</v>
      </c>
      <c r="J836" s="1" t="s">
        <v>1023</v>
      </c>
      <c r="M836" s="8"/>
      <c r="N836" s="116" t="str">
        <f t="shared" si="2"/>
        <v>#N/A</v>
      </c>
      <c r="Q836" s="8"/>
      <c r="R836" s="8"/>
      <c r="S836" s="8"/>
      <c r="T836" s="8"/>
    </row>
    <row r="837" ht="14.25" customHeight="1">
      <c r="A837" s="1">
        <v>834.0</v>
      </c>
      <c r="B837" s="1">
        <v>16.0</v>
      </c>
      <c r="C837" s="1" t="s">
        <v>1922</v>
      </c>
      <c r="D837" s="1" t="s">
        <v>205</v>
      </c>
      <c r="E837" s="1" t="s">
        <v>1923</v>
      </c>
      <c r="F837" s="1">
        <v>8.0</v>
      </c>
      <c r="G837" s="1" t="s">
        <v>1023</v>
      </c>
      <c r="H837" s="1" t="s">
        <v>1023</v>
      </c>
      <c r="I837" s="1" t="s">
        <v>1007</v>
      </c>
      <c r="J837" s="1" t="s">
        <v>1023</v>
      </c>
      <c r="M837" s="8"/>
      <c r="N837" s="116" t="str">
        <f t="shared" si="2"/>
        <v>#N/A</v>
      </c>
      <c r="Q837" s="8"/>
      <c r="R837" s="8"/>
      <c r="S837" s="8"/>
      <c r="T837" s="8"/>
    </row>
    <row r="838" ht="14.25" customHeight="1">
      <c r="A838" s="1">
        <v>835.0</v>
      </c>
      <c r="B838" s="1">
        <v>16.0</v>
      </c>
      <c r="C838" s="1" t="s">
        <v>1924</v>
      </c>
      <c r="D838" s="1" t="s">
        <v>222</v>
      </c>
      <c r="E838" s="1" t="s">
        <v>1925</v>
      </c>
      <c r="F838" s="1">
        <v>13.0</v>
      </c>
      <c r="G838" s="1" t="s">
        <v>1023</v>
      </c>
      <c r="H838" s="1" t="s">
        <v>1023</v>
      </c>
      <c r="I838" s="1" t="s">
        <v>1003</v>
      </c>
      <c r="J838" s="1" t="s">
        <v>1023</v>
      </c>
      <c r="M838" s="8"/>
      <c r="N838" s="116" t="str">
        <f t="shared" si="2"/>
        <v>#N/A</v>
      </c>
      <c r="Q838" s="8"/>
      <c r="R838" s="8"/>
      <c r="S838" s="8"/>
      <c r="T838" s="8"/>
    </row>
    <row r="839" ht="14.25" customHeight="1">
      <c r="A839" s="1">
        <v>836.0</v>
      </c>
      <c r="B839" s="1">
        <v>16.0</v>
      </c>
      <c r="C839" s="1" t="s">
        <v>1926</v>
      </c>
      <c r="D839" s="1" t="s">
        <v>229</v>
      </c>
      <c r="E839" s="1" t="s">
        <v>1927</v>
      </c>
      <c r="F839" s="1">
        <v>11.0</v>
      </c>
      <c r="G839" s="1" t="s">
        <v>1023</v>
      </c>
      <c r="H839" s="1" t="s">
        <v>1023</v>
      </c>
      <c r="I839" s="1" t="s">
        <v>1007</v>
      </c>
      <c r="J839" s="1" t="s">
        <v>1023</v>
      </c>
      <c r="M839" s="8"/>
      <c r="N839" s="116" t="str">
        <f t="shared" si="2"/>
        <v>#N/A</v>
      </c>
      <c r="Q839" s="8"/>
      <c r="R839" s="8"/>
      <c r="S839" s="8"/>
      <c r="T839" s="8"/>
    </row>
    <row r="840" ht="14.25" customHeight="1">
      <c r="A840" s="1">
        <v>837.0</v>
      </c>
      <c r="B840" s="1">
        <v>16.0</v>
      </c>
      <c r="C840" s="1" t="s">
        <v>1928</v>
      </c>
      <c r="D840" s="1" t="s">
        <v>196</v>
      </c>
      <c r="E840" s="1" t="s">
        <v>1929</v>
      </c>
      <c r="F840" s="1">
        <v>6.0</v>
      </c>
      <c r="G840" s="1" t="s">
        <v>1023</v>
      </c>
      <c r="H840" s="1" t="s">
        <v>1023</v>
      </c>
      <c r="I840" s="1" t="s">
        <v>1007</v>
      </c>
      <c r="J840" s="1" t="s">
        <v>1023</v>
      </c>
      <c r="M840" s="8"/>
      <c r="N840" s="116" t="str">
        <f t="shared" si="2"/>
        <v>#N/A</v>
      </c>
      <c r="Q840" s="8"/>
      <c r="R840" s="8"/>
      <c r="S840" s="8"/>
      <c r="T840" s="8"/>
    </row>
    <row r="841" ht="14.25" customHeight="1">
      <c r="A841" s="1">
        <v>838.0</v>
      </c>
      <c r="B841" s="1">
        <v>16.0</v>
      </c>
      <c r="C841" s="1" t="s">
        <v>1930</v>
      </c>
      <c r="D841" s="1" t="s">
        <v>210</v>
      </c>
      <c r="E841" s="1" t="s">
        <v>1931</v>
      </c>
      <c r="F841" s="1">
        <v>13.0</v>
      </c>
      <c r="G841" s="1" t="s">
        <v>1023</v>
      </c>
      <c r="H841" s="1" t="s">
        <v>1023</v>
      </c>
      <c r="I841" s="1" t="s">
        <v>1004</v>
      </c>
      <c r="J841" s="1" t="s">
        <v>1023</v>
      </c>
      <c r="M841" s="8"/>
      <c r="N841" s="116" t="str">
        <f t="shared" si="2"/>
        <v>#N/A</v>
      </c>
      <c r="Q841" s="8"/>
      <c r="R841" s="8"/>
      <c r="S841" s="8"/>
      <c r="T841" s="8"/>
    </row>
    <row r="842" ht="14.25" customHeight="1">
      <c r="A842" s="1">
        <v>839.0</v>
      </c>
      <c r="B842" s="1">
        <v>16.0</v>
      </c>
      <c r="C842" s="1" t="s">
        <v>1932</v>
      </c>
      <c r="D842" s="1" t="s">
        <v>210</v>
      </c>
      <c r="E842" s="1" t="s">
        <v>1933</v>
      </c>
      <c r="F842" s="1">
        <v>13.0</v>
      </c>
      <c r="G842" s="1" t="s">
        <v>1023</v>
      </c>
      <c r="H842" s="1" t="s">
        <v>1023</v>
      </c>
      <c r="I842" s="1" t="s">
        <v>1004</v>
      </c>
      <c r="J842" s="1" t="s">
        <v>1023</v>
      </c>
      <c r="M842" s="8"/>
      <c r="N842" s="116" t="str">
        <f t="shared" si="2"/>
        <v>#N/A</v>
      </c>
      <c r="Q842" s="8"/>
      <c r="R842" s="8"/>
      <c r="S842" s="8"/>
      <c r="T842" s="8"/>
    </row>
    <row r="843" ht="14.25" customHeight="1">
      <c r="A843" s="1">
        <v>840.0</v>
      </c>
      <c r="B843" s="1">
        <v>16.0</v>
      </c>
      <c r="C843" s="1" t="s">
        <v>1934</v>
      </c>
      <c r="D843" s="1" t="s">
        <v>189</v>
      </c>
      <c r="E843" s="1" t="s">
        <v>1935</v>
      </c>
      <c r="F843" s="1">
        <v>6.0</v>
      </c>
      <c r="G843" s="1" t="s">
        <v>1023</v>
      </c>
      <c r="H843" s="1" t="s">
        <v>1023</v>
      </c>
      <c r="I843" s="1" t="s">
        <v>1002</v>
      </c>
      <c r="J843" s="1" t="s">
        <v>1023</v>
      </c>
      <c r="M843" s="8"/>
      <c r="N843" s="116" t="str">
        <f t="shared" si="2"/>
        <v>#N/A</v>
      </c>
      <c r="Q843" s="8"/>
      <c r="R843" s="8"/>
      <c r="S843" s="8"/>
      <c r="T843" s="8"/>
    </row>
    <row r="844" ht="14.25" customHeight="1">
      <c r="A844" s="1">
        <v>841.0</v>
      </c>
      <c r="B844" s="1">
        <v>16.0</v>
      </c>
      <c r="C844" s="1" t="s">
        <v>1357</v>
      </c>
      <c r="D844" s="1" t="s">
        <v>186</v>
      </c>
      <c r="E844" s="1" t="s">
        <v>1936</v>
      </c>
      <c r="F844" s="1">
        <v>10.0</v>
      </c>
      <c r="G844" s="1" t="s">
        <v>1023</v>
      </c>
      <c r="H844" s="1" t="s">
        <v>1023</v>
      </c>
      <c r="I844" s="1" t="s">
        <v>1004</v>
      </c>
      <c r="J844" s="1" t="s">
        <v>1023</v>
      </c>
      <c r="M844" s="8"/>
      <c r="N844" s="116" t="str">
        <f t="shared" si="2"/>
        <v>#N/A</v>
      </c>
      <c r="Q844" s="8"/>
      <c r="R844" s="8"/>
      <c r="S844" s="8"/>
      <c r="T844" s="8"/>
    </row>
    <row r="845" ht="14.25" customHeight="1">
      <c r="A845" s="1">
        <v>842.0</v>
      </c>
      <c r="B845" s="1">
        <v>16.0</v>
      </c>
      <c r="C845" s="1" t="s">
        <v>1937</v>
      </c>
      <c r="D845" s="1" t="s">
        <v>210</v>
      </c>
      <c r="E845" s="1" t="s">
        <v>1938</v>
      </c>
      <c r="F845" s="1">
        <v>13.0</v>
      </c>
      <c r="G845" s="1" t="s">
        <v>1023</v>
      </c>
      <c r="H845" s="1" t="s">
        <v>1023</v>
      </c>
      <c r="I845" s="1" t="s">
        <v>1004</v>
      </c>
      <c r="J845" s="1" t="s">
        <v>1023</v>
      </c>
      <c r="M845" s="8"/>
      <c r="N845" s="116" t="str">
        <f t="shared" si="2"/>
        <v>#N/A</v>
      </c>
      <c r="Q845" s="8"/>
      <c r="R845" s="8"/>
      <c r="S845" s="8"/>
      <c r="T845" s="8"/>
    </row>
    <row r="846" ht="14.25" customHeight="1">
      <c r="A846" s="1">
        <v>843.0</v>
      </c>
      <c r="B846" s="1">
        <v>16.0</v>
      </c>
      <c r="C846" s="1" t="s">
        <v>1939</v>
      </c>
      <c r="D846" s="1" t="s">
        <v>1383</v>
      </c>
      <c r="E846" s="1" t="s">
        <v>1940</v>
      </c>
      <c r="F846" s="1" t="s">
        <v>1023</v>
      </c>
      <c r="G846" s="1" t="s">
        <v>1023</v>
      </c>
      <c r="H846" s="1" t="s">
        <v>1023</v>
      </c>
      <c r="I846" s="1" t="s">
        <v>1023</v>
      </c>
      <c r="J846" s="1" t="s">
        <v>1023</v>
      </c>
      <c r="M846" s="8"/>
      <c r="N846" s="116" t="str">
        <f t="shared" si="2"/>
        <v>#N/A</v>
      </c>
      <c r="Q846" s="8"/>
      <c r="R846" s="8"/>
      <c r="S846" s="8"/>
      <c r="T846" s="8"/>
    </row>
    <row r="847" ht="14.25" customHeight="1">
      <c r="A847" s="1">
        <v>844.0</v>
      </c>
      <c r="B847" s="1">
        <v>16.0</v>
      </c>
      <c r="C847" s="1" t="s">
        <v>1941</v>
      </c>
      <c r="D847" s="1" t="s">
        <v>189</v>
      </c>
      <c r="E847" s="1" t="s">
        <v>1942</v>
      </c>
      <c r="F847" s="1">
        <v>6.0</v>
      </c>
      <c r="G847" s="1" t="s">
        <v>1023</v>
      </c>
      <c r="H847" s="1" t="s">
        <v>1023</v>
      </c>
      <c r="I847" s="1" t="s">
        <v>1002</v>
      </c>
      <c r="J847" s="1" t="s">
        <v>1023</v>
      </c>
      <c r="M847" s="8"/>
      <c r="N847" s="116" t="str">
        <f t="shared" si="2"/>
        <v>#N/A</v>
      </c>
      <c r="Q847" s="8"/>
      <c r="R847" s="8"/>
      <c r="S847" s="8"/>
      <c r="T847" s="8"/>
    </row>
    <row r="848" ht="14.25" customHeight="1">
      <c r="A848" s="1">
        <v>845.0</v>
      </c>
      <c r="B848" s="1">
        <v>16.0</v>
      </c>
      <c r="C848" s="1" t="s">
        <v>1361</v>
      </c>
      <c r="D848" s="1" t="s">
        <v>170</v>
      </c>
      <c r="E848" s="1" t="s">
        <v>1943</v>
      </c>
      <c r="F848" s="1">
        <v>10.0</v>
      </c>
      <c r="G848" s="1" t="s">
        <v>1023</v>
      </c>
      <c r="H848" s="1" t="s">
        <v>1023</v>
      </c>
      <c r="I848" s="1" t="s">
        <v>1003</v>
      </c>
      <c r="J848" s="1" t="s">
        <v>1023</v>
      </c>
      <c r="M848" s="8"/>
      <c r="N848" s="116" t="str">
        <f t="shared" si="2"/>
        <v>#N/A</v>
      </c>
      <c r="Q848" s="8"/>
      <c r="R848" s="8"/>
      <c r="S848" s="8"/>
      <c r="T848" s="8"/>
    </row>
    <row r="849" ht="14.25" customHeight="1">
      <c r="A849" s="1">
        <v>846.0</v>
      </c>
      <c r="B849" s="1">
        <v>16.0</v>
      </c>
      <c r="C849" s="1" t="s">
        <v>1944</v>
      </c>
      <c r="D849" s="1" t="s">
        <v>196</v>
      </c>
      <c r="E849" s="1" t="s">
        <v>1945</v>
      </c>
      <c r="F849" s="1">
        <v>6.0</v>
      </c>
      <c r="G849" s="1" t="s">
        <v>1023</v>
      </c>
      <c r="H849" s="1" t="s">
        <v>1023</v>
      </c>
      <c r="I849" s="1" t="s">
        <v>1007</v>
      </c>
      <c r="J849" s="1" t="s">
        <v>1023</v>
      </c>
      <c r="M849" s="8"/>
      <c r="N849" s="116" t="str">
        <f t="shared" si="2"/>
        <v>#N/A</v>
      </c>
      <c r="Q849" s="8"/>
      <c r="R849" s="8"/>
      <c r="S849" s="8"/>
      <c r="T849" s="8"/>
    </row>
    <row r="850" ht="14.25" customHeight="1">
      <c r="A850" s="1">
        <v>847.0</v>
      </c>
      <c r="B850" s="1">
        <v>16.0</v>
      </c>
      <c r="C850" s="1" t="s">
        <v>1946</v>
      </c>
      <c r="D850" s="1" t="s">
        <v>150</v>
      </c>
      <c r="E850" s="1" t="s">
        <v>1947</v>
      </c>
      <c r="F850" s="1">
        <v>14.0</v>
      </c>
      <c r="G850" s="1" t="s">
        <v>1023</v>
      </c>
      <c r="H850" s="1" t="s">
        <v>1023</v>
      </c>
      <c r="I850" s="1" t="s">
        <v>1003</v>
      </c>
      <c r="J850" s="1" t="s">
        <v>1023</v>
      </c>
      <c r="M850" s="8"/>
      <c r="N850" s="116" t="str">
        <f t="shared" si="2"/>
        <v>#N/A</v>
      </c>
      <c r="Q850" s="8"/>
      <c r="R850" s="8"/>
      <c r="S850" s="8"/>
      <c r="T850" s="8"/>
    </row>
    <row r="851" ht="14.25" customHeight="1">
      <c r="A851" s="1">
        <v>848.0</v>
      </c>
      <c r="B851" s="1">
        <v>16.0</v>
      </c>
      <c r="C851" s="1" t="s">
        <v>1948</v>
      </c>
      <c r="D851" s="1" t="s">
        <v>117</v>
      </c>
      <c r="E851" s="1" t="s">
        <v>1949</v>
      </c>
      <c r="F851" s="1">
        <v>10.0</v>
      </c>
      <c r="G851" s="1" t="s">
        <v>1023</v>
      </c>
      <c r="H851" s="1" t="s">
        <v>1023</v>
      </c>
      <c r="I851" s="1" t="s">
        <v>1004</v>
      </c>
      <c r="J851" s="1" t="s">
        <v>1023</v>
      </c>
      <c r="M851" s="8"/>
      <c r="N851" s="116" t="str">
        <f t="shared" si="2"/>
        <v>#N/A</v>
      </c>
      <c r="Q851" s="8"/>
      <c r="R851" s="8"/>
      <c r="S851" s="8"/>
      <c r="T851" s="8"/>
    </row>
    <row r="852" ht="14.25" customHeight="1">
      <c r="A852" s="1">
        <v>849.0</v>
      </c>
      <c r="B852" s="1">
        <v>16.0</v>
      </c>
      <c r="C852" s="1" t="s">
        <v>1950</v>
      </c>
      <c r="D852" s="1" t="s">
        <v>117</v>
      </c>
      <c r="E852" s="1" t="s">
        <v>1951</v>
      </c>
      <c r="F852" s="1">
        <v>10.0</v>
      </c>
      <c r="G852" s="1" t="s">
        <v>1023</v>
      </c>
      <c r="H852" s="1" t="s">
        <v>1023</v>
      </c>
      <c r="I852" s="1" t="s">
        <v>1004</v>
      </c>
      <c r="J852" s="1" t="s">
        <v>1023</v>
      </c>
      <c r="M852" s="8"/>
      <c r="N852" s="116" t="str">
        <f t="shared" si="2"/>
        <v>#N/A</v>
      </c>
      <c r="Q852" s="8"/>
      <c r="R852" s="8"/>
      <c r="S852" s="8"/>
      <c r="T852" s="8"/>
    </row>
    <row r="853" ht="14.25" customHeight="1">
      <c r="A853" s="1">
        <v>850.0</v>
      </c>
      <c r="B853" s="1">
        <v>16.0</v>
      </c>
      <c r="C853" s="1" t="s">
        <v>1952</v>
      </c>
      <c r="D853" s="1" t="s">
        <v>18</v>
      </c>
      <c r="E853" s="1" t="s">
        <v>1953</v>
      </c>
      <c r="F853" s="1">
        <v>7.0</v>
      </c>
      <c r="G853" s="1" t="s">
        <v>1023</v>
      </c>
      <c r="H853" s="1" t="s">
        <v>1023</v>
      </c>
      <c r="I853" s="1" t="s">
        <v>1004</v>
      </c>
      <c r="J853" s="1" t="s">
        <v>1023</v>
      </c>
      <c r="M853" s="8"/>
      <c r="N853" s="116" t="str">
        <f t="shared" si="2"/>
        <v>#N/A</v>
      </c>
      <c r="Q853" s="8"/>
      <c r="R853" s="8"/>
      <c r="S853" s="8"/>
      <c r="T853" s="8"/>
    </row>
    <row r="854" ht="14.25" customHeight="1">
      <c r="A854" s="1">
        <v>851.0</v>
      </c>
      <c r="B854" s="1">
        <v>16.0</v>
      </c>
      <c r="C854" s="1" t="s">
        <v>1954</v>
      </c>
      <c r="D854" s="1" t="s">
        <v>205</v>
      </c>
      <c r="E854" s="1" t="s">
        <v>1955</v>
      </c>
      <c r="F854" s="1">
        <v>8.0</v>
      </c>
      <c r="G854" s="1" t="s">
        <v>1023</v>
      </c>
      <c r="H854" s="1" t="s">
        <v>1023</v>
      </c>
      <c r="I854" s="1" t="s">
        <v>1007</v>
      </c>
      <c r="J854" s="1" t="s">
        <v>1023</v>
      </c>
      <c r="M854" s="8"/>
      <c r="N854" s="116" t="str">
        <f t="shared" si="2"/>
        <v>#N/A</v>
      </c>
      <c r="Q854" s="8"/>
      <c r="R854" s="8"/>
      <c r="S854" s="8"/>
      <c r="T854" s="8"/>
    </row>
    <row r="855" ht="14.25" customHeight="1">
      <c r="A855" s="1">
        <v>852.0</v>
      </c>
      <c r="B855" s="1">
        <v>16.0</v>
      </c>
      <c r="C855" s="1" t="s">
        <v>1956</v>
      </c>
      <c r="D855" s="1" t="s">
        <v>182</v>
      </c>
      <c r="E855" s="1" t="s">
        <v>1957</v>
      </c>
      <c r="F855" s="1">
        <v>8.0</v>
      </c>
      <c r="G855" s="1" t="s">
        <v>1023</v>
      </c>
      <c r="H855" s="1" t="s">
        <v>1023</v>
      </c>
      <c r="I855" s="1" t="s">
        <v>1007</v>
      </c>
      <c r="J855" s="1" t="s">
        <v>1023</v>
      </c>
      <c r="M855" s="8"/>
      <c r="N855" s="116" t="str">
        <f t="shared" si="2"/>
        <v>#N/A</v>
      </c>
      <c r="Q855" s="8"/>
      <c r="R855" s="8"/>
      <c r="S855" s="8"/>
      <c r="T855" s="8"/>
    </row>
    <row r="856" ht="14.25" customHeight="1">
      <c r="A856" s="1">
        <v>853.0</v>
      </c>
      <c r="B856" s="1">
        <v>16.0</v>
      </c>
      <c r="C856" s="1" t="s">
        <v>1958</v>
      </c>
      <c r="D856" s="1" t="s">
        <v>205</v>
      </c>
      <c r="E856" s="1" t="s">
        <v>1959</v>
      </c>
      <c r="F856" s="1">
        <v>8.0</v>
      </c>
      <c r="G856" s="1" t="s">
        <v>1023</v>
      </c>
      <c r="H856" s="1" t="s">
        <v>1023</v>
      </c>
      <c r="I856" s="1" t="s">
        <v>1007</v>
      </c>
      <c r="J856" s="1" t="s">
        <v>1023</v>
      </c>
      <c r="M856" s="8"/>
      <c r="N856" s="116" t="str">
        <f t="shared" si="2"/>
        <v>#N/A</v>
      </c>
      <c r="Q856" s="8"/>
      <c r="R856" s="8"/>
      <c r="S856" s="8"/>
      <c r="T856" s="8"/>
    </row>
    <row r="857" ht="14.25" customHeight="1">
      <c r="A857" s="1">
        <v>854.0</v>
      </c>
      <c r="B857" s="1">
        <v>16.0</v>
      </c>
      <c r="C857" s="1" t="s">
        <v>1960</v>
      </c>
      <c r="D857" s="1" t="s">
        <v>186</v>
      </c>
      <c r="E857" s="1" t="s">
        <v>1961</v>
      </c>
      <c r="F857" s="1">
        <v>10.0</v>
      </c>
      <c r="G857" s="1" t="s">
        <v>1023</v>
      </c>
      <c r="H857" s="1" t="s">
        <v>1023</v>
      </c>
      <c r="I857" s="1" t="s">
        <v>1004</v>
      </c>
      <c r="J857" s="1" t="s">
        <v>1023</v>
      </c>
      <c r="M857" s="8"/>
      <c r="N857" s="116" t="str">
        <f t="shared" si="2"/>
        <v>#N/A</v>
      </c>
      <c r="Q857" s="8"/>
      <c r="R857" s="8"/>
      <c r="S857" s="8"/>
      <c r="T857" s="8"/>
    </row>
    <row r="858" ht="14.25" customHeight="1">
      <c r="A858" s="1">
        <v>855.0</v>
      </c>
      <c r="B858" s="1">
        <v>16.0</v>
      </c>
      <c r="C858" s="1" t="s">
        <v>1962</v>
      </c>
      <c r="D858" s="1" t="s">
        <v>140</v>
      </c>
      <c r="E858" s="1" t="s">
        <v>1963</v>
      </c>
      <c r="F858" s="1">
        <v>8.0</v>
      </c>
      <c r="G858" s="1" t="s">
        <v>1023</v>
      </c>
      <c r="H858" s="1" t="s">
        <v>1023</v>
      </c>
      <c r="I858" s="1" t="s">
        <v>1003</v>
      </c>
      <c r="J858" s="1" t="s">
        <v>1023</v>
      </c>
      <c r="M858" s="8"/>
      <c r="N858" s="116" t="str">
        <f t="shared" si="2"/>
        <v>#N/A</v>
      </c>
      <c r="Q858" s="8"/>
      <c r="R858" s="8"/>
      <c r="S858" s="8"/>
      <c r="T858" s="8"/>
    </row>
    <row r="859" ht="14.25" customHeight="1">
      <c r="A859" s="1">
        <v>856.0</v>
      </c>
      <c r="B859" s="1">
        <v>16.0</v>
      </c>
      <c r="C859" s="1" t="s">
        <v>1964</v>
      </c>
      <c r="D859" s="1" t="s">
        <v>170</v>
      </c>
      <c r="E859" s="1" t="s">
        <v>1965</v>
      </c>
      <c r="F859" s="1">
        <v>10.0</v>
      </c>
      <c r="G859" s="1" t="s">
        <v>1023</v>
      </c>
      <c r="H859" s="1" t="s">
        <v>1023</v>
      </c>
      <c r="I859" s="1" t="s">
        <v>1003</v>
      </c>
      <c r="J859" s="1" t="s">
        <v>1023</v>
      </c>
      <c r="M859" s="8"/>
      <c r="N859" s="116" t="str">
        <f t="shared" si="2"/>
        <v>#N/A</v>
      </c>
      <c r="Q859" s="8"/>
      <c r="R859" s="8"/>
      <c r="S859" s="8"/>
      <c r="T859" s="8"/>
    </row>
    <row r="860" ht="14.25" customHeight="1">
      <c r="A860" s="1">
        <v>857.0</v>
      </c>
      <c r="B860" s="1">
        <v>16.0</v>
      </c>
      <c r="C860" s="1" t="s">
        <v>1966</v>
      </c>
      <c r="D860" s="1" t="s">
        <v>94</v>
      </c>
      <c r="E860" s="1" t="s">
        <v>1967</v>
      </c>
      <c r="F860" s="1">
        <v>11.0</v>
      </c>
      <c r="G860" s="1" t="s">
        <v>1023</v>
      </c>
      <c r="H860" s="1" t="s">
        <v>1023</v>
      </c>
      <c r="I860" s="1" t="s">
        <v>1003</v>
      </c>
      <c r="J860" s="1" t="s">
        <v>1023</v>
      </c>
      <c r="M860" s="8"/>
      <c r="N860" s="116" t="str">
        <f t="shared" si="2"/>
        <v>#N/A</v>
      </c>
      <c r="Q860" s="8"/>
      <c r="R860" s="8"/>
      <c r="S860" s="8"/>
      <c r="T860" s="8"/>
    </row>
    <row r="861" ht="14.25" customHeight="1">
      <c r="A861" s="1">
        <v>858.0</v>
      </c>
      <c r="B861" s="1">
        <v>16.0</v>
      </c>
      <c r="C861" s="1" t="s">
        <v>1968</v>
      </c>
      <c r="D861" s="1" t="s">
        <v>186</v>
      </c>
      <c r="E861" s="1" t="s">
        <v>1969</v>
      </c>
      <c r="F861" s="1">
        <v>10.0</v>
      </c>
      <c r="G861" s="1" t="s">
        <v>1023</v>
      </c>
      <c r="H861" s="1" t="s">
        <v>1023</v>
      </c>
      <c r="I861" s="1" t="s">
        <v>1004</v>
      </c>
      <c r="J861" s="1" t="s">
        <v>1023</v>
      </c>
      <c r="M861" s="8"/>
      <c r="N861" s="116" t="str">
        <f t="shared" si="2"/>
        <v>#N/A</v>
      </c>
      <c r="Q861" s="8"/>
      <c r="R861" s="8"/>
      <c r="S861" s="8"/>
      <c r="T861" s="8"/>
    </row>
    <row r="862" ht="14.25" customHeight="1">
      <c r="A862" s="1">
        <v>859.0</v>
      </c>
      <c r="B862" s="1">
        <v>16.0</v>
      </c>
      <c r="C862" s="1" t="s">
        <v>1970</v>
      </c>
      <c r="D862" s="1" t="s">
        <v>94</v>
      </c>
      <c r="E862" s="1" t="s">
        <v>1971</v>
      </c>
      <c r="F862" s="1">
        <v>11.0</v>
      </c>
      <c r="G862" s="1" t="s">
        <v>1023</v>
      </c>
      <c r="H862" s="1" t="s">
        <v>1023</v>
      </c>
      <c r="I862" s="1" t="s">
        <v>1003</v>
      </c>
      <c r="J862" s="1" t="s">
        <v>1023</v>
      </c>
      <c r="M862" s="8"/>
      <c r="N862" s="116" t="str">
        <f t="shared" si="2"/>
        <v>#N/A</v>
      </c>
      <c r="Q862" s="8"/>
      <c r="R862" s="8"/>
      <c r="S862" s="8"/>
      <c r="T862" s="8"/>
    </row>
    <row r="863" ht="14.25" customHeight="1">
      <c r="A863" s="1">
        <v>860.0</v>
      </c>
      <c r="B863" s="1">
        <v>16.0</v>
      </c>
      <c r="C863" s="1" t="s">
        <v>1972</v>
      </c>
      <c r="D863" s="1" t="s">
        <v>170</v>
      </c>
      <c r="E863" s="1" t="s">
        <v>1973</v>
      </c>
      <c r="F863" s="1">
        <v>10.0</v>
      </c>
      <c r="G863" s="1" t="s">
        <v>1023</v>
      </c>
      <c r="H863" s="1" t="s">
        <v>1023</v>
      </c>
      <c r="I863" s="1" t="s">
        <v>1003</v>
      </c>
      <c r="J863" s="1" t="s">
        <v>1023</v>
      </c>
      <c r="M863" s="8"/>
      <c r="N863" s="116" t="str">
        <f t="shared" si="2"/>
        <v>#N/A</v>
      </c>
      <c r="Q863" s="8"/>
      <c r="R863" s="8"/>
      <c r="S863" s="8"/>
      <c r="T863" s="8"/>
    </row>
    <row r="864" ht="14.25" customHeight="1">
      <c r="A864" s="1">
        <v>861.0</v>
      </c>
      <c r="B864" s="1">
        <v>16.0</v>
      </c>
      <c r="C864" s="1" t="s">
        <v>1974</v>
      </c>
      <c r="D864" s="1" t="s">
        <v>1383</v>
      </c>
      <c r="E864" s="1" t="s">
        <v>1975</v>
      </c>
      <c r="F864" s="1" t="s">
        <v>1023</v>
      </c>
      <c r="G864" s="1" t="s">
        <v>1023</v>
      </c>
      <c r="H864" s="1" t="s">
        <v>1023</v>
      </c>
      <c r="I864" s="1" t="s">
        <v>1023</v>
      </c>
      <c r="J864" s="1" t="s">
        <v>1023</v>
      </c>
      <c r="M864" s="8"/>
      <c r="N864" s="116" t="str">
        <f t="shared" si="2"/>
        <v>#N/A</v>
      </c>
      <c r="Q864" s="8"/>
      <c r="R864" s="8"/>
      <c r="S864" s="8"/>
      <c r="T864" s="8"/>
    </row>
    <row r="865" ht="14.25" customHeight="1">
      <c r="A865" s="1">
        <v>862.0</v>
      </c>
      <c r="B865" s="1">
        <v>16.0</v>
      </c>
      <c r="C865" s="1" t="s">
        <v>1976</v>
      </c>
      <c r="D865" s="1" t="s">
        <v>229</v>
      </c>
      <c r="E865" s="1" t="s">
        <v>1977</v>
      </c>
      <c r="F865" s="1">
        <v>11.0</v>
      </c>
      <c r="G865" s="1" t="s">
        <v>1023</v>
      </c>
      <c r="H865" s="1" t="s">
        <v>1023</v>
      </c>
      <c r="I865" s="1" t="s">
        <v>1007</v>
      </c>
      <c r="J865" s="1" t="s">
        <v>1023</v>
      </c>
      <c r="M865" s="8"/>
      <c r="N865" s="116" t="str">
        <f t="shared" si="2"/>
        <v>#N/A</v>
      </c>
      <c r="Q865" s="8"/>
      <c r="R865" s="8"/>
      <c r="S865" s="8"/>
      <c r="T865" s="8"/>
    </row>
    <row r="866" ht="14.25" customHeight="1">
      <c r="A866" s="1">
        <v>863.0</v>
      </c>
      <c r="B866" s="1">
        <v>16.0</v>
      </c>
      <c r="C866" s="1" t="s">
        <v>1978</v>
      </c>
      <c r="D866" s="1" t="s">
        <v>18</v>
      </c>
      <c r="E866" s="1" t="s">
        <v>1979</v>
      </c>
      <c r="F866" s="1">
        <v>7.0</v>
      </c>
      <c r="G866" s="1" t="s">
        <v>1023</v>
      </c>
      <c r="H866" s="1" t="s">
        <v>1023</v>
      </c>
      <c r="I866" s="1" t="s">
        <v>1004</v>
      </c>
      <c r="J866" s="1" t="s">
        <v>1023</v>
      </c>
      <c r="M866" s="8"/>
      <c r="N866" s="116" t="str">
        <f t="shared" si="2"/>
        <v>#N/A</v>
      </c>
      <c r="Q866" s="8"/>
      <c r="R866" s="8"/>
      <c r="S866" s="8"/>
      <c r="T866" s="8"/>
    </row>
    <row r="867" ht="14.25" customHeight="1">
      <c r="A867" s="1">
        <v>864.0</v>
      </c>
      <c r="B867" s="1">
        <v>16.0</v>
      </c>
      <c r="C867" s="1" t="s">
        <v>1980</v>
      </c>
      <c r="D867" s="1" t="s">
        <v>117</v>
      </c>
      <c r="E867" s="1" t="s">
        <v>1981</v>
      </c>
      <c r="F867" s="1">
        <v>10.0</v>
      </c>
      <c r="G867" s="1" t="s">
        <v>1023</v>
      </c>
      <c r="H867" s="1" t="s">
        <v>1023</v>
      </c>
      <c r="I867" s="1" t="s">
        <v>1004</v>
      </c>
      <c r="J867" s="1" t="s">
        <v>1023</v>
      </c>
      <c r="M867" s="8"/>
      <c r="N867" s="116" t="str">
        <f t="shared" si="2"/>
        <v>#N/A</v>
      </c>
      <c r="Q867" s="8"/>
      <c r="R867" s="8"/>
      <c r="S867" s="8"/>
      <c r="T867" s="8"/>
    </row>
    <row r="868" ht="14.25" customHeight="1">
      <c r="A868" s="1">
        <v>865.0</v>
      </c>
      <c r="B868" s="1">
        <v>16.0</v>
      </c>
      <c r="C868" s="1" t="s">
        <v>1982</v>
      </c>
      <c r="D868" s="1" t="s">
        <v>214</v>
      </c>
      <c r="E868" s="1" t="s">
        <v>1983</v>
      </c>
      <c r="F868" s="1">
        <v>9.0</v>
      </c>
      <c r="G868" s="1" t="s">
        <v>1023</v>
      </c>
      <c r="H868" s="1" t="s">
        <v>1023</v>
      </c>
      <c r="I868" s="1" t="s">
        <v>1007</v>
      </c>
      <c r="J868" s="1" t="s">
        <v>1023</v>
      </c>
      <c r="M868" s="8"/>
      <c r="N868" s="116" t="str">
        <f t="shared" si="2"/>
        <v>#N/A</v>
      </c>
      <c r="Q868" s="8"/>
      <c r="R868" s="8"/>
      <c r="S868" s="8"/>
      <c r="T868" s="8"/>
    </row>
    <row r="869" ht="14.25" customHeight="1">
      <c r="A869" s="1">
        <v>866.0</v>
      </c>
      <c r="B869" s="1">
        <v>16.0</v>
      </c>
      <c r="C869" s="1" t="s">
        <v>1984</v>
      </c>
      <c r="D869" s="1" t="s">
        <v>94</v>
      </c>
      <c r="E869" s="1" t="s">
        <v>1985</v>
      </c>
      <c r="F869" s="1">
        <v>11.0</v>
      </c>
      <c r="G869" s="1" t="s">
        <v>1023</v>
      </c>
      <c r="H869" s="1" t="s">
        <v>1023</v>
      </c>
      <c r="I869" s="1" t="s">
        <v>1003</v>
      </c>
      <c r="J869" s="1" t="s">
        <v>1023</v>
      </c>
      <c r="M869" s="8"/>
      <c r="N869" s="116" t="str">
        <f t="shared" si="2"/>
        <v>#N/A</v>
      </c>
      <c r="Q869" s="8"/>
      <c r="R869" s="8"/>
      <c r="S869" s="8"/>
      <c r="T869" s="8"/>
    </row>
    <row r="870" ht="14.25" customHeight="1">
      <c r="A870" s="1">
        <v>867.0</v>
      </c>
      <c r="B870" s="1">
        <v>16.0</v>
      </c>
      <c r="C870" s="1" t="s">
        <v>1986</v>
      </c>
      <c r="D870" s="1" t="s">
        <v>18</v>
      </c>
      <c r="E870" s="1" t="s">
        <v>1987</v>
      </c>
      <c r="F870" s="1">
        <v>7.0</v>
      </c>
      <c r="G870" s="1" t="s">
        <v>1023</v>
      </c>
      <c r="H870" s="1" t="s">
        <v>1023</v>
      </c>
      <c r="I870" s="1" t="s">
        <v>1004</v>
      </c>
      <c r="J870" s="1" t="s">
        <v>1023</v>
      </c>
      <c r="M870" s="8"/>
      <c r="N870" s="116" t="str">
        <f t="shared" si="2"/>
        <v>#N/A</v>
      </c>
      <c r="Q870" s="8"/>
      <c r="R870" s="8"/>
      <c r="S870" s="8"/>
      <c r="T870" s="8"/>
    </row>
    <row r="871" ht="14.25" customHeight="1">
      <c r="A871" s="1">
        <v>868.0</v>
      </c>
      <c r="B871" s="1">
        <v>16.0</v>
      </c>
      <c r="C871" s="1" t="s">
        <v>1988</v>
      </c>
      <c r="D871" s="1" t="s">
        <v>179</v>
      </c>
      <c r="E871" s="1" t="s">
        <v>1989</v>
      </c>
      <c r="F871" s="1">
        <v>6.0</v>
      </c>
      <c r="G871" s="1" t="s">
        <v>1023</v>
      </c>
      <c r="H871" s="1" t="s">
        <v>1023</v>
      </c>
      <c r="I871" s="1" t="s">
        <v>1004</v>
      </c>
      <c r="J871" s="1" t="s">
        <v>1023</v>
      </c>
      <c r="M871" s="8"/>
      <c r="N871" s="116" t="str">
        <f t="shared" si="2"/>
        <v>#N/A</v>
      </c>
      <c r="Q871" s="8"/>
      <c r="R871" s="8"/>
      <c r="S871" s="8"/>
      <c r="T871" s="8"/>
    </row>
    <row r="872" ht="14.25" customHeight="1">
      <c r="A872" s="1">
        <v>869.0</v>
      </c>
      <c r="B872" s="1">
        <v>16.0</v>
      </c>
      <c r="C872" s="1" t="s">
        <v>1990</v>
      </c>
      <c r="D872" s="1" t="s">
        <v>214</v>
      </c>
      <c r="E872" s="1" t="s">
        <v>1991</v>
      </c>
      <c r="F872" s="1">
        <v>9.0</v>
      </c>
      <c r="G872" s="1" t="s">
        <v>1023</v>
      </c>
      <c r="H872" s="1" t="s">
        <v>1023</v>
      </c>
      <c r="I872" s="1" t="s">
        <v>1007</v>
      </c>
      <c r="J872" s="1" t="s">
        <v>1023</v>
      </c>
      <c r="M872" s="8"/>
      <c r="N872" s="116" t="str">
        <f t="shared" si="2"/>
        <v>#N/A</v>
      </c>
      <c r="Q872" s="8"/>
      <c r="R872" s="8"/>
      <c r="S872" s="8"/>
      <c r="T872" s="8"/>
    </row>
    <row r="873" ht="14.25" customHeight="1">
      <c r="A873" s="1">
        <v>870.0</v>
      </c>
      <c r="B873" s="1">
        <v>16.0</v>
      </c>
      <c r="C873" s="1" t="s">
        <v>1992</v>
      </c>
      <c r="D873" s="1" t="s">
        <v>214</v>
      </c>
      <c r="E873" s="1" t="s">
        <v>1993</v>
      </c>
      <c r="F873" s="1">
        <v>9.0</v>
      </c>
      <c r="G873" s="1" t="s">
        <v>1023</v>
      </c>
      <c r="H873" s="1" t="s">
        <v>1023</v>
      </c>
      <c r="I873" s="1" t="s">
        <v>1007</v>
      </c>
      <c r="J873" s="1" t="s">
        <v>1023</v>
      </c>
      <c r="M873" s="8"/>
      <c r="N873" s="116" t="str">
        <f t="shared" si="2"/>
        <v>#N/A</v>
      </c>
      <c r="Q873" s="8"/>
      <c r="R873" s="8"/>
      <c r="S873" s="8"/>
      <c r="T873" s="8"/>
    </row>
    <row r="874" ht="14.25" customHeight="1">
      <c r="A874" s="1">
        <v>871.0</v>
      </c>
      <c r="B874" s="1">
        <v>16.0</v>
      </c>
      <c r="C874" s="1" t="s">
        <v>1994</v>
      </c>
      <c r="D874" s="1" t="s">
        <v>226</v>
      </c>
      <c r="E874" s="1" t="s">
        <v>1995</v>
      </c>
      <c r="F874" s="1">
        <v>11.0</v>
      </c>
      <c r="G874" s="1" t="s">
        <v>1023</v>
      </c>
      <c r="H874" s="1" t="s">
        <v>1023</v>
      </c>
      <c r="I874" s="1" t="s">
        <v>1007</v>
      </c>
      <c r="J874" s="1" t="s">
        <v>1023</v>
      </c>
      <c r="M874" s="8"/>
      <c r="N874" s="116" t="str">
        <f t="shared" si="2"/>
        <v>#N/A</v>
      </c>
      <c r="Q874" s="8"/>
      <c r="R874" s="8"/>
      <c r="S874" s="8"/>
      <c r="T874" s="8"/>
    </row>
    <row r="875" ht="14.25" customHeight="1">
      <c r="A875" s="1">
        <v>872.0</v>
      </c>
      <c r="B875" s="1">
        <v>16.0</v>
      </c>
      <c r="C875" s="1" t="s">
        <v>1996</v>
      </c>
      <c r="D875" s="1" t="s">
        <v>182</v>
      </c>
      <c r="E875" s="1" t="s">
        <v>1997</v>
      </c>
      <c r="F875" s="1">
        <v>8.0</v>
      </c>
      <c r="G875" s="1" t="s">
        <v>1023</v>
      </c>
      <c r="H875" s="1" t="s">
        <v>1023</v>
      </c>
      <c r="I875" s="1" t="s">
        <v>1007</v>
      </c>
      <c r="J875" s="1" t="s">
        <v>1023</v>
      </c>
      <c r="M875" s="8"/>
      <c r="N875" s="116" t="str">
        <f t="shared" si="2"/>
        <v>#N/A</v>
      </c>
      <c r="Q875" s="8"/>
      <c r="R875" s="8"/>
      <c r="S875" s="8"/>
      <c r="T875" s="8"/>
    </row>
    <row r="876" ht="14.25" customHeight="1">
      <c r="A876" s="1">
        <v>873.0</v>
      </c>
      <c r="B876" s="1">
        <v>16.0</v>
      </c>
      <c r="C876" s="1" t="s">
        <v>1998</v>
      </c>
      <c r="D876" s="1" t="s">
        <v>226</v>
      </c>
      <c r="E876" s="1" t="s">
        <v>1999</v>
      </c>
      <c r="F876" s="1">
        <v>11.0</v>
      </c>
      <c r="G876" s="1" t="s">
        <v>1023</v>
      </c>
      <c r="H876" s="1" t="s">
        <v>1023</v>
      </c>
      <c r="I876" s="1" t="s">
        <v>1007</v>
      </c>
      <c r="J876" s="1" t="s">
        <v>1023</v>
      </c>
      <c r="M876" s="8"/>
      <c r="N876" s="116" t="str">
        <f t="shared" si="2"/>
        <v>#N/A</v>
      </c>
      <c r="Q876" s="8"/>
      <c r="R876" s="8"/>
      <c r="S876" s="8"/>
      <c r="T876" s="8"/>
    </row>
    <row r="877" ht="14.25" customHeight="1">
      <c r="A877" s="1">
        <v>874.0</v>
      </c>
      <c r="B877" s="1">
        <v>16.0</v>
      </c>
      <c r="C877" s="1" t="s">
        <v>2000</v>
      </c>
      <c r="D877" s="1" t="s">
        <v>1383</v>
      </c>
      <c r="E877" s="1" t="s">
        <v>2001</v>
      </c>
      <c r="F877" s="1" t="s">
        <v>1023</v>
      </c>
      <c r="G877" s="1" t="s">
        <v>1023</v>
      </c>
      <c r="H877" s="1" t="s">
        <v>1023</v>
      </c>
      <c r="I877" s="1" t="s">
        <v>1023</v>
      </c>
      <c r="J877" s="1" t="s">
        <v>1023</v>
      </c>
      <c r="M877" s="8"/>
      <c r="N877" s="116" t="str">
        <f t="shared" si="2"/>
        <v>#N/A</v>
      </c>
      <c r="Q877" s="8"/>
      <c r="R877" s="8"/>
      <c r="S877" s="8"/>
      <c r="T877" s="8"/>
    </row>
    <row r="878" ht="14.25" customHeight="1">
      <c r="A878" s="1">
        <v>875.0</v>
      </c>
      <c r="B878" s="1">
        <v>16.0</v>
      </c>
      <c r="C878" s="1" t="s">
        <v>2002</v>
      </c>
      <c r="D878" s="1" t="s">
        <v>61</v>
      </c>
      <c r="E878" s="1" t="s">
        <v>2003</v>
      </c>
      <c r="F878" s="1">
        <v>13.0</v>
      </c>
      <c r="G878" s="1" t="s">
        <v>1023</v>
      </c>
      <c r="H878" s="1" t="s">
        <v>1023</v>
      </c>
      <c r="I878" s="1" t="s">
        <v>1004</v>
      </c>
      <c r="J878" s="1" t="s">
        <v>1023</v>
      </c>
      <c r="M878" s="8"/>
      <c r="N878" s="116" t="str">
        <f t="shared" si="2"/>
        <v>#N/A</v>
      </c>
      <c r="Q878" s="8"/>
      <c r="R878" s="8"/>
      <c r="S878" s="8"/>
      <c r="T878" s="8"/>
    </row>
    <row r="879" ht="14.25" customHeight="1">
      <c r="A879" s="1">
        <v>876.0</v>
      </c>
      <c r="B879" s="1">
        <v>16.0</v>
      </c>
      <c r="C879" s="1" t="s">
        <v>2004</v>
      </c>
      <c r="D879" s="1" t="s">
        <v>61</v>
      </c>
      <c r="E879" s="1" t="s">
        <v>2005</v>
      </c>
      <c r="F879" s="1">
        <v>13.0</v>
      </c>
      <c r="G879" s="1" t="s">
        <v>1023</v>
      </c>
      <c r="H879" s="1" t="s">
        <v>1023</v>
      </c>
      <c r="I879" s="1" t="s">
        <v>1004</v>
      </c>
      <c r="J879" s="1" t="s">
        <v>1023</v>
      </c>
      <c r="M879" s="8"/>
      <c r="N879" s="116" t="str">
        <f t="shared" si="2"/>
        <v>#N/A</v>
      </c>
      <c r="Q879" s="8"/>
      <c r="R879" s="8"/>
      <c r="S879" s="8"/>
      <c r="T879" s="8"/>
    </row>
    <row r="880" ht="14.25" customHeight="1">
      <c r="A880" s="1">
        <v>877.0</v>
      </c>
      <c r="B880" s="1">
        <v>16.0</v>
      </c>
      <c r="C880" s="1" t="s">
        <v>2006</v>
      </c>
      <c r="D880" s="1" t="s">
        <v>61</v>
      </c>
      <c r="E880" s="1" t="s">
        <v>2007</v>
      </c>
      <c r="F880" s="1">
        <v>13.0</v>
      </c>
      <c r="G880" s="1" t="s">
        <v>1023</v>
      </c>
      <c r="H880" s="1" t="s">
        <v>1023</v>
      </c>
      <c r="I880" s="1" t="s">
        <v>1004</v>
      </c>
      <c r="J880" s="1" t="s">
        <v>1023</v>
      </c>
      <c r="M880" s="8"/>
      <c r="N880" s="116" t="str">
        <f t="shared" si="2"/>
        <v>#N/A</v>
      </c>
      <c r="Q880" s="8"/>
      <c r="R880" s="8"/>
      <c r="S880" s="8"/>
      <c r="T880" s="8"/>
    </row>
    <row r="881" ht="14.25" customHeight="1">
      <c r="A881" s="1">
        <v>878.0</v>
      </c>
      <c r="B881" s="1">
        <v>16.0</v>
      </c>
      <c r="C881" s="1" t="s">
        <v>1379</v>
      </c>
      <c r="D881" s="1" t="s">
        <v>217</v>
      </c>
      <c r="E881" s="1" t="s">
        <v>2008</v>
      </c>
      <c r="F881" s="1">
        <v>14.0</v>
      </c>
      <c r="G881" s="1" t="s">
        <v>1023</v>
      </c>
      <c r="H881" s="1" t="s">
        <v>1023</v>
      </c>
      <c r="I881" s="1" t="s">
        <v>1003</v>
      </c>
      <c r="J881" s="1" t="s">
        <v>1023</v>
      </c>
      <c r="M881" s="8"/>
      <c r="N881" s="116" t="str">
        <f t="shared" si="2"/>
        <v>#N/A</v>
      </c>
      <c r="Q881" s="8"/>
      <c r="R881" s="8"/>
      <c r="S881" s="8"/>
      <c r="T881" s="8"/>
    </row>
    <row r="882" ht="14.25" customHeight="1">
      <c r="A882" s="1">
        <v>879.0</v>
      </c>
      <c r="B882" s="1">
        <v>16.0</v>
      </c>
      <c r="C882" s="1" t="s">
        <v>2009</v>
      </c>
      <c r="D882" s="1" t="s">
        <v>61</v>
      </c>
      <c r="E882" s="1" t="s">
        <v>2010</v>
      </c>
      <c r="F882" s="1">
        <v>13.0</v>
      </c>
      <c r="G882" s="1" t="s">
        <v>1023</v>
      </c>
      <c r="H882" s="1" t="s">
        <v>1023</v>
      </c>
      <c r="I882" s="1" t="s">
        <v>1004</v>
      </c>
      <c r="J882" s="1" t="s">
        <v>1023</v>
      </c>
      <c r="M882" s="8"/>
      <c r="N882" s="116" t="str">
        <f t="shared" si="2"/>
        <v>#N/A</v>
      </c>
      <c r="Q882" s="8"/>
      <c r="R882" s="8"/>
      <c r="S882" s="8"/>
      <c r="T882" s="8"/>
    </row>
    <row r="883" ht="14.25" customHeight="1">
      <c r="A883" s="1">
        <v>880.0</v>
      </c>
      <c r="B883" s="1">
        <v>16.0</v>
      </c>
      <c r="C883" s="1" t="s">
        <v>2011</v>
      </c>
      <c r="D883" s="1" t="s">
        <v>202</v>
      </c>
      <c r="E883" s="1" t="s">
        <v>2012</v>
      </c>
      <c r="F883" s="1">
        <v>11.0</v>
      </c>
      <c r="G883" s="1" t="s">
        <v>1023</v>
      </c>
      <c r="H883" s="1" t="s">
        <v>1023</v>
      </c>
      <c r="I883" s="1" t="s">
        <v>1007</v>
      </c>
      <c r="J883" s="1" t="s">
        <v>1023</v>
      </c>
      <c r="M883" s="8"/>
      <c r="N883" s="116" t="str">
        <f t="shared" si="2"/>
        <v>#N/A</v>
      </c>
      <c r="Q883" s="8"/>
      <c r="R883" s="8"/>
      <c r="S883" s="8"/>
      <c r="T883" s="8"/>
    </row>
    <row r="884" ht="14.25" customHeight="1">
      <c r="A884" s="1">
        <v>881.0</v>
      </c>
      <c r="B884" s="1">
        <v>16.0</v>
      </c>
      <c r="C884" s="1" t="s">
        <v>2013</v>
      </c>
      <c r="D884" s="1" t="s">
        <v>222</v>
      </c>
      <c r="E884" s="1" t="s">
        <v>2014</v>
      </c>
      <c r="F884" s="1">
        <v>13.0</v>
      </c>
      <c r="G884" s="1" t="s">
        <v>1023</v>
      </c>
      <c r="H884" s="1" t="s">
        <v>1023</v>
      </c>
      <c r="I884" s="1" t="s">
        <v>1003</v>
      </c>
      <c r="J884" s="1" t="s">
        <v>1023</v>
      </c>
      <c r="M884" s="8"/>
      <c r="N884" s="116" t="str">
        <f t="shared" si="2"/>
        <v>#N/A</v>
      </c>
      <c r="Q884" s="8"/>
      <c r="R884" s="8"/>
      <c r="S884" s="8"/>
      <c r="T884" s="8"/>
    </row>
    <row r="885" ht="14.25" customHeight="1">
      <c r="A885" s="1">
        <v>882.0</v>
      </c>
      <c r="B885" s="1">
        <v>16.0</v>
      </c>
      <c r="C885" s="1" t="s">
        <v>2015</v>
      </c>
      <c r="D885" s="1" t="s">
        <v>140</v>
      </c>
      <c r="E885" s="1" t="s">
        <v>2016</v>
      </c>
      <c r="F885" s="1">
        <v>8.0</v>
      </c>
      <c r="G885" s="1" t="s">
        <v>1023</v>
      </c>
      <c r="H885" s="1" t="s">
        <v>1023</v>
      </c>
      <c r="I885" s="1" t="s">
        <v>1003</v>
      </c>
      <c r="J885" s="1" t="s">
        <v>1023</v>
      </c>
      <c r="M885" s="8"/>
      <c r="N885" s="116" t="str">
        <f t="shared" si="2"/>
        <v>#N/A</v>
      </c>
      <c r="Q885" s="8"/>
      <c r="R885" s="8"/>
      <c r="S885" s="8"/>
      <c r="T885" s="8"/>
    </row>
    <row r="886" ht="14.25" customHeight="1">
      <c r="A886" s="1">
        <v>883.0</v>
      </c>
      <c r="B886" s="1">
        <v>16.0</v>
      </c>
      <c r="C886" s="1" t="s">
        <v>2017</v>
      </c>
      <c r="D886" s="1" t="s">
        <v>217</v>
      </c>
      <c r="E886" s="1" t="s">
        <v>2018</v>
      </c>
      <c r="F886" s="1">
        <v>14.0</v>
      </c>
      <c r="G886" s="1" t="s">
        <v>1023</v>
      </c>
      <c r="H886" s="1" t="s">
        <v>1023</v>
      </c>
      <c r="I886" s="1" t="s">
        <v>1003</v>
      </c>
      <c r="J886" s="1" t="s">
        <v>1023</v>
      </c>
      <c r="M886" s="8"/>
      <c r="N886" s="116" t="str">
        <f t="shared" si="2"/>
        <v>#N/A</v>
      </c>
      <c r="Q886" s="8"/>
      <c r="R886" s="8"/>
      <c r="S886" s="8"/>
      <c r="T886" s="8"/>
    </row>
    <row r="887" ht="14.25" customHeight="1">
      <c r="M887" s="8"/>
      <c r="N887" s="8"/>
      <c r="Q887" s="8"/>
      <c r="R887" s="8"/>
      <c r="S887" s="8"/>
      <c r="T887" s="8"/>
    </row>
    <row r="888" ht="14.25" customHeight="1">
      <c r="M888" s="8"/>
      <c r="N888" s="8"/>
      <c r="Q888" s="8"/>
      <c r="R888" s="8"/>
      <c r="S888" s="8"/>
      <c r="T888" s="8"/>
    </row>
    <row r="889" ht="14.25" customHeight="1">
      <c r="M889" s="8"/>
      <c r="N889" s="8"/>
      <c r="Q889" s="8"/>
      <c r="R889" s="8"/>
      <c r="S889" s="8"/>
      <c r="T889" s="8"/>
    </row>
    <row r="890" ht="14.25" customHeight="1">
      <c r="M890" s="8"/>
      <c r="N890" s="8"/>
      <c r="Q890" s="8"/>
      <c r="R890" s="8"/>
      <c r="S890" s="8"/>
      <c r="T890" s="8"/>
    </row>
    <row r="891" ht="14.25" customHeight="1">
      <c r="M891" s="8"/>
      <c r="N891" s="8"/>
      <c r="Q891" s="8"/>
      <c r="R891" s="8"/>
      <c r="S891" s="8"/>
      <c r="T891" s="8"/>
    </row>
    <row r="892" ht="14.25" customHeight="1">
      <c r="M892" s="8"/>
      <c r="N892" s="8"/>
      <c r="Q892" s="8"/>
      <c r="R892" s="8"/>
      <c r="S892" s="8"/>
      <c r="T892" s="8"/>
    </row>
    <row r="893" ht="14.25" customHeight="1">
      <c r="M893" s="8"/>
      <c r="N893" s="8"/>
      <c r="Q893" s="8"/>
      <c r="R893" s="8"/>
      <c r="S893" s="8"/>
      <c r="T893" s="8"/>
    </row>
    <row r="894" ht="14.25" customHeight="1">
      <c r="M894" s="8"/>
      <c r="N894" s="8"/>
      <c r="Q894" s="8"/>
      <c r="R894" s="8"/>
      <c r="S894" s="8"/>
      <c r="T894" s="8"/>
    </row>
    <row r="895" ht="14.25" customHeight="1">
      <c r="M895" s="8"/>
      <c r="N895" s="8"/>
      <c r="Q895" s="8"/>
      <c r="R895" s="8"/>
      <c r="S895" s="8"/>
      <c r="T895" s="8"/>
    </row>
    <row r="896" ht="14.25" customHeight="1">
      <c r="M896" s="8"/>
      <c r="N896" s="8"/>
      <c r="Q896" s="8"/>
      <c r="R896" s="8"/>
      <c r="S896" s="8"/>
      <c r="T896" s="8"/>
    </row>
    <row r="897" ht="14.25" customHeight="1">
      <c r="M897" s="8"/>
      <c r="N897" s="8"/>
      <c r="Q897" s="8"/>
      <c r="R897" s="8"/>
      <c r="S897" s="8"/>
      <c r="T897" s="8"/>
    </row>
    <row r="898" ht="14.25" customHeight="1">
      <c r="M898" s="8"/>
      <c r="N898" s="8"/>
      <c r="Q898" s="8"/>
      <c r="R898" s="8"/>
      <c r="S898" s="8"/>
      <c r="T898" s="8"/>
    </row>
    <row r="899" ht="14.25" customHeight="1">
      <c r="M899" s="8"/>
      <c r="N899" s="8"/>
      <c r="Q899" s="8"/>
      <c r="R899" s="8"/>
      <c r="S899" s="8"/>
      <c r="T899" s="8"/>
    </row>
    <row r="900" ht="14.25" customHeight="1">
      <c r="M900" s="8"/>
      <c r="N900" s="8"/>
      <c r="Q900" s="8"/>
      <c r="R900" s="8"/>
      <c r="S900" s="8"/>
      <c r="T900" s="8"/>
    </row>
    <row r="901" ht="14.25" customHeight="1">
      <c r="M901" s="8"/>
      <c r="N901" s="8"/>
      <c r="Q901" s="8"/>
      <c r="R901" s="8"/>
      <c r="S901" s="8"/>
      <c r="T901" s="8"/>
    </row>
    <row r="902" ht="14.25" customHeight="1">
      <c r="M902" s="8"/>
      <c r="N902" s="8"/>
      <c r="Q902" s="8"/>
      <c r="R902" s="8"/>
      <c r="S902" s="8"/>
      <c r="T902" s="8"/>
    </row>
    <row r="903" ht="14.25" customHeight="1">
      <c r="M903" s="8"/>
      <c r="N903" s="8"/>
      <c r="Q903" s="8"/>
      <c r="R903" s="8"/>
      <c r="S903" s="8"/>
      <c r="T903" s="8"/>
    </row>
    <row r="904" ht="14.25" customHeight="1">
      <c r="M904" s="8"/>
      <c r="N904" s="8"/>
      <c r="Q904" s="8"/>
      <c r="R904" s="8"/>
      <c r="S904" s="8"/>
      <c r="T904" s="8"/>
    </row>
    <row r="905" ht="14.25" customHeight="1">
      <c r="M905" s="8"/>
      <c r="N905" s="8"/>
      <c r="Q905" s="8"/>
      <c r="R905" s="8"/>
      <c r="S905" s="8"/>
      <c r="T905" s="8"/>
    </row>
    <row r="906" ht="14.25" customHeight="1">
      <c r="M906" s="8"/>
      <c r="N906" s="8"/>
      <c r="Q906" s="8"/>
      <c r="R906" s="8"/>
      <c r="S906" s="8"/>
      <c r="T906" s="8"/>
    </row>
    <row r="907" ht="14.25" customHeight="1">
      <c r="M907" s="8"/>
      <c r="N907" s="8"/>
      <c r="Q907" s="8"/>
      <c r="R907" s="8"/>
      <c r="S907" s="8"/>
      <c r="T907" s="8"/>
    </row>
    <row r="908" ht="14.25" customHeight="1">
      <c r="M908" s="8"/>
      <c r="N908" s="8"/>
      <c r="Q908" s="8"/>
      <c r="R908" s="8"/>
      <c r="S908" s="8"/>
      <c r="T908" s="8"/>
    </row>
    <row r="909" ht="14.25" customHeight="1">
      <c r="M909" s="8"/>
      <c r="N909" s="8"/>
      <c r="Q909" s="8"/>
      <c r="R909" s="8"/>
      <c r="S909" s="8"/>
      <c r="T909" s="8"/>
    </row>
    <row r="910" ht="14.25" customHeight="1">
      <c r="M910" s="8"/>
      <c r="N910" s="8"/>
      <c r="Q910" s="8"/>
      <c r="R910" s="8"/>
      <c r="S910" s="8"/>
      <c r="T910" s="8"/>
    </row>
    <row r="911" ht="14.25" customHeight="1">
      <c r="M911" s="8"/>
      <c r="N911" s="8"/>
      <c r="Q911" s="8"/>
      <c r="R911" s="8"/>
      <c r="S911" s="8"/>
      <c r="T911" s="8"/>
    </row>
    <row r="912" ht="14.25" customHeight="1">
      <c r="M912" s="8"/>
      <c r="N912" s="8"/>
      <c r="Q912" s="8"/>
      <c r="R912" s="8"/>
      <c r="S912" s="8"/>
      <c r="T912" s="8"/>
    </row>
    <row r="913" ht="14.25" customHeight="1">
      <c r="M913" s="8"/>
      <c r="N913" s="8"/>
      <c r="Q913" s="8"/>
      <c r="R913" s="8"/>
      <c r="S913" s="8"/>
      <c r="T913" s="8"/>
    </row>
    <row r="914" ht="14.25" customHeight="1">
      <c r="M914" s="8"/>
      <c r="N914" s="8"/>
      <c r="Q914" s="8"/>
      <c r="R914" s="8"/>
      <c r="S914" s="8"/>
      <c r="T914" s="8"/>
    </row>
    <row r="915" ht="14.25" customHeight="1">
      <c r="M915" s="8"/>
      <c r="N915" s="8"/>
      <c r="Q915" s="8"/>
      <c r="R915" s="8"/>
      <c r="S915" s="8"/>
      <c r="T915" s="8"/>
    </row>
    <row r="916" ht="14.25" customHeight="1">
      <c r="M916" s="8"/>
      <c r="N916" s="8"/>
      <c r="Q916" s="8"/>
      <c r="R916" s="8"/>
      <c r="S916" s="8"/>
      <c r="T916" s="8"/>
    </row>
    <row r="917" ht="14.25" customHeight="1">
      <c r="M917" s="8"/>
      <c r="N917" s="8"/>
      <c r="Q917" s="8"/>
      <c r="R917" s="8"/>
      <c r="S917" s="8"/>
      <c r="T917" s="8"/>
    </row>
    <row r="918" ht="14.25" customHeight="1">
      <c r="M918" s="8"/>
      <c r="N918" s="8"/>
      <c r="Q918" s="8"/>
      <c r="R918" s="8"/>
      <c r="S918" s="8"/>
      <c r="T918" s="8"/>
    </row>
    <row r="919" ht="14.25" customHeight="1">
      <c r="M919" s="8"/>
      <c r="N919" s="8"/>
      <c r="Q919" s="8"/>
      <c r="R919" s="8"/>
      <c r="S919" s="8"/>
      <c r="T919" s="8"/>
    </row>
    <row r="920" ht="14.25" customHeight="1">
      <c r="M920" s="8"/>
      <c r="N920" s="8"/>
      <c r="Q920" s="8"/>
      <c r="R920" s="8"/>
      <c r="S920" s="8"/>
      <c r="T920" s="8"/>
    </row>
    <row r="921" ht="14.25" customHeight="1">
      <c r="M921" s="8"/>
      <c r="N921" s="8"/>
      <c r="Q921" s="8"/>
      <c r="R921" s="8"/>
      <c r="S921" s="8"/>
      <c r="T921" s="8"/>
    </row>
    <row r="922" ht="14.25" customHeight="1">
      <c r="M922" s="8"/>
      <c r="N922" s="8"/>
      <c r="Q922" s="8"/>
      <c r="R922" s="8"/>
      <c r="S922" s="8"/>
      <c r="T922" s="8"/>
    </row>
    <row r="923" ht="14.25" customHeight="1">
      <c r="M923" s="8"/>
      <c r="N923" s="8"/>
      <c r="Q923" s="8"/>
      <c r="R923" s="8"/>
      <c r="S923" s="8"/>
      <c r="T923" s="8"/>
    </row>
    <row r="924" ht="14.25" customHeight="1">
      <c r="M924" s="8"/>
      <c r="N924" s="8"/>
      <c r="Q924" s="8"/>
      <c r="R924" s="8"/>
      <c r="S924" s="8"/>
      <c r="T924" s="8"/>
    </row>
    <row r="925" ht="14.25" customHeight="1">
      <c r="M925" s="8"/>
      <c r="N925" s="8"/>
      <c r="Q925" s="8"/>
      <c r="R925" s="8"/>
      <c r="S925" s="8"/>
      <c r="T925" s="8"/>
    </row>
    <row r="926" ht="14.25" customHeight="1">
      <c r="M926" s="8"/>
      <c r="N926" s="8"/>
      <c r="Q926" s="8"/>
      <c r="R926" s="8"/>
      <c r="S926" s="8"/>
      <c r="T926" s="8"/>
    </row>
    <row r="927" ht="14.25" customHeight="1">
      <c r="M927" s="8"/>
      <c r="N927" s="8"/>
      <c r="Q927" s="8"/>
      <c r="R927" s="8"/>
      <c r="S927" s="8"/>
      <c r="T927" s="8"/>
    </row>
    <row r="928" ht="14.25" customHeight="1">
      <c r="M928" s="8"/>
      <c r="N928" s="8"/>
      <c r="Q928" s="8"/>
      <c r="R928" s="8"/>
      <c r="S928" s="8"/>
      <c r="T928" s="8"/>
    </row>
    <row r="929" ht="14.25" customHeight="1">
      <c r="M929" s="8"/>
      <c r="N929" s="8"/>
      <c r="Q929" s="8"/>
      <c r="R929" s="8"/>
      <c r="S929" s="8"/>
      <c r="T929" s="8"/>
    </row>
    <row r="930" ht="14.25" customHeight="1">
      <c r="M930" s="8"/>
      <c r="N930" s="8"/>
      <c r="Q930" s="8"/>
      <c r="R930" s="8"/>
      <c r="S930" s="8"/>
      <c r="T930" s="8"/>
    </row>
    <row r="931" ht="14.25" customHeight="1">
      <c r="M931" s="8"/>
      <c r="N931" s="8"/>
      <c r="Q931" s="8"/>
      <c r="R931" s="8"/>
      <c r="S931" s="8"/>
      <c r="T931" s="8"/>
    </row>
    <row r="932" ht="14.25" customHeight="1">
      <c r="M932" s="8"/>
      <c r="N932" s="8"/>
      <c r="Q932" s="8"/>
      <c r="R932" s="8"/>
      <c r="S932" s="8"/>
      <c r="T932" s="8"/>
    </row>
    <row r="933" ht="14.25" customHeight="1">
      <c r="M933" s="8"/>
      <c r="N933" s="8"/>
      <c r="Q933" s="8"/>
      <c r="R933" s="8"/>
      <c r="S933" s="8"/>
      <c r="T933" s="8"/>
    </row>
    <row r="934" ht="14.25" customHeight="1">
      <c r="M934" s="8"/>
      <c r="N934" s="8"/>
      <c r="Q934" s="8"/>
      <c r="R934" s="8"/>
      <c r="S934" s="8"/>
      <c r="T934" s="8"/>
    </row>
    <row r="935" ht="14.25" customHeight="1">
      <c r="M935" s="8"/>
      <c r="N935" s="8"/>
      <c r="Q935" s="8"/>
      <c r="R935" s="8"/>
      <c r="S935" s="8"/>
      <c r="T935" s="8"/>
    </row>
    <row r="936" ht="14.25" customHeight="1">
      <c r="M936" s="8"/>
      <c r="N936" s="8"/>
      <c r="Q936" s="8"/>
      <c r="R936" s="8"/>
      <c r="S936" s="8"/>
      <c r="T936" s="8"/>
    </row>
    <row r="937" ht="14.25" customHeight="1">
      <c r="M937" s="8"/>
      <c r="N937" s="8"/>
      <c r="Q937" s="8"/>
      <c r="R937" s="8"/>
      <c r="S937" s="8"/>
      <c r="T937" s="8"/>
    </row>
    <row r="938" ht="14.25" customHeight="1">
      <c r="M938" s="8"/>
      <c r="N938" s="8"/>
      <c r="Q938" s="8"/>
      <c r="R938" s="8"/>
      <c r="S938" s="8"/>
      <c r="T938" s="8"/>
    </row>
    <row r="939" ht="14.25" customHeight="1">
      <c r="M939" s="8"/>
      <c r="N939" s="8"/>
      <c r="Q939" s="8"/>
      <c r="R939" s="8"/>
      <c r="S939" s="8"/>
      <c r="T939" s="8"/>
    </row>
    <row r="940" ht="14.25" customHeight="1">
      <c r="M940" s="8"/>
      <c r="N940" s="8"/>
      <c r="Q940" s="8"/>
      <c r="R940" s="8"/>
      <c r="S940" s="8"/>
      <c r="T940" s="8"/>
    </row>
    <row r="941" ht="14.25" customHeight="1">
      <c r="M941" s="8"/>
      <c r="N941" s="8"/>
      <c r="Q941" s="8"/>
      <c r="R941" s="8"/>
      <c r="S941" s="8"/>
      <c r="T941" s="8"/>
    </row>
    <row r="942" ht="14.25" customHeight="1">
      <c r="M942" s="8"/>
      <c r="N942" s="8"/>
      <c r="Q942" s="8"/>
      <c r="R942" s="8"/>
      <c r="S942" s="8"/>
      <c r="T942" s="8"/>
    </row>
    <row r="943" ht="14.25" customHeight="1">
      <c r="M943" s="8"/>
      <c r="N943" s="8"/>
      <c r="Q943" s="8"/>
      <c r="R943" s="8"/>
      <c r="S943" s="8"/>
      <c r="T943" s="8"/>
    </row>
    <row r="944" ht="14.25" customHeight="1">
      <c r="M944" s="8"/>
      <c r="N944" s="8"/>
      <c r="Q944" s="8"/>
      <c r="R944" s="8"/>
      <c r="S944" s="8"/>
      <c r="T944" s="8"/>
    </row>
    <row r="945" ht="14.25" customHeight="1">
      <c r="M945" s="8"/>
      <c r="N945" s="8"/>
      <c r="Q945" s="8"/>
      <c r="R945" s="8"/>
      <c r="S945" s="8"/>
      <c r="T945" s="8"/>
    </row>
    <row r="946" ht="14.25" customHeight="1">
      <c r="M946" s="8"/>
      <c r="N946" s="8"/>
      <c r="Q946" s="8"/>
      <c r="R946" s="8"/>
      <c r="S946" s="8"/>
      <c r="T946" s="8"/>
    </row>
    <row r="947" ht="14.25" customHeight="1">
      <c r="M947" s="8"/>
      <c r="N947" s="8"/>
      <c r="Q947" s="8"/>
      <c r="R947" s="8"/>
      <c r="S947" s="8"/>
      <c r="T947" s="8"/>
    </row>
    <row r="948" ht="14.25" customHeight="1">
      <c r="M948" s="8"/>
      <c r="N948" s="8"/>
      <c r="Q948" s="8"/>
      <c r="R948" s="8"/>
      <c r="S948" s="8"/>
      <c r="T948" s="8"/>
    </row>
    <row r="949" ht="14.25" customHeight="1">
      <c r="M949" s="8"/>
      <c r="N949" s="8"/>
      <c r="Q949" s="8"/>
      <c r="R949" s="8"/>
      <c r="S949" s="8"/>
      <c r="T949" s="8"/>
    </row>
    <row r="950" ht="14.25" customHeight="1">
      <c r="M950" s="8"/>
      <c r="N950" s="8"/>
      <c r="Q950" s="8"/>
      <c r="R950" s="8"/>
      <c r="S950" s="8"/>
      <c r="T950" s="8"/>
    </row>
    <row r="951" ht="14.25" customHeight="1">
      <c r="M951" s="8"/>
      <c r="N951" s="8"/>
      <c r="Q951" s="8"/>
      <c r="R951" s="8"/>
      <c r="S951" s="8"/>
      <c r="T951" s="8"/>
    </row>
    <row r="952" ht="14.25" customHeight="1">
      <c r="M952" s="8"/>
      <c r="N952" s="8"/>
      <c r="Q952" s="8"/>
      <c r="R952" s="8"/>
      <c r="S952" s="8"/>
      <c r="T952" s="8"/>
    </row>
    <row r="953" ht="14.25" customHeight="1">
      <c r="M953" s="8"/>
      <c r="N953" s="8"/>
      <c r="Q953" s="8"/>
      <c r="R953" s="8"/>
      <c r="S953" s="8"/>
      <c r="T953" s="8"/>
    </row>
    <row r="954" ht="14.25" customHeight="1">
      <c r="M954" s="8"/>
      <c r="N954" s="8"/>
      <c r="Q954" s="8"/>
      <c r="R954" s="8"/>
      <c r="S954" s="8"/>
      <c r="T954" s="8"/>
    </row>
    <row r="955" ht="14.25" customHeight="1">
      <c r="M955" s="8"/>
      <c r="N955" s="8"/>
      <c r="Q955" s="8"/>
      <c r="R955" s="8"/>
      <c r="S955" s="8"/>
      <c r="T955" s="8"/>
    </row>
    <row r="956" ht="14.25" customHeight="1">
      <c r="M956" s="8"/>
      <c r="N956" s="8"/>
      <c r="Q956" s="8"/>
      <c r="R956" s="8"/>
      <c r="S956" s="8"/>
      <c r="T956" s="8"/>
    </row>
    <row r="957" ht="14.25" customHeight="1">
      <c r="M957" s="8"/>
      <c r="N957" s="8"/>
      <c r="Q957" s="8"/>
      <c r="R957" s="8"/>
      <c r="S957" s="8"/>
      <c r="T957" s="8"/>
    </row>
    <row r="958" ht="14.25" customHeight="1">
      <c r="M958" s="8"/>
      <c r="N958" s="8"/>
      <c r="Q958" s="8"/>
      <c r="R958" s="8"/>
      <c r="S958" s="8"/>
      <c r="T958" s="8"/>
    </row>
    <row r="959" ht="14.25" customHeight="1">
      <c r="M959" s="8"/>
      <c r="N959" s="8"/>
      <c r="Q959" s="8"/>
      <c r="R959" s="8"/>
      <c r="S959" s="8"/>
      <c r="T959" s="8"/>
    </row>
    <row r="960" ht="14.25" customHeight="1">
      <c r="M960" s="8"/>
      <c r="N960" s="8"/>
      <c r="Q960" s="8"/>
      <c r="R960" s="8"/>
      <c r="S960" s="8"/>
      <c r="T960" s="8"/>
    </row>
    <row r="961" ht="14.25" customHeight="1">
      <c r="M961" s="8"/>
      <c r="N961" s="8"/>
      <c r="Q961" s="8"/>
      <c r="R961" s="8"/>
      <c r="S961" s="8"/>
      <c r="T961" s="8"/>
    </row>
    <row r="962" ht="14.25" customHeight="1">
      <c r="M962" s="8"/>
      <c r="N962" s="8"/>
      <c r="Q962" s="8"/>
      <c r="R962" s="8"/>
      <c r="S962" s="8"/>
      <c r="T962" s="8"/>
    </row>
    <row r="963" ht="14.25" customHeight="1">
      <c r="M963" s="8"/>
      <c r="N963" s="8"/>
      <c r="Q963" s="8"/>
      <c r="R963" s="8"/>
      <c r="S963" s="8"/>
      <c r="T963" s="8"/>
    </row>
    <row r="964" ht="14.25" customHeight="1">
      <c r="M964" s="8"/>
      <c r="N964" s="8"/>
      <c r="Q964" s="8"/>
      <c r="R964" s="8"/>
      <c r="S964" s="8"/>
      <c r="T964" s="8"/>
    </row>
    <row r="965" ht="14.25" customHeight="1">
      <c r="M965" s="8"/>
      <c r="N965" s="8"/>
      <c r="Q965" s="8"/>
      <c r="R965" s="8"/>
      <c r="S965" s="8"/>
      <c r="T965" s="8"/>
    </row>
    <row r="966" ht="14.25" customHeight="1">
      <c r="M966" s="8"/>
      <c r="N966" s="8"/>
      <c r="Q966" s="8"/>
      <c r="R966" s="8"/>
      <c r="S966" s="8"/>
      <c r="T966" s="8"/>
    </row>
    <row r="967" ht="14.25" customHeight="1">
      <c r="M967" s="8"/>
      <c r="N967" s="8"/>
      <c r="Q967" s="8"/>
      <c r="R967" s="8"/>
      <c r="S967" s="8"/>
      <c r="T967" s="8"/>
    </row>
    <row r="968" ht="14.25" customHeight="1">
      <c r="M968" s="8"/>
      <c r="N968" s="8"/>
      <c r="Q968" s="8"/>
      <c r="R968" s="8"/>
      <c r="S968" s="8"/>
      <c r="T968" s="8"/>
    </row>
    <row r="969" ht="14.25" customHeight="1">
      <c r="M969" s="8"/>
      <c r="N969" s="8"/>
      <c r="Q969" s="8"/>
      <c r="R969" s="8"/>
      <c r="S969" s="8"/>
      <c r="T969" s="8"/>
    </row>
    <row r="970" ht="14.25" customHeight="1">
      <c r="M970" s="8"/>
      <c r="N970" s="8"/>
      <c r="Q970" s="8"/>
      <c r="R970" s="8"/>
      <c r="S970" s="8"/>
      <c r="T970" s="8"/>
    </row>
    <row r="971" ht="14.25" customHeight="1">
      <c r="M971" s="8"/>
      <c r="N971" s="8"/>
      <c r="Q971" s="8"/>
      <c r="R971" s="8"/>
      <c r="S971" s="8"/>
      <c r="T971" s="8"/>
    </row>
    <row r="972" ht="14.25" customHeight="1">
      <c r="M972" s="8"/>
      <c r="N972" s="8"/>
      <c r="Q972" s="8"/>
      <c r="R972" s="8"/>
      <c r="S972" s="8"/>
      <c r="T972" s="8"/>
    </row>
    <row r="973" ht="14.25" customHeight="1">
      <c r="M973" s="8"/>
      <c r="N973" s="8"/>
      <c r="Q973" s="8"/>
      <c r="R973" s="8"/>
      <c r="S973" s="8"/>
      <c r="T973" s="8"/>
    </row>
    <row r="974" ht="14.25" customHeight="1">
      <c r="M974" s="8"/>
      <c r="N974" s="8"/>
      <c r="Q974" s="8"/>
      <c r="R974" s="8"/>
      <c r="S974" s="8"/>
      <c r="T974" s="8"/>
    </row>
    <row r="975" ht="14.25" customHeight="1">
      <c r="M975" s="8"/>
      <c r="N975" s="8"/>
      <c r="Q975" s="8"/>
      <c r="R975" s="8"/>
      <c r="S975" s="8"/>
      <c r="T975" s="8"/>
    </row>
    <row r="976" ht="14.25" customHeight="1">
      <c r="M976" s="8"/>
      <c r="N976" s="8"/>
      <c r="Q976" s="8"/>
      <c r="R976" s="8"/>
      <c r="S976" s="8"/>
      <c r="T976" s="8"/>
    </row>
    <row r="977" ht="14.25" customHeight="1">
      <c r="M977" s="8"/>
      <c r="N977" s="8"/>
      <c r="Q977" s="8"/>
      <c r="R977" s="8"/>
      <c r="S977" s="8"/>
      <c r="T977" s="8"/>
    </row>
    <row r="978" ht="14.25" customHeight="1">
      <c r="M978" s="8"/>
      <c r="N978" s="8"/>
      <c r="Q978" s="8"/>
      <c r="R978" s="8"/>
      <c r="S978" s="8"/>
      <c r="T978" s="8"/>
    </row>
    <row r="979" ht="14.25" customHeight="1">
      <c r="M979" s="8"/>
      <c r="N979" s="8"/>
      <c r="Q979" s="8"/>
      <c r="R979" s="8"/>
      <c r="S979" s="8"/>
      <c r="T979" s="8"/>
    </row>
    <row r="980" ht="14.25" customHeight="1">
      <c r="M980" s="8"/>
      <c r="N980" s="8"/>
      <c r="Q980" s="8"/>
      <c r="R980" s="8"/>
      <c r="S980" s="8"/>
      <c r="T980" s="8"/>
    </row>
    <row r="981" ht="14.25" customHeight="1">
      <c r="M981" s="8"/>
      <c r="N981" s="8"/>
      <c r="Q981" s="8"/>
      <c r="R981" s="8"/>
      <c r="S981" s="8"/>
      <c r="T981" s="8"/>
    </row>
    <row r="982" ht="14.25" customHeight="1">
      <c r="M982" s="8"/>
      <c r="N982" s="8"/>
      <c r="Q982" s="8"/>
      <c r="R982" s="8"/>
      <c r="S982" s="8"/>
      <c r="T982" s="8"/>
    </row>
    <row r="983" ht="14.25" customHeight="1">
      <c r="M983" s="8"/>
      <c r="N983" s="8"/>
      <c r="Q983" s="8"/>
      <c r="R983" s="8"/>
      <c r="S983" s="8"/>
      <c r="T983" s="8"/>
    </row>
    <row r="984" ht="14.25" customHeight="1">
      <c r="M984" s="8"/>
      <c r="N984" s="8"/>
      <c r="Q984" s="8"/>
      <c r="R984" s="8"/>
      <c r="S984" s="8"/>
      <c r="T984" s="8"/>
    </row>
    <row r="985" ht="14.25" customHeight="1">
      <c r="M985" s="8"/>
      <c r="N985" s="8"/>
      <c r="Q985" s="8"/>
      <c r="R985" s="8"/>
      <c r="S985" s="8"/>
      <c r="T985" s="8"/>
    </row>
    <row r="986" ht="14.25" customHeight="1">
      <c r="M986" s="8"/>
      <c r="N986" s="8"/>
      <c r="Q986" s="8"/>
      <c r="R986" s="8"/>
      <c r="S986" s="8"/>
      <c r="T986" s="8"/>
    </row>
    <row r="987" ht="14.25" customHeight="1">
      <c r="M987" s="8"/>
      <c r="N987" s="8"/>
      <c r="Q987" s="8"/>
      <c r="R987" s="8"/>
      <c r="S987" s="8"/>
      <c r="T987" s="8"/>
    </row>
    <row r="988" ht="14.25" customHeight="1">
      <c r="M988" s="8"/>
      <c r="N988" s="8"/>
      <c r="Q988" s="8"/>
      <c r="R988" s="8"/>
      <c r="S988" s="8"/>
      <c r="T988" s="8"/>
    </row>
    <row r="989" ht="14.25" customHeight="1">
      <c r="M989" s="8"/>
      <c r="N989" s="8"/>
      <c r="Q989" s="8"/>
      <c r="R989" s="8"/>
      <c r="S989" s="8"/>
      <c r="T989" s="8"/>
    </row>
    <row r="990" ht="14.25" customHeight="1">
      <c r="M990" s="8"/>
      <c r="N990" s="8"/>
      <c r="Q990" s="8"/>
      <c r="R990" s="8"/>
      <c r="S990" s="8"/>
      <c r="T990" s="8"/>
    </row>
    <row r="991" ht="14.25" customHeight="1">
      <c r="M991" s="8"/>
      <c r="N991" s="8"/>
      <c r="Q991" s="8"/>
      <c r="R991" s="8"/>
      <c r="S991" s="8"/>
      <c r="T991" s="8"/>
    </row>
    <row r="992" ht="14.25" customHeight="1">
      <c r="M992" s="8"/>
      <c r="N992" s="8"/>
      <c r="Q992" s="8"/>
      <c r="R992" s="8"/>
      <c r="S992" s="8"/>
      <c r="T992" s="8"/>
    </row>
    <row r="993" ht="14.25" customHeight="1">
      <c r="M993" s="8"/>
      <c r="N993" s="8"/>
      <c r="Q993" s="8"/>
      <c r="R993" s="8"/>
      <c r="S993" s="8"/>
      <c r="T993" s="8"/>
    </row>
    <row r="994" ht="14.25" customHeight="1">
      <c r="M994" s="8"/>
      <c r="N994" s="8"/>
      <c r="Q994" s="8"/>
      <c r="R994" s="8"/>
      <c r="S994" s="8"/>
      <c r="T994" s="8"/>
    </row>
    <row r="995" ht="14.25" customHeight="1">
      <c r="M995" s="8"/>
      <c r="N995" s="8"/>
      <c r="Q995" s="8"/>
      <c r="R995" s="8"/>
      <c r="S995" s="8"/>
      <c r="T995" s="8"/>
    </row>
    <row r="996" ht="14.25" customHeight="1">
      <c r="M996" s="8"/>
      <c r="N996" s="8"/>
      <c r="Q996" s="8"/>
      <c r="R996" s="8"/>
      <c r="S996" s="8"/>
      <c r="T996" s="8"/>
    </row>
    <row r="997" ht="14.25" customHeight="1">
      <c r="M997" s="8"/>
      <c r="N997" s="8"/>
      <c r="Q997" s="8"/>
      <c r="R997" s="8"/>
      <c r="S997" s="8"/>
      <c r="T997" s="8"/>
    </row>
    <row r="998" ht="14.25" customHeight="1">
      <c r="M998" s="8"/>
      <c r="N998" s="8"/>
      <c r="Q998" s="8"/>
      <c r="R998" s="8"/>
      <c r="S998" s="8"/>
      <c r="T998" s="8"/>
    </row>
    <row r="999" ht="14.25" customHeight="1">
      <c r="M999" s="8"/>
      <c r="N999" s="8"/>
      <c r="Q999" s="8"/>
      <c r="R999" s="8"/>
      <c r="S999" s="8"/>
      <c r="T999" s="8"/>
    </row>
    <row r="1000" ht="14.25" customHeight="1">
      <c r="M1000" s="8"/>
      <c r="N1000" s="8"/>
      <c r="Q1000" s="8"/>
      <c r="R1000" s="8"/>
      <c r="S1000" s="8"/>
      <c r="T1000" s="8"/>
    </row>
  </sheetData>
  <conditionalFormatting sqref="M2:M8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1.25"/>
    <col customWidth="1" min="3" max="3" width="8.88"/>
    <col customWidth="1" min="4" max="4" width="15.5"/>
    <col customWidth="1" min="5" max="10" width="8.88"/>
    <col customWidth="1" min="11" max="11" width="20.38"/>
    <col customWidth="1" min="12" max="12" width="19.88"/>
    <col customWidth="1" min="13" max="13" width="19.0"/>
    <col customWidth="1" min="14" max="14" width="17.0"/>
    <col customWidth="1" min="15" max="15" width="19.63"/>
    <col customWidth="1" min="16" max="26" width="8.5"/>
  </cols>
  <sheetData>
    <row r="1" ht="14.25" customHeight="1">
      <c r="A1" s="1" t="s">
        <v>1038</v>
      </c>
      <c r="B1" s="1" t="s">
        <v>1039</v>
      </c>
    </row>
    <row r="2" ht="14.25" customHeight="1">
      <c r="A2" s="8" t="s">
        <v>89</v>
      </c>
      <c r="B2" s="124">
        <v>1.7985000000000007</v>
      </c>
      <c r="D2" s="126"/>
      <c r="N2" s="8"/>
      <c r="O2" s="125"/>
    </row>
    <row r="3" ht="14.25" customHeight="1">
      <c r="A3" s="8" t="s">
        <v>141</v>
      </c>
      <c r="B3" s="124">
        <v>1.7645999999999997</v>
      </c>
      <c r="D3" s="126"/>
      <c r="G3" s="127"/>
      <c r="H3" s="128"/>
      <c r="N3" s="8"/>
      <c r="O3" s="125"/>
    </row>
    <row r="4" ht="14.25" customHeight="1">
      <c r="A4" s="8" t="s">
        <v>166</v>
      </c>
      <c r="B4" s="124">
        <v>1.7403000000000013</v>
      </c>
      <c r="D4" s="126"/>
      <c r="G4" s="127"/>
      <c r="H4" s="128"/>
      <c r="N4" s="8"/>
      <c r="O4" s="125"/>
    </row>
    <row r="5" ht="14.25" customHeight="1">
      <c r="A5" s="8" t="s">
        <v>184</v>
      </c>
      <c r="B5" s="124">
        <v>1.7256</v>
      </c>
      <c r="D5" s="126"/>
      <c r="G5" s="127"/>
      <c r="H5" s="128"/>
      <c r="N5" s="8"/>
      <c r="O5" s="125"/>
    </row>
    <row r="6" ht="14.25" customHeight="1">
      <c r="A6" s="8" t="s">
        <v>197</v>
      </c>
      <c r="B6" s="124">
        <v>1.7205000000000013</v>
      </c>
      <c r="D6" s="126"/>
      <c r="G6" s="127"/>
      <c r="H6" s="128"/>
    </row>
    <row r="7" ht="14.25" customHeight="1">
      <c r="A7" s="8" t="s">
        <v>211</v>
      </c>
      <c r="B7" s="124">
        <v>1.7249999999999996</v>
      </c>
      <c r="D7" s="126"/>
      <c r="G7" s="127"/>
      <c r="H7" s="128"/>
    </row>
    <row r="8" ht="14.25" customHeight="1">
      <c r="A8" s="8" t="s">
        <v>223</v>
      </c>
      <c r="B8" s="124">
        <v>1.7391000000000005</v>
      </c>
      <c r="D8" s="126"/>
      <c r="G8" s="127"/>
      <c r="H8" s="128"/>
    </row>
    <row r="9" ht="14.25" customHeight="1">
      <c r="A9" s="8" t="s">
        <v>233</v>
      </c>
      <c r="B9" s="124">
        <v>1.7628000000000004</v>
      </c>
      <c r="D9" s="126"/>
      <c r="G9" s="127"/>
      <c r="H9" s="128"/>
    </row>
    <row r="10" ht="14.25" customHeight="1">
      <c r="A10" s="8" t="s">
        <v>241</v>
      </c>
      <c r="B10" s="124">
        <v>1.796100000000001</v>
      </c>
      <c r="D10" s="126"/>
      <c r="G10" s="127"/>
      <c r="H10" s="128"/>
    </row>
    <row r="11" ht="14.25" customHeight="1">
      <c r="A11" s="8" t="s">
        <v>249</v>
      </c>
      <c r="B11" s="124">
        <v>1.8390000000000004</v>
      </c>
      <c r="D11" s="126"/>
      <c r="G11" s="127"/>
      <c r="H11" s="128"/>
    </row>
    <row r="12" ht="14.25" customHeight="1">
      <c r="A12" s="8" t="s">
        <v>257</v>
      </c>
      <c r="B12" s="124">
        <v>1.8915000000000006</v>
      </c>
      <c r="D12" s="126"/>
      <c r="G12" s="127"/>
      <c r="H12" s="128"/>
    </row>
    <row r="13" ht="14.25" customHeight="1">
      <c r="A13" s="8" t="s">
        <v>265</v>
      </c>
      <c r="B13" s="124">
        <v>1.9535999999999998</v>
      </c>
      <c r="D13" s="126"/>
      <c r="G13" s="127"/>
      <c r="H13" s="128"/>
    </row>
    <row r="14" ht="14.25" customHeight="1">
      <c r="A14" s="8" t="s">
        <v>274</v>
      </c>
      <c r="B14" s="124">
        <v>2.0252999999999997</v>
      </c>
      <c r="D14" s="126"/>
      <c r="G14" s="127"/>
      <c r="H14" s="128"/>
    </row>
    <row r="15" ht="14.25" customHeight="1">
      <c r="A15" s="8" t="s">
        <v>282</v>
      </c>
      <c r="B15" s="124">
        <v>2.1066000000000003</v>
      </c>
      <c r="D15" s="126"/>
      <c r="G15" s="127"/>
      <c r="H15" s="128"/>
    </row>
    <row r="16" ht="14.25" customHeight="1">
      <c r="A16" s="8" t="s">
        <v>290</v>
      </c>
      <c r="B16" s="124">
        <v>2.1975</v>
      </c>
      <c r="D16" s="126"/>
      <c r="G16" s="127"/>
      <c r="H16" s="128"/>
    </row>
    <row r="17" ht="14.25" customHeight="1">
      <c r="A17" s="8" t="s">
        <v>298</v>
      </c>
      <c r="B17" s="124">
        <v>2.298</v>
      </c>
      <c r="D17" s="126"/>
      <c r="G17" s="127"/>
      <c r="H17" s="128"/>
    </row>
    <row r="18" ht="14.25" customHeight="1">
      <c r="A18" s="8" t="s">
        <v>306</v>
      </c>
      <c r="B18" s="124">
        <v>2.408100000000001</v>
      </c>
      <c r="D18" s="126"/>
      <c r="G18" s="127"/>
      <c r="H18" s="128"/>
    </row>
    <row r="19" ht="14.25" customHeight="1">
      <c r="A19" s="8" t="s">
        <v>315</v>
      </c>
      <c r="B19" s="124">
        <v>2.527800000000001</v>
      </c>
      <c r="D19" s="126"/>
      <c r="G19" s="127"/>
      <c r="H19" s="128"/>
    </row>
    <row r="20" ht="14.25" customHeight="1">
      <c r="A20" s="8" t="s">
        <v>323</v>
      </c>
      <c r="B20" s="124">
        <v>2.6571</v>
      </c>
      <c r="D20" s="126"/>
      <c r="G20" s="127"/>
      <c r="H20" s="128"/>
    </row>
    <row r="21" ht="14.25" customHeight="1">
      <c r="A21" s="8" t="s">
        <v>330</v>
      </c>
      <c r="B21" s="124">
        <v>2.796000000000001</v>
      </c>
      <c r="D21" s="126"/>
      <c r="G21" s="127"/>
      <c r="H21" s="128"/>
    </row>
    <row r="22" ht="14.25" customHeight="1">
      <c r="A22" s="8" t="s">
        <v>334</v>
      </c>
      <c r="B22" s="124">
        <v>2.9445000000000014</v>
      </c>
      <c r="D22" s="126"/>
      <c r="G22" s="127"/>
      <c r="H22" s="128"/>
    </row>
    <row r="23" ht="14.25" customHeight="1">
      <c r="A23" s="8" t="s">
        <v>338</v>
      </c>
      <c r="B23" s="124">
        <v>3.1026000000000007</v>
      </c>
      <c r="D23" s="126"/>
      <c r="G23" s="127"/>
      <c r="H23" s="128"/>
    </row>
    <row r="24" ht="14.25" customHeight="1">
      <c r="A24" s="8" t="s">
        <v>342</v>
      </c>
      <c r="B24" s="124">
        <v>3.2</v>
      </c>
      <c r="D24" s="126"/>
      <c r="G24" s="127"/>
      <c r="H24" s="128"/>
    </row>
    <row r="25" ht="14.25" customHeight="1">
      <c r="A25" s="8" t="s">
        <v>346</v>
      </c>
      <c r="B25" s="124">
        <v>3.2</v>
      </c>
      <c r="D25" s="126"/>
      <c r="G25" s="127"/>
      <c r="H25" s="128"/>
    </row>
    <row r="26" ht="14.25" customHeight="1">
      <c r="A26" s="8" t="s">
        <v>350</v>
      </c>
      <c r="B26" s="124">
        <v>3.2</v>
      </c>
      <c r="D26" s="126"/>
      <c r="G26" s="127"/>
      <c r="H26" s="128"/>
    </row>
    <row r="27" ht="14.25" customHeight="1">
      <c r="A27" s="8" t="s">
        <v>354</v>
      </c>
      <c r="B27" s="124">
        <v>3.2</v>
      </c>
      <c r="D27" s="126"/>
      <c r="G27" s="127"/>
      <c r="H27" s="128"/>
    </row>
    <row r="28" ht="14.25" customHeight="1">
      <c r="A28" s="8" t="s">
        <v>358</v>
      </c>
      <c r="B28" s="124">
        <v>3.2</v>
      </c>
      <c r="D28" s="126"/>
      <c r="G28" s="127"/>
      <c r="H28" s="128"/>
    </row>
    <row r="29" ht="14.25" customHeight="1">
      <c r="A29" s="8" t="s">
        <v>362</v>
      </c>
      <c r="B29" s="124">
        <v>3.2</v>
      </c>
      <c r="D29" s="126"/>
      <c r="G29" s="127"/>
      <c r="H29" s="128"/>
    </row>
    <row r="30" ht="14.25" customHeight="1">
      <c r="A30" s="8" t="s">
        <v>366</v>
      </c>
      <c r="B30" s="124">
        <v>3.2</v>
      </c>
      <c r="D30" s="126"/>
      <c r="G30" s="127"/>
      <c r="H30" s="128"/>
    </row>
    <row r="31" ht="14.25" customHeight="1">
      <c r="A31" s="8" t="s">
        <v>370</v>
      </c>
      <c r="B31" s="124">
        <v>3.2</v>
      </c>
      <c r="D31" s="126"/>
      <c r="G31" s="127"/>
      <c r="H31" s="128"/>
    </row>
    <row r="32" ht="14.25" customHeight="1">
      <c r="A32" s="8" t="s">
        <v>374</v>
      </c>
      <c r="B32" s="124">
        <v>3.2</v>
      </c>
      <c r="D32" s="126"/>
      <c r="G32" s="127"/>
      <c r="H32" s="128"/>
    </row>
    <row r="33" ht="14.25" customHeight="1">
      <c r="A33" s="8" t="s">
        <v>378</v>
      </c>
      <c r="B33" s="124">
        <v>3.2</v>
      </c>
      <c r="D33" s="126"/>
      <c r="G33" s="127"/>
      <c r="H33" s="128"/>
    </row>
    <row r="34" ht="14.25" customHeight="1">
      <c r="A34" s="8" t="s">
        <v>382</v>
      </c>
      <c r="B34" s="124">
        <v>3.2</v>
      </c>
      <c r="D34" s="126"/>
      <c r="G34" s="127"/>
      <c r="H34" s="128"/>
    </row>
    <row r="35" ht="14.25" customHeight="1">
      <c r="A35" s="8" t="s">
        <v>389</v>
      </c>
      <c r="B35" s="124">
        <v>3.2</v>
      </c>
      <c r="D35" s="126"/>
      <c r="G35" s="127"/>
      <c r="H35" s="127"/>
    </row>
    <row r="36" ht="14.25" customHeight="1">
      <c r="A36" s="8" t="s">
        <v>397</v>
      </c>
      <c r="B36" s="124">
        <v>3.2</v>
      </c>
      <c r="D36" s="126"/>
      <c r="G36" s="127"/>
      <c r="H36" s="127"/>
    </row>
    <row r="37" ht="14.25" customHeight="1">
      <c r="A37" s="8" t="s">
        <v>404</v>
      </c>
      <c r="B37" s="124">
        <v>3.2</v>
      </c>
      <c r="D37" s="126"/>
      <c r="G37" s="127"/>
      <c r="H37" s="127"/>
    </row>
    <row r="38" ht="14.25" customHeight="1">
      <c r="A38" s="8" t="s">
        <v>412</v>
      </c>
      <c r="B38" s="124">
        <v>3.2</v>
      </c>
      <c r="D38" s="126"/>
      <c r="G38" s="127"/>
      <c r="H38" s="127"/>
    </row>
    <row r="39" ht="14.25" customHeight="1">
      <c r="A39" s="8" t="s">
        <v>420</v>
      </c>
      <c r="B39" s="124">
        <v>3.2</v>
      </c>
      <c r="D39" s="126"/>
      <c r="G39" s="127"/>
      <c r="H39" s="127"/>
    </row>
    <row r="40" ht="14.25" customHeight="1">
      <c r="A40" s="8" t="s">
        <v>427</v>
      </c>
      <c r="B40" s="124">
        <v>3.2</v>
      </c>
      <c r="D40" s="126"/>
      <c r="G40" s="127"/>
      <c r="H40" s="127"/>
    </row>
    <row r="41" ht="14.25" customHeight="1">
      <c r="A41" s="8" t="s">
        <v>435</v>
      </c>
      <c r="B41" s="124">
        <v>3.2</v>
      </c>
      <c r="D41" s="126"/>
      <c r="G41" s="127"/>
      <c r="H41" s="127"/>
    </row>
    <row r="42" ht="14.25" customHeight="1">
      <c r="A42" s="8" t="s">
        <v>443</v>
      </c>
      <c r="B42" s="124">
        <v>3.2</v>
      </c>
      <c r="D42" s="126"/>
      <c r="G42" s="127"/>
      <c r="H42" s="127"/>
    </row>
    <row r="43" ht="14.25" customHeight="1">
      <c r="A43" s="8" t="s">
        <v>450</v>
      </c>
      <c r="B43" s="124">
        <v>3.2</v>
      </c>
      <c r="D43" s="126"/>
      <c r="G43" s="127"/>
      <c r="H43" s="127"/>
    </row>
    <row r="44" ht="14.25" customHeight="1">
      <c r="A44" s="8" t="s">
        <v>458</v>
      </c>
      <c r="B44" s="124">
        <v>3.2</v>
      </c>
      <c r="D44" s="126"/>
      <c r="G44" s="127"/>
      <c r="H44" s="127"/>
    </row>
    <row r="45" ht="14.25" customHeight="1">
      <c r="A45" s="8" t="s">
        <v>466</v>
      </c>
      <c r="B45" s="124">
        <v>3.2</v>
      </c>
      <c r="D45" s="126"/>
      <c r="G45" s="127"/>
      <c r="H45" s="127"/>
    </row>
    <row r="46" ht="14.25" customHeight="1">
      <c r="A46" s="8" t="s">
        <v>473</v>
      </c>
      <c r="B46" s="124">
        <v>3.2</v>
      </c>
      <c r="D46" s="126"/>
      <c r="G46" s="127"/>
      <c r="H46" s="127"/>
    </row>
    <row r="47" ht="14.25" customHeight="1">
      <c r="A47" s="8" t="s">
        <v>481</v>
      </c>
      <c r="B47" s="124">
        <v>3.2</v>
      </c>
      <c r="D47" s="126"/>
      <c r="G47" s="127"/>
      <c r="H47" s="127"/>
    </row>
    <row r="48" ht="14.25" customHeight="1">
      <c r="A48" s="8" t="s">
        <v>489</v>
      </c>
      <c r="B48" s="124">
        <v>3.2</v>
      </c>
      <c r="D48" s="126"/>
      <c r="G48" s="127"/>
      <c r="H48" s="127"/>
    </row>
    <row r="49" ht="14.25" customHeight="1">
      <c r="A49" s="8" t="s">
        <v>497</v>
      </c>
      <c r="B49" s="124">
        <v>3.2</v>
      </c>
      <c r="D49" s="126"/>
      <c r="G49" s="127"/>
      <c r="H49" s="127"/>
    </row>
    <row r="50" ht="14.25" customHeight="1">
      <c r="A50" s="8" t="s">
        <v>1046</v>
      </c>
      <c r="B50" s="124">
        <v>3.2</v>
      </c>
      <c r="D50" s="126"/>
      <c r="G50" s="127"/>
      <c r="H50" s="127"/>
    </row>
    <row r="51" ht="14.25" customHeight="1">
      <c r="A51" s="8" t="s">
        <v>1047</v>
      </c>
      <c r="B51" s="124">
        <v>3.2</v>
      </c>
      <c r="D51" s="126"/>
      <c r="G51" s="127"/>
      <c r="H51" s="127"/>
    </row>
    <row r="52" ht="14.25" customHeight="1">
      <c r="A52" s="8" t="s">
        <v>103</v>
      </c>
      <c r="B52" s="124">
        <v>3.0</v>
      </c>
      <c r="D52" s="126"/>
      <c r="G52" s="127"/>
      <c r="H52" s="127"/>
    </row>
    <row r="53" ht="14.25" customHeight="1">
      <c r="A53" s="8" t="s">
        <v>147</v>
      </c>
      <c r="B53" s="124">
        <v>3.0</v>
      </c>
      <c r="D53" s="126"/>
      <c r="G53" s="127"/>
      <c r="H53" s="127"/>
    </row>
    <row r="54" ht="14.25" customHeight="1">
      <c r="A54" s="8" t="s">
        <v>172</v>
      </c>
      <c r="B54" s="124">
        <v>3.0</v>
      </c>
      <c r="D54" s="126"/>
      <c r="G54" s="127"/>
      <c r="H54" s="127"/>
    </row>
    <row r="55" ht="14.25" customHeight="1">
      <c r="A55" s="8" t="s">
        <v>187</v>
      </c>
      <c r="B55" s="124">
        <v>3.0</v>
      </c>
      <c r="D55" s="126"/>
      <c r="G55" s="127"/>
      <c r="H55" s="127"/>
    </row>
    <row r="56" ht="14.25" customHeight="1">
      <c r="A56" s="8" t="s">
        <v>200</v>
      </c>
      <c r="B56" s="124">
        <v>3.0</v>
      </c>
      <c r="D56" s="126"/>
      <c r="G56" s="127"/>
      <c r="H56" s="127"/>
    </row>
    <row r="57" ht="14.25" customHeight="1">
      <c r="A57" s="8" t="s">
        <v>212</v>
      </c>
      <c r="B57" s="124">
        <v>3.0</v>
      </c>
      <c r="D57" s="126"/>
      <c r="G57" s="127"/>
      <c r="H57" s="127"/>
    </row>
    <row r="58" ht="14.25" customHeight="1">
      <c r="A58" s="8" t="s">
        <v>224</v>
      </c>
      <c r="B58" s="124">
        <v>3.0</v>
      </c>
      <c r="D58" s="126"/>
      <c r="G58" s="127"/>
      <c r="H58" s="127"/>
    </row>
    <row r="59" ht="14.25" customHeight="1">
      <c r="A59" s="8" t="s">
        <v>235</v>
      </c>
      <c r="B59" s="124">
        <v>3.0</v>
      </c>
      <c r="D59" s="126"/>
      <c r="G59" s="127"/>
      <c r="H59" s="127"/>
    </row>
    <row r="60" ht="14.25" customHeight="1">
      <c r="A60" s="8" t="s">
        <v>243</v>
      </c>
      <c r="B60" s="124">
        <v>3.0</v>
      </c>
      <c r="D60" s="126"/>
      <c r="G60" s="127"/>
      <c r="H60" s="127"/>
    </row>
    <row r="61" ht="14.25" customHeight="1">
      <c r="A61" s="8" t="s">
        <v>251</v>
      </c>
      <c r="B61" s="124">
        <v>3.0</v>
      </c>
      <c r="D61" s="126"/>
      <c r="G61" s="127"/>
      <c r="H61" s="127"/>
    </row>
    <row r="62" ht="14.25" customHeight="1">
      <c r="A62" s="8" t="s">
        <v>259</v>
      </c>
      <c r="B62" s="124">
        <v>3.0</v>
      </c>
      <c r="D62" s="126"/>
      <c r="G62" s="127"/>
      <c r="H62" s="127"/>
    </row>
    <row r="63" ht="14.25" customHeight="1">
      <c r="A63" s="8" t="s">
        <v>267</v>
      </c>
      <c r="B63" s="124">
        <v>3.0</v>
      </c>
      <c r="D63" s="126"/>
      <c r="G63" s="127"/>
      <c r="H63" s="127"/>
    </row>
    <row r="64" ht="14.25" customHeight="1">
      <c r="A64" s="8" t="s">
        <v>276</v>
      </c>
      <c r="B64" s="124">
        <v>3.0</v>
      </c>
      <c r="D64" s="126"/>
      <c r="G64" s="127"/>
      <c r="H64" s="127"/>
    </row>
    <row r="65" ht="14.25" customHeight="1">
      <c r="A65" s="8" t="s">
        <v>284</v>
      </c>
      <c r="B65" s="124">
        <v>3.0</v>
      </c>
      <c r="D65" s="126"/>
      <c r="G65" s="127"/>
      <c r="H65" s="127"/>
    </row>
    <row r="66" ht="14.25" customHeight="1">
      <c r="A66" s="8" t="s">
        <v>292</v>
      </c>
      <c r="B66" s="124">
        <v>3.0</v>
      </c>
      <c r="D66" s="126"/>
      <c r="G66" s="127"/>
      <c r="H66" s="127"/>
    </row>
    <row r="67" ht="14.25" customHeight="1">
      <c r="A67" s="8" t="s">
        <v>300</v>
      </c>
      <c r="B67" s="124">
        <v>3.0</v>
      </c>
      <c r="D67" s="126"/>
      <c r="G67" s="127"/>
      <c r="H67" s="127"/>
    </row>
    <row r="68" ht="14.25" customHeight="1">
      <c r="A68" s="8" t="s">
        <v>308</v>
      </c>
      <c r="B68" s="124">
        <v>3.0</v>
      </c>
      <c r="D68" s="126"/>
      <c r="G68" s="127"/>
      <c r="H68" s="127"/>
    </row>
    <row r="69" ht="14.25" customHeight="1">
      <c r="A69" s="8" t="s">
        <v>317</v>
      </c>
      <c r="B69" s="124">
        <v>3.0</v>
      </c>
      <c r="D69" s="126"/>
      <c r="G69" s="127"/>
      <c r="H69" s="127"/>
    </row>
    <row r="70" ht="14.25" customHeight="1">
      <c r="A70" s="8" t="s">
        <v>325</v>
      </c>
      <c r="B70" s="124">
        <v>3.0</v>
      </c>
      <c r="D70" s="126"/>
      <c r="G70" s="127"/>
      <c r="H70" s="127"/>
    </row>
    <row r="71" ht="14.25" customHeight="1">
      <c r="A71" s="8" t="s">
        <v>331</v>
      </c>
      <c r="B71" s="124">
        <v>3.0</v>
      </c>
      <c r="D71" s="126"/>
      <c r="G71" s="127"/>
      <c r="H71" s="127"/>
    </row>
    <row r="72" ht="14.25" customHeight="1">
      <c r="A72" s="8" t="s">
        <v>335</v>
      </c>
      <c r="B72" s="124">
        <v>3.0</v>
      </c>
      <c r="D72" s="126"/>
      <c r="G72" s="127"/>
      <c r="H72" s="127"/>
    </row>
    <row r="73" ht="14.25" customHeight="1">
      <c r="A73" s="8" t="s">
        <v>339</v>
      </c>
      <c r="B73" s="124">
        <v>3.0</v>
      </c>
      <c r="D73" s="126"/>
      <c r="G73" s="127"/>
      <c r="H73" s="127"/>
    </row>
    <row r="74" ht="14.25" customHeight="1">
      <c r="A74" s="8" t="s">
        <v>343</v>
      </c>
      <c r="B74" s="124">
        <v>2.9581999999999997</v>
      </c>
      <c r="D74" s="126"/>
      <c r="G74" s="127"/>
      <c r="H74" s="127"/>
    </row>
    <row r="75" ht="14.25" customHeight="1">
      <c r="A75" s="8" t="s">
        <v>347</v>
      </c>
      <c r="B75" s="124">
        <v>2.9818</v>
      </c>
      <c r="D75" s="126"/>
      <c r="G75" s="127"/>
      <c r="H75" s="127"/>
    </row>
    <row r="76" ht="14.25" customHeight="1">
      <c r="A76" s="8" t="s">
        <v>351</v>
      </c>
      <c r="B76" s="124">
        <v>3.0060000000000002</v>
      </c>
      <c r="D76" s="126"/>
      <c r="G76" s="127"/>
      <c r="H76" s="127"/>
    </row>
    <row r="77" ht="14.25" customHeight="1">
      <c r="A77" s="8" t="s">
        <v>355</v>
      </c>
      <c r="B77" s="124">
        <v>3.0307999999999993</v>
      </c>
      <c r="D77" s="126"/>
      <c r="G77" s="127"/>
      <c r="H77" s="127"/>
    </row>
    <row r="78" ht="14.25" customHeight="1">
      <c r="A78" s="8" t="s">
        <v>359</v>
      </c>
      <c r="B78" s="124">
        <v>3.0561999999999987</v>
      </c>
      <c r="D78" s="126"/>
      <c r="G78" s="127"/>
      <c r="H78" s="127"/>
    </row>
    <row r="79" ht="14.25" customHeight="1">
      <c r="A79" s="8" t="s">
        <v>363</v>
      </c>
      <c r="B79" s="124">
        <v>3.0822000000000003</v>
      </c>
      <c r="D79" s="126"/>
      <c r="G79" s="127"/>
      <c r="H79" s="127"/>
    </row>
    <row r="80" ht="14.25" customHeight="1">
      <c r="A80" s="8" t="s">
        <v>367</v>
      </c>
      <c r="B80" s="124">
        <v>3.1087999999999987</v>
      </c>
      <c r="D80" s="126"/>
      <c r="G80" s="127"/>
      <c r="H80" s="127"/>
    </row>
    <row r="81" ht="14.25" customHeight="1">
      <c r="A81" s="8" t="s">
        <v>371</v>
      </c>
      <c r="B81" s="124">
        <v>3.1359999999999992</v>
      </c>
      <c r="D81" s="126"/>
      <c r="G81" s="127"/>
      <c r="H81" s="127"/>
    </row>
    <row r="82" ht="14.25" customHeight="1">
      <c r="A82" s="8" t="s">
        <v>375</v>
      </c>
      <c r="B82" s="124">
        <v>3.1638</v>
      </c>
      <c r="D82" s="126"/>
      <c r="G82" s="127"/>
      <c r="H82" s="127"/>
    </row>
    <row r="83" ht="14.25" customHeight="1">
      <c r="A83" s="8" t="s">
        <v>379</v>
      </c>
      <c r="B83" s="124">
        <v>3.1921999999999997</v>
      </c>
      <c r="D83" s="126"/>
      <c r="G83" s="127"/>
      <c r="H83" s="127"/>
    </row>
    <row r="84" ht="14.25" customHeight="1">
      <c r="A84" s="8" t="s">
        <v>383</v>
      </c>
      <c r="B84" s="124">
        <v>3.2211999999999996</v>
      </c>
      <c r="D84" s="126"/>
      <c r="G84" s="127"/>
      <c r="H84" s="127"/>
    </row>
    <row r="85" ht="14.25" customHeight="1">
      <c r="A85" s="8" t="s">
        <v>391</v>
      </c>
      <c r="B85" s="124">
        <v>3.2508</v>
      </c>
      <c r="D85" s="126"/>
      <c r="G85" s="127"/>
      <c r="H85" s="127"/>
    </row>
    <row r="86" ht="14.25" customHeight="1">
      <c r="A86" s="8" t="s">
        <v>399</v>
      </c>
      <c r="B86" s="124">
        <v>3.280999999999999</v>
      </c>
      <c r="D86" s="126"/>
      <c r="G86" s="127"/>
      <c r="H86" s="127"/>
    </row>
    <row r="87" ht="14.25" customHeight="1">
      <c r="A87" s="8" t="s">
        <v>406</v>
      </c>
      <c r="B87" s="124">
        <v>3.3118</v>
      </c>
      <c r="D87" s="126"/>
      <c r="G87" s="127"/>
      <c r="H87" s="127"/>
    </row>
    <row r="88" ht="14.25" customHeight="1">
      <c r="A88" s="8" t="s">
        <v>414</v>
      </c>
      <c r="B88" s="124">
        <v>3.3431999999999995</v>
      </c>
      <c r="D88" s="126"/>
      <c r="G88" s="127"/>
      <c r="H88" s="127"/>
    </row>
    <row r="89" ht="14.25" customHeight="1">
      <c r="A89" s="8" t="s">
        <v>421</v>
      </c>
      <c r="B89" s="124">
        <v>3.368</v>
      </c>
      <c r="D89" s="126"/>
      <c r="G89" s="127"/>
      <c r="H89" s="127"/>
    </row>
    <row r="90" ht="14.25" customHeight="1">
      <c r="A90" s="8" t="s">
        <v>429</v>
      </c>
      <c r="B90" s="124">
        <v>3.368</v>
      </c>
      <c r="D90" s="126"/>
      <c r="G90" s="127"/>
      <c r="H90" s="127"/>
    </row>
    <row r="91" ht="14.25" customHeight="1">
      <c r="A91" s="8" t="s">
        <v>437</v>
      </c>
      <c r="B91" s="124">
        <v>3.368</v>
      </c>
      <c r="D91" s="126"/>
      <c r="G91" s="127"/>
      <c r="H91" s="127"/>
    </row>
    <row r="92" ht="14.25" customHeight="1">
      <c r="A92" s="8" t="s">
        <v>444</v>
      </c>
      <c r="B92" s="124">
        <v>3.368</v>
      </c>
      <c r="D92" s="126"/>
      <c r="G92" s="127"/>
      <c r="H92" s="127"/>
    </row>
    <row r="93" ht="14.25" customHeight="1">
      <c r="A93" s="8" t="s">
        <v>452</v>
      </c>
      <c r="B93" s="124">
        <v>3.368</v>
      </c>
      <c r="D93" s="126"/>
      <c r="G93" s="127"/>
      <c r="H93" s="127"/>
    </row>
    <row r="94" ht="14.25" customHeight="1">
      <c r="A94" s="8" t="s">
        <v>460</v>
      </c>
      <c r="B94" s="124">
        <v>3.368</v>
      </c>
      <c r="D94" s="126"/>
      <c r="G94" s="127"/>
      <c r="H94" s="127"/>
    </row>
    <row r="95" ht="14.25" customHeight="1">
      <c r="A95" s="8" t="s">
        <v>467</v>
      </c>
      <c r="B95" s="124">
        <v>3.368</v>
      </c>
      <c r="D95" s="126"/>
      <c r="G95" s="127"/>
      <c r="H95" s="127"/>
    </row>
    <row r="96" ht="14.25" customHeight="1">
      <c r="A96" s="8" t="s">
        <v>475</v>
      </c>
      <c r="B96" s="124">
        <v>3.368</v>
      </c>
      <c r="D96" s="126"/>
      <c r="G96" s="127"/>
      <c r="H96" s="127"/>
    </row>
    <row r="97" ht="14.25" customHeight="1">
      <c r="A97" s="8" t="s">
        <v>483</v>
      </c>
      <c r="B97" s="124">
        <v>3.368</v>
      </c>
      <c r="D97" s="126"/>
      <c r="G97" s="127"/>
      <c r="H97" s="127"/>
    </row>
    <row r="98" ht="14.25" customHeight="1">
      <c r="A98" s="8" t="s">
        <v>491</v>
      </c>
      <c r="B98" s="124">
        <v>3.368</v>
      </c>
      <c r="D98" s="126"/>
      <c r="G98" s="127"/>
      <c r="H98" s="127"/>
    </row>
    <row r="99" ht="14.25" customHeight="1">
      <c r="A99" s="8" t="s">
        <v>498</v>
      </c>
      <c r="B99" s="124">
        <v>3.368</v>
      </c>
      <c r="D99" s="126"/>
      <c r="G99" s="127"/>
      <c r="H99" s="127"/>
    </row>
    <row r="100" ht="14.25" customHeight="1">
      <c r="A100" s="8" t="s">
        <v>504</v>
      </c>
      <c r="B100" s="124">
        <v>3.368</v>
      </c>
      <c r="D100" s="126"/>
      <c r="G100" s="127"/>
      <c r="H100" s="127"/>
    </row>
    <row r="101" ht="14.25" customHeight="1">
      <c r="A101" s="8" t="s">
        <v>511</v>
      </c>
      <c r="B101" s="124">
        <v>3.368</v>
      </c>
      <c r="D101" s="126"/>
      <c r="G101" s="127"/>
      <c r="H101" s="127"/>
    </row>
    <row r="102" ht="14.25" customHeight="1">
      <c r="A102" s="8" t="s">
        <v>517</v>
      </c>
      <c r="B102" s="124">
        <v>3.368</v>
      </c>
      <c r="D102" s="126"/>
      <c r="G102" s="127"/>
      <c r="H102" s="127"/>
    </row>
    <row r="103" ht="14.25" customHeight="1">
      <c r="A103" s="8" t="s">
        <v>522</v>
      </c>
      <c r="B103" s="124">
        <v>3.368</v>
      </c>
      <c r="D103" s="126"/>
      <c r="G103" s="127"/>
      <c r="H103" s="127"/>
    </row>
    <row r="104" ht="14.25" customHeight="1">
      <c r="A104" s="8" t="s">
        <v>528</v>
      </c>
      <c r="B104" s="124">
        <v>3.368</v>
      </c>
      <c r="D104" s="126"/>
      <c r="G104" s="127"/>
      <c r="H104" s="127"/>
    </row>
    <row r="105" ht="14.25" customHeight="1">
      <c r="A105" s="8" t="s">
        <v>533</v>
      </c>
      <c r="B105" s="124">
        <v>3.368</v>
      </c>
      <c r="D105" s="126"/>
      <c r="G105" s="127"/>
      <c r="H105" s="127"/>
    </row>
    <row r="106" ht="14.25" customHeight="1">
      <c r="A106" s="8" t="s">
        <v>538</v>
      </c>
      <c r="B106" s="124">
        <v>3.368</v>
      </c>
      <c r="D106" s="126"/>
      <c r="G106" s="127"/>
      <c r="H106" s="127"/>
    </row>
    <row r="107" ht="14.25" customHeight="1">
      <c r="A107" s="8" t="s">
        <v>544</v>
      </c>
      <c r="B107" s="124">
        <v>3.368</v>
      </c>
      <c r="D107" s="126"/>
      <c r="G107" s="127"/>
      <c r="H107" s="127"/>
    </row>
    <row r="108" ht="14.25" customHeight="1">
      <c r="A108" s="8" t="s">
        <v>549</v>
      </c>
      <c r="B108" s="124">
        <v>3.368</v>
      </c>
      <c r="D108" s="126"/>
      <c r="G108" s="127"/>
      <c r="H108" s="127"/>
    </row>
    <row r="109" ht="14.25" customHeight="1">
      <c r="A109" s="8" t="s">
        <v>557</v>
      </c>
      <c r="B109" s="124">
        <v>3.368</v>
      </c>
      <c r="D109" s="126"/>
      <c r="G109" s="127"/>
      <c r="H109" s="127"/>
    </row>
    <row r="110" ht="14.25" customHeight="1">
      <c r="A110" s="8" t="s">
        <v>565</v>
      </c>
      <c r="B110" s="124">
        <v>3.368</v>
      </c>
      <c r="D110" s="126"/>
      <c r="G110" s="127"/>
      <c r="H110" s="127"/>
    </row>
    <row r="111" ht="14.25" customHeight="1">
      <c r="A111" s="8" t="s">
        <v>573</v>
      </c>
      <c r="B111" s="124">
        <v>3.368</v>
      </c>
      <c r="D111" s="126"/>
      <c r="G111" s="127"/>
      <c r="H111" s="127"/>
    </row>
    <row r="112" ht="14.25" customHeight="1">
      <c r="A112" s="8" t="s">
        <v>582</v>
      </c>
      <c r="B112" s="124">
        <v>3.368</v>
      </c>
      <c r="D112" s="126"/>
      <c r="G112" s="127"/>
      <c r="H112" s="127"/>
    </row>
    <row r="113" ht="14.25" customHeight="1">
      <c r="A113" s="8" t="s">
        <v>590</v>
      </c>
      <c r="B113" s="124">
        <v>3.368</v>
      </c>
      <c r="D113" s="126"/>
      <c r="G113" s="127"/>
      <c r="H113" s="127"/>
    </row>
    <row r="114" ht="14.25" customHeight="1">
      <c r="A114" s="8" t="s">
        <v>598</v>
      </c>
      <c r="B114" s="124">
        <v>3.368</v>
      </c>
      <c r="D114" s="126"/>
      <c r="G114" s="127"/>
      <c r="H114" s="127"/>
    </row>
    <row r="115" ht="14.25" customHeight="1">
      <c r="A115" s="8" t="s">
        <v>605</v>
      </c>
      <c r="B115" s="124">
        <v>3.368</v>
      </c>
      <c r="D115" s="126"/>
      <c r="G115" s="127"/>
      <c r="H115" s="127"/>
    </row>
    <row r="116" ht="14.25" customHeight="1">
      <c r="A116" s="8" t="s">
        <v>614</v>
      </c>
      <c r="B116" s="124">
        <v>3.368</v>
      </c>
      <c r="D116" s="126"/>
      <c r="G116" s="127"/>
      <c r="H116" s="127"/>
    </row>
    <row r="117" ht="14.25" customHeight="1">
      <c r="A117" s="8" t="s">
        <v>621</v>
      </c>
      <c r="B117" s="124">
        <v>3.368</v>
      </c>
      <c r="D117" s="126"/>
      <c r="G117" s="127"/>
      <c r="H117" s="127"/>
    </row>
    <row r="118" ht="14.25" customHeight="1">
      <c r="A118" s="8" t="s">
        <v>629</v>
      </c>
      <c r="B118" s="124">
        <v>3.368</v>
      </c>
      <c r="D118" s="126"/>
      <c r="G118" s="127"/>
      <c r="H118" s="127"/>
    </row>
    <row r="119" ht="14.25" customHeight="1">
      <c r="A119" s="8" t="s">
        <v>637</v>
      </c>
      <c r="B119" s="124">
        <v>3.368</v>
      </c>
      <c r="D119" s="126"/>
      <c r="G119" s="127"/>
      <c r="H119" s="127"/>
    </row>
    <row r="120" ht="14.25" customHeight="1">
      <c r="A120" s="8" t="s">
        <v>645</v>
      </c>
      <c r="B120" s="124">
        <v>3.368</v>
      </c>
      <c r="D120" s="126"/>
      <c r="G120" s="127"/>
      <c r="H120" s="127"/>
    </row>
    <row r="121" ht="14.25" customHeight="1">
      <c r="A121" s="8" t="s">
        <v>652</v>
      </c>
      <c r="B121" s="124">
        <v>3.368</v>
      </c>
      <c r="D121" s="126"/>
      <c r="G121" s="127"/>
      <c r="H121" s="127"/>
    </row>
    <row r="122" ht="14.25" customHeight="1">
      <c r="A122" s="8" t="s">
        <v>659</v>
      </c>
      <c r="B122" s="124">
        <v>3.368</v>
      </c>
      <c r="D122" s="126"/>
      <c r="G122" s="127"/>
      <c r="H122" s="127"/>
    </row>
    <row r="123" ht="14.25" customHeight="1">
      <c r="A123" s="8" t="s">
        <v>668</v>
      </c>
      <c r="B123" s="124">
        <v>3.368</v>
      </c>
      <c r="D123" s="126"/>
      <c r="G123" s="127"/>
      <c r="H123" s="127"/>
    </row>
    <row r="124" ht="14.25" customHeight="1">
      <c r="A124" s="8" t="s">
        <v>675</v>
      </c>
      <c r="B124" s="124">
        <v>3.368</v>
      </c>
      <c r="D124" s="126"/>
      <c r="G124" s="127"/>
      <c r="H124" s="127"/>
    </row>
    <row r="125" ht="14.25" customHeight="1">
      <c r="A125" s="8" t="s">
        <v>682</v>
      </c>
      <c r="B125" s="124">
        <v>3.368</v>
      </c>
      <c r="D125" s="126"/>
      <c r="G125" s="127"/>
      <c r="H125" s="127"/>
    </row>
    <row r="126" ht="14.25" customHeight="1">
      <c r="A126" s="8" t="s">
        <v>691</v>
      </c>
      <c r="B126" s="124">
        <v>3.368</v>
      </c>
      <c r="D126" s="126"/>
      <c r="G126" s="127"/>
      <c r="H126" s="127"/>
    </row>
    <row r="127" ht="14.25" customHeight="1">
      <c r="A127" s="8" t="s">
        <v>698</v>
      </c>
      <c r="B127" s="124">
        <v>3.368</v>
      </c>
      <c r="D127" s="126"/>
      <c r="G127" s="127"/>
      <c r="H127" s="127"/>
    </row>
    <row r="128" ht="14.25" customHeight="1">
      <c r="A128" s="8" t="s">
        <v>705</v>
      </c>
      <c r="B128" s="124">
        <v>3.368</v>
      </c>
      <c r="D128" s="126"/>
      <c r="G128" s="127"/>
      <c r="H128" s="127"/>
    </row>
    <row r="129" ht="14.25" customHeight="1">
      <c r="A129" s="8" t="s">
        <v>714</v>
      </c>
      <c r="B129" s="124">
        <v>3.368</v>
      </c>
      <c r="D129" s="126"/>
      <c r="G129" s="127"/>
      <c r="H129" s="127"/>
    </row>
    <row r="130" ht="14.25" customHeight="1">
      <c r="A130" s="8" t="s">
        <v>720</v>
      </c>
      <c r="B130" s="124">
        <v>3.368</v>
      </c>
      <c r="D130" s="126"/>
      <c r="G130" s="127"/>
      <c r="H130" s="127"/>
    </row>
    <row r="131" ht="14.25" customHeight="1">
      <c r="A131" s="8" t="s">
        <v>726</v>
      </c>
      <c r="B131" s="124">
        <v>3.368</v>
      </c>
      <c r="D131" s="126"/>
      <c r="G131" s="127"/>
      <c r="H131" s="127"/>
    </row>
    <row r="132" ht="14.25" customHeight="1">
      <c r="A132" s="8" t="s">
        <v>731</v>
      </c>
      <c r="B132" s="124">
        <v>3.368</v>
      </c>
      <c r="D132" s="126"/>
      <c r="G132" s="127"/>
      <c r="H132" s="127"/>
    </row>
    <row r="133" ht="14.25" customHeight="1">
      <c r="A133" s="8" t="s">
        <v>739</v>
      </c>
      <c r="B133" s="124">
        <v>3.368</v>
      </c>
      <c r="D133" s="126"/>
      <c r="G133" s="127"/>
      <c r="H133" s="127"/>
    </row>
    <row r="134" ht="14.25" customHeight="1">
      <c r="A134" s="8" t="s">
        <v>750</v>
      </c>
      <c r="B134" s="124">
        <v>3.368</v>
      </c>
      <c r="D134" s="126"/>
      <c r="G134" s="127"/>
      <c r="H134" s="127"/>
    </row>
    <row r="135" ht="14.25" customHeight="1">
      <c r="A135" s="8" t="s">
        <v>760</v>
      </c>
      <c r="B135" s="124">
        <v>3.368</v>
      </c>
      <c r="D135" s="126"/>
      <c r="G135" s="127"/>
      <c r="H135" s="127"/>
    </row>
    <row r="136" ht="14.25" customHeight="1">
      <c r="A136" s="8" t="s">
        <v>770</v>
      </c>
      <c r="B136" s="124">
        <v>3.368</v>
      </c>
      <c r="D136" s="126"/>
      <c r="G136" s="127"/>
      <c r="H136" s="127"/>
    </row>
    <row r="137" ht="14.25" customHeight="1">
      <c r="A137" s="8" t="s">
        <v>781</v>
      </c>
      <c r="B137" s="124">
        <v>3.368</v>
      </c>
      <c r="D137" s="126"/>
      <c r="G137" s="127"/>
      <c r="H137" s="127"/>
    </row>
    <row r="138" ht="14.25" customHeight="1">
      <c r="A138" s="8" t="s">
        <v>791</v>
      </c>
      <c r="B138" s="124">
        <v>3.368</v>
      </c>
      <c r="D138" s="126"/>
      <c r="G138" s="127"/>
      <c r="H138" s="127"/>
    </row>
    <row r="139" ht="14.25" customHeight="1">
      <c r="A139" s="8" t="s">
        <v>804</v>
      </c>
      <c r="B139" s="124">
        <v>3.368</v>
      </c>
      <c r="D139" s="126"/>
      <c r="G139" s="127"/>
      <c r="H139" s="127"/>
    </row>
    <row r="140" ht="14.25" customHeight="1">
      <c r="A140" s="8" t="s">
        <v>814</v>
      </c>
      <c r="B140" s="124">
        <v>3.368</v>
      </c>
      <c r="D140" s="126"/>
      <c r="G140" s="127"/>
      <c r="H140" s="127"/>
    </row>
    <row r="141" ht="14.25" customHeight="1">
      <c r="A141" s="8" t="s">
        <v>825</v>
      </c>
      <c r="B141" s="124">
        <v>3.368</v>
      </c>
      <c r="D141" s="126"/>
      <c r="G141" s="127"/>
      <c r="H141" s="127"/>
    </row>
    <row r="142" ht="14.25" customHeight="1">
      <c r="A142" s="8" t="s">
        <v>835</v>
      </c>
      <c r="B142" s="124">
        <v>3.368</v>
      </c>
      <c r="D142" s="126"/>
      <c r="G142" s="127"/>
      <c r="H142" s="127"/>
    </row>
    <row r="143" ht="14.25" customHeight="1">
      <c r="A143" s="8" t="s">
        <v>845</v>
      </c>
      <c r="B143" s="124">
        <v>3.368</v>
      </c>
      <c r="D143" s="126"/>
      <c r="G143" s="127"/>
      <c r="H143" s="127"/>
    </row>
    <row r="144" ht="14.25" customHeight="1">
      <c r="A144" s="8" t="s">
        <v>857</v>
      </c>
      <c r="B144" s="124">
        <v>3.368</v>
      </c>
      <c r="D144" s="126"/>
      <c r="G144" s="127"/>
      <c r="H144" s="127"/>
    </row>
    <row r="145" ht="14.25" customHeight="1">
      <c r="A145" s="8" t="s">
        <v>866</v>
      </c>
      <c r="B145" s="124">
        <v>3.368</v>
      </c>
      <c r="D145" s="126"/>
      <c r="G145" s="127"/>
      <c r="H145" s="127"/>
    </row>
    <row r="146" ht="14.25" customHeight="1">
      <c r="A146" s="8" t="s">
        <v>875</v>
      </c>
      <c r="B146" s="124">
        <v>3.368</v>
      </c>
      <c r="D146" s="126"/>
      <c r="G146" s="127"/>
      <c r="H146" s="127"/>
    </row>
    <row r="147" ht="14.25" customHeight="1">
      <c r="A147" s="8" t="s">
        <v>887</v>
      </c>
      <c r="B147" s="124">
        <v>3.368</v>
      </c>
      <c r="D147" s="126"/>
      <c r="G147" s="127"/>
      <c r="H147" s="127"/>
    </row>
    <row r="148" ht="14.25" customHeight="1">
      <c r="A148" s="8" t="s">
        <v>897</v>
      </c>
      <c r="B148" s="124">
        <v>3.368</v>
      </c>
      <c r="D148" s="126"/>
      <c r="G148" s="127"/>
      <c r="H148" s="127"/>
    </row>
    <row r="149" ht="14.25" customHeight="1">
      <c r="A149" s="8" t="s">
        <v>909</v>
      </c>
      <c r="B149" s="124">
        <v>3.368</v>
      </c>
      <c r="D149" s="126"/>
      <c r="G149" s="127"/>
      <c r="H149" s="127"/>
    </row>
    <row r="150" ht="14.25" customHeight="1">
      <c r="A150" s="8" t="s">
        <v>919</v>
      </c>
      <c r="B150" s="124">
        <v>3.368</v>
      </c>
      <c r="D150" s="126"/>
      <c r="G150" s="127"/>
      <c r="H150" s="127"/>
    </row>
    <row r="151" ht="14.25" customHeight="1">
      <c r="A151" s="8" t="s">
        <v>929</v>
      </c>
      <c r="B151" s="124">
        <v>3.368</v>
      </c>
      <c r="D151" s="126"/>
      <c r="G151" s="127"/>
      <c r="H151" s="127"/>
    </row>
    <row r="152" ht="14.25" customHeight="1">
      <c r="A152" s="8" t="s">
        <v>1067</v>
      </c>
      <c r="B152" s="124">
        <v>3.368</v>
      </c>
      <c r="D152" s="126"/>
      <c r="G152" s="127"/>
      <c r="H152" s="127"/>
    </row>
    <row r="153" ht="14.25" customHeight="1">
      <c r="A153" s="8" t="s">
        <v>1068</v>
      </c>
      <c r="B153" s="124">
        <v>3.368</v>
      </c>
      <c r="D153" s="126"/>
      <c r="G153" s="127"/>
      <c r="H153" s="127"/>
    </row>
    <row r="154" ht="14.25" customHeight="1">
      <c r="A154" s="8" t="s">
        <v>1069</v>
      </c>
      <c r="B154" s="124">
        <v>3.368</v>
      </c>
      <c r="D154" s="126"/>
      <c r="G154" s="127"/>
      <c r="H154" s="127"/>
    </row>
    <row r="155" ht="14.25" customHeight="1">
      <c r="A155" s="8" t="s">
        <v>1070</v>
      </c>
      <c r="B155" s="124">
        <v>3.368</v>
      </c>
      <c r="D155" s="126"/>
      <c r="G155" s="127"/>
      <c r="H155" s="127"/>
    </row>
    <row r="156" ht="14.25" customHeight="1">
      <c r="A156" s="8" t="s">
        <v>1071</v>
      </c>
      <c r="B156" s="124">
        <v>3.368</v>
      </c>
      <c r="D156" s="126"/>
      <c r="G156" s="127"/>
      <c r="H156" s="127"/>
    </row>
    <row r="157" ht="14.25" customHeight="1">
      <c r="A157" s="8" t="s">
        <v>1072</v>
      </c>
      <c r="B157" s="124">
        <v>3.368</v>
      </c>
      <c r="D157" s="126"/>
      <c r="G157" s="127"/>
      <c r="H157" s="127"/>
    </row>
    <row r="158" ht="14.25" customHeight="1">
      <c r="A158" s="8" t="s">
        <v>1073</v>
      </c>
      <c r="B158" s="124">
        <v>3.368</v>
      </c>
      <c r="D158" s="126"/>
      <c r="G158" s="127"/>
      <c r="H158" s="127"/>
    </row>
    <row r="159" ht="14.25" customHeight="1">
      <c r="A159" s="8" t="s">
        <v>1074</v>
      </c>
      <c r="B159" s="124">
        <v>3.368</v>
      </c>
      <c r="D159" s="126"/>
      <c r="G159" s="127"/>
      <c r="H159" s="127"/>
    </row>
    <row r="160" ht="14.25" customHeight="1">
      <c r="A160" s="8" t="s">
        <v>1075</v>
      </c>
      <c r="B160" s="124">
        <v>3.368</v>
      </c>
      <c r="D160" s="126"/>
      <c r="G160" s="127"/>
      <c r="H160" s="127"/>
    </row>
    <row r="161" ht="14.25" customHeight="1">
      <c r="A161" s="8" t="s">
        <v>1076</v>
      </c>
      <c r="B161" s="124">
        <v>3.368</v>
      </c>
      <c r="D161" s="126"/>
      <c r="G161" s="127"/>
      <c r="H161" s="127"/>
    </row>
    <row r="162" ht="14.25" customHeight="1">
      <c r="A162" s="8" t="s">
        <v>1077</v>
      </c>
      <c r="B162" s="124">
        <v>3.368</v>
      </c>
      <c r="D162" s="126"/>
      <c r="G162" s="127"/>
      <c r="H162" s="127"/>
    </row>
    <row r="163" ht="14.25" customHeight="1">
      <c r="A163" s="8" t="s">
        <v>1078</v>
      </c>
      <c r="B163" s="124">
        <v>3.368</v>
      </c>
      <c r="D163" s="126"/>
      <c r="G163" s="127"/>
      <c r="H163" s="127"/>
    </row>
    <row r="164" ht="14.25" customHeight="1">
      <c r="A164" s="8" t="s">
        <v>1079</v>
      </c>
      <c r="B164" s="124">
        <v>3.368</v>
      </c>
      <c r="D164" s="126"/>
      <c r="G164" s="127"/>
      <c r="H164" s="127"/>
    </row>
    <row r="165" ht="14.25" customHeight="1">
      <c r="A165" s="8" t="s">
        <v>1082</v>
      </c>
      <c r="B165" s="124">
        <v>3.368</v>
      </c>
      <c r="D165" s="126"/>
      <c r="G165" s="127"/>
      <c r="H165" s="127"/>
    </row>
    <row r="166" ht="14.25" customHeight="1">
      <c r="A166" s="8" t="s">
        <v>1083</v>
      </c>
      <c r="B166" s="124">
        <v>3.368</v>
      </c>
      <c r="D166" s="126"/>
      <c r="G166" s="127"/>
      <c r="H166" s="127"/>
    </row>
    <row r="167" ht="14.25" customHeight="1">
      <c r="A167" s="8" t="s">
        <v>1084</v>
      </c>
      <c r="B167" s="124">
        <v>3.368</v>
      </c>
      <c r="D167" s="126"/>
      <c r="G167" s="127"/>
      <c r="H167" s="127"/>
    </row>
    <row r="168" ht="14.25" customHeight="1">
      <c r="A168" s="8" t="s">
        <v>1085</v>
      </c>
      <c r="B168" s="124">
        <v>3.368</v>
      </c>
      <c r="D168" s="126"/>
      <c r="G168" s="127"/>
      <c r="H168" s="127"/>
    </row>
    <row r="169" ht="14.25" customHeight="1">
      <c r="A169" s="8" t="s">
        <v>1086</v>
      </c>
      <c r="B169" s="124">
        <v>3.368</v>
      </c>
      <c r="D169" s="126"/>
      <c r="G169" s="127"/>
      <c r="H169" s="127"/>
    </row>
    <row r="170" ht="14.25" customHeight="1">
      <c r="A170" s="8" t="s">
        <v>1087</v>
      </c>
      <c r="B170" s="124">
        <v>3.368</v>
      </c>
      <c r="D170" s="126"/>
      <c r="G170" s="127"/>
      <c r="H170" s="127"/>
    </row>
    <row r="171" ht="14.25" customHeight="1">
      <c r="A171" s="8" t="s">
        <v>1088</v>
      </c>
      <c r="B171" s="124">
        <v>3.368</v>
      </c>
      <c r="D171" s="126"/>
      <c r="G171" s="127"/>
      <c r="H171" s="127"/>
    </row>
    <row r="172" ht="14.25" customHeight="1">
      <c r="A172" s="8" t="s">
        <v>118</v>
      </c>
      <c r="B172" s="124">
        <v>1.5954999999999995</v>
      </c>
      <c r="D172" s="126"/>
      <c r="G172" s="127"/>
      <c r="H172" s="127"/>
    </row>
    <row r="173" ht="14.25" customHeight="1">
      <c r="A173" s="8" t="s">
        <v>152</v>
      </c>
      <c r="B173" s="124">
        <v>1.6731999999999996</v>
      </c>
      <c r="D173" s="126"/>
      <c r="G173" s="127"/>
      <c r="H173" s="127"/>
    </row>
    <row r="174" ht="14.25" customHeight="1">
      <c r="A174" s="8" t="s">
        <v>177</v>
      </c>
      <c r="B174" s="124">
        <v>1.7500999999999998</v>
      </c>
      <c r="D174" s="126"/>
      <c r="G174" s="127"/>
      <c r="H174" s="127"/>
    </row>
    <row r="175" ht="14.25" customHeight="1">
      <c r="A175" s="8" t="s">
        <v>191</v>
      </c>
      <c r="B175" s="124">
        <v>1.8262</v>
      </c>
      <c r="D175" s="126"/>
      <c r="G175" s="127"/>
      <c r="H175" s="127"/>
    </row>
    <row r="176" ht="14.25" customHeight="1">
      <c r="A176" s="8" t="s">
        <v>203</v>
      </c>
      <c r="B176" s="124">
        <v>1.9014999999999986</v>
      </c>
      <c r="D176" s="126"/>
      <c r="G176" s="127"/>
      <c r="H176" s="127"/>
    </row>
    <row r="177" ht="14.25" customHeight="1">
      <c r="A177" s="8" t="s">
        <v>215</v>
      </c>
      <c r="B177" s="124">
        <v>1.975999999999999</v>
      </c>
      <c r="D177" s="126"/>
      <c r="G177" s="127"/>
      <c r="H177" s="127"/>
    </row>
    <row r="178" ht="14.25" customHeight="1">
      <c r="A178" s="8" t="s">
        <v>227</v>
      </c>
      <c r="B178" s="124">
        <v>2.0496999999999996</v>
      </c>
      <c r="D178" s="126"/>
      <c r="G178" s="127"/>
      <c r="H178" s="127"/>
    </row>
    <row r="179" ht="14.25" customHeight="1">
      <c r="A179" s="8" t="s">
        <v>237</v>
      </c>
      <c r="B179" s="124">
        <v>2.1226000000000003</v>
      </c>
      <c r="D179" s="126"/>
      <c r="G179" s="127"/>
      <c r="H179" s="127"/>
    </row>
    <row r="180" ht="14.25" customHeight="1">
      <c r="A180" s="8" t="s">
        <v>245</v>
      </c>
      <c r="B180" s="124">
        <v>2.194699999999999</v>
      </c>
      <c r="D180" s="126"/>
      <c r="G180" s="127"/>
      <c r="H180" s="127"/>
    </row>
    <row r="181" ht="14.25" customHeight="1">
      <c r="A181" s="8" t="s">
        <v>253</v>
      </c>
      <c r="B181" s="124">
        <v>2.266</v>
      </c>
      <c r="D181" s="126"/>
      <c r="G181" s="127"/>
      <c r="H181" s="127"/>
    </row>
    <row r="182" ht="14.25" customHeight="1">
      <c r="A182" s="8" t="s">
        <v>261</v>
      </c>
      <c r="B182" s="124">
        <v>2.336499999999999</v>
      </c>
      <c r="D182" s="126"/>
      <c r="G182" s="127"/>
      <c r="H182" s="127"/>
    </row>
    <row r="183" ht="14.25" customHeight="1">
      <c r="A183" s="8" t="s">
        <v>269</v>
      </c>
      <c r="B183" s="124">
        <v>2.4062</v>
      </c>
      <c r="D183" s="126"/>
      <c r="G183" s="127"/>
      <c r="H183" s="127"/>
    </row>
    <row r="184" ht="14.25" customHeight="1">
      <c r="A184" s="8" t="s">
        <v>277</v>
      </c>
      <c r="B184" s="124">
        <v>2.4750999999999994</v>
      </c>
      <c r="D184" s="126"/>
      <c r="G184" s="127"/>
      <c r="H184" s="127"/>
    </row>
    <row r="185" ht="14.25" customHeight="1">
      <c r="A185" s="8" t="s">
        <v>286</v>
      </c>
      <c r="B185" s="124">
        <v>2.543199999999999</v>
      </c>
      <c r="D185" s="126"/>
      <c r="G185" s="127"/>
      <c r="H185" s="127"/>
    </row>
    <row r="186" ht="14.25" customHeight="1">
      <c r="A186" s="8" t="s">
        <v>294</v>
      </c>
      <c r="B186" s="124">
        <v>2.6105</v>
      </c>
      <c r="D186" s="126"/>
      <c r="G186" s="127"/>
      <c r="H186" s="127"/>
    </row>
    <row r="187" ht="14.25" customHeight="1">
      <c r="A187" s="8" t="s">
        <v>302</v>
      </c>
      <c r="B187" s="124">
        <v>2.6769999999999996</v>
      </c>
      <c r="D187" s="126"/>
      <c r="G187" s="127"/>
      <c r="H187" s="127"/>
    </row>
    <row r="188" ht="14.25" customHeight="1">
      <c r="A188" s="8" t="s">
        <v>310</v>
      </c>
      <c r="B188" s="124">
        <v>2.7426999999999992</v>
      </c>
      <c r="D188" s="126"/>
      <c r="G188" s="127"/>
      <c r="H188" s="127"/>
    </row>
    <row r="189" ht="14.25" customHeight="1">
      <c r="A189" s="8" t="s">
        <v>319</v>
      </c>
      <c r="B189" s="124">
        <v>2.807599999999999</v>
      </c>
      <c r="D189" s="126"/>
      <c r="G189" s="127"/>
      <c r="H189" s="127"/>
    </row>
    <row r="190" ht="14.25" customHeight="1">
      <c r="A190" s="8" t="s">
        <v>328</v>
      </c>
      <c r="B190" s="124">
        <v>2.871699999999999</v>
      </c>
      <c r="D190" s="126"/>
      <c r="G190" s="127"/>
      <c r="H190" s="127"/>
    </row>
    <row r="191" ht="14.25" customHeight="1">
      <c r="A191" s="8" t="s">
        <v>332</v>
      </c>
      <c r="B191" s="124">
        <v>2.9349999999999987</v>
      </c>
      <c r="D191" s="126"/>
      <c r="G191" s="127"/>
      <c r="H191" s="127"/>
    </row>
    <row r="192" ht="14.25" customHeight="1">
      <c r="A192" s="8" t="s">
        <v>336</v>
      </c>
      <c r="B192" s="124">
        <v>2.9974999999999987</v>
      </c>
      <c r="D192" s="126"/>
      <c r="G192" s="127"/>
      <c r="H192" s="127"/>
    </row>
    <row r="193" ht="14.25" customHeight="1">
      <c r="A193" s="8" t="s">
        <v>340</v>
      </c>
      <c r="B193" s="124">
        <v>3.059199999999999</v>
      </c>
      <c r="D193" s="126"/>
      <c r="G193" s="127"/>
      <c r="H193" s="127"/>
    </row>
    <row r="194" ht="14.25" customHeight="1">
      <c r="A194" s="8" t="s">
        <v>344</v>
      </c>
      <c r="B194" s="124">
        <v>3.120099999999999</v>
      </c>
      <c r="D194" s="126"/>
      <c r="G194" s="127"/>
      <c r="H194" s="127"/>
    </row>
    <row r="195" ht="14.25" customHeight="1">
      <c r="A195" s="8" t="s">
        <v>348</v>
      </c>
      <c r="B195" s="124">
        <v>3.1801999999999992</v>
      </c>
      <c r="D195" s="126"/>
      <c r="G195" s="127"/>
      <c r="H195" s="127"/>
    </row>
    <row r="196" ht="14.25" customHeight="1">
      <c r="A196" s="8" t="s">
        <v>352</v>
      </c>
      <c r="B196" s="124">
        <v>3.2394999999999996</v>
      </c>
      <c r="D196" s="126"/>
      <c r="G196" s="127"/>
      <c r="H196" s="127"/>
    </row>
    <row r="197" ht="14.25" customHeight="1">
      <c r="A197" s="8" t="s">
        <v>356</v>
      </c>
      <c r="B197" s="124">
        <v>3.298</v>
      </c>
      <c r="D197" s="126"/>
      <c r="G197" s="127"/>
      <c r="H197" s="127"/>
    </row>
    <row r="198" ht="14.25" customHeight="1">
      <c r="A198" s="8" t="s">
        <v>360</v>
      </c>
      <c r="B198" s="124">
        <v>3.355699999999999</v>
      </c>
      <c r="D198" s="126"/>
      <c r="G198" s="127"/>
      <c r="H198" s="127"/>
    </row>
    <row r="199" ht="14.25" customHeight="1">
      <c r="A199" s="8" t="s">
        <v>364</v>
      </c>
      <c r="B199" s="124">
        <v>3.4125999999999994</v>
      </c>
      <c r="D199" s="126"/>
      <c r="G199" s="127"/>
      <c r="H199" s="127"/>
    </row>
    <row r="200" ht="14.25" customHeight="1">
      <c r="A200" s="8" t="s">
        <v>368</v>
      </c>
      <c r="B200" s="124">
        <v>3.4687</v>
      </c>
      <c r="D200" s="126"/>
      <c r="G200" s="127"/>
      <c r="H200" s="127"/>
    </row>
    <row r="201" ht="14.25" customHeight="1">
      <c r="A201" s="8" t="s">
        <v>372</v>
      </c>
      <c r="B201" s="124">
        <v>3.523999999999999</v>
      </c>
      <c r="D201" s="126"/>
      <c r="G201" s="127"/>
      <c r="H201" s="127"/>
    </row>
    <row r="202" ht="14.25" customHeight="1">
      <c r="A202" s="8" t="s">
        <v>376</v>
      </c>
      <c r="B202" s="124">
        <v>3.5785</v>
      </c>
      <c r="D202" s="126"/>
      <c r="G202" s="127"/>
      <c r="H202" s="127"/>
    </row>
    <row r="203" ht="14.25" customHeight="1">
      <c r="A203" s="8" t="s">
        <v>380</v>
      </c>
      <c r="B203" s="124">
        <v>3.632199999999999</v>
      </c>
      <c r="D203" s="126"/>
      <c r="G203" s="127"/>
      <c r="H203" s="127"/>
    </row>
    <row r="204" ht="14.25" customHeight="1">
      <c r="A204" s="8" t="s">
        <v>385</v>
      </c>
      <c r="B204" s="124">
        <v>3.6850999999999985</v>
      </c>
      <c r="D204" s="126"/>
      <c r="G204" s="127"/>
      <c r="H204" s="127"/>
    </row>
    <row r="205" ht="14.25" customHeight="1">
      <c r="A205" s="8" t="s">
        <v>393</v>
      </c>
      <c r="B205" s="124">
        <v>3.7</v>
      </c>
      <c r="D205" s="126"/>
      <c r="G205" s="127"/>
      <c r="H205" s="127"/>
    </row>
    <row r="206" ht="14.25" customHeight="1">
      <c r="A206" s="8" t="s">
        <v>400</v>
      </c>
      <c r="B206" s="124">
        <v>3.7</v>
      </c>
      <c r="D206" s="126"/>
      <c r="G206" s="127"/>
      <c r="H206" s="127"/>
    </row>
    <row r="207" ht="14.25" customHeight="1">
      <c r="A207" s="8" t="s">
        <v>408</v>
      </c>
      <c r="B207" s="124">
        <v>3.7</v>
      </c>
      <c r="D207" s="126"/>
      <c r="G207" s="127"/>
      <c r="H207" s="127"/>
    </row>
    <row r="208" ht="14.25" customHeight="1">
      <c r="A208" s="8" t="s">
        <v>416</v>
      </c>
      <c r="B208" s="124">
        <v>3.7</v>
      </c>
      <c r="D208" s="126"/>
      <c r="G208" s="127"/>
      <c r="H208" s="127"/>
    </row>
    <row r="209" ht="14.25" customHeight="1">
      <c r="A209" s="8" t="s">
        <v>423</v>
      </c>
      <c r="B209" s="124">
        <v>3.7</v>
      </c>
      <c r="D209" s="126"/>
      <c r="G209" s="127"/>
      <c r="H209" s="127"/>
    </row>
    <row r="210" ht="14.25" customHeight="1">
      <c r="A210" s="8" t="s">
        <v>431</v>
      </c>
      <c r="B210" s="124">
        <v>3.7</v>
      </c>
      <c r="D210" s="126"/>
      <c r="G210" s="127"/>
      <c r="H210" s="127"/>
    </row>
    <row r="211" ht="14.25" customHeight="1">
      <c r="A211" s="8" t="s">
        <v>439</v>
      </c>
      <c r="B211" s="124">
        <v>3.7</v>
      </c>
      <c r="D211" s="126"/>
      <c r="G211" s="127"/>
      <c r="H211" s="127"/>
    </row>
    <row r="212" ht="14.25" customHeight="1">
      <c r="A212" s="8" t="s">
        <v>446</v>
      </c>
      <c r="B212" s="124">
        <v>3.7</v>
      </c>
      <c r="D212" s="126"/>
      <c r="G212" s="127"/>
      <c r="H212" s="127"/>
    </row>
    <row r="213" ht="14.25" customHeight="1">
      <c r="A213" s="8" t="s">
        <v>454</v>
      </c>
      <c r="B213" s="124">
        <v>3.7</v>
      </c>
      <c r="D213" s="126"/>
      <c r="G213" s="127"/>
      <c r="H213" s="127"/>
    </row>
    <row r="214" ht="14.25" customHeight="1">
      <c r="A214" s="8" t="s">
        <v>462</v>
      </c>
      <c r="B214" s="124">
        <v>3.7</v>
      </c>
      <c r="D214" s="126"/>
      <c r="G214" s="127"/>
      <c r="H214" s="127"/>
    </row>
    <row r="215" ht="14.25" customHeight="1">
      <c r="A215" s="8" t="s">
        <v>469</v>
      </c>
      <c r="B215" s="124">
        <v>3.7</v>
      </c>
      <c r="D215" s="126"/>
      <c r="G215" s="127"/>
      <c r="H215" s="127"/>
    </row>
    <row r="216" ht="14.25" customHeight="1">
      <c r="A216" s="8" t="s">
        <v>477</v>
      </c>
      <c r="B216" s="124">
        <v>3.7</v>
      </c>
      <c r="D216" s="126"/>
      <c r="G216" s="127"/>
      <c r="H216" s="127"/>
    </row>
    <row r="217" ht="14.25" customHeight="1">
      <c r="A217" s="8" t="s">
        <v>485</v>
      </c>
      <c r="B217" s="124">
        <v>3.7</v>
      </c>
      <c r="D217" s="126"/>
      <c r="G217" s="127"/>
      <c r="H217" s="127"/>
    </row>
    <row r="218" ht="14.25" customHeight="1">
      <c r="A218" s="8" t="s">
        <v>492</v>
      </c>
      <c r="B218" s="124">
        <v>3.7</v>
      </c>
      <c r="D218" s="126"/>
      <c r="G218" s="127"/>
      <c r="H218" s="127"/>
    </row>
    <row r="219" ht="14.25" customHeight="1">
      <c r="A219" s="8" t="s">
        <v>500</v>
      </c>
      <c r="B219" s="124">
        <v>3.7</v>
      </c>
      <c r="D219" s="126"/>
      <c r="G219" s="127"/>
      <c r="H219" s="127"/>
    </row>
    <row r="220" ht="14.25" customHeight="1">
      <c r="A220" s="8" t="s">
        <v>506</v>
      </c>
      <c r="B220" s="124">
        <v>3.7</v>
      </c>
      <c r="D220" s="126"/>
      <c r="G220" s="127"/>
      <c r="H220" s="127"/>
    </row>
    <row r="221" ht="14.25" customHeight="1">
      <c r="A221" s="8" t="s">
        <v>513</v>
      </c>
      <c r="B221" s="124">
        <v>3.7</v>
      </c>
      <c r="D221" s="126"/>
      <c r="G221" s="127"/>
      <c r="H221" s="127"/>
    </row>
    <row r="222" ht="14.25" customHeight="1">
      <c r="A222" s="8" t="s">
        <v>518</v>
      </c>
      <c r="B222" s="124">
        <v>3.7</v>
      </c>
      <c r="D222" s="126"/>
      <c r="G222" s="127"/>
      <c r="H222" s="127"/>
    </row>
    <row r="223" ht="14.25" customHeight="1">
      <c r="A223" s="8" t="s">
        <v>524</v>
      </c>
      <c r="B223" s="124">
        <v>3.7</v>
      </c>
      <c r="D223" s="126"/>
      <c r="G223" s="127"/>
      <c r="H223" s="127"/>
    </row>
    <row r="224" ht="14.25" customHeight="1">
      <c r="A224" s="8" t="s">
        <v>530</v>
      </c>
      <c r="B224" s="124">
        <v>3.7</v>
      </c>
      <c r="D224" s="126"/>
      <c r="G224" s="127"/>
      <c r="H224" s="127"/>
    </row>
    <row r="225" ht="14.25" customHeight="1">
      <c r="A225" s="8" t="s">
        <v>535</v>
      </c>
      <c r="B225" s="124">
        <v>3.7</v>
      </c>
      <c r="D225" s="126"/>
      <c r="G225" s="127"/>
      <c r="H225" s="127"/>
    </row>
    <row r="226" ht="14.25" customHeight="1">
      <c r="A226" s="8" t="s">
        <v>540</v>
      </c>
      <c r="B226" s="124">
        <v>3.7</v>
      </c>
      <c r="D226" s="126"/>
      <c r="G226" s="127"/>
      <c r="H226" s="127"/>
    </row>
    <row r="227" ht="14.25" customHeight="1">
      <c r="A227" s="8" t="s">
        <v>546</v>
      </c>
      <c r="B227" s="124">
        <v>3.7</v>
      </c>
      <c r="D227" s="126"/>
      <c r="G227" s="127"/>
      <c r="H227" s="127"/>
    </row>
    <row r="228" ht="14.25" customHeight="1">
      <c r="A228" s="8" t="s">
        <v>551</v>
      </c>
      <c r="B228" s="124">
        <v>3.7</v>
      </c>
      <c r="D228" s="126"/>
      <c r="G228" s="127"/>
      <c r="H228" s="127"/>
    </row>
    <row r="229" ht="14.25" customHeight="1">
      <c r="A229" s="8" t="s">
        <v>560</v>
      </c>
      <c r="B229" s="124">
        <v>3.7</v>
      </c>
      <c r="D229" s="126"/>
      <c r="G229" s="127"/>
      <c r="H229" s="127"/>
    </row>
    <row r="230" ht="14.25" customHeight="1">
      <c r="A230" s="8" t="s">
        <v>567</v>
      </c>
      <c r="B230" s="124">
        <v>3.7</v>
      </c>
      <c r="D230" s="126"/>
      <c r="G230" s="127"/>
      <c r="H230" s="127"/>
    </row>
    <row r="231" ht="14.25" customHeight="1">
      <c r="A231" s="8" t="s">
        <v>576</v>
      </c>
      <c r="B231" s="124">
        <v>3.7</v>
      </c>
      <c r="D231" s="126"/>
      <c r="G231" s="127"/>
      <c r="H231" s="127"/>
    </row>
    <row r="232" ht="14.25" customHeight="1">
      <c r="A232" s="8" t="s">
        <v>585</v>
      </c>
      <c r="B232" s="124">
        <v>3.7</v>
      </c>
      <c r="D232" s="126"/>
      <c r="G232" s="127"/>
      <c r="H232" s="127"/>
    </row>
    <row r="233" ht="14.25" customHeight="1">
      <c r="A233" s="8" t="s">
        <v>592</v>
      </c>
      <c r="B233" s="124">
        <v>3.7</v>
      </c>
      <c r="D233" s="126"/>
      <c r="G233" s="127"/>
      <c r="H233" s="127"/>
    </row>
    <row r="234" ht="14.25" customHeight="1">
      <c r="A234" s="8" t="s">
        <v>601</v>
      </c>
      <c r="B234" s="124">
        <v>3.7</v>
      </c>
      <c r="D234" s="126"/>
      <c r="G234" s="127"/>
      <c r="H234" s="127"/>
    </row>
    <row r="235" ht="14.25" customHeight="1">
      <c r="A235" s="8" t="s">
        <v>608</v>
      </c>
      <c r="B235" s="124">
        <v>3.7</v>
      </c>
      <c r="D235" s="126"/>
      <c r="G235" s="127"/>
      <c r="H235" s="127"/>
    </row>
    <row r="236" ht="14.25" customHeight="1">
      <c r="A236" s="8" t="s">
        <v>616</v>
      </c>
      <c r="B236" s="124">
        <v>3.7</v>
      </c>
      <c r="D236" s="126"/>
      <c r="G236" s="127"/>
      <c r="H236" s="127"/>
    </row>
    <row r="237" ht="14.25" customHeight="1">
      <c r="A237" s="8" t="s">
        <v>624</v>
      </c>
      <c r="B237" s="124">
        <v>3.7</v>
      </c>
      <c r="D237" s="126"/>
      <c r="G237" s="127"/>
      <c r="H237" s="127"/>
    </row>
    <row r="238" ht="14.25" customHeight="1">
      <c r="A238" s="8" t="s">
        <v>631</v>
      </c>
      <c r="B238" s="124">
        <v>3.7</v>
      </c>
      <c r="D238" s="126"/>
      <c r="G238" s="127"/>
      <c r="H238" s="127"/>
    </row>
    <row r="239" ht="14.25" customHeight="1">
      <c r="A239" s="8" t="s">
        <v>639</v>
      </c>
      <c r="B239" s="124">
        <v>3.7</v>
      </c>
      <c r="D239" s="126"/>
      <c r="G239" s="127"/>
      <c r="H239" s="127"/>
    </row>
    <row r="240" ht="14.25" customHeight="1">
      <c r="A240" s="8" t="s">
        <v>647</v>
      </c>
      <c r="B240" s="124">
        <v>3.7</v>
      </c>
      <c r="D240" s="126"/>
      <c r="G240" s="127"/>
      <c r="H240" s="127"/>
    </row>
    <row r="241" ht="14.25" customHeight="1">
      <c r="A241" s="8" t="s">
        <v>655</v>
      </c>
      <c r="B241" s="124">
        <v>3.7</v>
      </c>
      <c r="D241" s="126"/>
      <c r="G241" s="127"/>
      <c r="H241" s="127"/>
    </row>
    <row r="242" ht="14.25" customHeight="1">
      <c r="A242" s="8" t="s">
        <v>662</v>
      </c>
      <c r="B242" s="124">
        <v>3.7</v>
      </c>
      <c r="D242" s="126"/>
      <c r="G242" s="127"/>
      <c r="H242" s="127"/>
    </row>
    <row r="243" ht="14.25" customHeight="1">
      <c r="A243" s="8" t="s">
        <v>670</v>
      </c>
      <c r="B243" s="124">
        <v>3.7</v>
      </c>
      <c r="D243" s="126"/>
      <c r="G243" s="127"/>
      <c r="H243" s="127"/>
    </row>
    <row r="244" ht="14.25" customHeight="1">
      <c r="A244" s="8" t="s">
        <v>678</v>
      </c>
      <c r="B244" s="124">
        <v>3.7</v>
      </c>
      <c r="D244" s="126"/>
      <c r="G244" s="127"/>
      <c r="H244" s="127"/>
    </row>
    <row r="245" ht="14.25" customHeight="1">
      <c r="A245" s="8" t="s">
        <v>685</v>
      </c>
      <c r="B245" s="124">
        <v>3.7</v>
      </c>
      <c r="D245" s="126"/>
      <c r="G245" s="127"/>
      <c r="H245" s="127"/>
    </row>
    <row r="246" ht="14.25" customHeight="1">
      <c r="A246" s="8" t="s">
        <v>692</v>
      </c>
      <c r="B246" s="124">
        <v>3.7</v>
      </c>
      <c r="D246" s="126"/>
      <c r="G246" s="127"/>
      <c r="H246" s="127"/>
    </row>
    <row r="247" ht="14.25" customHeight="1">
      <c r="A247" s="8" t="s">
        <v>701</v>
      </c>
      <c r="B247" s="124">
        <v>3.7</v>
      </c>
      <c r="D247" s="126"/>
      <c r="G247" s="127"/>
      <c r="H247" s="127"/>
    </row>
    <row r="248" ht="14.25" customHeight="1">
      <c r="A248" s="8" t="s">
        <v>708</v>
      </c>
      <c r="B248" s="124">
        <v>3.7</v>
      </c>
      <c r="D248" s="126"/>
      <c r="G248" s="127"/>
      <c r="H248" s="127"/>
    </row>
    <row r="249" ht="14.25" customHeight="1">
      <c r="A249" s="8" t="s">
        <v>716</v>
      </c>
      <c r="B249" s="124">
        <v>3.7</v>
      </c>
      <c r="D249" s="126"/>
      <c r="G249" s="127"/>
      <c r="H249" s="127"/>
    </row>
    <row r="250" ht="14.25" customHeight="1">
      <c r="A250" s="8" t="s">
        <v>722</v>
      </c>
      <c r="B250" s="124">
        <v>3.7</v>
      </c>
      <c r="D250" s="126"/>
      <c r="G250" s="127"/>
      <c r="H250" s="127"/>
    </row>
    <row r="251" ht="14.25" customHeight="1">
      <c r="A251" s="8" t="s">
        <v>727</v>
      </c>
      <c r="B251" s="124">
        <v>3.7</v>
      </c>
      <c r="D251" s="126"/>
      <c r="G251" s="127"/>
      <c r="H251" s="127"/>
    </row>
    <row r="252" ht="14.25" customHeight="1">
      <c r="A252" s="8" t="s">
        <v>733</v>
      </c>
      <c r="B252" s="124">
        <v>3.7</v>
      </c>
      <c r="D252" s="126"/>
      <c r="G252" s="127"/>
      <c r="H252" s="127"/>
    </row>
    <row r="253" ht="14.25" customHeight="1">
      <c r="A253" s="8" t="s">
        <v>743</v>
      </c>
      <c r="B253" s="124">
        <v>3.7</v>
      </c>
      <c r="D253" s="126"/>
      <c r="G253" s="127"/>
      <c r="H253" s="127"/>
    </row>
    <row r="254" ht="14.25" customHeight="1">
      <c r="A254" s="8" t="s">
        <v>753</v>
      </c>
      <c r="B254" s="124">
        <v>3.7</v>
      </c>
      <c r="D254" s="126"/>
      <c r="G254" s="127"/>
      <c r="H254" s="127"/>
    </row>
    <row r="255" ht="14.25" customHeight="1">
      <c r="A255" s="8" t="s">
        <v>764</v>
      </c>
      <c r="B255" s="124">
        <v>3.7</v>
      </c>
      <c r="D255" s="126"/>
      <c r="G255" s="127"/>
      <c r="H255" s="127"/>
    </row>
    <row r="256" ht="14.25" customHeight="1">
      <c r="A256" s="8" t="s">
        <v>774</v>
      </c>
      <c r="B256" s="124">
        <v>3.7</v>
      </c>
      <c r="D256" s="126"/>
      <c r="G256" s="127"/>
      <c r="H256" s="127"/>
    </row>
    <row r="257" ht="14.25" customHeight="1">
      <c r="A257" s="8" t="s">
        <v>784</v>
      </c>
      <c r="B257" s="124">
        <v>3.7</v>
      </c>
      <c r="D257" s="126"/>
      <c r="G257" s="127"/>
      <c r="H257" s="127"/>
    </row>
    <row r="258" ht="14.25" customHeight="1">
      <c r="A258" s="8" t="s">
        <v>796</v>
      </c>
      <c r="B258" s="124">
        <v>3.7</v>
      </c>
      <c r="D258" s="126"/>
      <c r="G258" s="127"/>
      <c r="H258" s="127"/>
    </row>
    <row r="259" ht="14.25" customHeight="1">
      <c r="A259" s="8" t="s">
        <v>807</v>
      </c>
      <c r="B259" s="124">
        <v>3.7</v>
      </c>
      <c r="D259" s="126"/>
      <c r="G259" s="127"/>
      <c r="H259" s="127"/>
    </row>
    <row r="260" ht="14.25" customHeight="1">
      <c r="A260" s="8" t="s">
        <v>818</v>
      </c>
      <c r="B260" s="124">
        <v>3.7</v>
      </c>
      <c r="D260" s="126"/>
      <c r="G260" s="127"/>
      <c r="H260" s="127"/>
    </row>
    <row r="261" ht="14.25" customHeight="1">
      <c r="A261" s="8" t="s">
        <v>828</v>
      </c>
      <c r="B261" s="124">
        <v>3.7</v>
      </c>
      <c r="D261" s="126"/>
      <c r="G261" s="127"/>
      <c r="H261" s="127"/>
    </row>
    <row r="262" ht="14.25" customHeight="1">
      <c r="A262" s="8" t="s">
        <v>839</v>
      </c>
      <c r="B262" s="124">
        <v>3.7</v>
      </c>
      <c r="D262" s="126"/>
      <c r="G262" s="127"/>
      <c r="H262" s="127"/>
    </row>
    <row r="263" ht="14.25" customHeight="1">
      <c r="A263" s="8" t="s">
        <v>849</v>
      </c>
      <c r="B263" s="124">
        <v>3.7</v>
      </c>
      <c r="D263" s="126"/>
      <c r="G263" s="127"/>
      <c r="H263" s="127"/>
    </row>
    <row r="264" ht="14.25" customHeight="1">
      <c r="A264" s="8" t="s">
        <v>859</v>
      </c>
      <c r="B264" s="124">
        <v>3.7</v>
      </c>
      <c r="D264" s="126"/>
      <c r="G264" s="127"/>
      <c r="H264" s="127"/>
    </row>
    <row r="265" ht="14.25" customHeight="1">
      <c r="A265" s="8" t="s">
        <v>869</v>
      </c>
      <c r="B265" s="124">
        <v>3.7</v>
      </c>
      <c r="D265" s="126"/>
      <c r="G265" s="127"/>
      <c r="H265" s="127"/>
    </row>
    <row r="266" ht="14.25" customHeight="1">
      <c r="A266" s="8" t="s">
        <v>879</v>
      </c>
      <c r="B266" s="124">
        <v>3.7</v>
      </c>
      <c r="D266" s="126"/>
      <c r="G266" s="127"/>
      <c r="H266" s="127"/>
    </row>
    <row r="267" ht="14.25" customHeight="1">
      <c r="A267" s="8" t="s">
        <v>890</v>
      </c>
      <c r="B267" s="124">
        <v>3.7</v>
      </c>
      <c r="D267" s="126"/>
      <c r="G267" s="127"/>
      <c r="H267" s="127"/>
    </row>
    <row r="268" ht="14.25" customHeight="1">
      <c r="A268" s="8" t="s">
        <v>901</v>
      </c>
      <c r="B268" s="124">
        <v>3.7</v>
      </c>
      <c r="D268" s="126"/>
      <c r="G268" s="127"/>
      <c r="H268" s="127"/>
    </row>
    <row r="269" ht="14.25" customHeight="1">
      <c r="A269" s="8" t="s">
        <v>912</v>
      </c>
      <c r="B269" s="124">
        <v>3.7</v>
      </c>
      <c r="D269" s="126"/>
      <c r="G269" s="127"/>
      <c r="H269" s="127"/>
    </row>
    <row r="270" ht="14.25" customHeight="1">
      <c r="A270" s="8" t="s">
        <v>923</v>
      </c>
      <c r="B270" s="124">
        <v>3.7</v>
      </c>
      <c r="D270" s="126"/>
      <c r="G270" s="127"/>
      <c r="H270" s="127"/>
    </row>
    <row r="271" ht="14.25" customHeight="1">
      <c r="A271" s="8" t="s">
        <v>933</v>
      </c>
      <c r="B271" s="124">
        <v>3.7</v>
      </c>
      <c r="D271" s="126"/>
      <c r="G271" s="127"/>
      <c r="H271" s="127"/>
    </row>
    <row r="272" ht="14.25" customHeight="1">
      <c r="A272" s="8" t="s">
        <v>1109</v>
      </c>
      <c r="B272" s="124">
        <v>3.7</v>
      </c>
      <c r="D272" s="126"/>
      <c r="G272" s="127"/>
      <c r="H272" s="127"/>
    </row>
    <row r="273" ht="14.25" customHeight="1">
      <c r="A273" s="8" t="s">
        <v>1110</v>
      </c>
      <c r="B273" s="124">
        <v>3.7</v>
      </c>
      <c r="D273" s="126"/>
      <c r="G273" s="127"/>
      <c r="H273" s="127"/>
    </row>
    <row r="274" ht="14.25" customHeight="1">
      <c r="A274" s="8" t="s">
        <v>1111</v>
      </c>
      <c r="B274" s="124">
        <v>3.7</v>
      </c>
      <c r="D274" s="126"/>
      <c r="G274" s="127"/>
      <c r="H274" s="127"/>
    </row>
    <row r="275" ht="14.25" customHeight="1">
      <c r="A275" s="8" t="s">
        <v>1112</v>
      </c>
      <c r="B275" s="124">
        <v>3.7</v>
      </c>
      <c r="D275" s="126"/>
      <c r="G275" s="127"/>
      <c r="H275" s="127"/>
    </row>
    <row r="276" ht="14.25" customHeight="1">
      <c r="A276" s="8" t="s">
        <v>1113</v>
      </c>
      <c r="B276" s="124">
        <v>3.7</v>
      </c>
      <c r="D276" s="126"/>
      <c r="G276" s="127"/>
      <c r="H276" s="127"/>
    </row>
    <row r="277" ht="14.25" customHeight="1">
      <c r="A277" s="8" t="s">
        <v>1114</v>
      </c>
      <c r="B277" s="124">
        <v>3.7</v>
      </c>
      <c r="D277" s="126"/>
      <c r="G277" s="127"/>
      <c r="H277" s="127"/>
    </row>
    <row r="278" ht="14.25" customHeight="1">
      <c r="A278" s="8" t="s">
        <v>1115</v>
      </c>
      <c r="B278" s="124">
        <v>3.7</v>
      </c>
      <c r="D278" s="126"/>
      <c r="G278" s="127"/>
      <c r="H278" s="127"/>
    </row>
    <row r="279" ht="14.25" customHeight="1">
      <c r="A279" s="8" t="s">
        <v>1117</v>
      </c>
      <c r="B279" s="124">
        <v>3.7</v>
      </c>
      <c r="D279" s="126"/>
      <c r="G279" s="127"/>
      <c r="H279" s="127"/>
    </row>
    <row r="280" ht="14.25" customHeight="1">
      <c r="A280" s="8" t="s">
        <v>1118</v>
      </c>
      <c r="B280" s="124">
        <v>3.7</v>
      </c>
      <c r="D280" s="126"/>
      <c r="G280" s="127"/>
      <c r="H280" s="127"/>
    </row>
    <row r="281" ht="14.25" customHeight="1">
      <c r="A281" s="8" t="s">
        <v>1119</v>
      </c>
      <c r="B281" s="124">
        <v>3.7</v>
      </c>
      <c r="D281" s="126"/>
      <c r="G281" s="127"/>
      <c r="H281" s="127"/>
    </row>
    <row r="282" ht="14.25" customHeight="1">
      <c r="A282" s="8" t="s">
        <v>1121</v>
      </c>
      <c r="B282" s="124">
        <v>3.7</v>
      </c>
      <c r="D282" s="126"/>
      <c r="G282" s="127"/>
      <c r="H282" s="127"/>
    </row>
    <row r="283" ht="14.25" customHeight="1">
      <c r="A283" s="8" t="s">
        <v>1123</v>
      </c>
      <c r="B283" s="124">
        <v>3.7</v>
      </c>
      <c r="D283" s="126"/>
      <c r="G283" s="127"/>
      <c r="H283" s="127"/>
    </row>
    <row r="284" ht="14.25" customHeight="1">
      <c r="A284" s="8" t="s">
        <v>1124</v>
      </c>
      <c r="B284" s="124">
        <v>3.7</v>
      </c>
      <c r="D284" s="126"/>
      <c r="G284" s="127"/>
      <c r="H284" s="127"/>
    </row>
    <row r="285" ht="14.25" customHeight="1">
      <c r="A285" s="8" t="s">
        <v>1125</v>
      </c>
      <c r="B285" s="124">
        <v>3.7</v>
      </c>
      <c r="D285" s="126"/>
      <c r="G285" s="127"/>
      <c r="H285" s="127"/>
    </row>
    <row r="286" ht="14.25" customHeight="1">
      <c r="A286" s="8" t="s">
        <v>1126</v>
      </c>
      <c r="B286" s="124">
        <v>3.7</v>
      </c>
      <c r="D286" s="126"/>
      <c r="G286" s="127"/>
      <c r="H286" s="127"/>
    </row>
    <row r="287" ht="14.25" customHeight="1">
      <c r="A287" s="8" t="s">
        <v>1127</v>
      </c>
      <c r="B287" s="124">
        <v>3.7</v>
      </c>
      <c r="D287" s="126"/>
      <c r="G287" s="127"/>
      <c r="H287" s="127"/>
    </row>
    <row r="288" ht="14.25" customHeight="1">
      <c r="A288" s="8" t="s">
        <v>1128</v>
      </c>
      <c r="B288" s="124">
        <v>3.7</v>
      </c>
      <c r="D288" s="126"/>
      <c r="G288" s="127"/>
      <c r="H288" s="127"/>
    </row>
    <row r="289" ht="14.25" customHeight="1">
      <c r="A289" s="8" t="s">
        <v>1129</v>
      </c>
      <c r="B289" s="124">
        <v>3.7</v>
      </c>
      <c r="D289" s="126"/>
      <c r="G289" s="127"/>
      <c r="H289" s="127"/>
    </row>
    <row r="290" ht="14.25" customHeight="1">
      <c r="A290" s="8" t="s">
        <v>1130</v>
      </c>
      <c r="B290" s="124">
        <v>3.7</v>
      </c>
      <c r="D290" s="126"/>
      <c r="G290" s="127"/>
      <c r="H290" s="127"/>
    </row>
    <row r="291" ht="14.25" customHeight="1">
      <c r="A291" s="8" t="s">
        <v>1131</v>
      </c>
      <c r="B291" s="124">
        <v>3.7</v>
      </c>
      <c r="D291" s="126"/>
      <c r="G291" s="127"/>
      <c r="H291" s="127"/>
    </row>
    <row r="292" ht="14.25" customHeight="1">
      <c r="A292" s="8" t="s">
        <v>1132</v>
      </c>
      <c r="B292" s="124">
        <v>3.7</v>
      </c>
      <c r="D292" s="126"/>
      <c r="G292" s="127"/>
      <c r="H292" s="127"/>
    </row>
    <row r="293" ht="14.25" customHeight="1">
      <c r="A293" s="8" t="s">
        <v>1133</v>
      </c>
      <c r="B293" s="124">
        <v>3.7</v>
      </c>
      <c r="D293" s="126"/>
      <c r="G293" s="127"/>
      <c r="H293" s="127"/>
    </row>
    <row r="294" ht="14.25" customHeight="1">
      <c r="A294" s="8" t="s">
        <v>1134</v>
      </c>
      <c r="B294" s="124">
        <v>3.7</v>
      </c>
      <c r="D294" s="126"/>
      <c r="G294" s="127"/>
      <c r="H294" s="127"/>
    </row>
    <row r="295" ht="14.25" customHeight="1">
      <c r="A295" s="8" t="s">
        <v>1135</v>
      </c>
      <c r="B295" s="124">
        <v>3.7</v>
      </c>
      <c r="D295" s="126"/>
      <c r="G295" s="127"/>
      <c r="H295" s="127"/>
    </row>
    <row r="296" ht="14.25" customHeight="1">
      <c r="A296" s="8" t="s">
        <v>1136</v>
      </c>
      <c r="B296" s="124">
        <v>3.7</v>
      </c>
      <c r="D296" s="126"/>
      <c r="G296" s="127"/>
      <c r="H296" s="127"/>
    </row>
    <row r="297" ht="14.25" customHeight="1">
      <c r="A297" s="8" t="s">
        <v>1137</v>
      </c>
      <c r="B297" s="124">
        <v>3.7</v>
      </c>
      <c r="D297" s="126"/>
      <c r="G297" s="127"/>
      <c r="H297" s="127"/>
    </row>
    <row r="298" ht="14.25" customHeight="1">
      <c r="A298" s="8" t="s">
        <v>1138</v>
      </c>
      <c r="B298" s="124">
        <v>3.7</v>
      </c>
      <c r="D298" s="126"/>
      <c r="G298" s="127"/>
      <c r="H298" s="127"/>
    </row>
    <row r="299" ht="14.25" customHeight="1">
      <c r="A299" s="8" t="s">
        <v>1139</v>
      </c>
      <c r="B299" s="124">
        <v>3.7</v>
      </c>
      <c r="D299" s="126"/>
      <c r="G299" s="127"/>
      <c r="H299" s="127"/>
    </row>
    <row r="300" ht="14.25" customHeight="1">
      <c r="A300" s="8" t="s">
        <v>1140</v>
      </c>
      <c r="B300" s="124">
        <v>3.7</v>
      </c>
      <c r="D300" s="126"/>
      <c r="G300" s="127"/>
      <c r="H300" s="127"/>
    </row>
    <row r="301" ht="14.25" customHeight="1">
      <c r="A301" s="8" t="s">
        <v>1141</v>
      </c>
      <c r="B301" s="124">
        <v>3.7</v>
      </c>
      <c r="D301" s="126"/>
      <c r="G301" s="127"/>
      <c r="H301" s="127"/>
    </row>
    <row r="302" ht="14.25" customHeight="1">
      <c r="A302" s="8" t="s">
        <v>1142</v>
      </c>
      <c r="B302" s="124">
        <v>3.7</v>
      </c>
      <c r="D302" s="126"/>
      <c r="G302" s="127"/>
      <c r="H302" s="127"/>
    </row>
    <row r="303" ht="14.25" customHeight="1">
      <c r="A303" s="8" t="s">
        <v>1145</v>
      </c>
      <c r="B303" s="124">
        <v>3.7</v>
      </c>
      <c r="D303" s="126"/>
      <c r="G303" s="127"/>
      <c r="H303" s="127"/>
    </row>
    <row r="304" ht="14.25" customHeight="1">
      <c r="A304" s="8" t="s">
        <v>1146</v>
      </c>
      <c r="B304" s="124">
        <v>3.7</v>
      </c>
      <c r="D304" s="126"/>
      <c r="G304" s="127"/>
      <c r="H304" s="127"/>
    </row>
    <row r="305" ht="14.25" customHeight="1">
      <c r="A305" s="8" t="s">
        <v>1147</v>
      </c>
      <c r="B305" s="124">
        <v>3.7</v>
      </c>
      <c r="D305" s="126"/>
      <c r="G305" s="127"/>
      <c r="H305" s="127"/>
    </row>
    <row r="306" ht="14.25" customHeight="1">
      <c r="A306" s="8" t="s">
        <v>1148</v>
      </c>
      <c r="B306" s="124">
        <v>3.7</v>
      </c>
      <c r="D306" s="126"/>
      <c r="G306" s="127"/>
      <c r="H306" s="127"/>
    </row>
    <row r="307" ht="14.25" customHeight="1">
      <c r="A307" s="8" t="s">
        <v>1149</v>
      </c>
      <c r="B307" s="124">
        <v>3.7</v>
      </c>
      <c r="D307" s="126"/>
      <c r="G307" s="127"/>
      <c r="H307" s="127"/>
    </row>
    <row r="308" ht="14.25" customHeight="1">
      <c r="A308" s="8" t="s">
        <v>1150</v>
      </c>
      <c r="B308" s="124">
        <v>3.7</v>
      </c>
      <c r="D308" s="126"/>
      <c r="G308" s="127"/>
      <c r="H308" s="127"/>
    </row>
    <row r="309" ht="14.25" customHeight="1">
      <c r="A309" s="8" t="s">
        <v>1151</v>
      </c>
      <c r="B309" s="124">
        <v>3.7</v>
      </c>
      <c r="D309" s="126"/>
      <c r="G309" s="127"/>
      <c r="H309" s="127"/>
    </row>
    <row r="310" ht="14.25" customHeight="1">
      <c r="A310" s="8" t="s">
        <v>1152</v>
      </c>
      <c r="B310" s="124">
        <v>3.7</v>
      </c>
      <c r="D310" s="126"/>
      <c r="G310" s="127"/>
      <c r="H310" s="127"/>
    </row>
    <row r="311" ht="14.25" customHeight="1">
      <c r="A311" s="8" t="s">
        <v>1153</v>
      </c>
      <c r="B311" s="124">
        <v>3.7</v>
      </c>
      <c r="D311" s="126"/>
      <c r="G311" s="127"/>
      <c r="H311" s="127"/>
    </row>
    <row r="312" ht="14.25" customHeight="1">
      <c r="A312" s="8" t="s">
        <v>1154</v>
      </c>
      <c r="B312" s="124">
        <v>3.7</v>
      </c>
      <c r="D312" s="126"/>
      <c r="G312" s="127"/>
      <c r="H312" s="127"/>
    </row>
    <row r="313" ht="14.25" customHeight="1">
      <c r="A313" s="8" t="s">
        <v>1155</v>
      </c>
      <c r="B313" s="124">
        <v>3.7</v>
      </c>
      <c r="D313" s="126"/>
      <c r="G313" s="127"/>
      <c r="H313" s="127"/>
    </row>
    <row r="314" ht="14.25" customHeight="1">
      <c r="A314" s="8" t="s">
        <v>1156</v>
      </c>
      <c r="B314" s="124">
        <v>3.7</v>
      </c>
      <c r="D314" s="126"/>
      <c r="G314" s="127"/>
      <c r="H314" s="127"/>
    </row>
    <row r="315" ht="14.25" customHeight="1">
      <c r="A315" s="8" t="s">
        <v>1157</v>
      </c>
      <c r="B315" s="124">
        <v>3.7</v>
      </c>
      <c r="D315" s="126"/>
      <c r="G315" s="127"/>
      <c r="H315" s="127"/>
    </row>
    <row r="316" ht="14.25" customHeight="1">
      <c r="A316" s="8" t="s">
        <v>1158</v>
      </c>
      <c r="B316" s="124">
        <v>3.7</v>
      </c>
      <c r="D316" s="126"/>
      <c r="G316" s="127"/>
      <c r="H316" s="127"/>
    </row>
    <row r="317" ht="14.25" customHeight="1">
      <c r="A317" s="8" t="s">
        <v>1159</v>
      </c>
      <c r="B317" s="124">
        <v>3.7</v>
      </c>
      <c r="D317" s="126"/>
      <c r="G317" s="127"/>
      <c r="H317" s="127"/>
    </row>
    <row r="318" ht="14.25" customHeight="1">
      <c r="A318" s="8" t="s">
        <v>1160</v>
      </c>
      <c r="B318" s="124">
        <v>3.7</v>
      </c>
      <c r="D318" s="126"/>
      <c r="G318" s="127"/>
      <c r="H318" s="127"/>
    </row>
    <row r="319" ht="14.25" customHeight="1">
      <c r="A319" s="8" t="s">
        <v>1161</v>
      </c>
      <c r="B319" s="124">
        <v>3.7</v>
      </c>
      <c r="D319" s="126"/>
      <c r="G319" s="127"/>
      <c r="H319" s="127"/>
    </row>
    <row r="320" ht="14.25" customHeight="1">
      <c r="A320" s="8" t="s">
        <v>1162</v>
      </c>
      <c r="B320" s="124">
        <v>3.7</v>
      </c>
      <c r="D320" s="126"/>
      <c r="G320" s="127"/>
      <c r="H320" s="127"/>
    </row>
    <row r="321" ht="14.25" customHeight="1">
      <c r="A321" s="8" t="s">
        <v>1163</v>
      </c>
      <c r="B321" s="124">
        <v>3.7</v>
      </c>
      <c r="D321" s="126"/>
      <c r="G321" s="127"/>
      <c r="H321" s="127"/>
    </row>
    <row r="322" ht="14.25" customHeight="1">
      <c r="A322" s="8" t="s">
        <v>1164</v>
      </c>
      <c r="B322" s="124">
        <v>3.7</v>
      </c>
      <c r="D322" s="126"/>
      <c r="G322" s="127"/>
      <c r="H322" s="127"/>
    </row>
    <row r="323" ht="14.25" customHeight="1">
      <c r="A323" s="8" t="s">
        <v>1165</v>
      </c>
      <c r="B323" s="124">
        <v>3.7</v>
      </c>
      <c r="D323" s="126"/>
      <c r="G323" s="127"/>
      <c r="H323" s="127"/>
    </row>
    <row r="324" ht="14.25" customHeight="1">
      <c r="A324" s="8" t="s">
        <v>1166</v>
      </c>
      <c r="B324" s="124">
        <v>3.7</v>
      </c>
      <c r="D324" s="126"/>
      <c r="G324" s="127"/>
      <c r="H324" s="127"/>
    </row>
    <row r="325" ht="14.25" customHeight="1">
      <c r="A325" s="8" t="s">
        <v>1168</v>
      </c>
      <c r="B325" s="124">
        <v>3.7</v>
      </c>
      <c r="D325" s="126"/>
      <c r="G325" s="127"/>
      <c r="H325" s="127"/>
    </row>
    <row r="326" ht="14.25" customHeight="1">
      <c r="A326" s="8" t="s">
        <v>1169</v>
      </c>
      <c r="B326" s="124">
        <v>3.7</v>
      </c>
      <c r="D326" s="126"/>
      <c r="G326" s="127"/>
      <c r="H326" s="127"/>
    </row>
    <row r="327" ht="14.25" customHeight="1">
      <c r="A327" s="8" t="s">
        <v>1170</v>
      </c>
      <c r="B327" s="124">
        <v>3.7</v>
      </c>
      <c r="D327" s="126"/>
      <c r="G327" s="127"/>
      <c r="H327" s="127"/>
    </row>
    <row r="328" ht="14.25" customHeight="1">
      <c r="A328" s="8" t="s">
        <v>1171</v>
      </c>
      <c r="B328" s="124">
        <v>3.7</v>
      </c>
      <c r="D328" s="126"/>
      <c r="G328" s="127"/>
      <c r="H328" s="127"/>
    </row>
    <row r="329" ht="14.25" customHeight="1">
      <c r="A329" s="8" t="s">
        <v>1172</v>
      </c>
      <c r="B329" s="124">
        <v>3.7</v>
      </c>
      <c r="D329" s="126"/>
      <c r="G329" s="127"/>
      <c r="H329" s="127"/>
    </row>
    <row r="330" ht="14.25" customHeight="1">
      <c r="A330" s="8" t="s">
        <v>1173</v>
      </c>
      <c r="B330" s="124">
        <v>3.7</v>
      </c>
      <c r="D330" s="126"/>
      <c r="G330" s="127"/>
      <c r="H330" s="127"/>
    </row>
    <row r="331" ht="14.25" customHeight="1">
      <c r="A331" s="8" t="s">
        <v>1174</v>
      </c>
      <c r="B331" s="124">
        <v>3.7</v>
      </c>
      <c r="D331" s="126"/>
      <c r="G331" s="127"/>
      <c r="H331" s="127"/>
    </row>
    <row r="332" ht="14.25" customHeight="1">
      <c r="A332" s="8" t="s">
        <v>1175</v>
      </c>
      <c r="B332" s="124">
        <v>3.7</v>
      </c>
      <c r="D332" s="126"/>
      <c r="G332" s="127"/>
      <c r="H332" s="127"/>
    </row>
    <row r="333" ht="14.25" customHeight="1">
      <c r="A333" s="8" t="s">
        <v>1176</v>
      </c>
      <c r="B333" s="124">
        <v>3.7</v>
      </c>
      <c r="D333" s="126"/>
      <c r="G333" s="127"/>
      <c r="H333" s="127"/>
    </row>
    <row r="334" ht="14.25" customHeight="1">
      <c r="A334" s="8" t="s">
        <v>1177</v>
      </c>
      <c r="B334" s="124">
        <v>3.7</v>
      </c>
      <c r="D334" s="126"/>
      <c r="G334" s="127"/>
      <c r="H334" s="127"/>
    </row>
    <row r="335" ht="14.25" customHeight="1">
      <c r="A335" s="8" t="s">
        <v>1178</v>
      </c>
      <c r="B335" s="124">
        <v>3.7</v>
      </c>
      <c r="D335" s="126"/>
      <c r="G335" s="127"/>
      <c r="H335" s="127"/>
    </row>
    <row r="336" ht="14.25" customHeight="1">
      <c r="A336" s="8" t="s">
        <v>1179</v>
      </c>
      <c r="B336" s="124">
        <v>3.7</v>
      </c>
      <c r="D336" s="126"/>
      <c r="G336" s="127"/>
      <c r="H336" s="127"/>
    </row>
    <row r="337" ht="14.25" customHeight="1">
      <c r="A337" s="8" t="s">
        <v>1180</v>
      </c>
      <c r="B337" s="124">
        <v>3.7</v>
      </c>
      <c r="D337" s="126"/>
      <c r="G337" s="127"/>
      <c r="H337" s="127"/>
    </row>
    <row r="338" ht="14.25" customHeight="1">
      <c r="A338" s="8" t="s">
        <v>1181</v>
      </c>
      <c r="B338" s="124">
        <v>3.7</v>
      </c>
      <c r="D338" s="126"/>
      <c r="G338" s="127"/>
      <c r="H338" s="127"/>
    </row>
    <row r="339" ht="14.25" customHeight="1">
      <c r="A339" s="8" t="s">
        <v>1182</v>
      </c>
      <c r="B339" s="124">
        <v>3.7</v>
      </c>
      <c r="D339" s="126"/>
      <c r="G339" s="127"/>
      <c r="H339" s="127"/>
    </row>
    <row r="340" ht="14.25" customHeight="1">
      <c r="A340" s="8" t="s">
        <v>1183</v>
      </c>
      <c r="B340" s="124">
        <v>3.7</v>
      </c>
      <c r="D340" s="126"/>
      <c r="G340" s="127"/>
      <c r="H340" s="127"/>
    </row>
    <row r="341" ht="14.25" customHeight="1">
      <c r="A341" s="8" t="s">
        <v>1184</v>
      </c>
      <c r="B341" s="124">
        <v>3.7</v>
      </c>
      <c r="D341" s="126"/>
      <c r="G341" s="127"/>
      <c r="H341" s="127"/>
    </row>
    <row r="342" ht="14.25" customHeight="1">
      <c r="A342" s="8" t="s">
        <v>1185</v>
      </c>
      <c r="B342" s="124">
        <v>3.7</v>
      </c>
      <c r="D342" s="126"/>
      <c r="G342" s="127"/>
      <c r="H342" s="127"/>
    </row>
    <row r="343" ht="14.25" customHeight="1">
      <c r="A343" s="8" t="s">
        <v>1186</v>
      </c>
      <c r="B343" s="124">
        <v>3.7</v>
      </c>
      <c r="D343" s="126"/>
      <c r="G343" s="127"/>
      <c r="H343" s="127"/>
    </row>
    <row r="344" ht="14.25" customHeight="1">
      <c r="A344" s="8" t="s">
        <v>1189</v>
      </c>
      <c r="B344" s="124">
        <v>3.7</v>
      </c>
      <c r="D344" s="126"/>
      <c r="G344" s="127"/>
      <c r="H344" s="127"/>
    </row>
    <row r="345" ht="14.25" customHeight="1">
      <c r="A345" s="8" t="s">
        <v>1190</v>
      </c>
      <c r="B345" s="124">
        <v>3.7</v>
      </c>
      <c r="D345" s="126"/>
      <c r="G345" s="127"/>
      <c r="H345" s="127"/>
    </row>
    <row r="346" ht="14.25" customHeight="1">
      <c r="A346" s="8" t="s">
        <v>1191</v>
      </c>
      <c r="B346" s="124">
        <v>3.7</v>
      </c>
      <c r="D346" s="126"/>
      <c r="G346" s="127"/>
      <c r="H346" s="127"/>
    </row>
    <row r="347" ht="14.25" customHeight="1">
      <c r="A347" s="8" t="s">
        <v>1192</v>
      </c>
      <c r="B347" s="124">
        <v>3.7</v>
      </c>
      <c r="D347" s="126"/>
      <c r="G347" s="127"/>
      <c r="H347" s="127"/>
    </row>
    <row r="348" ht="14.25" customHeight="1">
      <c r="A348" s="8" t="s">
        <v>1193</v>
      </c>
      <c r="B348" s="124">
        <v>3.7</v>
      </c>
      <c r="D348" s="126"/>
      <c r="G348" s="127"/>
      <c r="H348" s="127"/>
    </row>
    <row r="349" ht="14.25" customHeight="1">
      <c r="A349" s="8" t="s">
        <v>1194</v>
      </c>
      <c r="B349" s="124">
        <v>3.7</v>
      </c>
      <c r="D349" s="126"/>
      <c r="G349" s="127"/>
      <c r="H349" s="127"/>
    </row>
    <row r="350" ht="14.25" customHeight="1">
      <c r="A350" s="8" t="s">
        <v>1197</v>
      </c>
      <c r="B350" s="124">
        <v>3.7</v>
      </c>
      <c r="D350" s="126"/>
      <c r="G350" s="127"/>
      <c r="H350" s="127"/>
    </row>
    <row r="351" ht="14.25" customHeight="1">
      <c r="A351" s="8" t="s">
        <v>1198</v>
      </c>
      <c r="B351" s="124">
        <v>3.7</v>
      </c>
      <c r="D351" s="126"/>
      <c r="G351" s="127"/>
      <c r="H351" s="127"/>
    </row>
    <row r="352" ht="14.25" customHeight="1">
      <c r="A352" s="8" t="s">
        <v>1199</v>
      </c>
      <c r="B352" s="124">
        <v>3.7</v>
      </c>
      <c r="D352" s="126"/>
      <c r="G352" s="127"/>
      <c r="H352" s="127"/>
    </row>
    <row r="353" ht="14.25" customHeight="1">
      <c r="A353" s="8" t="s">
        <v>1200</v>
      </c>
      <c r="B353" s="124">
        <v>3.7</v>
      </c>
      <c r="D353" s="126"/>
      <c r="G353" s="127"/>
      <c r="H353" s="127"/>
    </row>
    <row r="354" ht="14.25" customHeight="1">
      <c r="A354" s="8" t="s">
        <v>1201</v>
      </c>
      <c r="B354" s="124">
        <v>3.7</v>
      </c>
      <c r="D354" s="126"/>
      <c r="G354" s="127"/>
      <c r="H354" s="127"/>
    </row>
    <row r="355" ht="14.25" customHeight="1">
      <c r="A355" s="8" t="s">
        <v>1202</v>
      </c>
      <c r="B355" s="124">
        <v>3.7</v>
      </c>
      <c r="D355" s="126"/>
      <c r="G355" s="127"/>
      <c r="H355" s="127"/>
    </row>
    <row r="356" ht="14.25" customHeight="1">
      <c r="A356" s="8" t="s">
        <v>1204</v>
      </c>
      <c r="B356" s="124">
        <v>3.7</v>
      </c>
      <c r="D356" s="126"/>
      <c r="G356" s="127"/>
      <c r="H356" s="127"/>
    </row>
    <row r="357" ht="14.25" customHeight="1">
      <c r="A357" s="8" t="s">
        <v>1206</v>
      </c>
      <c r="B357" s="124">
        <v>3.7</v>
      </c>
      <c r="D357" s="126"/>
      <c r="G357" s="127"/>
      <c r="H357" s="127"/>
    </row>
    <row r="358" ht="14.25" customHeight="1">
      <c r="A358" s="8" t="s">
        <v>1207</v>
      </c>
      <c r="B358" s="124">
        <v>3.7</v>
      </c>
      <c r="D358" s="126"/>
      <c r="G358" s="127"/>
      <c r="H358" s="127"/>
    </row>
    <row r="359" ht="14.25" customHeight="1">
      <c r="A359" s="8" t="s">
        <v>1208</v>
      </c>
      <c r="B359" s="124">
        <v>3.7</v>
      </c>
      <c r="D359" s="126"/>
      <c r="G359" s="127"/>
      <c r="H359" s="127"/>
    </row>
    <row r="360" ht="14.25" customHeight="1">
      <c r="A360" s="8" t="s">
        <v>1209</v>
      </c>
      <c r="B360" s="124">
        <v>3.7</v>
      </c>
      <c r="D360" s="126"/>
      <c r="G360" s="127"/>
      <c r="H360" s="127"/>
    </row>
    <row r="361" ht="14.25" customHeight="1">
      <c r="A361" s="8" t="s">
        <v>1210</v>
      </c>
      <c r="B361" s="124">
        <v>3.7</v>
      </c>
      <c r="D361" s="126"/>
      <c r="G361" s="127"/>
      <c r="H361" s="127"/>
    </row>
    <row r="362" ht="14.25" customHeight="1">
      <c r="A362" s="8" t="s">
        <v>1211</v>
      </c>
      <c r="B362" s="124">
        <v>3.7</v>
      </c>
      <c r="D362" s="126"/>
      <c r="G362" s="127"/>
      <c r="H362" s="127"/>
    </row>
    <row r="363" ht="14.25" customHeight="1">
      <c r="A363" s="8" t="s">
        <v>1212</v>
      </c>
      <c r="B363" s="124">
        <v>3.7</v>
      </c>
      <c r="D363" s="126"/>
      <c r="G363" s="127"/>
      <c r="H363" s="127"/>
    </row>
    <row r="364" ht="14.25" customHeight="1">
      <c r="A364" s="8" t="s">
        <v>1213</v>
      </c>
      <c r="B364" s="124">
        <v>3.7</v>
      </c>
      <c r="D364" s="126"/>
      <c r="G364" s="127"/>
      <c r="H364" s="127"/>
    </row>
    <row r="365" ht="14.25" customHeight="1">
      <c r="A365" s="8" t="s">
        <v>1214</v>
      </c>
      <c r="B365" s="124">
        <v>3.7</v>
      </c>
      <c r="D365" s="126"/>
      <c r="G365" s="127"/>
      <c r="H365" s="127"/>
    </row>
    <row r="366" ht="14.25" customHeight="1">
      <c r="A366" s="8" t="s">
        <v>1215</v>
      </c>
      <c r="B366" s="124">
        <v>3.7</v>
      </c>
      <c r="D366" s="126"/>
      <c r="G366" s="127"/>
      <c r="H366" s="127"/>
    </row>
    <row r="367" ht="14.25" customHeight="1">
      <c r="A367" s="8" t="s">
        <v>1216</v>
      </c>
      <c r="B367" s="124">
        <v>3.7</v>
      </c>
      <c r="D367" s="126"/>
      <c r="G367" s="127"/>
      <c r="H367" s="127"/>
    </row>
    <row r="368" ht="14.25" customHeight="1">
      <c r="A368" s="8" t="s">
        <v>1217</v>
      </c>
      <c r="B368" s="124">
        <v>3.7</v>
      </c>
      <c r="D368" s="126"/>
      <c r="G368" s="127"/>
      <c r="H368" s="127"/>
    </row>
    <row r="369" ht="14.25" customHeight="1">
      <c r="A369" s="8" t="s">
        <v>1218</v>
      </c>
      <c r="B369" s="124">
        <v>3.7</v>
      </c>
      <c r="D369" s="126"/>
      <c r="G369" s="127"/>
      <c r="H369" s="127"/>
    </row>
    <row r="370" ht="14.25" customHeight="1">
      <c r="A370" s="8" t="s">
        <v>1219</v>
      </c>
      <c r="B370" s="124">
        <v>3.7</v>
      </c>
      <c r="D370" s="126"/>
      <c r="G370" s="127"/>
      <c r="H370" s="127"/>
    </row>
    <row r="371" ht="14.25" customHeight="1">
      <c r="A371" s="8" t="s">
        <v>1220</v>
      </c>
      <c r="B371" s="124">
        <v>3.7</v>
      </c>
      <c r="D371" s="126"/>
      <c r="G371" s="127"/>
      <c r="H371" s="127"/>
    </row>
    <row r="372" ht="14.25" customHeight="1">
      <c r="A372" s="8" t="s">
        <v>130</v>
      </c>
      <c r="B372" s="125">
        <v>2.2775</v>
      </c>
      <c r="D372" s="126"/>
      <c r="G372" s="127"/>
      <c r="H372" s="127"/>
    </row>
    <row r="373" ht="14.25" customHeight="1">
      <c r="A373" s="8" t="s">
        <v>156</v>
      </c>
      <c r="B373" s="125">
        <v>2.3576000000000015</v>
      </c>
      <c r="D373" s="126"/>
      <c r="G373" s="127"/>
      <c r="H373" s="127"/>
    </row>
    <row r="374" ht="14.25" customHeight="1">
      <c r="A374" s="8" t="s">
        <v>180</v>
      </c>
      <c r="B374" s="125">
        <v>2.4313000000000002</v>
      </c>
      <c r="D374" s="126"/>
      <c r="G374" s="127"/>
      <c r="H374" s="127"/>
    </row>
    <row r="375" ht="14.25" customHeight="1">
      <c r="A375" s="8" t="s">
        <v>194</v>
      </c>
      <c r="B375" s="125">
        <v>2.4986000000000015</v>
      </c>
      <c r="D375" s="126"/>
      <c r="G375" s="127"/>
      <c r="H375" s="127"/>
    </row>
    <row r="376" ht="14.25" customHeight="1">
      <c r="A376" s="8" t="s">
        <v>206</v>
      </c>
      <c r="B376" s="125">
        <v>2.5595</v>
      </c>
      <c r="D376" s="126"/>
      <c r="G376" s="127"/>
      <c r="H376" s="127"/>
    </row>
    <row r="377" ht="14.25" customHeight="1">
      <c r="A377" s="8" t="s">
        <v>218</v>
      </c>
      <c r="B377" s="125">
        <v>2.6140000000000008</v>
      </c>
      <c r="D377" s="126"/>
      <c r="G377" s="127"/>
      <c r="H377" s="127"/>
    </row>
    <row r="378" ht="14.25" customHeight="1">
      <c r="A378" s="8" t="s">
        <v>230</v>
      </c>
      <c r="B378" s="125">
        <v>2.6621000000000006</v>
      </c>
      <c r="D378" s="126"/>
      <c r="G378" s="127"/>
      <c r="H378" s="127"/>
    </row>
    <row r="379" ht="14.25" customHeight="1">
      <c r="A379" s="8" t="s">
        <v>239</v>
      </c>
      <c r="B379" s="125">
        <v>2.703800000000001</v>
      </c>
      <c r="D379" s="126"/>
      <c r="G379" s="127"/>
      <c r="H379" s="127"/>
    </row>
    <row r="380" ht="14.25" customHeight="1">
      <c r="A380" s="8" t="s">
        <v>247</v>
      </c>
      <c r="B380" s="125">
        <v>2.7391000000000005</v>
      </c>
      <c r="D380" s="126"/>
      <c r="G380" s="127"/>
      <c r="H380" s="127"/>
    </row>
    <row r="381" ht="14.25" customHeight="1">
      <c r="A381" s="8" t="s">
        <v>255</v>
      </c>
      <c r="B381" s="125">
        <v>2.7680000000000007</v>
      </c>
      <c r="D381" s="126"/>
      <c r="G381" s="127"/>
      <c r="H381" s="127"/>
    </row>
    <row r="382" ht="14.25" customHeight="1">
      <c r="A382" s="8" t="s">
        <v>263</v>
      </c>
      <c r="B382" s="125">
        <v>2.7905000000000015</v>
      </c>
      <c r="D382" s="126"/>
      <c r="G382" s="127"/>
      <c r="H382" s="127"/>
    </row>
    <row r="383" ht="14.25" customHeight="1">
      <c r="A383" s="8" t="s">
        <v>271</v>
      </c>
      <c r="B383" s="125">
        <v>2.8066000000000013</v>
      </c>
      <c r="D383" s="126"/>
      <c r="G383" s="127"/>
      <c r="H383" s="127"/>
    </row>
    <row r="384" ht="14.25" customHeight="1">
      <c r="A384" s="8" t="s">
        <v>279</v>
      </c>
      <c r="B384" s="125">
        <v>2.8163</v>
      </c>
      <c r="D384" s="126"/>
      <c r="G384" s="127"/>
      <c r="H384" s="127"/>
    </row>
    <row r="385" ht="14.25" customHeight="1">
      <c r="A385" s="8" t="s">
        <v>287</v>
      </c>
      <c r="B385" s="125">
        <v>2.819600000000001</v>
      </c>
      <c r="D385" s="126"/>
      <c r="G385" s="127"/>
      <c r="H385" s="127"/>
    </row>
    <row r="386" ht="14.25" customHeight="1">
      <c r="A386" s="8" t="s">
        <v>296</v>
      </c>
      <c r="B386" s="125">
        <v>2.8165000000000013</v>
      </c>
      <c r="D386" s="126"/>
      <c r="G386" s="127"/>
      <c r="H386" s="127"/>
    </row>
    <row r="387" ht="14.25" customHeight="1">
      <c r="A387" s="8" t="s">
        <v>304</v>
      </c>
      <c r="B387" s="125">
        <v>2.8070000000000004</v>
      </c>
      <c r="D387" s="126"/>
      <c r="G387" s="127"/>
      <c r="H387" s="127"/>
    </row>
    <row r="388" ht="14.25" customHeight="1">
      <c r="A388" s="8" t="s">
        <v>312</v>
      </c>
      <c r="B388" s="125">
        <v>2.7911</v>
      </c>
      <c r="D388" s="126"/>
      <c r="G388" s="127"/>
      <c r="H388" s="127"/>
    </row>
    <row r="389" ht="14.25" customHeight="1">
      <c r="A389" s="8" t="s">
        <v>320</v>
      </c>
      <c r="B389" s="125">
        <v>2.7688000000000006</v>
      </c>
      <c r="D389" s="126"/>
      <c r="G389" s="127"/>
      <c r="H389" s="127"/>
    </row>
    <row r="390" ht="14.25" customHeight="1">
      <c r="A390" s="8" t="s">
        <v>329</v>
      </c>
      <c r="B390" s="125">
        <v>2.7401</v>
      </c>
      <c r="D390" s="126"/>
      <c r="G390" s="127"/>
      <c r="H390" s="127"/>
    </row>
    <row r="391" ht="14.25" customHeight="1">
      <c r="A391" s="8" t="s">
        <v>333</v>
      </c>
      <c r="B391" s="125">
        <v>2.705</v>
      </c>
      <c r="D391" s="126"/>
      <c r="G391" s="127"/>
      <c r="H391" s="127"/>
    </row>
    <row r="392" ht="14.25" customHeight="1">
      <c r="A392" s="8" t="s">
        <v>337</v>
      </c>
      <c r="B392" s="125">
        <v>2.663500000000001</v>
      </c>
      <c r="D392" s="126"/>
      <c r="G392" s="127"/>
      <c r="H392" s="127"/>
    </row>
    <row r="393" ht="14.25" customHeight="1">
      <c r="A393" s="8" t="s">
        <v>341</v>
      </c>
      <c r="B393" s="125">
        <v>2.6156000000000006</v>
      </c>
      <c r="D393" s="126"/>
      <c r="G393" s="127"/>
      <c r="H393" s="127"/>
    </row>
    <row r="394" ht="14.25" customHeight="1">
      <c r="A394" s="8" t="s">
        <v>345</v>
      </c>
      <c r="B394" s="125">
        <v>2.561300000000001</v>
      </c>
      <c r="D394" s="126"/>
      <c r="G394" s="127"/>
      <c r="H394" s="127"/>
    </row>
    <row r="395" ht="14.25" customHeight="1">
      <c r="A395" s="8" t="s">
        <v>349</v>
      </c>
      <c r="B395" s="125">
        <v>2.5006000000000004</v>
      </c>
      <c r="D395" s="126"/>
      <c r="G395" s="127"/>
      <c r="H395" s="127"/>
    </row>
    <row r="396" ht="14.25" customHeight="1">
      <c r="A396" s="8" t="s">
        <v>353</v>
      </c>
      <c r="B396" s="125">
        <v>2.4335000000000004</v>
      </c>
      <c r="D396" s="126"/>
      <c r="G396" s="127"/>
      <c r="H396" s="127"/>
    </row>
    <row r="397" ht="14.25" customHeight="1">
      <c r="A397" s="8" t="s">
        <v>357</v>
      </c>
      <c r="B397" s="125">
        <v>2.360000000000001</v>
      </c>
      <c r="D397" s="126"/>
      <c r="G397" s="127"/>
      <c r="H397" s="127"/>
    </row>
    <row r="398" ht="14.25" customHeight="1">
      <c r="A398" s="8" t="s">
        <v>361</v>
      </c>
      <c r="B398" s="125">
        <v>2.280100000000001</v>
      </c>
      <c r="D398" s="126"/>
      <c r="G398" s="127"/>
      <c r="H398" s="127"/>
    </row>
    <row r="399" ht="14.25" customHeight="1">
      <c r="A399" s="8" t="s">
        <v>365</v>
      </c>
      <c r="B399" s="125">
        <v>2.1938000000000013</v>
      </c>
      <c r="D399" s="126"/>
      <c r="G399" s="127"/>
      <c r="H399" s="127"/>
    </row>
    <row r="400" ht="14.25" customHeight="1">
      <c r="A400" s="8" t="s">
        <v>369</v>
      </c>
      <c r="B400" s="125">
        <f t="shared" ref="B400:B421" si="1">B399</f>
        <v>2.1938</v>
      </c>
      <c r="D400" s="126"/>
      <c r="G400" s="127"/>
      <c r="H400" s="127"/>
    </row>
    <row r="401" ht="14.25" customHeight="1">
      <c r="A401" s="8" t="s">
        <v>373</v>
      </c>
      <c r="B401" s="125">
        <f t="shared" si="1"/>
        <v>2.1938</v>
      </c>
      <c r="D401" s="126"/>
      <c r="G401" s="127"/>
      <c r="H401" s="127"/>
    </row>
    <row r="402" ht="14.25" customHeight="1">
      <c r="A402" s="8" t="s">
        <v>377</v>
      </c>
      <c r="B402" s="125">
        <f t="shared" si="1"/>
        <v>2.1938</v>
      </c>
      <c r="D402" s="126"/>
      <c r="G402" s="127"/>
      <c r="H402" s="127"/>
    </row>
    <row r="403" ht="14.25" customHeight="1">
      <c r="A403" s="8" t="s">
        <v>381</v>
      </c>
      <c r="B403" s="125">
        <f t="shared" si="1"/>
        <v>2.1938</v>
      </c>
      <c r="D403" s="126"/>
      <c r="G403" s="127"/>
      <c r="H403" s="127"/>
    </row>
    <row r="404" ht="14.25" customHeight="1">
      <c r="A404" s="8" t="s">
        <v>387</v>
      </c>
      <c r="B404" s="125">
        <f t="shared" si="1"/>
        <v>2.1938</v>
      </c>
      <c r="D404" s="126"/>
      <c r="G404" s="127"/>
      <c r="H404" s="127"/>
    </row>
    <row r="405" ht="14.25" customHeight="1">
      <c r="A405" s="8" t="s">
        <v>394</v>
      </c>
      <c r="B405" s="125">
        <f t="shared" si="1"/>
        <v>2.1938</v>
      </c>
      <c r="D405" s="126"/>
      <c r="G405" s="127"/>
      <c r="H405" s="127"/>
    </row>
    <row r="406" ht="14.25" customHeight="1">
      <c r="A406" s="8" t="s">
        <v>402</v>
      </c>
      <c r="B406" s="125">
        <f t="shared" si="1"/>
        <v>2.1938</v>
      </c>
      <c r="D406" s="126"/>
      <c r="G406" s="127"/>
      <c r="H406" s="127"/>
    </row>
    <row r="407" ht="14.25" customHeight="1">
      <c r="A407" s="8" t="s">
        <v>410</v>
      </c>
      <c r="B407" s="125">
        <f t="shared" si="1"/>
        <v>2.1938</v>
      </c>
      <c r="D407" s="126"/>
      <c r="G407" s="127"/>
      <c r="H407" s="127"/>
    </row>
    <row r="408" ht="14.25" customHeight="1">
      <c r="A408" s="8" t="s">
        <v>417</v>
      </c>
      <c r="B408" s="125">
        <f t="shared" si="1"/>
        <v>2.1938</v>
      </c>
      <c r="D408" s="126"/>
      <c r="G408" s="127"/>
      <c r="H408" s="127"/>
    </row>
    <row r="409" ht="14.25" customHeight="1">
      <c r="A409" s="8" t="s">
        <v>425</v>
      </c>
      <c r="B409" s="125">
        <f t="shared" si="1"/>
        <v>2.1938</v>
      </c>
      <c r="D409" s="126"/>
      <c r="G409" s="127"/>
      <c r="H409" s="127"/>
    </row>
    <row r="410" ht="14.25" customHeight="1">
      <c r="A410" s="8" t="s">
        <v>433</v>
      </c>
      <c r="B410" s="125">
        <f t="shared" si="1"/>
        <v>2.1938</v>
      </c>
      <c r="D410" s="126"/>
      <c r="G410" s="127"/>
      <c r="H410" s="127"/>
    </row>
    <row r="411" ht="14.25" customHeight="1">
      <c r="A411" s="8" t="s">
        <v>440</v>
      </c>
      <c r="B411" s="125">
        <f t="shared" si="1"/>
        <v>2.1938</v>
      </c>
      <c r="D411" s="126"/>
      <c r="G411" s="127"/>
      <c r="H411" s="127"/>
    </row>
    <row r="412" ht="14.25" customHeight="1">
      <c r="A412" s="8" t="s">
        <v>448</v>
      </c>
      <c r="B412" s="125">
        <f t="shared" si="1"/>
        <v>2.1938</v>
      </c>
      <c r="D412" s="126"/>
      <c r="G412" s="127"/>
      <c r="H412" s="127"/>
    </row>
    <row r="413" ht="14.25" customHeight="1">
      <c r="A413" s="8" t="s">
        <v>456</v>
      </c>
      <c r="B413" s="125">
        <f t="shared" si="1"/>
        <v>2.1938</v>
      </c>
      <c r="D413" s="126"/>
      <c r="G413" s="127"/>
      <c r="H413" s="127"/>
    </row>
    <row r="414" ht="14.25" customHeight="1">
      <c r="A414" s="8" t="s">
        <v>463</v>
      </c>
      <c r="B414" s="125">
        <f t="shared" si="1"/>
        <v>2.1938</v>
      </c>
      <c r="D414" s="126"/>
      <c r="G414" s="127"/>
      <c r="H414" s="127"/>
    </row>
    <row r="415" ht="14.25" customHeight="1">
      <c r="A415" s="8" t="s">
        <v>471</v>
      </c>
      <c r="B415" s="125">
        <f t="shared" si="1"/>
        <v>2.1938</v>
      </c>
      <c r="D415" s="126"/>
      <c r="G415" s="127"/>
      <c r="H415" s="127"/>
    </row>
    <row r="416" ht="14.25" customHeight="1">
      <c r="A416" s="8" t="s">
        <v>479</v>
      </c>
      <c r="B416" s="125">
        <f t="shared" si="1"/>
        <v>2.1938</v>
      </c>
      <c r="D416" s="126"/>
      <c r="G416" s="127"/>
      <c r="H416" s="127"/>
    </row>
    <row r="417" ht="14.25" customHeight="1">
      <c r="A417" s="8" t="s">
        <v>487</v>
      </c>
      <c r="B417" s="125">
        <f t="shared" si="1"/>
        <v>2.1938</v>
      </c>
      <c r="D417" s="126"/>
      <c r="G417" s="127"/>
      <c r="H417" s="127"/>
    </row>
    <row r="418" ht="14.25" customHeight="1">
      <c r="A418" s="8" t="s">
        <v>494</v>
      </c>
      <c r="B418" s="125">
        <f t="shared" si="1"/>
        <v>2.1938</v>
      </c>
      <c r="D418" s="126"/>
      <c r="G418" s="127"/>
      <c r="H418" s="127"/>
    </row>
    <row r="419" ht="14.25" customHeight="1">
      <c r="A419" s="8" t="s">
        <v>502</v>
      </c>
      <c r="B419" s="125">
        <f t="shared" si="1"/>
        <v>2.1938</v>
      </c>
      <c r="D419" s="126"/>
      <c r="G419" s="127"/>
      <c r="H419" s="127"/>
    </row>
    <row r="420" ht="14.25" customHeight="1">
      <c r="A420" s="8" t="s">
        <v>508</v>
      </c>
      <c r="B420" s="125">
        <f t="shared" si="1"/>
        <v>2.1938</v>
      </c>
      <c r="D420" s="126"/>
      <c r="G420" s="127"/>
      <c r="H420" s="127"/>
    </row>
    <row r="421" ht="14.25" customHeight="1">
      <c r="A421" s="8" t="s">
        <v>514</v>
      </c>
      <c r="B421" s="125">
        <f t="shared" si="1"/>
        <v>2.1938</v>
      </c>
      <c r="D421" s="126"/>
      <c r="G421" s="127"/>
      <c r="H421" s="127"/>
    </row>
    <row r="422" ht="14.25" customHeight="1">
      <c r="A422" s="1" t="s">
        <v>1227</v>
      </c>
      <c r="B422" s="129">
        <f t="shared" ref="B422:B446" si="2">$B$34</f>
        <v>3.2</v>
      </c>
      <c r="G422" s="127"/>
      <c r="H422" s="127"/>
    </row>
    <row r="423" ht="14.25" customHeight="1">
      <c r="A423" s="1" t="s">
        <v>1228</v>
      </c>
      <c r="B423" s="129">
        <f t="shared" si="2"/>
        <v>3.2</v>
      </c>
      <c r="G423" s="127"/>
      <c r="H423" s="127"/>
    </row>
    <row r="424" ht="14.25" customHeight="1">
      <c r="A424" s="1" t="s">
        <v>1229</v>
      </c>
      <c r="B424" s="129">
        <f t="shared" si="2"/>
        <v>3.2</v>
      </c>
      <c r="G424" s="127"/>
      <c r="H424" s="127"/>
    </row>
    <row r="425" ht="14.25" customHeight="1">
      <c r="A425" s="1" t="s">
        <v>1232</v>
      </c>
      <c r="B425" s="129">
        <f t="shared" si="2"/>
        <v>3.2</v>
      </c>
      <c r="G425" s="127"/>
      <c r="H425" s="127"/>
    </row>
    <row r="426" ht="14.25" customHeight="1">
      <c r="A426" s="1" t="s">
        <v>1233</v>
      </c>
      <c r="B426" s="129">
        <f t="shared" si="2"/>
        <v>3.2</v>
      </c>
      <c r="G426" s="127"/>
      <c r="H426" s="127"/>
    </row>
    <row r="427" ht="14.25" customHeight="1">
      <c r="A427" s="1" t="s">
        <v>1234</v>
      </c>
      <c r="B427" s="129">
        <f t="shared" si="2"/>
        <v>3.2</v>
      </c>
      <c r="G427" s="127"/>
      <c r="H427" s="127"/>
    </row>
    <row r="428" ht="14.25" customHeight="1">
      <c r="A428" s="1" t="s">
        <v>1235</v>
      </c>
      <c r="B428" s="129">
        <f t="shared" si="2"/>
        <v>3.2</v>
      </c>
      <c r="G428" s="127"/>
      <c r="H428" s="127"/>
    </row>
    <row r="429" ht="14.25" customHeight="1">
      <c r="A429" s="1" t="s">
        <v>1236</v>
      </c>
      <c r="B429" s="129">
        <f t="shared" si="2"/>
        <v>3.2</v>
      </c>
      <c r="G429" s="127"/>
      <c r="H429" s="127"/>
    </row>
    <row r="430" ht="14.25" customHeight="1">
      <c r="A430" s="1" t="s">
        <v>1237</v>
      </c>
      <c r="B430" s="129">
        <f t="shared" si="2"/>
        <v>3.2</v>
      </c>
      <c r="G430" s="127"/>
      <c r="H430" s="127"/>
    </row>
    <row r="431" ht="14.25" customHeight="1">
      <c r="A431" s="1" t="s">
        <v>1238</v>
      </c>
      <c r="B431" s="129">
        <f t="shared" si="2"/>
        <v>3.2</v>
      </c>
      <c r="G431" s="127"/>
      <c r="H431" s="127"/>
    </row>
    <row r="432" ht="14.25" customHeight="1">
      <c r="A432" s="1" t="s">
        <v>1239</v>
      </c>
      <c r="B432" s="129">
        <f t="shared" si="2"/>
        <v>3.2</v>
      </c>
      <c r="G432" s="127"/>
      <c r="H432" s="127"/>
    </row>
    <row r="433" ht="14.25" customHeight="1">
      <c r="A433" s="1" t="s">
        <v>1240</v>
      </c>
      <c r="B433" s="129">
        <f t="shared" si="2"/>
        <v>3.2</v>
      </c>
      <c r="G433" s="127"/>
      <c r="H433" s="127"/>
    </row>
    <row r="434" ht="14.25" customHeight="1">
      <c r="A434" s="1" t="s">
        <v>1241</v>
      </c>
      <c r="B434" s="129">
        <f t="shared" si="2"/>
        <v>3.2</v>
      </c>
      <c r="G434" s="127"/>
      <c r="H434" s="127"/>
    </row>
    <row r="435" ht="14.25" customHeight="1">
      <c r="A435" s="1" t="s">
        <v>1242</v>
      </c>
      <c r="B435" s="129">
        <f t="shared" si="2"/>
        <v>3.2</v>
      </c>
      <c r="G435" s="127"/>
      <c r="H435" s="127"/>
    </row>
    <row r="436" ht="14.25" customHeight="1">
      <c r="A436" s="1" t="s">
        <v>1243</v>
      </c>
      <c r="B436" s="129">
        <f t="shared" si="2"/>
        <v>3.2</v>
      </c>
      <c r="G436" s="127"/>
      <c r="H436" s="127"/>
    </row>
    <row r="437" ht="14.25" customHeight="1">
      <c r="A437" s="1" t="s">
        <v>1244</v>
      </c>
      <c r="B437" s="129">
        <f t="shared" si="2"/>
        <v>3.2</v>
      </c>
      <c r="G437" s="127"/>
      <c r="H437" s="127"/>
    </row>
    <row r="438" ht="14.25" customHeight="1">
      <c r="A438" s="1" t="s">
        <v>1245</v>
      </c>
      <c r="B438" s="129">
        <f t="shared" si="2"/>
        <v>3.2</v>
      </c>
      <c r="G438" s="127"/>
      <c r="H438" s="127"/>
    </row>
    <row r="439" ht="14.25" customHeight="1">
      <c r="A439" s="1" t="s">
        <v>1246</v>
      </c>
      <c r="B439" s="129">
        <f t="shared" si="2"/>
        <v>3.2</v>
      </c>
      <c r="G439" s="127"/>
      <c r="H439" s="127"/>
    </row>
    <row r="440" ht="14.25" customHeight="1">
      <c r="A440" s="1" t="s">
        <v>1247</v>
      </c>
      <c r="B440" s="129">
        <f t="shared" si="2"/>
        <v>3.2</v>
      </c>
      <c r="G440" s="127"/>
      <c r="H440" s="127"/>
    </row>
    <row r="441" ht="14.25" customHeight="1">
      <c r="A441" s="1" t="s">
        <v>1248</v>
      </c>
      <c r="B441" s="129">
        <f t="shared" si="2"/>
        <v>3.2</v>
      </c>
      <c r="G441" s="127"/>
      <c r="H441" s="127"/>
    </row>
    <row r="442" ht="14.25" customHeight="1">
      <c r="A442" s="1" t="s">
        <v>1249</v>
      </c>
      <c r="B442" s="129">
        <f t="shared" si="2"/>
        <v>3.2</v>
      </c>
      <c r="G442" s="127"/>
      <c r="H442" s="127"/>
    </row>
    <row r="443" ht="14.25" customHeight="1">
      <c r="A443" s="1" t="s">
        <v>1250</v>
      </c>
      <c r="B443" s="129">
        <f t="shared" si="2"/>
        <v>3.2</v>
      </c>
    </row>
    <row r="444" ht="14.25" customHeight="1">
      <c r="A444" s="1" t="s">
        <v>1251</v>
      </c>
      <c r="B444" s="129">
        <f t="shared" si="2"/>
        <v>3.2</v>
      </c>
    </row>
    <row r="445" ht="14.25" customHeight="1">
      <c r="A445" s="1" t="s">
        <v>1252</v>
      </c>
      <c r="B445" s="129">
        <f t="shared" si="2"/>
        <v>3.2</v>
      </c>
    </row>
    <row r="446" ht="14.25" customHeight="1">
      <c r="A446" s="1" t="s">
        <v>1253</v>
      </c>
      <c r="B446" s="129">
        <f t="shared" si="2"/>
        <v>3.2</v>
      </c>
    </row>
    <row r="447" ht="14.25" customHeight="1">
      <c r="A447" s="1" t="s">
        <v>1254</v>
      </c>
      <c r="B447" s="129">
        <f t="shared" ref="B447:B486" si="3">$B$112</f>
        <v>3.368</v>
      </c>
    </row>
    <row r="448" ht="14.25" customHeight="1">
      <c r="A448" s="1" t="s">
        <v>1255</v>
      </c>
      <c r="B448" s="129">
        <f t="shared" si="3"/>
        <v>3.368</v>
      </c>
    </row>
    <row r="449" ht="14.25" customHeight="1">
      <c r="A449" s="1" t="s">
        <v>1256</v>
      </c>
      <c r="B449" s="129">
        <f t="shared" si="3"/>
        <v>3.368</v>
      </c>
    </row>
    <row r="450" ht="14.25" customHeight="1">
      <c r="A450" s="1" t="s">
        <v>1257</v>
      </c>
      <c r="B450" s="129">
        <f t="shared" si="3"/>
        <v>3.368</v>
      </c>
    </row>
    <row r="451" ht="14.25" customHeight="1">
      <c r="A451" s="1" t="s">
        <v>1258</v>
      </c>
      <c r="B451" s="129">
        <f t="shared" si="3"/>
        <v>3.368</v>
      </c>
    </row>
    <row r="452" ht="14.25" customHeight="1">
      <c r="A452" s="1" t="s">
        <v>1259</v>
      </c>
      <c r="B452" s="129">
        <f t="shared" si="3"/>
        <v>3.368</v>
      </c>
    </row>
    <row r="453" ht="14.25" customHeight="1">
      <c r="A453" s="1" t="s">
        <v>1260</v>
      </c>
      <c r="B453" s="129">
        <f t="shared" si="3"/>
        <v>3.368</v>
      </c>
    </row>
    <row r="454" ht="14.25" customHeight="1">
      <c r="A454" s="1" t="s">
        <v>1261</v>
      </c>
      <c r="B454" s="129">
        <f t="shared" si="3"/>
        <v>3.368</v>
      </c>
    </row>
    <row r="455" ht="14.25" customHeight="1">
      <c r="A455" s="1" t="s">
        <v>1263</v>
      </c>
      <c r="B455" s="129">
        <f t="shared" si="3"/>
        <v>3.368</v>
      </c>
    </row>
    <row r="456" ht="14.25" customHeight="1">
      <c r="A456" s="1" t="s">
        <v>1264</v>
      </c>
      <c r="B456" s="129">
        <f t="shared" si="3"/>
        <v>3.368</v>
      </c>
    </row>
    <row r="457" ht="14.25" customHeight="1">
      <c r="A457" s="1" t="s">
        <v>1265</v>
      </c>
      <c r="B457" s="129">
        <f t="shared" si="3"/>
        <v>3.368</v>
      </c>
    </row>
    <row r="458" ht="14.25" customHeight="1">
      <c r="A458" s="1" t="s">
        <v>1266</v>
      </c>
      <c r="B458" s="129">
        <f t="shared" si="3"/>
        <v>3.368</v>
      </c>
    </row>
    <row r="459" ht="14.25" customHeight="1">
      <c r="A459" s="1" t="s">
        <v>1267</v>
      </c>
      <c r="B459" s="129">
        <f t="shared" si="3"/>
        <v>3.368</v>
      </c>
    </row>
    <row r="460" ht="14.25" customHeight="1">
      <c r="A460" s="1" t="s">
        <v>1268</v>
      </c>
      <c r="B460" s="129">
        <f t="shared" si="3"/>
        <v>3.368</v>
      </c>
    </row>
    <row r="461" ht="14.25" customHeight="1">
      <c r="A461" s="1" t="s">
        <v>1269</v>
      </c>
      <c r="B461" s="129">
        <f t="shared" si="3"/>
        <v>3.368</v>
      </c>
    </row>
    <row r="462" ht="14.25" customHeight="1">
      <c r="A462" s="1" t="s">
        <v>1270</v>
      </c>
      <c r="B462" s="129">
        <f t="shared" si="3"/>
        <v>3.368</v>
      </c>
    </row>
    <row r="463" ht="14.25" customHeight="1">
      <c r="A463" s="1" t="s">
        <v>1271</v>
      </c>
      <c r="B463" s="129">
        <f t="shared" si="3"/>
        <v>3.368</v>
      </c>
    </row>
    <row r="464" ht="14.25" customHeight="1">
      <c r="A464" s="1" t="s">
        <v>1272</v>
      </c>
      <c r="B464" s="129">
        <f t="shared" si="3"/>
        <v>3.368</v>
      </c>
    </row>
    <row r="465" ht="14.25" customHeight="1">
      <c r="A465" s="1" t="s">
        <v>1273</v>
      </c>
      <c r="B465" s="129">
        <f t="shared" si="3"/>
        <v>3.368</v>
      </c>
    </row>
    <row r="466" ht="14.25" customHeight="1">
      <c r="A466" s="1" t="s">
        <v>1274</v>
      </c>
      <c r="B466" s="129">
        <f t="shared" si="3"/>
        <v>3.368</v>
      </c>
    </row>
    <row r="467" ht="14.25" customHeight="1">
      <c r="A467" s="1" t="s">
        <v>1275</v>
      </c>
      <c r="B467" s="129">
        <f t="shared" si="3"/>
        <v>3.368</v>
      </c>
    </row>
    <row r="468" ht="14.25" customHeight="1">
      <c r="A468" s="1" t="s">
        <v>1276</v>
      </c>
      <c r="B468" s="129">
        <f t="shared" si="3"/>
        <v>3.368</v>
      </c>
    </row>
    <row r="469" ht="14.25" customHeight="1">
      <c r="A469" s="1" t="s">
        <v>1277</v>
      </c>
      <c r="B469" s="129">
        <f t="shared" si="3"/>
        <v>3.368</v>
      </c>
    </row>
    <row r="470" ht="14.25" customHeight="1">
      <c r="A470" s="1" t="s">
        <v>1278</v>
      </c>
      <c r="B470" s="129">
        <f t="shared" si="3"/>
        <v>3.368</v>
      </c>
    </row>
    <row r="471" ht="14.25" customHeight="1">
      <c r="A471" s="1" t="s">
        <v>1279</v>
      </c>
      <c r="B471" s="129">
        <f t="shared" si="3"/>
        <v>3.368</v>
      </c>
    </row>
    <row r="472" ht="14.25" customHeight="1">
      <c r="A472" s="1" t="s">
        <v>1280</v>
      </c>
      <c r="B472" s="129">
        <f t="shared" si="3"/>
        <v>3.368</v>
      </c>
    </row>
    <row r="473" ht="14.25" customHeight="1">
      <c r="A473" s="1" t="s">
        <v>1281</v>
      </c>
      <c r="B473" s="129">
        <f t="shared" si="3"/>
        <v>3.368</v>
      </c>
    </row>
    <row r="474" ht="14.25" customHeight="1">
      <c r="A474" s="1" t="s">
        <v>1282</v>
      </c>
      <c r="B474" s="129">
        <f t="shared" si="3"/>
        <v>3.368</v>
      </c>
    </row>
    <row r="475" ht="14.25" customHeight="1">
      <c r="A475" s="1" t="s">
        <v>1283</v>
      </c>
      <c r="B475" s="129">
        <f t="shared" si="3"/>
        <v>3.368</v>
      </c>
    </row>
    <row r="476" ht="14.25" customHeight="1">
      <c r="A476" s="1" t="s">
        <v>1286</v>
      </c>
      <c r="B476" s="129">
        <f t="shared" si="3"/>
        <v>3.368</v>
      </c>
    </row>
    <row r="477" ht="14.25" customHeight="1">
      <c r="A477" s="1" t="s">
        <v>1287</v>
      </c>
      <c r="B477" s="129">
        <f t="shared" si="3"/>
        <v>3.368</v>
      </c>
    </row>
    <row r="478" ht="14.25" customHeight="1">
      <c r="A478" s="1" t="s">
        <v>1288</v>
      </c>
      <c r="B478" s="129">
        <f t="shared" si="3"/>
        <v>3.368</v>
      </c>
    </row>
    <row r="479" ht="14.25" customHeight="1">
      <c r="A479" s="1" t="s">
        <v>1289</v>
      </c>
      <c r="B479" s="129">
        <f t="shared" si="3"/>
        <v>3.368</v>
      </c>
    </row>
    <row r="480" ht="14.25" customHeight="1">
      <c r="A480" s="1" t="s">
        <v>1290</v>
      </c>
      <c r="B480" s="129">
        <f t="shared" si="3"/>
        <v>3.368</v>
      </c>
    </row>
    <row r="481" ht="14.25" customHeight="1">
      <c r="A481" s="1" t="s">
        <v>1291</v>
      </c>
      <c r="B481" s="129">
        <f t="shared" si="3"/>
        <v>3.368</v>
      </c>
    </row>
    <row r="482" ht="14.25" customHeight="1">
      <c r="A482" s="1" t="s">
        <v>1292</v>
      </c>
      <c r="B482" s="129">
        <f t="shared" si="3"/>
        <v>3.368</v>
      </c>
    </row>
    <row r="483" ht="14.25" customHeight="1">
      <c r="A483" s="1" t="s">
        <v>1293</v>
      </c>
      <c r="B483" s="129">
        <f t="shared" si="3"/>
        <v>3.368</v>
      </c>
    </row>
    <row r="484" ht="14.25" customHeight="1">
      <c r="A484" s="1" t="s">
        <v>1294</v>
      </c>
      <c r="B484" s="129">
        <f t="shared" si="3"/>
        <v>3.368</v>
      </c>
    </row>
    <row r="485" ht="14.25" customHeight="1">
      <c r="A485" s="1" t="s">
        <v>1295</v>
      </c>
      <c r="B485" s="129">
        <f t="shared" si="3"/>
        <v>3.368</v>
      </c>
    </row>
    <row r="486" ht="14.25" customHeight="1">
      <c r="A486" s="1" t="s">
        <v>1296</v>
      </c>
      <c r="B486" s="129">
        <f t="shared" si="3"/>
        <v>3.368</v>
      </c>
    </row>
    <row r="487" ht="14.25" customHeight="1">
      <c r="A487" s="1" t="s">
        <v>1297</v>
      </c>
      <c r="B487" s="129">
        <f t="shared" ref="B487:B500" si="4">$B$252</f>
        <v>3.7</v>
      </c>
    </row>
    <row r="488" ht="14.25" customHeight="1">
      <c r="A488" s="1" t="s">
        <v>1298</v>
      </c>
      <c r="B488" s="129">
        <f t="shared" si="4"/>
        <v>3.7</v>
      </c>
    </row>
    <row r="489" ht="14.25" customHeight="1">
      <c r="A489" s="1" t="s">
        <v>1299</v>
      </c>
      <c r="B489" s="129">
        <f t="shared" si="4"/>
        <v>3.7</v>
      </c>
    </row>
    <row r="490" ht="14.25" customHeight="1">
      <c r="A490" s="1" t="s">
        <v>1300</v>
      </c>
      <c r="B490" s="129">
        <f t="shared" si="4"/>
        <v>3.7</v>
      </c>
    </row>
    <row r="491" ht="14.25" customHeight="1">
      <c r="A491" s="1" t="s">
        <v>1301</v>
      </c>
      <c r="B491" s="129">
        <f t="shared" si="4"/>
        <v>3.7</v>
      </c>
    </row>
    <row r="492" ht="14.25" customHeight="1">
      <c r="A492" s="1" t="s">
        <v>1302</v>
      </c>
      <c r="B492" s="129">
        <f t="shared" si="4"/>
        <v>3.7</v>
      </c>
    </row>
    <row r="493" ht="14.25" customHeight="1">
      <c r="A493" s="1" t="s">
        <v>1305</v>
      </c>
      <c r="B493" s="129">
        <f t="shared" si="4"/>
        <v>3.7</v>
      </c>
    </row>
    <row r="494" ht="14.25" customHeight="1">
      <c r="A494" s="1" t="s">
        <v>1306</v>
      </c>
      <c r="B494" s="129">
        <f t="shared" si="4"/>
        <v>3.7</v>
      </c>
    </row>
    <row r="495" ht="14.25" customHeight="1">
      <c r="A495" s="1" t="s">
        <v>1307</v>
      </c>
      <c r="B495" s="129">
        <f t="shared" si="4"/>
        <v>3.7</v>
      </c>
    </row>
    <row r="496" ht="14.25" customHeight="1">
      <c r="A496" s="1" t="s">
        <v>1308</v>
      </c>
      <c r="B496" s="129">
        <f t="shared" si="4"/>
        <v>3.7</v>
      </c>
    </row>
    <row r="497" ht="14.25" customHeight="1">
      <c r="A497" s="1" t="s">
        <v>1309</v>
      </c>
      <c r="B497" s="129">
        <f t="shared" si="4"/>
        <v>3.7</v>
      </c>
    </row>
    <row r="498" ht="14.25" customHeight="1">
      <c r="A498" s="1" t="s">
        <v>1310</v>
      </c>
      <c r="B498" s="129">
        <f t="shared" si="4"/>
        <v>3.7</v>
      </c>
    </row>
    <row r="499" ht="14.25" customHeight="1">
      <c r="A499" s="1" t="s">
        <v>1311</v>
      </c>
      <c r="B499" s="129">
        <f t="shared" si="4"/>
        <v>3.7</v>
      </c>
    </row>
    <row r="500" ht="14.25" customHeight="1">
      <c r="A500" s="1" t="s">
        <v>1312</v>
      </c>
      <c r="B500" s="129">
        <f t="shared" si="4"/>
        <v>3.7</v>
      </c>
    </row>
    <row r="501" ht="14.25" customHeight="1">
      <c r="A501" s="1" t="s">
        <v>520</v>
      </c>
      <c r="B501" s="130">
        <f t="shared" ref="B501:B563" si="5">$B$372</f>
        <v>2.2775</v>
      </c>
    </row>
    <row r="502" ht="14.25" customHeight="1">
      <c r="A502" s="1" t="s">
        <v>526</v>
      </c>
      <c r="B502" s="130">
        <f t="shared" si="5"/>
        <v>2.2775</v>
      </c>
    </row>
    <row r="503" ht="14.25" customHeight="1">
      <c r="A503" s="1" t="s">
        <v>531</v>
      </c>
      <c r="B503" s="130">
        <f t="shared" si="5"/>
        <v>2.2775</v>
      </c>
    </row>
    <row r="504" ht="14.25" customHeight="1">
      <c r="A504" s="1" t="s">
        <v>537</v>
      </c>
      <c r="B504" s="130">
        <f t="shared" si="5"/>
        <v>2.2775</v>
      </c>
    </row>
    <row r="505" ht="14.25" customHeight="1">
      <c r="A505" s="1" t="s">
        <v>542</v>
      </c>
      <c r="B505" s="130">
        <f t="shared" si="5"/>
        <v>2.2775</v>
      </c>
    </row>
    <row r="506" ht="14.25" customHeight="1">
      <c r="A506" s="1" t="s">
        <v>548</v>
      </c>
      <c r="B506" s="130">
        <f t="shared" si="5"/>
        <v>2.2775</v>
      </c>
    </row>
    <row r="507" ht="14.25" customHeight="1">
      <c r="A507" s="1" t="s">
        <v>554</v>
      </c>
      <c r="B507" s="130">
        <f t="shared" si="5"/>
        <v>2.2775</v>
      </c>
    </row>
    <row r="508" ht="14.25" customHeight="1">
      <c r="A508" s="1" t="s">
        <v>562</v>
      </c>
      <c r="B508" s="130">
        <f t="shared" si="5"/>
        <v>2.2775</v>
      </c>
    </row>
    <row r="509" ht="14.25" customHeight="1">
      <c r="A509" s="1" t="s">
        <v>570</v>
      </c>
      <c r="B509" s="130">
        <f t="shared" si="5"/>
        <v>2.2775</v>
      </c>
    </row>
    <row r="510" ht="14.25" customHeight="1">
      <c r="A510" s="1" t="s">
        <v>578</v>
      </c>
      <c r="B510" s="130">
        <f t="shared" si="5"/>
        <v>2.2775</v>
      </c>
    </row>
    <row r="511" ht="14.25" customHeight="1">
      <c r="A511" s="1" t="s">
        <v>588</v>
      </c>
      <c r="B511" s="130">
        <f t="shared" si="5"/>
        <v>2.2775</v>
      </c>
    </row>
    <row r="512" ht="14.25" customHeight="1">
      <c r="A512" s="1" t="s">
        <v>595</v>
      </c>
      <c r="B512" s="130">
        <f t="shared" si="5"/>
        <v>2.2775</v>
      </c>
    </row>
    <row r="513" ht="14.25" customHeight="1">
      <c r="A513" s="1" t="s">
        <v>603</v>
      </c>
      <c r="B513" s="130">
        <f t="shared" si="5"/>
        <v>2.2775</v>
      </c>
    </row>
    <row r="514" ht="14.25" customHeight="1">
      <c r="A514" s="1" t="s">
        <v>611</v>
      </c>
      <c r="B514" s="130">
        <f t="shared" si="5"/>
        <v>2.2775</v>
      </c>
    </row>
    <row r="515" ht="14.25" customHeight="1">
      <c r="A515" s="1" t="s">
        <v>618</v>
      </c>
      <c r="B515" s="130">
        <f t="shared" si="5"/>
        <v>2.2775</v>
      </c>
    </row>
    <row r="516" ht="14.25" customHeight="1">
      <c r="A516" s="1" t="s">
        <v>626</v>
      </c>
      <c r="B516" s="130">
        <f t="shared" si="5"/>
        <v>2.2775</v>
      </c>
    </row>
    <row r="517" ht="14.25" customHeight="1">
      <c r="A517" s="1" t="s">
        <v>634</v>
      </c>
      <c r="B517" s="130">
        <f t="shared" si="5"/>
        <v>2.2775</v>
      </c>
    </row>
    <row r="518" ht="14.25" customHeight="1">
      <c r="A518" s="1" t="s">
        <v>642</v>
      </c>
      <c r="B518" s="130">
        <f t="shared" si="5"/>
        <v>2.2775</v>
      </c>
    </row>
    <row r="519" ht="14.25" customHeight="1">
      <c r="A519" s="1" t="s">
        <v>649</v>
      </c>
      <c r="B519" s="130">
        <f t="shared" si="5"/>
        <v>2.2775</v>
      </c>
    </row>
    <row r="520" ht="14.25" customHeight="1">
      <c r="A520" s="1" t="s">
        <v>658</v>
      </c>
      <c r="B520" s="130">
        <f t="shared" si="5"/>
        <v>2.2775</v>
      </c>
    </row>
    <row r="521" ht="14.25" customHeight="1">
      <c r="A521" s="1" t="s">
        <v>665</v>
      </c>
      <c r="B521" s="130">
        <f t="shared" si="5"/>
        <v>2.2775</v>
      </c>
    </row>
    <row r="522" ht="14.25" customHeight="1">
      <c r="A522" s="1" t="s">
        <v>672</v>
      </c>
      <c r="B522" s="130">
        <f t="shared" si="5"/>
        <v>2.2775</v>
      </c>
    </row>
    <row r="523" ht="14.25" customHeight="1">
      <c r="A523" s="1" t="s">
        <v>680</v>
      </c>
      <c r="B523" s="130">
        <f t="shared" si="5"/>
        <v>2.2775</v>
      </c>
    </row>
    <row r="524" ht="14.25" customHeight="1">
      <c r="A524" s="1" t="s">
        <v>688</v>
      </c>
      <c r="B524" s="130">
        <f t="shared" si="5"/>
        <v>2.2775</v>
      </c>
    </row>
    <row r="525" ht="14.25" customHeight="1">
      <c r="A525" s="1" t="s">
        <v>695</v>
      </c>
      <c r="B525" s="130">
        <f t="shared" si="5"/>
        <v>2.2775</v>
      </c>
    </row>
    <row r="526" ht="14.25" customHeight="1">
      <c r="A526" s="1" t="s">
        <v>703</v>
      </c>
      <c r="B526" s="130">
        <f t="shared" si="5"/>
        <v>2.2775</v>
      </c>
    </row>
    <row r="527" ht="14.25" customHeight="1">
      <c r="A527" s="1" t="s">
        <v>711</v>
      </c>
      <c r="B527" s="130">
        <f t="shared" si="5"/>
        <v>2.2775</v>
      </c>
    </row>
    <row r="528" ht="14.25" customHeight="1">
      <c r="A528" s="1" t="s">
        <v>718</v>
      </c>
      <c r="B528" s="130">
        <f t="shared" si="5"/>
        <v>2.2775</v>
      </c>
    </row>
    <row r="529" ht="14.25" customHeight="1">
      <c r="A529" s="1" t="s">
        <v>724</v>
      </c>
      <c r="B529" s="130">
        <f t="shared" si="5"/>
        <v>2.2775</v>
      </c>
    </row>
    <row r="530" ht="14.25" customHeight="1">
      <c r="A530" s="1" t="s">
        <v>729</v>
      </c>
      <c r="B530" s="130">
        <f t="shared" si="5"/>
        <v>2.2775</v>
      </c>
    </row>
    <row r="531" ht="14.25" customHeight="1">
      <c r="A531" s="1" t="s">
        <v>735</v>
      </c>
      <c r="B531" s="130">
        <f t="shared" si="5"/>
        <v>2.2775</v>
      </c>
    </row>
    <row r="532" ht="14.25" customHeight="1">
      <c r="A532" s="1" t="s">
        <v>746</v>
      </c>
      <c r="B532" s="130">
        <f t="shared" si="5"/>
        <v>2.2775</v>
      </c>
    </row>
    <row r="533" ht="14.25" customHeight="1">
      <c r="A533" s="1" t="s">
        <v>756</v>
      </c>
      <c r="B533" s="130">
        <f t="shared" si="5"/>
        <v>2.2775</v>
      </c>
    </row>
    <row r="534" ht="14.25" customHeight="1">
      <c r="A534" s="1" t="s">
        <v>767</v>
      </c>
      <c r="B534" s="130">
        <f t="shared" si="5"/>
        <v>2.2775</v>
      </c>
    </row>
    <row r="535" ht="14.25" customHeight="1">
      <c r="A535" s="1" t="s">
        <v>777</v>
      </c>
      <c r="B535" s="130">
        <f t="shared" si="5"/>
        <v>2.2775</v>
      </c>
    </row>
    <row r="536" ht="14.25" customHeight="1">
      <c r="A536" s="1" t="s">
        <v>788</v>
      </c>
      <c r="B536" s="130">
        <f t="shared" si="5"/>
        <v>2.2775</v>
      </c>
    </row>
    <row r="537" ht="14.25" customHeight="1">
      <c r="A537" s="1" t="s">
        <v>800</v>
      </c>
      <c r="B537" s="130">
        <f t="shared" si="5"/>
        <v>2.2775</v>
      </c>
    </row>
    <row r="538" ht="14.25" customHeight="1">
      <c r="A538" s="1" t="s">
        <v>810</v>
      </c>
      <c r="B538" s="130">
        <f t="shared" si="5"/>
        <v>2.2775</v>
      </c>
    </row>
    <row r="539" ht="14.25" customHeight="1">
      <c r="A539" s="1" t="s">
        <v>821</v>
      </c>
      <c r="B539" s="130">
        <f t="shared" si="5"/>
        <v>2.2775</v>
      </c>
    </row>
    <row r="540" ht="14.25" customHeight="1">
      <c r="A540" s="1" t="s">
        <v>832</v>
      </c>
      <c r="B540" s="130">
        <f t="shared" si="5"/>
        <v>2.2775</v>
      </c>
    </row>
    <row r="541" ht="14.25" customHeight="1">
      <c r="A541" s="1" t="s">
        <v>842</v>
      </c>
      <c r="B541" s="130">
        <f t="shared" si="5"/>
        <v>2.2775</v>
      </c>
    </row>
    <row r="542" ht="14.25" customHeight="1">
      <c r="A542" s="1" t="s">
        <v>853</v>
      </c>
      <c r="B542" s="130">
        <f t="shared" si="5"/>
        <v>2.2775</v>
      </c>
    </row>
    <row r="543" ht="14.25" customHeight="1">
      <c r="A543" s="1" t="s">
        <v>863</v>
      </c>
      <c r="B543" s="130">
        <f t="shared" si="5"/>
        <v>2.2775</v>
      </c>
    </row>
    <row r="544" ht="14.25" customHeight="1">
      <c r="A544" s="1" t="s">
        <v>872</v>
      </c>
      <c r="B544" s="130">
        <f t="shared" si="5"/>
        <v>2.2775</v>
      </c>
    </row>
    <row r="545" ht="14.25" customHeight="1">
      <c r="A545" s="1" t="s">
        <v>883</v>
      </c>
      <c r="B545" s="130">
        <f t="shared" si="5"/>
        <v>2.2775</v>
      </c>
    </row>
    <row r="546" ht="14.25" customHeight="1">
      <c r="A546" s="1" t="s">
        <v>894</v>
      </c>
      <c r="B546" s="130">
        <f t="shared" si="5"/>
        <v>2.2775</v>
      </c>
    </row>
    <row r="547" ht="14.25" customHeight="1">
      <c r="A547" s="1" t="s">
        <v>905</v>
      </c>
      <c r="B547" s="130">
        <f t="shared" si="5"/>
        <v>2.2775</v>
      </c>
    </row>
    <row r="548" ht="14.25" customHeight="1">
      <c r="A548" s="1" t="s">
        <v>915</v>
      </c>
      <c r="B548" s="130">
        <f t="shared" si="5"/>
        <v>2.2775</v>
      </c>
    </row>
    <row r="549" ht="14.25" customHeight="1">
      <c r="A549" s="1" t="s">
        <v>926</v>
      </c>
      <c r="B549" s="130">
        <f t="shared" si="5"/>
        <v>2.2775</v>
      </c>
    </row>
    <row r="550" ht="14.25" customHeight="1">
      <c r="A550" s="1" t="s">
        <v>937</v>
      </c>
      <c r="B550" s="130">
        <f t="shared" si="5"/>
        <v>2.2775</v>
      </c>
    </row>
    <row r="551" ht="14.25" customHeight="1">
      <c r="A551" s="1" t="s">
        <v>1316</v>
      </c>
      <c r="B551" s="130">
        <f t="shared" si="5"/>
        <v>2.2775</v>
      </c>
    </row>
    <row r="552" ht="14.25" customHeight="1">
      <c r="A552" s="1" t="s">
        <v>1317</v>
      </c>
      <c r="B552" s="130">
        <f t="shared" si="5"/>
        <v>2.2775</v>
      </c>
    </row>
    <row r="553" ht="14.25" customHeight="1">
      <c r="A553" s="1" t="s">
        <v>1318</v>
      </c>
      <c r="B553" s="130">
        <f t="shared" si="5"/>
        <v>2.2775</v>
      </c>
    </row>
    <row r="554" ht="14.25" customHeight="1">
      <c r="A554" s="1" t="s">
        <v>1319</v>
      </c>
      <c r="B554" s="130">
        <f t="shared" si="5"/>
        <v>2.2775</v>
      </c>
    </row>
    <row r="555" ht="14.25" customHeight="1">
      <c r="A555" s="1" t="s">
        <v>1320</v>
      </c>
      <c r="B555" s="130">
        <f t="shared" si="5"/>
        <v>2.2775</v>
      </c>
    </row>
    <row r="556" ht="14.25" customHeight="1">
      <c r="A556" s="1" t="s">
        <v>1321</v>
      </c>
      <c r="B556" s="130">
        <f t="shared" si="5"/>
        <v>2.2775</v>
      </c>
    </row>
    <row r="557" ht="14.25" customHeight="1">
      <c r="A557" s="1" t="s">
        <v>1322</v>
      </c>
      <c r="B557" s="130">
        <f t="shared" si="5"/>
        <v>2.2775</v>
      </c>
    </row>
    <row r="558" ht="14.25" customHeight="1">
      <c r="A558" s="1" t="s">
        <v>1323</v>
      </c>
      <c r="B558" s="130">
        <f t="shared" si="5"/>
        <v>2.2775</v>
      </c>
    </row>
    <row r="559" ht="14.25" customHeight="1">
      <c r="A559" s="1" t="s">
        <v>1324</v>
      </c>
      <c r="B559" s="130">
        <f t="shared" si="5"/>
        <v>2.2775</v>
      </c>
    </row>
    <row r="560" ht="14.25" customHeight="1">
      <c r="A560" s="1" t="s">
        <v>1325</v>
      </c>
      <c r="B560" s="130">
        <f t="shared" si="5"/>
        <v>2.2775</v>
      </c>
    </row>
    <row r="561" ht="14.25" customHeight="1">
      <c r="A561" s="1" t="s">
        <v>1326</v>
      </c>
      <c r="B561" s="130">
        <f t="shared" si="5"/>
        <v>2.2775</v>
      </c>
    </row>
    <row r="562" ht="14.25" customHeight="1">
      <c r="A562" s="1" t="s">
        <v>1328</v>
      </c>
      <c r="B562" s="130">
        <f t="shared" si="5"/>
        <v>2.2775</v>
      </c>
    </row>
    <row r="563" ht="14.25" customHeight="1">
      <c r="A563" s="1" t="s">
        <v>1329</v>
      </c>
      <c r="B563" s="130">
        <f t="shared" si="5"/>
        <v>2.2775</v>
      </c>
    </row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K1:K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00 M2">
    <cfRule type="expression" dxfId="5" priority="2">
      <formula>ISERROR(L1)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6" width="8.5"/>
  </cols>
  <sheetData>
    <row r="1" ht="15.0" customHeight="1">
      <c r="A1" s="1" t="s">
        <v>988</v>
      </c>
      <c r="B1" s="1" t="s">
        <v>990</v>
      </c>
    </row>
    <row r="2" ht="15.0" customHeight="1">
      <c r="A2" s="1" t="s">
        <v>409</v>
      </c>
      <c r="B2" s="1" t="s">
        <v>103</v>
      </c>
    </row>
    <row r="3" ht="15.0" customHeight="1">
      <c r="A3" s="1" t="s">
        <v>673</v>
      </c>
      <c r="B3" s="1" t="s">
        <v>118</v>
      </c>
    </row>
    <row r="4" ht="15.0" customHeight="1">
      <c r="A4" s="1" t="s">
        <v>811</v>
      </c>
      <c r="B4" s="1" t="s">
        <v>152</v>
      </c>
    </row>
    <row r="5" ht="15.0" customHeight="1">
      <c r="A5" s="1" t="s">
        <v>725</v>
      </c>
      <c r="B5" s="1" t="s">
        <v>177</v>
      </c>
    </row>
    <row r="6" ht="15.0" customHeight="1">
      <c r="A6" s="1" t="s">
        <v>442</v>
      </c>
      <c r="B6" s="1" t="s">
        <v>147</v>
      </c>
    </row>
    <row r="7" ht="15.0" customHeight="1">
      <c r="A7" s="1" t="s">
        <v>715</v>
      </c>
      <c r="B7" s="1" t="s">
        <v>191</v>
      </c>
    </row>
    <row r="8" ht="15.0" customHeight="1">
      <c r="A8" s="1" t="s">
        <v>782</v>
      </c>
      <c r="B8" s="1" t="s">
        <v>130</v>
      </c>
    </row>
    <row r="9" ht="15.0" customHeight="1">
      <c r="A9" s="1" t="s">
        <v>851</v>
      </c>
      <c r="B9" s="1" t="s">
        <v>203</v>
      </c>
    </row>
    <row r="10" ht="15.0" customHeight="1">
      <c r="A10" s="1" t="s">
        <v>221</v>
      </c>
      <c r="B10" s="1" t="s">
        <v>89</v>
      </c>
    </row>
    <row r="11" ht="15.0" customHeight="1">
      <c r="A11" s="1" t="s">
        <v>837</v>
      </c>
      <c r="B11" s="1" t="s">
        <v>156</v>
      </c>
    </row>
    <row r="12" ht="15.0" customHeight="1">
      <c r="A12" s="1" t="s">
        <v>723</v>
      </c>
      <c r="B12" s="1" t="s">
        <v>215</v>
      </c>
    </row>
    <row r="13" ht="15.0" customHeight="1">
      <c r="A13" s="1" t="s">
        <v>515</v>
      </c>
      <c r="B13" s="1" t="s">
        <v>172</v>
      </c>
    </row>
    <row r="14" ht="15.0" customHeight="1">
      <c r="A14" s="1" t="s">
        <v>843</v>
      </c>
      <c r="B14" s="1" t="s">
        <v>227</v>
      </c>
    </row>
    <row r="15" ht="15.0" customHeight="1">
      <c r="A15" s="1" t="s">
        <v>802</v>
      </c>
      <c r="B15" s="1" t="s">
        <v>237</v>
      </c>
    </row>
    <row r="16" ht="15.0" customHeight="1">
      <c r="A16" s="1" t="s">
        <v>824</v>
      </c>
      <c r="B16" s="1" t="s">
        <v>245</v>
      </c>
    </row>
    <row r="17" ht="15.0" customHeight="1">
      <c r="A17" s="1" t="s">
        <v>623</v>
      </c>
      <c r="B17" s="1" t="s">
        <v>187</v>
      </c>
    </row>
    <row r="18" ht="15.0" customHeight="1">
      <c r="A18" s="1" t="s">
        <v>561</v>
      </c>
      <c r="B18" s="1" t="s">
        <v>200</v>
      </c>
    </row>
    <row r="19" ht="15.0" customHeight="1">
      <c r="A19" s="1" t="s">
        <v>728</v>
      </c>
      <c r="B19" s="1" t="s">
        <v>253</v>
      </c>
    </row>
    <row r="20" ht="15.0" customHeight="1">
      <c r="A20" s="1" t="s">
        <v>617</v>
      </c>
      <c r="B20" s="1" t="s">
        <v>212</v>
      </c>
    </row>
    <row r="21" ht="15.0" customHeight="1">
      <c r="A21" s="1" t="s">
        <v>1333</v>
      </c>
      <c r="B21" s="1" t="s">
        <v>261</v>
      </c>
    </row>
    <row r="22" ht="15.0" customHeight="1">
      <c r="A22" s="1" t="s">
        <v>983</v>
      </c>
      <c r="B22" s="1" t="s">
        <v>269</v>
      </c>
    </row>
    <row r="23" ht="15.0" customHeight="1">
      <c r="A23" s="1" t="s">
        <v>236</v>
      </c>
      <c r="B23" s="1" t="s">
        <v>141</v>
      </c>
    </row>
    <row r="24" ht="15.0" customHeight="1">
      <c r="A24" s="1" t="s">
        <v>903</v>
      </c>
      <c r="B24" s="1" t="s">
        <v>277</v>
      </c>
    </row>
    <row r="25" ht="15.0" customHeight="1">
      <c r="A25" s="1" t="s">
        <v>895</v>
      </c>
      <c r="B25" s="1" t="s">
        <v>286</v>
      </c>
    </row>
    <row r="26" ht="15.0" customHeight="1">
      <c r="A26" s="1" t="s">
        <v>959</v>
      </c>
      <c r="B26" s="1" t="s">
        <v>294</v>
      </c>
    </row>
    <row r="27" ht="15.0" customHeight="1">
      <c r="A27" s="1" t="s">
        <v>771</v>
      </c>
      <c r="B27" s="1" t="s">
        <v>302</v>
      </c>
    </row>
    <row r="28" ht="15.0" customHeight="1"/>
    <row r="29" ht="15.0" customHeight="1">
      <c r="A29" s="1" t="s">
        <v>503</v>
      </c>
      <c r="B29" s="1" t="s">
        <v>224</v>
      </c>
    </row>
    <row r="30" ht="15.0" customHeight="1">
      <c r="A30" s="1" t="s">
        <v>488</v>
      </c>
      <c r="B30" s="1" t="s">
        <v>235</v>
      </c>
    </row>
    <row r="31" ht="15.0" customHeight="1">
      <c r="A31" s="1" t="s">
        <v>620</v>
      </c>
      <c r="B31" s="1" t="s">
        <v>243</v>
      </c>
    </row>
    <row r="32" ht="15.0" customHeight="1">
      <c r="A32" s="1" t="s">
        <v>918</v>
      </c>
      <c r="B32" s="1" t="s">
        <v>180</v>
      </c>
    </row>
    <row r="33" ht="15.0" customHeight="1">
      <c r="A33" s="1" t="s">
        <v>848</v>
      </c>
      <c r="B33" s="1" t="s">
        <v>194</v>
      </c>
    </row>
    <row r="34" ht="15.0" customHeight="1">
      <c r="A34" s="1" t="s">
        <v>924</v>
      </c>
      <c r="B34" s="1" t="s">
        <v>206</v>
      </c>
    </row>
    <row r="35" ht="15.0" customHeight="1">
      <c r="A35" s="1" t="s">
        <v>1013</v>
      </c>
      <c r="B35" s="1" t="s">
        <v>310</v>
      </c>
    </row>
    <row r="36" ht="15.0" customHeight="1">
      <c r="A36" s="1" t="s">
        <v>238</v>
      </c>
      <c r="B36" s="1" t="s">
        <v>166</v>
      </c>
    </row>
    <row r="37" ht="15.0" customHeight="1">
      <c r="A37" s="1" t="s">
        <v>516</v>
      </c>
      <c r="B37" s="1" t="s">
        <v>251</v>
      </c>
    </row>
    <row r="38" ht="15.0" customHeight="1">
      <c r="A38" s="1" t="s">
        <v>980</v>
      </c>
      <c r="B38" s="1" t="s">
        <v>319</v>
      </c>
    </row>
    <row r="39" ht="15.0" customHeight="1">
      <c r="A39" s="1" t="s">
        <v>596</v>
      </c>
      <c r="B39" s="1" t="s">
        <v>259</v>
      </c>
    </row>
    <row r="40" ht="15.0" customHeight="1">
      <c r="A40" s="1" t="s">
        <v>1015</v>
      </c>
      <c r="B40" s="1" t="s">
        <v>328</v>
      </c>
    </row>
    <row r="41" ht="15.0" customHeight="1">
      <c r="A41" s="1" t="s">
        <v>1334</v>
      </c>
      <c r="B41" s="1" t="s">
        <v>267</v>
      </c>
    </row>
    <row r="42" ht="15.0" customHeight="1">
      <c r="A42" s="1" t="s">
        <v>301</v>
      </c>
      <c r="B42" s="1" t="s">
        <v>184</v>
      </c>
    </row>
    <row r="43" ht="15.0" customHeight="1">
      <c r="A43" s="1" t="s">
        <v>984</v>
      </c>
      <c r="B43" s="1" t="s">
        <v>332</v>
      </c>
    </row>
    <row r="44" ht="15.0" customHeight="1">
      <c r="A44" s="1" t="s">
        <v>925</v>
      </c>
      <c r="B44" s="1" t="s">
        <v>218</v>
      </c>
    </row>
    <row r="45" ht="15.0" customHeight="1">
      <c r="A45" s="1" t="s">
        <v>586</v>
      </c>
      <c r="B45" s="1" t="s">
        <v>276</v>
      </c>
    </row>
    <row r="46" ht="15.0" customHeight="1">
      <c r="A46" s="1" t="s">
        <v>307</v>
      </c>
      <c r="B46" s="1" t="s">
        <v>197</v>
      </c>
    </row>
    <row r="47" ht="15.0" customHeight="1">
      <c r="A47" s="1" t="s">
        <v>299</v>
      </c>
      <c r="B47" s="1" t="s">
        <v>211</v>
      </c>
    </row>
    <row r="48" ht="15.0" customHeight="1">
      <c r="A48" s="1" t="s">
        <v>856</v>
      </c>
      <c r="B48" s="1" t="s">
        <v>230</v>
      </c>
    </row>
    <row r="49" ht="15.0" customHeight="1">
      <c r="A49" s="1" t="s">
        <v>981</v>
      </c>
      <c r="B49" s="1" t="s">
        <v>336</v>
      </c>
    </row>
    <row r="50" ht="15.0" customHeight="1">
      <c r="A50" s="1" t="s">
        <v>820</v>
      </c>
      <c r="B50" s="1" t="s">
        <v>340</v>
      </c>
    </row>
    <row r="51" ht="15.0" customHeight="1">
      <c r="A51" s="1" t="s">
        <v>1335</v>
      </c>
      <c r="B51" s="1" t="s">
        <v>284</v>
      </c>
    </row>
    <row r="52" ht="15.0" customHeight="1">
      <c r="A52" s="1" t="s">
        <v>1336</v>
      </c>
      <c r="B52" s="1" t="s">
        <v>223</v>
      </c>
    </row>
    <row r="53" ht="15.0" customHeight="1">
      <c r="A53" s="1" t="s">
        <v>932</v>
      </c>
      <c r="B53" s="1" t="s">
        <v>239</v>
      </c>
    </row>
    <row r="54" ht="15.0" customHeight="1">
      <c r="A54" s="1" t="s">
        <v>305</v>
      </c>
      <c r="B54" s="1" t="s">
        <v>233</v>
      </c>
    </row>
    <row r="55" ht="15.0" customHeight="1">
      <c r="A55" s="1" t="s">
        <v>1337</v>
      </c>
      <c r="B55" s="1" t="s">
        <v>292</v>
      </c>
    </row>
    <row r="56" ht="15.0" customHeight="1">
      <c r="A56" s="1" t="s">
        <v>1338</v>
      </c>
      <c r="B56" s="1" t="s">
        <v>344</v>
      </c>
    </row>
    <row r="57" ht="15.0" customHeight="1">
      <c r="A57" s="1" t="s">
        <v>977</v>
      </c>
      <c r="B57" s="1" t="s">
        <v>348</v>
      </c>
    </row>
    <row r="58" ht="15.0" customHeight="1">
      <c r="A58" s="1" t="s">
        <v>1028</v>
      </c>
      <c r="B58" s="1" t="s">
        <v>352</v>
      </c>
    </row>
    <row r="59" ht="15.0" customHeight="1">
      <c r="A59" s="1" t="s">
        <v>930</v>
      </c>
      <c r="B59" s="1" t="s">
        <v>247</v>
      </c>
    </row>
    <row r="60" ht="15.0" customHeight="1">
      <c r="A60" s="1" t="s">
        <v>1034</v>
      </c>
      <c r="B60" s="1" t="s">
        <v>356</v>
      </c>
    </row>
    <row r="61" ht="15.0" customHeight="1">
      <c r="A61" s="1" t="s">
        <v>1339</v>
      </c>
      <c r="B61" s="1" t="s">
        <v>300</v>
      </c>
    </row>
    <row r="62" ht="15.0" customHeight="1">
      <c r="A62" s="1" t="s">
        <v>1052</v>
      </c>
      <c r="B62" s="1" t="s">
        <v>360</v>
      </c>
    </row>
    <row r="63" ht="15.0" customHeight="1">
      <c r="A63" s="1" t="s">
        <v>1340</v>
      </c>
      <c r="B63" s="1" t="s">
        <v>308</v>
      </c>
    </row>
    <row r="64" ht="15.0" customHeight="1">
      <c r="A64" s="1" t="s">
        <v>891</v>
      </c>
      <c r="B64" s="1" t="s">
        <v>364</v>
      </c>
    </row>
    <row r="65" ht="15.0" customHeight="1">
      <c r="A65" s="1" t="s">
        <v>979</v>
      </c>
      <c r="B65" s="1" t="s">
        <v>368</v>
      </c>
    </row>
    <row r="66" ht="15.0" customHeight="1">
      <c r="A66" s="1" t="s">
        <v>1341</v>
      </c>
      <c r="B66" s="1" t="s">
        <v>317</v>
      </c>
    </row>
    <row r="67" ht="15.0" customHeight="1">
      <c r="A67" s="1" t="s">
        <v>867</v>
      </c>
      <c r="B67" s="1" t="s">
        <v>255</v>
      </c>
    </row>
    <row r="68" ht="15.0" customHeight="1">
      <c r="A68" s="1" t="s">
        <v>876</v>
      </c>
      <c r="B68" s="1" t="s">
        <v>263</v>
      </c>
    </row>
    <row r="69" ht="15.0" customHeight="1">
      <c r="A69" s="1" t="s">
        <v>1345</v>
      </c>
      <c r="B69" s="1" t="s">
        <v>325</v>
      </c>
    </row>
    <row r="70" ht="15.0" customHeight="1">
      <c r="A70" s="1" t="s">
        <v>1346</v>
      </c>
      <c r="B70" s="1" t="s">
        <v>372</v>
      </c>
    </row>
    <row r="71" ht="15.0" customHeight="1">
      <c r="A71" s="1" t="s">
        <v>1347</v>
      </c>
      <c r="B71" s="1" t="s">
        <v>331</v>
      </c>
    </row>
    <row r="72" ht="15.0" customHeight="1">
      <c r="A72" s="1" t="s">
        <v>1348</v>
      </c>
      <c r="B72" s="1" t="s">
        <v>376</v>
      </c>
    </row>
    <row r="73" ht="15.0" customHeight="1">
      <c r="A73" s="1" t="s">
        <v>1349</v>
      </c>
      <c r="B73" s="1" t="s">
        <v>271</v>
      </c>
    </row>
    <row r="74" ht="15.0" customHeight="1">
      <c r="A74" s="1" t="s">
        <v>1350</v>
      </c>
      <c r="B74" s="1" t="s">
        <v>279</v>
      </c>
    </row>
    <row r="75" ht="15.0" customHeight="1">
      <c r="A75" s="1" t="s">
        <v>1351</v>
      </c>
      <c r="B75" s="1" t="s">
        <v>380</v>
      </c>
    </row>
    <row r="76" ht="15.0" customHeight="1">
      <c r="A76" s="1" t="s">
        <v>1352</v>
      </c>
      <c r="B76" s="1" t="s">
        <v>335</v>
      </c>
    </row>
    <row r="77" ht="15.0" customHeight="1">
      <c r="A77" s="1" t="s">
        <v>936</v>
      </c>
      <c r="B77" s="1" t="s">
        <v>287</v>
      </c>
    </row>
    <row r="78" ht="15.0" customHeight="1">
      <c r="A78" s="1" t="s">
        <v>1353</v>
      </c>
      <c r="B78" s="1" t="s">
        <v>339</v>
      </c>
    </row>
    <row r="79" ht="15.0" customHeight="1">
      <c r="A79" s="1" t="s">
        <v>1354</v>
      </c>
      <c r="B79" s="1" t="s">
        <v>241</v>
      </c>
    </row>
    <row r="80" ht="15.0" customHeight="1">
      <c r="A80" s="1" t="s">
        <v>1355</v>
      </c>
      <c r="B80" s="1" t="s">
        <v>343</v>
      </c>
    </row>
    <row r="81" ht="15.0" customHeight="1">
      <c r="A81" s="1" t="s">
        <v>1221</v>
      </c>
      <c r="B81" s="1" t="s">
        <v>385</v>
      </c>
    </row>
    <row r="82" ht="15.0" customHeight="1">
      <c r="A82" s="1" t="s">
        <v>1356</v>
      </c>
      <c r="B82" s="1" t="s">
        <v>249</v>
      </c>
    </row>
    <row r="83" ht="15.0" customHeight="1">
      <c r="A83" s="1" t="s">
        <v>1357</v>
      </c>
      <c r="B83" s="1" t="s">
        <v>393</v>
      </c>
    </row>
    <row r="84" ht="15.0" customHeight="1">
      <c r="A84" s="1" t="s">
        <v>1358</v>
      </c>
      <c r="B84" s="1" t="s">
        <v>347</v>
      </c>
    </row>
    <row r="85" ht="15.0" customHeight="1">
      <c r="A85" s="1" t="s">
        <v>1359</v>
      </c>
      <c r="B85" s="1" t="s">
        <v>400</v>
      </c>
    </row>
    <row r="86" ht="15.0" customHeight="1">
      <c r="A86" s="1" t="s">
        <v>1360</v>
      </c>
      <c r="B86" s="1" t="s">
        <v>408</v>
      </c>
    </row>
    <row r="87" ht="15.0" customHeight="1">
      <c r="A87" s="1" t="s">
        <v>822</v>
      </c>
      <c r="B87" s="1" t="s">
        <v>296</v>
      </c>
    </row>
    <row r="88" ht="15.0" customHeight="1">
      <c r="A88" s="1" t="s">
        <v>1361</v>
      </c>
      <c r="B88" s="1" t="s">
        <v>416</v>
      </c>
    </row>
    <row r="89" ht="15.0" customHeight="1">
      <c r="A89" s="1" t="s">
        <v>1362</v>
      </c>
      <c r="B89" s="1" t="s">
        <v>423</v>
      </c>
    </row>
    <row r="90" ht="15.0" customHeight="1">
      <c r="A90" s="1" t="s">
        <v>938</v>
      </c>
      <c r="B90" s="1" t="s">
        <v>304</v>
      </c>
    </row>
    <row r="91" ht="15.0" customHeight="1">
      <c r="A91" s="1" t="s">
        <v>1363</v>
      </c>
      <c r="B91" s="1" t="s">
        <v>351</v>
      </c>
    </row>
    <row r="92" ht="15.0" customHeight="1">
      <c r="A92" s="1" t="s">
        <v>1364</v>
      </c>
      <c r="B92" s="1" t="s">
        <v>312</v>
      </c>
    </row>
    <row r="93" ht="15.0" customHeight="1"/>
    <row r="94" ht="15.0" customHeight="1">
      <c r="A94" s="1" t="s">
        <v>1045</v>
      </c>
      <c r="B94" s="1" t="s">
        <v>431</v>
      </c>
    </row>
    <row r="95" ht="15.0" customHeight="1">
      <c r="A95" s="1" t="s">
        <v>664</v>
      </c>
      <c r="B95" s="1" t="s">
        <v>320</v>
      </c>
    </row>
    <row r="96" ht="15.0" customHeight="1">
      <c r="A96" s="1" t="s">
        <v>1365</v>
      </c>
      <c r="B96" s="1" t="s">
        <v>439</v>
      </c>
    </row>
    <row r="97" ht="15.0" customHeight="1">
      <c r="A97" s="1" t="s">
        <v>1366</v>
      </c>
      <c r="B97" s="1" t="s">
        <v>257</v>
      </c>
    </row>
    <row r="98" ht="15.0" customHeight="1">
      <c r="A98" s="1" t="s">
        <v>1367</v>
      </c>
      <c r="B98" s="1" t="s">
        <v>265</v>
      </c>
    </row>
    <row r="99" ht="15.0" customHeight="1">
      <c r="A99" s="1" t="s">
        <v>896</v>
      </c>
      <c r="B99" s="1" t="s">
        <v>329</v>
      </c>
    </row>
    <row r="100" ht="15.0" customHeight="1">
      <c r="A100" s="1" t="s">
        <v>1368</v>
      </c>
      <c r="B100" s="1" t="s">
        <v>355</v>
      </c>
    </row>
    <row r="101" ht="15.0" customHeight="1">
      <c r="A101" s="1" t="s">
        <v>1369</v>
      </c>
      <c r="B101" s="1" t="s">
        <v>333</v>
      </c>
    </row>
    <row r="102" ht="15.0" customHeight="1">
      <c r="A102" s="1" t="s">
        <v>1370</v>
      </c>
      <c r="B102" s="1" t="s">
        <v>446</v>
      </c>
    </row>
    <row r="103" ht="15.0" customHeight="1">
      <c r="A103" s="1" t="s">
        <v>1371</v>
      </c>
      <c r="B103" s="1" t="s">
        <v>274</v>
      </c>
    </row>
    <row r="104" ht="15.0" customHeight="1">
      <c r="A104" s="1" t="s">
        <v>1372</v>
      </c>
      <c r="B104" s="1" t="s">
        <v>282</v>
      </c>
    </row>
    <row r="105" ht="15.0" customHeight="1">
      <c r="A105" s="1" t="s">
        <v>1373</v>
      </c>
      <c r="B105" s="1" t="s">
        <v>290</v>
      </c>
    </row>
    <row r="106" ht="15.0" customHeight="1">
      <c r="A106" s="1" t="s">
        <v>661</v>
      </c>
      <c r="B106" s="1" t="s">
        <v>359</v>
      </c>
    </row>
    <row r="107" ht="15.0" customHeight="1">
      <c r="A107" s="1" t="s">
        <v>1374</v>
      </c>
      <c r="B107" s="1" t="s">
        <v>298</v>
      </c>
    </row>
    <row r="108" ht="15.0" customHeight="1">
      <c r="A108" s="1" t="s">
        <v>1375</v>
      </c>
      <c r="B108" s="1" t="s">
        <v>454</v>
      </c>
    </row>
    <row r="109" ht="15.0" customHeight="1">
      <c r="A109" s="1" t="s">
        <v>1376</v>
      </c>
      <c r="B109" s="1" t="s">
        <v>337</v>
      </c>
    </row>
    <row r="110" ht="15.0" customHeight="1">
      <c r="A110" s="1" t="s">
        <v>1377</v>
      </c>
      <c r="B110" s="1" t="s">
        <v>306</v>
      </c>
    </row>
    <row r="111" ht="15.0" customHeight="1">
      <c r="A111" s="1" t="s">
        <v>1378</v>
      </c>
      <c r="B111" s="1" t="s">
        <v>462</v>
      </c>
    </row>
    <row r="112" ht="15.0" customHeight="1">
      <c r="A112" s="1" t="s">
        <v>1379</v>
      </c>
      <c r="B112" s="1" t="s">
        <v>469</v>
      </c>
    </row>
    <row r="113" ht="15.0" customHeight="1">
      <c r="A113" s="1" t="s">
        <v>1380</v>
      </c>
      <c r="B113" s="1" t="s">
        <v>363</v>
      </c>
    </row>
    <row r="114" ht="15.0" customHeight="1">
      <c r="A114" s="1" t="s">
        <v>1381</v>
      </c>
      <c r="B114" s="1" t="s">
        <v>367</v>
      </c>
    </row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2025-07-31T16:01:58Z</dcterms:created>
  <dc:creator>aaron smith</dc:creator>
</cp:coreProperties>
</file>